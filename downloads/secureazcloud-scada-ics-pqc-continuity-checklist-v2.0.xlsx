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tables/table1.xml" ContentType="application/vnd.openxmlformats-officedocument.spreadsheetml.table+xml"/>
  <ns0:Override PartName="/xl/worksheets/sheet3.xml" ContentType="application/vnd.openxmlformats-officedocument.spreadsheetml.worksheet+xml"/>
  <ns0:Override PartName="/xl/tables/table2.xml" ContentType="application/vnd.openxmlformats-officedocument.spreadsheetml.table+xml"/>
  <ns0:Override PartName="/xl/worksheets/sheet4.xml" ContentType="application/vnd.openxmlformats-officedocument.spreadsheetml.worksheet+xml"/>
  <ns0:Override PartName="/xl/tables/table3.xml" ContentType="application/vnd.openxmlformats-officedocument.spreadsheetml.table+xml"/>
  <ns0:Override PartName="/xl/worksheets/sheet5.xml" ContentType="application/vnd.openxmlformats-officedocument.spreadsheetml.worksheet+xml"/>
  <ns0:Override PartName="/xl/tables/table4.xml" ContentType="application/vnd.openxmlformats-officedocument.spreadsheetml.table+xml"/>
  <ns0:Override PartName="/xl/worksheets/sheet6.xml" ContentType="application/vnd.openxmlformats-officedocument.spreadsheetml.worksheet+xml"/>
  <ns0:Override PartName="/xl/tables/table5.xml" ContentType="application/vnd.openxmlformats-officedocument.spreadsheetml.table+xml"/>
  <ns0:Override PartName="/docProps/core.xml" ContentType="application/vnd.openxmlformats-package.core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c7443aa90a234639" /><ns0:Relationship Id="rIdAuthor" Type="http://schemas.openxmlformats.org/package/2006/relationships/metadata/core-properties" Target="docProps/core.xml" /></ns0: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645bca2932324f20"/>
    <x:sheet xmlns:r="http://schemas.openxmlformats.org/officeDocument/2006/relationships" name="Continuity_Checklist" sheetId="2" r:id="Rc8d19d2274ae43b6"/>
    <x:sheet xmlns:r="http://schemas.openxmlformats.org/officeDocument/2006/relationships" name="OT_Crypto_Inventory" sheetId="3" r:id="R20c540d3fe23433f"/>
    <x:sheet xmlns:r="http://schemas.openxmlformats.org/officeDocument/2006/relationships" name="Latency_Test_Cases" sheetId="4" r:id="R3edd679e970d4ad1"/>
    <x:sheet xmlns:r="http://schemas.openxmlformats.org/officeDocument/2006/relationships" name="Vendor_Roadmap" sheetId="5" r:id="Rba9cdfb5ae844351"/>
    <x:sheet xmlns:r="http://schemas.openxmlformats.org/officeDocument/2006/relationships" name="Sources" sheetId="6" r:id="R23f48dc53f3b49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2">
    <x:font>
      <x:sz val="11"/>
      <x:name val="Carlito"/>
    </x:font>
    <x:font>
      <x:b/>
      <x:sz val="14"/>
      <x:color rgb="FFFFFFFF"/>
      <x:name val="Carlito"/>
    </x:font>
    <x:font>
      <x:sz val="11"/>
      <x:color rgb="FF0F172A"/>
      <x:name val="Carlito"/>
    </x:font>
    <x:font>
      <x:b/>
      <x:sz val="11"/>
      <x:color rgb="FFFFFFFF"/>
      <x:name val="Carlito"/>
    </x:font>
    <x:font>
      <x:sz val="11"/>
      <x:color rgb="FF1D4ED8"/>
      <x:name val="Carlito"/>
    </x:font>
    <x:font>
      <x:b/>
      <x:sz val="10"/>
      <x:color rgb="FF182B42"/>
      <x:name val="Arial"/>
    </x:font>
    <x:font>
      <x:sz val="10"/>
      <x:color rgb="FF182B42"/>
      <x:name val="Arial"/>
    </x:font>
    <x:font>
      <x:b/>
      <x:sz val="10"/>
      <x:color rgb="FFFFFFFF"/>
      <x:name val="Arial"/>
    </x:font>
    <x:font>
      <x:b/>
      <x:sz val="12"/>
      <x:color rgb="FFFFFFFF"/>
      <x:name val="Arial"/>
    </x:font>
    <x:font>
      <x:sz val="10"/>
      <x:color rgb="FF0F172A"/>
      <x:name val="Arial"/>
    </x:font>
    <x:font>
      <x:sz val="10"/>
      <x:name val="Arial"/>
    </x:font>
    <x:font>
      <x:b/>
      <x:sz val="14"/>
      <x:color rgb="FF17365D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12355B"/>
      </x:patternFill>
    </x:fill>
    <x:fill>
      <x:patternFill patternType="solid">
        <x:fgColor rgb="FF17365D"/>
      </x:patternFill>
    </x:fill>
    <x:fill>
      <x:patternFill patternType="solid">
        <x:fgColor rgb="FFF3F6FA"/>
      </x:patternFill>
    </x:fill>
    <x:fill>
      <x:patternFill patternType="solid">
        <x:fgColor rgb="FFFFF8DD"/>
      </x:patternFill>
    </x:fill>
  </x:fills>
  <x:borders count="10">
    <x:border/>
    <x:border/>
    <x:border diagonalUp="0" diagonalDown="0">
      <x:left style="none"/>
      <x:top style="none"/>
    </x:border>
    <x:border diagonalUp="0" diagonalDown="0">
      <x:top style="none"/>
    </x:border>
    <x:border diagonalUp="0" diagonalDown="0">
      <x:right style="none"/>
      <x:top style="none"/>
    </x:border>
    <x:border diagonalUp="0" diagonalDown="0">
      <x:left style="none"/>
    </x:border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0" fontId="5" fillId="4" borderId="2" xfId="0" applyNumberFormat="1" applyFont="1" applyFill="1" applyBorder="1" applyAlignment="1">
      <x:alignment horizontal="center" vertical="top" wrapText="1"/>
    </x:xf>
    <x:xf numFmtId="0" fontId="5" fillId="4" borderId="3" xfId="0" applyNumberFormat="1" applyFont="1" applyFill="1" applyBorder="1" applyAlignment="1">
      <x:alignment horizontal="center"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xfId="0" applyNumberFormat="1" applyFont="1" applyFill="1" applyBorder="0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horizontal="center" vertical="top" wrapText="1"/>
    </x:xf>
    <x:xf numFmtId="0" fontId="5" fillId="5" borderId="3" xfId="0" applyNumberFormat="1" applyFont="1" applyFill="1" applyBorder="1" applyAlignment="1">
      <x:alignment horizontal="center" vertical="top" wrapText="1"/>
    </x:xf>
    <x:xf numFmtId="0" fontId="6" fillId="5" borderId="3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horizontal="center" vertical="top" wrapText="1"/>
    </x:xf>
    <x:xf numFmtId="0" fontId="7" fillId="5" borderId="3" xfId="0" applyNumberFormat="1" applyFont="1" applyFill="1" applyBorder="1" applyAlignment="1">
      <x:alignment horizontal="center" vertical="top" wrapText="1"/>
    </x:xf>
    <x:xf numFmtId="0" fontId="7" fillId="5" borderId="3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horizontal="center" vertical="top" wrapText="1"/>
    </x:xf>
    <x:xf numFmtId="0" fontId="7" fillId="5" borderId="2" xfId="0" applyNumberFormat="1" applyFont="1" applyFill="1" applyBorder="1" applyAlignment="1">
      <x:alignment horizontal="center" vertical="center" wrapText="1"/>
    </x:xf>
    <x:xf numFmtId="0" fontId="7" fillId="5" borderId="3" xfId="0" applyNumberFormat="1" applyFont="1" applyFill="1" applyBorder="1" applyAlignment="1">
      <x:alignment horizontal="center" vertical="center" wrapText="1"/>
    </x:xf>
    <x:xf numFmtId="0" fontId="7" fillId="5" borderId="4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vertical="top" wrapText="1"/>
    </x:xf>
    <x:xf numFmtId="0" fontId="6" fillId="6" xfId="0" applyNumberFormat="1" applyFont="1" applyFill="1" applyBorder="0" applyAlignment="1">
      <x:alignment vertical="top"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7" xfId="0" applyNumberFormat="1" applyFont="1" applyFill="1" applyBorder="0" applyAlignment="1">
      <x:alignment vertical="top" wrapText="1"/>
    </x:xf>
    <x:xf numFmtId="0" fontId="6" fillId="7" borderId="8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vertical="top" wrapText="1"/>
    </x:xf>
    <x:xf numFmtId="0" fontId="6" fillId="6" borderId="9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  <x:xf numFmtId="0" fontId="6" fillId="7" borderId="9" xfId="0" applyNumberFormat="1" applyFont="1" applyFill="1" applyBorder="1" applyAlignment="1">
      <x:alignment vertical="top" wrapText="1"/>
    </x:xf>
    <x:xf numFmtId="200" fontId="6" fillId="7" xfId="0" applyNumberFormat="1" applyFont="1" applyFill="1" applyBorder="0" applyAlignment="1">
      <x:alignment vertical="top" wrapText="1"/>
    </x:xf>
    <x:xf numFmtId="200" fontId="6" fillId="7" borderId="8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left" vertical="center" wrapText="1"/>
    </x:xf>
    <x:xf numFmtId="0" fontId="8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 applyAlignment="1">
      <x:alignment vertical="top" wrapText="1"/>
    </x:xf>
    <x:xf numFmtId="200" fontId="9" fillId="3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 applyAlignment="1">
      <x:alignment wrapText="1"/>
    </x:xf>
    <x:xf numFmtId="201" fontId="10" fillId="6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6" fillId="0" borderId="2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C2222"/>
      </x:font>
      <x:fill>
        <x:patternFill patternType="solid">
          <x:bgColor rgb="FFFDE9E7"/>
        </x:patternFill>
      </x:fill>
    </x:dxf>
    <x:dxf>
      <x:font>
        <x:color rgb="FF9C2222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891d998d604007" /><Relationship Type="http://schemas.openxmlformats.org/officeDocument/2006/relationships/theme" Target="/xl/theme/theme1.xml" Id="Rd32ee830e3ad42a7" /><Relationship Type="http://schemas.openxmlformats.org/officeDocument/2006/relationships/sharedStrings" Target="/xl/sharedStrings.xml" Id="R10a940666bee458b" /><Relationship Type="http://schemas.openxmlformats.org/officeDocument/2006/relationships/worksheet" Target="/xl/worksheets/sheet1.xml" Id="R645bca2932324f20" /><Relationship Type="http://schemas.openxmlformats.org/officeDocument/2006/relationships/worksheet" Target="/xl/worksheets/sheet2.xml" Id="Rc8d19d2274ae43b6" /><Relationship Type="http://schemas.openxmlformats.org/officeDocument/2006/relationships/worksheet" Target="/xl/worksheets/sheet3.xml" Id="R20c540d3fe23433f" /><Relationship Type="http://schemas.openxmlformats.org/officeDocument/2006/relationships/worksheet" Target="/xl/worksheets/sheet4.xml" Id="R3edd679e970d4ad1" /><Relationship Type="http://schemas.openxmlformats.org/officeDocument/2006/relationships/worksheet" Target="/xl/worksheets/sheet5.xml" Id="Rba9cdfb5ae844351" /><Relationship Type="http://schemas.openxmlformats.org/officeDocument/2006/relationships/worksheet" Target="/xl/worksheets/sheet6.xml" Id="R23f48dc53f3b4969" /></Relationships>
</file>

<file path=xl/tables/table1.xml><?xml version="1.0" encoding="utf-8"?>
<x:table xmlns:x="http://schemas.openxmlformats.org/spreadsheetml/2006/main" id="1" name="OTContinuityV2" displayName="OTContinuityV2" ref="A1:Q38" headerRowCount="1" totalsRowCount="0" totalsRowShown="0">
  <x:autoFilter ref="A1:Q38"/>
  <x:tableColumns count="17">
    <x:tableColumn id="1" name="Domain"/>
    <x:tableColumn id="2" name="Continuity Control / Task"/>
    <x:tableColumn id="3" name="Safety or Operational Rationale"/>
    <x:tableColumn id="4" name="Status"/>
    <x:tableColumn id="5" name="Priority"/>
    <x:tableColumn id="6" name="Owner"/>
    <x:tableColumn id="7" name="Maintenance Window"/>
    <x:tableColumn id="8" name="Evidence Link"/>
    <x:tableColumn id="9" name="Notes"/>
    <x:tableColumn id="10" name="Control ID"/>
    <x:tableColumn id="11" name="NIST sources"/>
    <x:tableColumn id="12" name="Planning horizon"/>
    <x:tableColumn id="13" name="Threat / gap"/>
    <x:tableColumn id="14" name="Review date"/>
    <x:tableColumn id="15" name="Reviewer"/>
    <x:tableColumn id="16" name="Rationale / approval"/>
    <x:tableColumn id="17" name="Next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TCryptoInventoryV2" displayName="OTCryptoInventoryV2" ref="A1:AD25" headerRowCount="1" totalsRowCount="0" totalsRowShown="0">
  <x:autoFilter ref="A1:AD25"/>
  <x:tableColumns count="30">
    <x:tableColumn id="1" name="Site/Zone"/>
    <x:tableColumn id="2" name="Asset / System"/>
    <x:tableColumn id="3" name="Function"/>
    <x:tableColumn id="4" name="Protocol / Path"/>
    <x:tableColumn id="5" name="Crypto Use"/>
    <x:tableColumn id="6" name="Algorithm / Key Type"/>
    <x:tableColumn id="7" name="Legacy Gateway?"/>
    <x:tableColumn id="8" name="Safety Criticality"/>
    <x:tableColumn id="9" name="Latency Tolerance"/>
    <x:tableColumn id="10" name="Maintenance Window"/>
    <x:tableColumn id="11" name="Vendor Roadmap"/>
    <x:tableColumn id="12" name="Hybrid Mode Plan"/>
    <x:tableColumn id="13" name="Rollback Method"/>
    <x:tableColumn id="14" name="Compensating Control"/>
    <x:tableColumn id="15" name="Priority"/>
    <x:tableColumn id="16" name="Evidence Link"/>
    <x:tableColumn id="17" name="Notes"/>
    <x:tableColumn id="18" name="Asset / flow ID"/>
    <x:tableColumn id="19" name="Hardware and firmware build"/>
    <x:tableColumn id="20" name="Crypto library/provider version"/>
    <x:tableColumn id="21" name="Key establishment / signature role"/>
    <x:tableColumn id="22" name="Confidentiality lifetime (years)"/>
    <x:tableColumn id="23" name="Signature verification lifetime"/>
    <x:tableColumn id="24" name="Discovery method / approval"/>
    <x:tableColumn id="25" name="Last observed"/>
    <x:tableColumn id="26" name="Owner"/>
    <x:tableColumn id="27" name="End of support"/>
    <x:tableColumn id="28" name="Replacement milestone"/>
    <x:tableColumn id="29" name="Exception approver / review date"/>
    <x:tableColumn id="30" name="Residual exposure after gatewa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TLatencyTestsV2" displayName="OTLatencyTestsV2" ref="A1:P17" headerRowCount="1" totalsRowCount="0" totalsRowShown="0">
  <x:autoFilter ref="A1:P17"/>
  <x:tableColumns count="16">
    <x:tableColumn id="1" name="Test ID"/>
    <x:tableColumn id="2" name="Scenario"/>
    <x:tableColumn id="3" name="Metric"/>
    <x:tableColumn id="4" name="Baseline"/>
    <x:tableColumn id="5" name="Acceptance Criteria"/>
    <x:tableColumn id="6" name="Test Environment"/>
    <x:tableColumn id="7" name="Result"/>
    <x:tableColumn id="8" name="Rollback Tested?"/>
    <x:tableColumn id="9" name="Evidence Link"/>
    <x:tableColumn id="10" name="Notes"/>
    <x:tableColumn id="11" name="Exact hardware / firmware / profile"/>
    <x:tableColumn id="12" name="Measured result with units"/>
    <x:tableColumn id="13" name="Engineering limit approval"/>
    <x:tableColumn id="14" name="Safety / operations approval"/>
    <x:tableColumn id="15" name="Test date"/>
    <x:tableColumn id="16" name="Owner / review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endorRoadmapV2" displayName="VendorRoadmapV2" ref="A1:S25" headerRowCount="1" totalsRowCount="0" totalsRowShown="0">
  <x:autoFilter ref="A1:S25"/>
  <x:tableColumns count="19">
    <x:tableColumn id="1" name="Vendor/Product"/>
    <x:tableColumn id="2" name="OT Function"/>
    <x:tableColumn id="3" name="Firmware/Version"/>
    <x:tableColumn id="4" name="Support Window"/>
    <x:tableColumn id="5" name="PQC Roadmap"/>
    <x:tableColumn id="6" name="Cryptographic Disclosure Available?"/>
    <x:tableColumn id="7" name="Maintenance Window Requirement"/>
    <x:tableColumn id="8" name="Rollback Guidance Available?"/>
    <x:tableColumn id="9" name="Owner"/>
    <x:tableColumn id="10" name="Evidence Link"/>
    <x:tableColumn id="11" name="Notes"/>
    <x:tableColumn id="12" name="PQC algorithms / parameters"/>
    <x:tableColumn id="13" name="Protocol profile / status"/>
    <x:tableColumn id="14" name="Release date commitment"/>
    <x:tableColumn id="15" name="CMVP certificate/version if required"/>
    <x:tableColumn id="16" name="Safety certification impact"/>
    <x:tableColumn id="17" name="Verified interoperability evidence"/>
    <x:tableColumn id="18" name="Support end date"/>
    <x:tableColumn id="19" name="Replacement plan / next review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V2" displayName="SourcesV2" ref="A4:E38" headerRowCount="1" totalsRowCount="0" totalsRowShown="0">
  <x:autoFilter ref="A4:E38"/>
  <x:tableColumns count="5">
    <x:tableColumn id="1" name="Source ID"/>
    <x:tableColumn id="2" name="Publication and application"/>
    <x:tableColumn id="3" name="Status as of 2026-09-29"/>
    <x:tableColumn id="4" name="Interpretation"/>
    <x:tableColumn id="5" name="Public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Ankit Gupta">
  <a:themeElements>
    <a:clrScheme name="Ankit Gupt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nkit Gupta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f99323115a45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c0452f2a184e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359932341f45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203a372d0043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73e6a5ecf847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03" hidden="0" customWidth="1"/>
  </x:cols>
  <x:sheetData>
    <x:row r="1" ht="40" hidden="0" customHeight="1">
      <x:c r="A1" s="78" t="str">
        <x:v>SecureAzCloud SCADA/ICS PQC Migration Continuity Checklist</x:v>
      </x:c>
      <x:c r="B1" s="79"/>
      <x:c r="C1" s="79"/>
      <x:c r="D1" s="79"/>
      <x:c r="E1" s="79"/>
      <x:c r="F1" s="79"/>
      <x:c r="G1" s="79"/>
      <x:c r="H1" s="79"/>
    </x:row>
    <x:row r="2" ht="42" hidden="0" customHeight="1">
      <x:c r="A2" s="80" t="str">
        <x:v>Public safety-first checklist for OT/ICS/SCADA cryptographic discovery, latency validation, legacy gateways, vendor dependencies, hybrid mode, rollback, maintenance windows, and safety continuity.</x:v>
      </x:c>
      <x:c r="B2" s="81"/>
      <x:c r="C2" s="81"/>
      <x:c r="D2" s="81"/>
      <x:c r="E2" s="81"/>
      <x:c r="F2" s="81"/>
      <x:c r="G2" s="81"/>
      <x:c r="H2" s="81"/>
    </x:row>
    <x:row r="3" ht="15" hidden="0" customHeight="1">
      <x:c r="A3" s="82" t="str">
        <x:v>Version</x:v>
      </x:c>
      <x:c r="B3" s="83" t="str">
        <x:v>v2.0</x:v>
      </x:c>
      <x:c r="C3" s="29"/>
      <x:c r="D3" s="29"/>
      <x:c r="E3" s="29"/>
      <x:c r="F3" s="29"/>
      <x:c r="G3" s="29"/>
      <x:c r="H3" s="29"/>
    </x:row>
    <x:row r="4" ht="26.399999618530273" hidden="0" customHeight="1">
      <x:c r="A4" s="82" t="str">
        <x:v>Updated</x:v>
      </x:c>
      <x:c r="B4" s="84" t="n">
        <x:v>46294</x:v>
      </x:c>
      <x:c r="C4" s="29"/>
      <x:c r="D4" s="29"/>
      <x:c r="E4" s="29"/>
      <x:c r="F4" s="29"/>
      <x:c r="G4" s="29"/>
      <x:c r="H4" s="29"/>
    </x:row>
    <x:row r="5" ht="26.399999618530273" hidden="0" customHeight="1">
      <x:c r="A5" s="82" t="str">
        <x:v>Author / Maintainer</x:v>
      </x:c>
      <x:c r="B5" s="83" t="str">
        <x:v>Ankit Gupta</x:v>
      </x:c>
      <x:c r="C5" s="29"/>
      <x:c r="D5" s="29"/>
      <x:c r="E5" s="29"/>
      <x:c r="F5" s="29"/>
      <x:c r="G5" s="29"/>
      <x:c r="H5" s="29"/>
    </x:row>
    <x:row r="6">
      <x:c r="A6" s="85"/>
      <x:c r="B6" s="85"/>
    </x:row>
    <x:row r="7" ht="46" customHeight="1">
      <x:c r="A7" s="82" t="str">
        <x:v>Purpose</x:v>
      </x:c>
      <x:c r="B7" s="83" t="str">
        <x:v>Use this checklist to convert SCADA/ICS PQC migration planning into operationally safe discovery, lab validation, maintenance-window, rollback, and continuity activities.</x:v>
      </x:c>
    </x:row>
    <x:row r="8" ht="46" customHeight="1">
      <x:c r="A8" s="82" t="str">
        <x:v>Safety-first use</x:v>
      </x:c>
      <x:c r="B8" s="83" t="str">
        <x:v>No cryptographic migration in production OT should proceed without safety impact review, operations approval, validated rollback, vendor guidance, and tested compensating controls.</x:v>
      </x:c>
    </x:row>
    <x:row r="9" ht="46" customHeight="1">
      <x:c r="A9" s="82" t="str">
        <x:v>Evidence standard</x:v>
      </x:c>
      <x:c r="B9" s="83" t="str">
        <x:v>Evidence should include OT asset inventory, protocol map, vendor roadmap, maintenance-window approval, lab test results, latency/performance baselines, rollback record, and safety review.</x:v>
      </x:c>
    </x:row>
    <x:row r="10" ht="46" customHeight="1">
      <x:c r="A10" s="82" t="str">
        <x:v>Redacted sharing</x:v>
      </x:c>
      <x:c r="B10" s="83" t="str">
        <x:v>Do not publish real plant names, IP addresses, engineering diagrams, vendor support cases, firmware details, or safety-system configurations.</x:v>
      </x:c>
    </x:row>
    <x:row r="11" ht="46" customHeight="1">
      <x:c r="A11" s="82" t="str">
        <x:v>Caution</x:v>
      </x:c>
      <x:c r="B11" s="83" t="str">
        <x:v>This is an implementation planning aid, not a substitute for engineering safety analysis, regulatory obligations, or vendor-supported product changes.</x:v>
      </x:c>
    </x:row>
    <x:row r="12" ht="46" customHeight="1">
      <x:c r="A12" s="89" t="str">
        <x:v>2026 baseline</x:v>
      </x:c>
      <x:c r="B12" s="90" t="str">
        <x:v>Assign owners, discover public-key dependencies, assess data and signature lifetimes, confirm supplier versions and establish tested recovery.</x:v>
      </x:c>
    </x:row>
    <x:row r="13" ht="46" customHeight="1">
      <x:c r="A13" s="89" t="str">
        <x:v>2027 delivery</x:v>
      </x:c>
      <x:c r="B13" s="90" t="str">
        <x:v>Pilot supported profiles, verify relying parties and operational limits, approve migration waves and require measurable supplier commitments.</x:v>
      </x:c>
    </x:row>
    <x:row r="14" ht="46" customHeight="1">
      <x:c r="A14" s="89" t="str">
        <x:v>2028 and later</x:v>
      </x:c>
      <x:c r="B14" s="90" t="str">
        <x:v>Expand deployment based on risk and support. Track residual quantum-vulnerable paths, exceptions, replacements and standards updates.</x:v>
      </x:c>
    </x:row>
    <x:row r="15" ht="60" customHeight="1">
      <x:c r="A15" s="89" t="str">
        <x:v>Timeline interpretation</x:v>
      </x:c>
      <x:c r="B15" s="90" t="str">
        <x:v>These horizons are suggested local planning phases. IR 8547 is draft. Algorithm-specific 2030/2035 proposals are not a universal mandate or a prediction of a quantum computer date.</x:v>
      </x:c>
    </x:row>
    <x:row r="16" ht="46" customHeight="1">
      <x:c r="A16" s="89" t="str">
        <x:v>Evidence workflow</x:v>
      </x:c>
      <x:c r="B16" s="90" t="str">
        <x:v>Complete needs owner, evidence, review date and reviewer. Accepted Risk / Not Applicable also needs rationale and approval. Next action flags missing prerequisites.</x:v>
      </x:c>
    </x:row>
    <x:row r="17" ht="46" customHeight="1">
      <x:c r="A17" s="89" t="str">
        <x:v>Input legend</x:v>
      </x:c>
      <x:c r="B17" s="90" t="str">
        <x:v>Amber cells are editable. P1/P2/P3 are local priorities, not NIST scores. Example inventory rows are fictional. Blank cells mean unassessed. No implementation results are asserted.</x:v>
      </x:c>
    </x:row>
    <x:row r="18" ht="46" customHeight="1">
      <x:c r="A18" s="89" t="str">
        <x:v>Update cadence</x:v>
      </x:c>
      <x:c r="B18" s="90" t="str">
        <x:v>Recheck sources, vendor support, inventory evidence and exceptions quarterly and after material changes. This is a local cadence. Review new evidence before claiming alignment with future 2027+ guidance.</x:v>
      </x:c>
    </x:row>
    <x:row r="19" ht="26" customHeight="1">
      <x:c r="A19" s="89" t="str">
        <x:v>Controls</x:v>
      </x:c>
      <x:c r="B19" s="91" t="n">
        <x:v>37</x:v>
      </x:c>
    </x:row>
    <x:row r="20" ht="26" customHeight="1">
      <x:c r="A20" s="89" t="str">
        <x:v>Complete with evidence</x:v>
      </x:c>
      <x:c r="B20" s="91" t="n">
        <x:f>COUNTIFS('Continuity_Checklist'!Q2:Q38,"Evidence recorded")</x:f>
        <x:v>0</x:v>
      </x:c>
    </x:row>
    <x:row r="21" ht="26" customHeight="1">
      <x:c r="A21" s="89" t="str">
        <x:v>Accepted decisions with evidence</x:v>
      </x:c>
      <x:c r="B21" s="91" t="n">
        <x:f>COUNTIFS('Continuity_Checklist'!Q2:Q38,"Decision recorded")</x:f>
        <x:v>0</x:v>
      </x:c>
    </x:row>
    <x:row r="22" ht="26" customHeight="1">
      <x:c r="A22" s="89" t="str">
        <x:v>Status needs review inputs</x:v>
      </x:c>
      <x:c r="B22" s="91" t="n">
        <x:f>COUNTIFS('Continuity_Checklist'!Q2:Q38,"Add*")</x:f>
        <x:v>0</x:v>
      </x:c>
    </x:row>
    <x:row r="23" ht="26" customHeight="1">
      <x:c r="A23" s="89" t="str">
        <x:v>Not complete</x:v>
      </x:c>
      <x:c r="B23" s="91" t="n">
        <x:f>B19-B20-B21</x:f>
        <x:v>37</x:v>
      </x:c>
    </x:row>
    <x:row r="24" ht="46" customHeight="1">
      <x:c r="A24" s="89" t="str">
        <x:v>Interpretation</x:v>
      </x:c>
      <x:c r="B24" s="90" t="str">
        <x:v>Counts measure documentary prerequisites. They do not certify NIST compliance or independently validate implementation.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67" hidden="0" customWidth="1"/>
    <x:col min="3" max="3" width="53" hidden="0" customWidth="1"/>
    <x:col min="4" max="4" width="19" hidden="0" customWidth="1"/>
    <x:col min="5" max="5" width="11" hidden="0" customWidth="1"/>
    <x:col min="6" max="6" width="23" hidden="0" customWidth="1"/>
    <x:col min="7" max="7" width="29" hidden="0" customWidth="1"/>
    <x:col min="8" max="8" width="35" hidden="0" customWidth="1"/>
    <x:col min="9" max="9" width="38" hidden="0" customWidth="1"/>
    <x:col min="10" max="10" width="16" hidden="0" customWidth="1"/>
    <x:col min="11" max="11" width="40" hidden="0" customWidth="1"/>
    <x:col min="12" max="12" width="28" hidden="0" customWidth="1"/>
    <x:col min="13" max="13" width="35" hidden="0" customWidth="1"/>
    <x:col min="14" max="14" width="16" hidden="0" customWidth="1"/>
    <x:col min="15" max="15" width="25" hidden="0" customWidth="1"/>
    <x:col min="16" max="16" width="38" hidden="0" customWidth="1"/>
    <x:col min="17" max="17" width="29" hidden="0" customWidth="1"/>
  </x:cols>
  <x:sheetData>
    <x:row r="1" ht="42" customHeight="1">
      <x:c r="A1" s="60" t="str">
        <x:v>Domain</x:v>
      </x:c>
      <x:c r="B1" s="61" t="str">
        <x:v>Continuity Control / Task</x:v>
      </x:c>
      <x:c r="C1" s="61" t="str">
        <x:v>Safety or Operational Rationale</x:v>
      </x:c>
      <x:c r="D1" s="61" t="str">
        <x:v>Status</x:v>
      </x:c>
      <x:c r="E1" s="61" t="str">
        <x:v>Priority</x:v>
      </x:c>
      <x:c r="F1" s="61" t="str">
        <x:v>Owner</x:v>
      </x:c>
      <x:c r="G1" s="61" t="str">
        <x:v>Maintenance Window</x:v>
      </x:c>
      <x:c r="H1" s="61" t="str">
        <x:v>Evidence Link</x:v>
      </x:c>
      <x:c r="I1" s="61" t="str">
        <x:v>Notes</x:v>
      </x:c>
      <x:c r="J1" s="61" t="str">
        <x:v>Control ID</x:v>
      </x:c>
      <x:c r="K1" s="61" t="str">
        <x:v>NIST sources</x:v>
      </x:c>
      <x:c r="L1" s="61" t="str">
        <x:v>Planning horizon</x:v>
      </x:c>
      <x:c r="M1" s="61" t="str">
        <x:v>Threat / gap</x:v>
      </x:c>
      <x:c r="N1" s="61" t="str">
        <x:v>Review date</x:v>
      </x:c>
      <x:c r="O1" s="61" t="str">
        <x:v>Reviewer</x:v>
      </x:c>
      <x:c r="P1" s="61" t="str">
        <x:v>Rationale / approval</x:v>
      </x:c>
      <x:c r="Q1" s="62" t="str">
        <x:v>Next action</x:v>
      </x:c>
    </x:row>
    <x:row r="2" ht="36" customHeight="1">
      <x:c r="A2" s="45" t="str">
        <x:v>Governance</x:v>
      </x:c>
      <x:c r="B2" s="46" t="str">
        <x:v>Create joint IT/OT PQC migration governance with plant operations, safety, engineering, cybersecurity, and vendor support.</x:v>
      </x:c>
      <x:c r="C2" s="46" t="str">
        <x:v>OT migration decisions affect safety, uptime, quality, and physical process continuity.</x:v>
      </x:c>
      <x:c r="D2" s="66" t="str">
        <x:v>Not Started</x:v>
      </x:c>
      <x:c r="E2" s="66" t="str">
        <x:v>P1</x:v>
      </x:c>
      <x:c r="F2" s="66"/>
      <x:c r="G2" s="66"/>
      <x:c r="H2" s="66"/>
      <x:c r="I2" s="66"/>
      <x:c r="J2" s="46" t="str">
        <x:v>OT-C001</x:v>
      </x:c>
      <x:c r="K2" s="46" t="str">
        <x:v>N05, N13</x:v>
      </x:c>
      <x:c r="L2" s="46" t="str">
        <x:v>2026 baseline</x:v>
      </x:c>
      <x:c r="M2" s="46" t="str">
        <x:v>See task rationale</x:v>
      </x:c>
      <x:c r="N2" s="75"/>
      <x:c r="O2" s="66"/>
      <x:c r="P2" s="66"/>
      <x:c r="Q2" s="47" t="str">
        <x:f>IF(D2="Complete",IF(F2="","Add owner",IF(H2="","Add evidence",IF(N2="","Add review date",IF(O2="","Add reviewer","Evidence recorded")))),IF(OR(D2="Accepted Risk",D2="Not Applicable"),IF(F2="","Add owner",IF(P2="","Add rationale / approval",IF(H2="","Add evidence",IF(N2="","Add review date",IF(O2="","Add reviewer","Decision recorded"))))),IF(D2="Blocked","Resolve blocker","Work remains")))</x:f>
        <x:v>Work remains</x:v>
      </x:c>
    </x:row>
    <x:row r="3" ht="36" customHeight="1">
      <x:c r="A3" s="63" t="str">
        <x:v>Governance</x:v>
      </x:c>
      <x:c r="B3" s="64" t="str">
        <x:v>Define production change moratorium criteria, emergency rollback authority, and safety-stop conditions.</x:v>
      </x:c>
      <x:c r="C3" s="64" t="str">
        <x:v>PQC pilots must not override safety operations or production continuity.</x:v>
      </x:c>
      <x:c r="D3" s="66" t="str">
        <x:v>Not Started</x:v>
      </x:c>
      <x:c r="E3" s="66" t="str">
        <x:v>P1</x:v>
      </x:c>
      <x:c r="F3" s="66"/>
      <x:c r="G3" s="66"/>
      <x:c r="H3" s="66"/>
      <x:c r="I3" s="66"/>
      <x:c r="J3" s="64" t="str">
        <x:v>OT-C002</x:v>
      </x:c>
      <x:c r="K3" s="64" t="str">
        <x:v>N05, N13</x:v>
      </x:c>
      <x:c r="L3" s="64" t="str">
        <x:v>2026 baseline</x:v>
      </x:c>
      <x:c r="M3" s="64" t="str">
        <x:v>See task rationale</x:v>
      </x:c>
      <x:c r="N3" s="75"/>
      <x:c r="O3" s="66"/>
      <x:c r="P3" s="66"/>
      <x:c r="Q3" s="65" t="str">
        <x:f>IF(D3="Complete",IF(F3="","Add owner",IF(H3="","Add evidence",IF(N3="","Add review date",IF(O3="","Add reviewer","Evidence recorded")))),IF(OR(D3="Accepted Risk",D3="Not Applicable"),IF(F3="","Add owner",IF(P3="","Add rationale / approval",IF(H3="","Add evidence",IF(N3="","Add review date",IF(O3="","Add reviewer","Decision recorded"))))),IF(D3="Blocked","Resolve blocker","Work remains")))</x:f>
        <x:v>Work remains</x:v>
      </x:c>
    </x:row>
    <x:row r="4" ht="49" customHeight="1">
      <x:c r="A4" s="45" t="str">
        <x:v>Discovery</x:v>
      </x:c>
      <x:c r="B4" s="46" t="str">
        <x:v>Inventory OT assets using public-key cryptography: remote access, engineering workstations, historians, gateways, HMIs, PLC/RTU management, vendor portals, and update mechanisms.</x:v>
      </x:c>
      <x:c r="C4" s="46" t="str">
        <x:v>Unknown cryptographic dependencies can become hidden blockers.</x:v>
      </x:c>
      <x:c r="D4" s="66" t="str">
        <x:v>Not Started</x:v>
      </x:c>
      <x:c r="E4" s="66" t="str">
        <x:v>P1</x:v>
      </x:c>
      <x:c r="F4" s="66"/>
      <x:c r="G4" s="66"/>
      <x:c r="H4" s="66"/>
      <x:c r="I4" s="66"/>
      <x:c r="J4" s="46" t="str">
        <x:v>OT-C003</x:v>
      </x:c>
      <x:c r="K4" s="46" t="str">
        <x:v>N05, N13</x:v>
      </x:c>
      <x:c r="L4" s="46" t="str">
        <x:v>2026 baseline</x:v>
      </x:c>
      <x:c r="M4" s="46" t="str">
        <x:v>See task rationale</x:v>
      </x:c>
      <x:c r="N4" s="75"/>
      <x:c r="O4" s="66"/>
      <x:c r="P4" s="66"/>
      <x:c r="Q4" s="47" t="str">
        <x:f>IF(D4="Complete",IF(F4="","Add owner",IF(H4="","Add evidence",IF(N4="","Add review date",IF(O4="","Add reviewer","Evidence recorded")))),IF(OR(D4="Accepted Risk",D4="Not Applicable"),IF(F4="","Add owner",IF(P4="","Add rationale / approval",IF(H4="","Add evidence",IF(N4="","Add review date",IF(O4="","Add reviewer","Decision recorded"))))),IF(D4="Blocked","Resolve blocker","Work remains")))</x:f>
        <x:v>Work remains</x:v>
      </x:c>
    </x:row>
    <x:row r="5" ht="49" customHeight="1">
      <x:c r="A5" s="63" t="str">
        <x:v>Discovery</x:v>
      </x:c>
      <x:c r="B5" s="64" t="str">
        <x:v>Map protocols and gateways: TLS, SSH, VPN, OPC UA, MQTT, DNP3 Secure Authentication, IEC 61850, Modbus/TCP wrappers, vendor tunnels, and file transfer mechanisms.</x:v>
      </x:c>
      <x:c r="C5" s="64" t="str">
        <x:v>Protocol constraints drive latency, certificate size, and compatibility testing.</x:v>
      </x:c>
      <x:c r="D5" s="66" t="str">
        <x:v>Not Started</x:v>
      </x:c>
      <x:c r="E5" s="66" t="str">
        <x:v>P1</x:v>
      </x:c>
      <x:c r="F5" s="66"/>
      <x:c r="G5" s="66"/>
      <x:c r="H5" s="66"/>
      <x:c r="I5" s="66"/>
      <x:c r="J5" s="64" t="str">
        <x:v>OT-C004</x:v>
      </x:c>
      <x:c r="K5" s="64" t="str">
        <x:v>N05, N13</x:v>
      </x:c>
      <x:c r="L5" s="64" t="str">
        <x:v>2026 baseline</x:v>
      </x:c>
      <x:c r="M5" s="64" t="str">
        <x:v>See task rationale</x:v>
      </x:c>
      <x:c r="N5" s="75"/>
      <x:c r="O5" s="66"/>
      <x:c r="P5" s="66"/>
      <x:c r="Q5" s="65" t="str">
        <x:f>IF(D5="Complete",IF(F5="","Add owner",IF(H5="","Add evidence",IF(N5="","Add review date",IF(O5="","Add reviewer","Evidence recorded")))),IF(OR(D5="Accepted Risk",D5="Not Applicable"),IF(F5="","Add owner",IF(P5="","Add rationale / approval",IF(H5="","Add evidence",IF(N5="","Add review date",IF(O5="","Add reviewer","Decision recorded"))))),IF(D5="Blocked","Resolve blocker","Work remains")))</x:f>
        <x:v>Work remains</x:v>
      </x:c>
    </x:row>
    <x:row r="6" ht="36" customHeight="1">
      <x:c r="A6" s="45" t="str">
        <x:v>Latency</x:v>
      </x:c>
      <x:c r="B6" s="46" t="str">
        <x:v>Capture baseline latency, jitter, packet loss, timeout, CPU, memory, and bandwidth for critical flows before any PQC/hybrid test.</x:v>
      </x:c>
      <x:c r="C6" s="46" t="str">
        <x:v>PQC and hybrid changes can affect message size and computational overhead.</x:v>
      </x:c>
      <x:c r="D6" s="66" t="str">
        <x:v>Not Started</x:v>
      </x:c>
      <x:c r="E6" s="66" t="str">
        <x:v>P1</x:v>
      </x:c>
      <x:c r="F6" s="66"/>
      <x:c r="G6" s="66"/>
      <x:c r="H6" s="66"/>
      <x:c r="I6" s="66"/>
      <x:c r="J6" s="46" t="str">
        <x:v>OT-C005</x:v>
      </x:c>
      <x:c r="K6" s="46" t="str">
        <x:v>N05, N13</x:v>
      </x:c>
      <x:c r="L6" s="46" t="str">
        <x:v>2026 baseline</x:v>
      </x:c>
      <x:c r="M6" s="46" t="str">
        <x:v>See task rationale</x:v>
      </x:c>
      <x:c r="N6" s="75"/>
      <x:c r="O6" s="66"/>
      <x:c r="P6" s="66"/>
      <x:c r="Q6" s="47" t="str">
        <x:f>IF(D6="Complete",IF(F6="","Add owner",IF(H6="","Add evidence",IF(N6="","Add review date",IF(O6="","Add reviewer","Evidence recorded")))),IF(OR(D6="Accepted Risk",D6="Not Applicable"),IF(F6="","Add owner",IF(P6="","Add rationale / approval",IF(H6="","Add evidence",IF(N6="","Add review date",IF(O6="","Add reviewer","Decision recorded"))))),IF(D6="Blocked","Resolve blocker","Work remains")))</x:f>
        <x:v>Work remains</x:v>
      </x:c>
    </x:row>
    <x:row r="7" ht="36" customHeight="1">
      <x:c r="A7" s="63" t="str">
        <x:v>Latency</x:v>
      </x:c>
      <x:c r="B7" s="64" t="str">
        <x:v>Define maximum acceptable latency and failure thresholds for each control path, monitoring path, and maintenance path.</x:v>
      </x:c>
      <x:c r="C7" s="64" t="str">
        <x:v>Test criteria must be engineering-approved, not security-only.</x:v>
      </x:c>
      <x:c r="D7" s="66" t="str">
        <x:v>Not Started</x:v>
      </x:c>
      <x:c r="E7" s="66" t="str">
        <x:v>P1</x:v>
      </x:c>
      <x:c r="F7" s="66"/>
      <x:c r="G7" s="66"/>
      <x:c r="H7" s="66"/>
      <x:c r="I7" s="66"/>
      <x:c r="J7" s="64" t="str">
        <x:v>OT-C006</x:v>
      </x:c>
      <x:c r="K7" s="64" t="str">
        <x:v>N05, N13</x:v>
      </x:c>
      <x:c r="L7" s="64" t="str">
        <x:v>2026 baseline</x:v>
      </x:c>
      <x:c r="M7" s="64" t="str">
        <x:v>See task rationale</x:v>
      </x:c>
      <x:c r="N7" s="75"/>
      <x:c r="O7" s="66"/>
      <x:c r="P7" s="66"/>
      <x:c r="Q7" s="65" t="str">
        <x:f>IF(D7="Complete",IF(F7="","Add owner",IF(H7="","Add evidence",IF(N7="","Add review date",IF(O7="","Add reviewer","Evidence recorded")))),IF(OR(D7="Accepted Risk",D7="Not Applicable"),IF(F7="","Add owner",IF(P7="","Add rationale / approval",IF(H7="","Add evidence",IF(N7="","Add review date",IF(O7="","Add reviewer","Decision recorded"))))),IF(D7="Blocked","Resolve blocker","Work remains")))</x:f>
        <x:v>Work remains</x:v>
      </x:c>
    </x:row>
    <x:row r="8" ht="49" customHeight="1">
      <x:c r="A8" s="45" t="str">
        <x:v>Legacy Gateway</x:v>
      </x:c>
      <x:c r="B8" s="46" t="str">
        <x:v>Identify gateways, terminal servers, protocol converters, serial-to-IP devices, VPN concentrators, and firewall appliances with embedded crypto.</x:v>
      </x:c>
      <x:c r="C8" s="46" t="str">
        <x:v>Embedded/legacy devices may not support algorithm changes without firmware or replacement.</x:v>
      </x:c>
      <x:c r="D8" s="66" t="str">
        <x:v>Not Started</x:v>
      </x:c>
      <x:c r="E8" s="66" t="str">
        <x:v>P1</x:v>
      </x:c>
      <x:c r="F8" s="66"/>
      <x:c r="G8" s="66"/>
      <x:c r="H8" s="66"/>
      <x:c r="I8" s="66"/>
      <x:c r="J8" s="46" t="str">
        <x:v>OT-C007</x:v>
      </x:c>
      <x:c r="K8" s="46" t="str">
        <x:v>N05, N13</x:v>
      </x:c>
      <x:c r="L8" s="46" t="str">
        <x:v>2026 baseline</x:v>
      </x:c>
      <x:c r="M8" s="46" t="str">
        <x:v>See task rationale</x:v>
      </x:c>
      <x:c r="N8" s="75"/>
      <x:c r="O8" s="66"/>
      <x:c r="P8" s="66"/>
      <x:c r="Q8" s="47" t="str">
        <x:f>IF(D8="Complete",IF(F8="","Add owner",IF(H8="","Add evidence",IF(N8="","Add review date",IF(O8="","Add reviewer","Evidence recorded")))),IF(OR(D8="Accepted Risk",D8="Not Applicable"),IF(F8="","Add owner",IF(P8="","Add rationale / approval",IF(H8="","Add evidence",IF(N8="","Add review date",IF(O8="","Add reviewer","Decision recorded"))))),IF(D8="Blocked","Resolve blocker","Work remains")))</x:f>
        <x:v>Work remains</x:v>
      </x:c>
    </x:row>
    <x:row r="9" ht="36" customHeight="1">
      <x:c r="A9" s="63" t="str">
        <x:v>Vendor Dependency</x:v>
      </x:c>
      <x:c r="B9" s="64" t="str">
        <x:v>Request vendor PQC roadmap, supported firmware versions, cryptographic disclosure, maintenance-window requirements, and rollback guidance.</x:v>
      </x:c>
      <x:c r="C9" s="64" t="str">
        <x:v>OT supplier support windows and certifications constrain safe migration sequencing.</x:v>
      </x:c>
      <x:c r="D9" s="66" t="str">
        <x:v>Not Started</x:v>
      </x:c>
      <x:c r="E9" s="66" t="str">
        <x:v>P1</x:v>
      </x:c>
      <x:c r="F9" s="66"/>
      <x:c r="G9" s="66"/>
      <x:c r="H9" s="66"/>
      <x:c r="I9" s="66"/>
      <x:c r="J9" s="64" t="str">
        <x:v>OT-C008</x:v>
      </x:c>
      <x:c r="K9" s="64" t="str">
        <x:v>N05, N13</x:v>
      </x:c>
      <x:c r="L9" s="64" t="str">
        <x:v>2026 baseline</x:v>
      </x:c>
      <x:c r="M9" s="64" t="str">
        <x:v>See task rationale</x:v>
      </x:c>
      <x:c r="N9" s="75"/>
      <x:c r="O9" s="66"/>
      <x:c r="P9" s="66"/>
      <x:c r="Q9" s="65" t="str">
        <x:f>IF(D9="Complete",IF(F9="","Add owner",IF(H9="","Add evidence",IF(N9="","Add review date",IF(O9="","Add reviewer","Evidence recorded")))),IF(OR(D9="Accepted Risk",D9="Not Applicable"),IF(F9="","Add owner",IF(P9="","Add rationale / approval",IF(H9="","Add evidence",IF(N9="","Add review date",IF(O9="","Add reviewer","Decision recorded"))))),IF(D9="Blocked","Resolve blocker","Work remains")))</x:f>
        <x:v>Work remains</x:v>
      </x:c>
    </x:row>
    <x:row r="10" ht="36" customHeight="1">
      <x:c r="A10" s="45" t="str">
        <x:v>Hybrid Mode</x:v>
      </x:c>
      <x:c r="B10" s="46" t="str">
        <x:v>Determine where hybrid classical/PQC mode can be tested without affecting deterministic control loops.</x:v>
      </x:c>
      <x:c r="C10" s="46" t="str">
        <x:v>Hybrid mode may be useful during transition but must be tested for interoperability and performance.</x:v>
      </x:c>
      <x:c r="D10" s="66" t="str">
        <x:v>Not Started</x:v>
      </x:c>
      <x:c r="E10" s="66" t="str">
        <x:v>P2</x:v>
      </x:c>
      <x:c r="F10" s="66"/>
      <x:c r="G10" s="66"/>
      <x:c r="H10" s="66"/>
      <x:c r="I10" s="66"/>
      <x:c r="J10" s="46" t="str">
        <x:v>OT-C009</x:v>
      </x:c>
      <x:c r="K10" s="46" t="str">
        <x:v>N05, N13</x:v>
      </x:c>
      <x:c r="L10" s="46" t="str">
        <x:v>2027 pilots and rollout</x:v>
      </x:c>
      <x:c r="M10" s="46" t="str">
        <x:v>See task rationale</x:v>
      </x:c>
      <x:c r="N10" s="75"/>
      <x:c r="O10" s="66"/>
      <x:c r="P10" s="66"/>
      <x:c r="Q10" s="47" t="str">
        <x:f>IF(D10="Complete",IF(F10="","Add owner",IF(H10="","Add evidence",IF(N10="","Add review date",IF(O10="","Add reviewer","Evidence recorded")))),IF(OR(D10="Accepted Risk",D10="Not Applicable"),IF(F10="","Add owner",IF(P10="","Add rationale / approval",IF(H10="","Add evidence",IF(N10="","Add review date",IF(O10="","Add reviewer","Decision recorded"))))),IF(D10="Blocked","Resolve blocker","Work remains")))</x:f>
        <x:v>Work remains</x:v>
      </x:c>
    </x:row>
    <x:row r="11" ht="36" customHeight="1">
      <x:c r="A11" s="63" t="str">
        <x:v>Maintenance Windows</x:v>
      </x:c>
      <x:c r="B11" s="64" t="str">
        <x:v>Map change windows to production cycles, safety permits, staffing, vendor availability, and rollback duration.</x:v>
      </x:c>
      <x:c r="C11" s="64" t="str">
        <x:v>OT changes often require constrained windows and onsite expertise.</x:v>
      </x:c>
      <x:c r="D11" s="66" t="str">
        <x:v>Not Started</x:v>
      </x:c>
      <x:c r="E11" s="66" t="str">
        <x:v>P1</x:v>
      </x:c>
      <x:c r="F11" s="66"/>
      <x:c r="G11" s="66"/>
      <x:c r="H11" s="66"/>
      <x:c r="I11" s="66"/>
      <x:c r="J11" s="64" t="str">
        <x:v>OT-C010</x:v>
      </x:c>
      <x:c r="K11" s="64" t="str">
        <x:v>N05, N13</x:v>
      </x:c>
      <x:c r="L11" s="64" t="str">
        <x:v>2027 pilots and rollout</x:v>
      </x:c>
      <x:c r="M11" s="64" t="str">
        <x:v>See task rationale</x:v>
      </x:c>
      <x:c r="N11" s="75"/>
      <x:c r="O11" s="66"/>
      <x:c r="P11" s="66"/>
      <x:c r="Q11" s="65" t="str">
        <x:f>IF(D11="Complete",IF(F11="","Add owner",IF(H11="","Add evidence",IF(N11="","Add review date",IF(O11="","Add reviewer","Evidence recorded")))),IF(OR(D11="Accepted Risk",D11="Not Applicable"),IF(F11="","Add owner",IF(P11="","Add rationale / approval",IF(H11="","Add evidence",IF(N11="","Add review date",IF(O11="","Add reviewer","Decision recorded"))))),IF(D11="Blocked","Resolve blocker","Work remains")))</x:f>
        <x:v>Work remains</x:v>
      </x:c>
    </x:row>
    <x:row r="12" ht="49" customHeight="1">
      <x:c r="A12" s="45" t="str">
        <x:v>Rollback</x:v>
      </x:c>
      <x:c r="B12" s="46" t="str">
        <x:v>Create and rehearse rollback for certificates, firmware, gateway configuration, firewall rules, remote access policy, trust stores, and monitoring baselines.</x:v>
      </x:c>
      <x:c r="C12" s="46" t="str">
        <x:v>Rollback must restore safe and stable operation, not just application connectivity.</x:v>
      </x:c>
      <x:c r="D12" s="66" t="str">
        <x:v>Not Started</x:v>
      </x:c>
      <x:c r="E12" s="66" t="str">
        <x:v>P1</x:v>
      </x:c>
      <x:c r="F12" s="66"/>
      <x:c r="G12" s="66"/>
      <x:c r="H12" s="66"/>
      <x:c r="I12" s="66"/>
      <x:c r="J12" s="46" t="str">
        <x:v>OT-C011</x:v>
      </x:c>
      <x:c r="K12" s="46" t="str">
        <x:v>N05, N13</x:v>
      </x:c>
      <x:c r="L12" s="46" t="str">
        <x:v>2027 pilots and rollout</x:v>
      </x:c>
      <x:c r="M12" s="46" t="str">
        <x:v>See task rationale</x:v>
      </x:c>
      <x:c r="N12" s="75"/>
      <x:c r="O12" s="66"/>
      <x:c r="P12" s="66"/>
      <x:c r="Q12" s="47" t="str">
        <x:f>IF(D12="Complete",IF(F12="","Add owner",IF(H12="","Add evidence",IF(N12="","Add review date",IF(O12="","Add reviewer","Evidence recorded")))),IF(OR(D12="Accepted Risk",D12="Not Applicable"),IF(F12="","Add owner",IF(P12="","Add rationale / approval",IF(H12="","Add evidence",IF(N12="","Add review date",IF(O12="","Add reviewer","Decision recorded"))))),IF(D12="Blocked","Resolve blocker","Work remains")))</x:f>
        <x:v>Work remains</x:v>
      </x:c>
    </x:row>
    <x:row r="13" ht="36" customHeight="1">
      <x:c r="A13" s="63" t="str">
        <x:v>Lab Validation</x:v>
      </x:c>
      <x:c r="B13" s="64" t="str">
        <x:v>Build an OT-representative lab test using equivalent firmware, gateways, certificates, protocol paths, and monitoring tools.</x:v>
      </x:c>
      <x:c r="C13" s="64" t="str">
        <x:v>Production OT should not be the first place PQC-related behavior is observed.</x:v>
      </x:c>
      <x:c r="D13" s="66" t="str">
        <x:v>Not Started</x:v>
      </x:c>
      <x:c r="E13" s="66" t="str">
        <x:v>P1</x:v>
      </x:c>
      <x:c r="F13" s="66"/>
      <x:c r="G13" s="66"/>
      <x:c r="H13" s="66"/>
      <x:c r="I13" s="66"/>
      <x:c r="J13" s="64" t="str">
        <x:v>OT-C012</x:v>
      </x:c>
      <x:c r="K13" s="64" t="str">
        <x:v>N05, N13</x:v>
      </x:c>
      <x:c r="L13" s="64" t="str">
        <x:v>2027 pilots and rollout</x:v>
      </x:c>
      <x:c r="M13" s="64" t="str">
        <x:v>See task rationale</x:v>
      </x:c>
      <x:c r="N13" s="75"/>
      <x:c r="O13" s="66"/>
      <x:c r="P13" s="66"/>
      <x:c r="Q13" s="65" t="str">
        <x:f>IF(D13="Complete",IF(F13="","Add owner",IF(H13="","Add evidence",IF(N13="","Add review date",IF(O13="","Add reviewer","Evidence recorded")))),IF(OR(D13="Accepted Risk",D13="Not Applicable"),IF(F13="","Add owner",IF(P13="","Add rationale / approval",IF(H13="","Add evidence",IF(N13="","Add review date",IF(O13="","Add reviewer","Decision recorded"))))),IF(D13="Blocked","Resolve blocker","Work remains")))</x:f>
        <x:v>Work remains</x:v>
      </x:c>
    </x:row>
    <x:row r="14" ht="49" customHeight="1">
      <x:c r="A14" s="45" t="str">
        <x:v>Compensating Controls</x:v>
      </x:c>
      <x:c r="B14" s="46" t="str">
        <x:v>Maintain compensating controls where PQC cannot be deployed: segmentation, allowlisting, jump hosts, strong monitoring, encryption overlays, maintenance access controls, and vendor contractual controls.</x:v>
      </x:c>
      <x:c r="C14" s="46" t="str">
        <x:v>Legacy assets may remain in service for extended support windows.</x:v>
      </x:c>
      <x:c r="D14" s="66" t="str">
        <x:v>Not Started</x:v>
      </x:c>
      <x:c r="E14" s="66" t="str">
        <x:v>P2</x:v>
      </x:c>
      <x:c r="F14" s="66"/>
      <x:c r="G14" s="66"/>
      <x:c r="H14" s="66"/>
      <x:c r="I14" s="66"/>
      <x:c r="J14" s="46" t="str">
        <x:v>OT-C013</x:v>
      </x:c>
      <x:c r="K14" s="46" t="str">
        <x:v>N05, N13</x:v>
      </x:c>
      <x:c r="L14" s="46" t="str">
        <x:v>2027 pilots and rollout</x:v>
      </x:c>
      <x:c r="M14" s="46" t="str">
        <x:v>See task rationale</x:v>
      </x:c>
      <x:c r="N14" s="75"/>
      <x:c r="O14" s="66"/>
      <x:c r="P14" s="66"/>
      <x:c r="Q14" s="47" t="str">
        <x:f>IF(D14="Complete",IF(F14="","Add owner",IF(H14="","Add evidence",IF(N14="","Add review date",IF(O14="","Add reviewer","Evidence recorded")))),IF(OR(D14="Accepted Risk",D14="Not Applicable"),IF(F14="","Add owner",IF(P14="","Add rationale / approval",IF(H14="","Add evidence",IF(N14="","Add review date",IF(O14="","Add reviewer","Decision recorded"))))),IF(D14="Blocked","Resolve blocker","Work remains")))</x:f>
        <x:v>Work remains</x:v>
      </x:c>
    </x:row>
    <x:row r="15" ht="49" customHeight="1">
      <x:c r="A15" s="63" t="str">
        <x:v>Monitoring</x:v>
      </x:c>
      <x:c r="B15" s="64" t="str">
        <x:v>Update monitoring for handshake failures, certificate validation errors, VPN failures, remote access anomalies, and gateway performance changes.</x:v>
      </x:c>
      <x:c r="C15" s="64" t="str">
        <x:v>Operational visibility is essential during pilot and rollback.</x:v>
      </x:c>
      <x:c r="D15" s="66" t="str">
        <x:v>Not Started</x:v>
      </x:c>
      <x:c r="E15" s="66" t="str">
        <x:v>P2</x:v>
      </x:c>
      <x:c r="F15" s="66"/>
      <x:c r="G15" s="66"/>
      <x:c r="H15" s="66"/>
      <x:c r="I15" s="66"/>
      <x:c r="J15" s="64" t="str">
        <x:v>OT-C014</x:v>
      </x:c>
      <x:c r="K15" s="64" t="str">
        <x:v>N05, N13</x:v>
      </x:c>
      <x:c r="L15" s="64" t="str">
        <x:v>2027 pilots and rollout</x:v>
      </x:c>
      <x:c r="M15" s="64" t="str">
        <x:v>See task rationale</x:v>
      </x:c>
      <x:c r="N15" s="75"/>
      <x:c r="O15" s="66"/>
      <x:c r="P15" s="66"/>
      <x:c r="Q15" s="65" t="str">
        <x:f>IF(D15="Complete",IF(F15="","Add owner",IF(H15="","Add evidence",IF(N15="","Add review date",IF(O15="","Add reviewer","Evidence recorded")))),IF(OR(D15="Accepted Risk",D15="Not Applicable"),IF(F15="","Add owner",IF(P15="","Add rationale / approval",IF(H15="","Add evidence",IF(N15="","Add review date",IF(O15="","Add reviewer","Decision recorded"))))),IF(D15="Blocked","Resolve blocker","Work remains")))</x:f>
        <x:v>Work remains</x:v>
      </x:c>
    </x:row>
    <x:row r="16" ht="36" customHeight="1">
      <x:c r="A16" s="45" t="str">
        <x:v>Incident Response</x:v>
      </x:c>
      <x:c r="B16" s="46" t="str">
        <x:v>Add PQC migration failure scenarios to OT incident and outage response runbooks.</x:v>
      </x:c>
      <x:c r="C16" s="46" t="str">
        <x:v>Crypto migration can create authentication, availability, and remote access incidents.</x:v>
      </x:c>
      <x:c r="D16" s="66" t="str">
        <x:v>Not Started</x:v>
      </x:c>
      <x:c r="E16" s="66" t="str">
        <x:v>P2</x:v>
      </x:c>
      <x:c r="F16" s="66"/>
      <x:c r="G16" s="66"/>
      <x:c r="H16" s="66"/>
      <x:c r="I16" s="66"/>
      <x:c r="J16" s="46" t="str">
        <x:v>OT-C015</x:v>
      </x:c>
      <x:c r="K16" s="46" t="str">
        <x:v>N05, N13</x:v>
      </x:c>
      <x:c r="L16" s="46" t="str">
        <x:v>2027 pilots and rollout</x:v>
      </x:c>
      <x:c r="M16" s="46" t="str">
        <x:v>See task rationale</x:v>
      </x:c>
      <x:c r="N16" s="75"/>
      <x:c r="O16" s="66"/>
      <x:c r="P16" s="66"/>
      <x:c r="Q16" s="47" t="str">
        <x:f>IF(D16="Complete",IF(F16="","Add owner",IF(H16="","Add evidence",IF(N16="","Add review date",IF(O16="","Add reviewer","Evidence recorded")))),IF(OR(D16="Accepted Risk",D16="Not Applicable"),IF(F16="","Add owner",IF(P16="","Add rationale / approval",IF(H16="","Add evidence",IF(N16="","Add review date",IF(O16="","Add reviewer","Decision recorded"))))),IF(D16="Blocked","Resolve blocker","Work remains")))</x:f>
        <x:v>Work remains</x:v>
      </x:c>
    </x:row>
    <x:row r="17" ht="36" customHeight="1">
      <x:c r="A17" s="63" t="str">
        <x:v>Lifecycle</x:v>
      </x:c>
      <x:c r="B17" s="64" t="str">
        <x:v>Create lifecycle plan for unsupported devices, firmware end-of-life, vendor roadmap gaps, and compensating controls through decommissioning.</x:v>
      </x:c>
      <x:c r="C17" s="64" t="str">
        <x:v>Some OT assets cannot migrate quickly and need managed exceptions.</x:v>
      </x:c>
      <x:c r="D17" s="66" t="str">
        <x:v>Not Started</x:v>
      </x:c>
      <x:c r="E17" s="66" t="str">
        <x:v>P1</x:v>
      </x:c>
      <x:c r="F17" s="66"/>
      <x:c r="G17" s="66"/>
      <x:c r="H17" s="66"/>
      <x:c r="I17" s="66"/>
      <x:c r="J17" s="64" t="str">
        <x:v>OT-C016</x:v>
      </x:c>
      <x:c r="K17" s="64" t="str">
        <x:v>N05, N13</x:v>
      </x:c>
      <x:c r="L17" s="64" t="str">
        <x:v>2027 pilots and rollout</x:v>
      </x:c>
      <x:c r="M17" s="64" t="str">
        <x:v>See task rationale</x:v>
      </x:c>
      <x:c r="N17" s="75"/>
      <x:c r="O17" s="66"/>
      <x:c r="P17" s="66"/>
      <x:c r="Q17" s="65" t="str">
        <x:f>IF(D17="Complete",IF(F17="","Add owner",IF(H17="","Add evidence",IF(N17="","Add review date",IF(O17="","Add reviewer","Evidence recorded")))),IF(OR(D17="Accepted Risk",D17="Not Applicable"),IF(F17="","Add owner",IF(P17="","Add rationale / approval",IF(H17="","Add evidence",IF(N17="","Add review date",IF(O17="","Add reviewer","Decision recorded"))))),IF(D17="Blocked","Resolve blocker","Work remains")))</x:f>
        <x:v>Work remains</x:v>
      </x:c>
    </x:row>
    <x:row r="18" ht="36" customHeight="1">
      <x:c r="A18" s="45" t="str">
        <x:v>Safe discovery</x:v>
      </x:c>
      <x:c r="B18" s="46" t="str">
        <x:v>Use passive observation and vendor-approved offline/maintenance-window discovery. Obtain operations approval before active probing.</x:v>
      </x:c>
      <x:c r="C18" s="46" t="str">
        <x:v>Discovery must not disturb deterministic or fragile systems.</x:v>
      </x:c>
      <x:c r="D18" s="66" t="str">
        <x:v>Not Started</x:v>
      </x:c>
      <x:c r="E18" s="66" t="str">
        <x:v>P1</x:v>
      </x:c>
      <x:c r="F18" s="66"/>
      <x:c r="G18" s="66"/>
      <x:c r="H18" s="66"/>
      <x:c r="I18" s="66"/>
      <x:c r="J18" s="46" t="str">
        <x:v>OT-C017</x:v>
      </x:c>
      <x:c r="K18" s="46" t="str">
        <x:v>N07, N13</x:v>
      </x:c>
      <x:c r="L18" s="46" t="str">
        <x:v>2026 baseline</x:v>
      </x:c>
      <x:c r="M18" s="46" t="str">
        <x:v>Disruption from discovery</x:v>
      </x:c>
      <x:c r="N18" s="75"/>
      <x:c r="O18" s="66"/>
      <x:c r="P18" s="66"/>
      <x:c r="Q18" s="47" t="str">
        <x:f>IF(D18="Complete",IF(F18="","Add owner",IF(H18="","Add evidence",IF(N18="","Add review date",IF(O18="","Add reviewer","Evidence recorded")))),IF(OR(D18="Accepted Risk",D18="Not Applicable"),IF(F18="","Add owner",IF(P18="","Add rationale / approval",IF(H18="","Add evidence",IF(N18="","Add review date",IF(O18="","Add reviewer","Decision recorded"))))),IF(D18="Blocked","Resolve blocker","Work remains")))</x:f>
        <x:v>Work remains</x:v>
      </x:c>
    </x:row>
    <x:row r="19" ht="36" customHeight="1">
      <x:c r="A19" s="63" t="str">
        <x:v>Inventory quality</x:v>
      </x:c>
      <x:c r="B19" s="64" t="str">
        <x:v>Assign stable asset/flow IDs. Record hardware, firmware, library/provider, algorithm/parameter, key storage and observation date.</x:v>
      </x:c>
      <x:c r="C19" s="64" t="str">
        <x:v>Support and replacement decisions need version-level evidence.</x:v>
      </x:c>
      <x:c r="D19" s="66" t="str">
        <x:v>Not Started</x:v>
      </x:c>
      <x:c r="E19" s="66" t="str">
        <x:v>P1</x:v>
      </x:c>
      <x:c r="F19" s="66"/>
      <x:c r="G19" s="66"/>
      <x:c r="H19" s="66"/>
      <x:c r="I19" s="66"/>
      <x:c r="J19" s="64" t="str">
        <x:v>OT-C018</x:v>
      </x:c>
      <x:c r="K19" s="64" t="str">
        <x:v>N05, N07, N13</x:v>
      </x:c>
      <x:c r="L19" s="64" t="str">
        <x:v>2026 baseline</x:v>
      </x:c>
      <x:c r="M19" s="64" t="str">
        <x:v>Hidden or stale dependencies</x:v>
      </x:c>
      <x:c r="N19" s="75"/>
      <x:c r="O19" s="66"/>
      <x:c r="P19" s="66"/>
      <x:c r="Q19" s="65" t="str">
        <x:f>IF(D19="Complete",IF(F19="","Add owner",IF(H19="","Add evidence",IF(N19="","Add review date",IF(O19="","Add reviewer","Evidence recorded")))),IF(OR(D19="Accepted Risk",D19="Not Applicable"),IF(F19="","Add owner",IF(P19="","Add rationale / approval",IF(H19="","Add evidence",IF(N19="","Add review date",IF(O19="","Add reviewer","Decision recorded"))))),IF(D19="Blocked","Resolve blocker","Work remains")))</x:f>
        <x:v>Work remains</x:v>
      </x:c>
    </x:row>
    <x:row r="20" ht="36" customHeight="1">
      <x:c r="A20" s="45" t="str">
        <x:v>Threat assessment</x:v>
      </x:c>
      <x:c r="B20" s="46" t="str">
        <x:v>Assess confidentiality lifetime and capture exposure for recipes, engineering IP, remote-access traffic and archives.</x:v>
      </x:c>
      <x:c r="C20" s="46" t="str">
        <x:v>Harvest-now-decrypt-later exposure can outlast long asset lifecycles.</x:v>
      </x:c>
      <x:c r="D20" s="66" t="str">
        <x:v>Not Started</x:v>
      </x:c>
      <x:c r="E20" s="66" t="str">
        <x:v>P1</x:v>
      </x:c>
      <x:c r="F20" s="66"/>
      <x:c r="G20" s="66"/>
      <x:c r="H20" s="66"/>
      <x:c r="I20" s="66"/>
      <x:c r="J20" s="46" t="str">
        <x:v>OT-C019</x:v>
      </x:c>
      <x:c r="K20" s="46" t="str">
        <x:v>N06, N07</x:v>
      </x:c>
      <x:c r="L20" s="46" t="str">
        <x:v>2026 baseline</x:v>
      </x:c>
      <x:c r="M20" s="46" t="str">
        <x:v>Harvest now, decrypt later</x:v>
      </x:c>
      <x:c r="N20" s="75"/>
      <x:c r="O20" s="66"/>
      <x:c r="P20" s="66"/>
      <x:c r="Q20" s="47" t="str">
        <x:f>IF(D20="Complete",IF(F20="","Add owner",IF(H20="","Add evidence",IF(N20="","Add review date",IF(O20="","Add reviewer","Evidence recorded")))),IF(OR(D20="Accepted Risk",D20="Not Applicable"),IF(F20="","Add owner",IF(P20="","Add rationale / approval",IF(H20="","Add evidence",IF(N20="","Add review date",IF(O20="","Add reviewer","Decision recorded"))))),IF(D20="Blocked","Resolve blocker","Work remains")))</x:f>
        <x:v>Work remains</x:v>
      </x:c>
    </x:row>
    <x:row r="21" ht="36" customHeight="1">
      <x:c r="A21" s="63" t="str">
        <x:v>Authenticity</x:v>
      </x:c>
      <x:c r="B21" s="64" t="str">
        <x:v>Inventory secure boot, firmware signatures, update packages, engineering project signing and long-term verification.</x:v>
      </x:c>
      <x:c r="C21" s="64" t="str">
        <x:v>Future forgery can affect device integrity and maintenance trust.</x:v>
      </x:c>
      <x:c r="D21" s="66" t="str">
        <x:v>Not Started</x:v>
      </x:c>
      <x:c r="E21" s="66" t="str">
        <x:v>P1</x:v>
      </x:c>
      <x:c r="F21" s="66"/>
      <x:c r="G21" s="66"/>
      <x:c r="H21" s="66"/>
      <x:c r="I21" s="66"/>
      <x:c r="J21" s="64" t="str">
        <x:v>OT-C020</x:v>
      </x:c>
      <x:c r="K21" s="64" t="str">
        <x:v>N02, N03, N13</x:v>
      </x:c>
      <x:c r="L21" s="64" t="str">
        <x:v>2026 baseline</x:v>
      </x:c>
      <x:c r="M21" s="64" t="str">
        <x:v>Future signature forgery</x:v>
      </x:c>
      <x:c r="N21" s="75"/>
      <x:c r="O21" s="66"/>
      <x:c r="P21" s="66"/>
      <x:c r="Q21" s="65" t="str">
        <x:f>IF(D21="Complete",IF(F21="","Add owner",IF(H21="","Add evidence",IF(N21="","Add review date",IF(O21="","Add reviewer","Evidence recorded")))),IF(OR(D21="Accepted Risk",D21="Not Applicable"),IF(F21="","Add owner",IF(P21="","Add rationale / approval",IF(H21="","Add evidence",IF(N21="","Add review date",IF(O21="","Add reviewer","Decision recorded"))))),IF(D21="Blocked","Resolve blocker","Work remains")))</x:f>
        <x:v>Work remains</x:v>
      </x:c>
    </x:row>
    <x:row r="22" ht="36" customHeight="1">
      <x:c r="A22" s="45" t="str">
        <x:v>Protocol mapping</x:v>
      </x:c>
      <x:c r="B22" s="46" t="str">
        <x:v>Separate encrypted, authenticated-only and unauthenticated legacy flows. Record actual cryptography and gateway boundaries.</x:v>
      </x:c>
      <x:c r="C22" s="46" t="str">
        <x:v>Protocol names alone do not establish encryption or PQC protection.</x:v>
      </x:c>
      <x:c r="D22" s="66" t="str">
        <x:v>Not Started</x:v>
      </x:c>
      <x:c r="E22" s="66" t="str">
        <x:v>P1</x:v>
      </x:c>
      <x:c r="F22" s="66"/>
      <x:c r="G22" s="66"/>
      <x:c r="H22" s="66"/>
      <x:c r="I22" s="66"/>
      <x:c r="J22" s="46" t="str">
        <x:v>OT-C021</x:v>
      </x:c>
      <x:c r="K22" s="46" t="str">
        <x:v>N07, N13</x:v>
      </x:c>
      <x:c r="L22" s="46" t="str">
        <x:v>2026 baseline</x:v>
      </x:c>
      <x:c r="M22" s="46" t="str">
        <x:v>False protection assumptions</x:v>
      </x:c>
      <x:c r="N22" s="75"/>
      <x:c r="O22" s="66"/>
      <x:c r="P22" s="66"/>
      <x:c r="Q22" s="47" t="str">
        <x:f>IF(D22="Complete",IF(F22="","Add owner",IF(H22="","Add evidence",IF(N22="","Add review date",IF(O22="","Add reviewer","Evidence recorded")))),IF(OR(D22="Accepted Risk",D22="Not Applicable"),IF(F22="","Add owner",IF(P22="","Add rationale / approval",IF(H22="","Add evidence",IF(N22="","Add review date",IF(O22="","Add reviewer","Decision recorded"))))),IF(D22="Blocked","Resolve blocker","Work remains")))</x:f>
        <x:v>Work remains</x:v>
      </x:c>
    </x:row>
    <x:row r="23" ht="36" customHeight="1">
      <x:c r="A23" s="63" t="str">
        <x:v>Algorithm selection</x:v>
      </x:c>
      <x:c r="B23" s="64" t="str">
        <x:v>Map ML-KEM to key establishment and ML-DSA/SLH-DSA to signatures. Select supported profiles and measured parameters.</x:v>
      </x:c>
      <x:c r="C23" s="64" t="str">
        <x:v>Final algorithms do not guarantee OT protocol or product support.</x:v>
      </x:c>
      <x:c r="D23" s="66" t="str">
        <x:v>Not Started</x:v>
      </x:c>
      <x:c r="E23" s="66" t="str">
        <x:v>P1</x:v>
      </x:c>
      <x:c r="F23" s="66"/>
      <x:c r="G23" s="66"/>
      <x:c r="H23" s="66"/>
      <x:c r="I23" s="66"/>
      <x:c r="J23" s="64" t="str">
        <x:v>OT-C022</x:v>
      </x:c>
      <x:c r="K23" s="64" t="str">
        <x:v>N01, N02, N03, N04</x:v>
      </x:c>
      <x:c r="L23" s="64" t="str">
        <x:v>2027 pilots and rollout</x:v>
      </x:c>
      <x:c r="M23" s="64" t="str">
        <x:v>Unsupported primitives or profiles</x:v>
      </x:c>
      <x:c r="N23" s="75"/>
      <x:c r="O23" s="66"/>
      <x:c r="P23" s="66"/>
      <x:c r="Q23" s="65" t="str">
        <x:f>IF(D23="Complete",IF(F23="","Add owner",IF(H23="","Add evidence",IF(N23="","Add review date",IF(O23="","Add reviewer","Evidence recorded")))),IF(OR(D23="Accepted Risk",D23="Not Applicable"),IF(F23="","Add owner",IF(P23="","Add rationale / approval",IF(H23="","Add evidence",IF(N23="","Add review date",IF(O23="","Add reviewer","Decision recorded"))))),IF(D23="Blocked","Resolve blocker","Work remains")))</x:f>
        <x:v>Work remains</x:v>
      </x:c>
    </x:row>
    <x:row r="24" ht="36" customHeight="1">
      <x:c r="A24" s="45" t="str">
        <x:v>Safety boundaries</x:v>
      </x:c>
      <x:c r="B24" s="46" t="str">
        <x:v>Map safety systems, fail-safe states, interlocks and deterministic loops. Record independent safety review and prohibited changes.</x:v>
      </x:c>
      <x:c r="C24" s="46" t="str">
        <x:v>Crypto changes must preserve the approved safety function.</x:v>
      </x:c>
      <x:c r="D24" s="66" t="str">
        <x:v>Not Started</x:v>
      </x:c>
      <x:c r="E24" s="66" t="str">
        <x:v>P1</x:v>
      </x:c>
      <x:c r="F24" s="66"/>
      <x:c r="G24" s="66"/>
      <x:c r="H24" s="66"/>
      <x:c r="I24" s="66"/>
      <x:c r="J24" s="46" t="str">
        <x:v>OT-C023</x:v>
      </x:c>
      <x:c r="K24" s="46" t="str">
        <x:v>N13</x:v>
      </x:c>
      <x:c r="L24" s="46" t="str">
        <x:v>2026 baseline</x:v>
      </x:c>
      <x:c r="M24" s="46" t="str">
        <x:v>Unsafe process or safety-function loss</x:v>
      </x:c>
      <x:c r="N24" s="75"/>
      <x:c r="O24" s="66"/>
      <x:c r="P24" s="66"/>
      <x:c r="Q24" s="47" t="str">
        <x:f>IF(D24="Complete",IF(F24="","Add owner",IF(H24="","Add evidence",IF(N24="","Add review date",IF(O24="","Add reviewer","Evidence recorded")))),IF(OR(D24="Accepted Risk",D24="Not Applicable"),IF(F24="","Add owner",IF(P24="","Add rationale / approval",IF(H24="","Add evidence",IF(N24="","Add review date",IF(O24="","Add reviewer","Decision recorded"))))),IF(D24="Blocked","Resolve blocker","Work remains")))</x:f>
        <x:v>Work remains</x:v>
      </x:c>
    </x:row>
    <x:row r="25" ht="36" customHeight="1">
      <x:c r="A25" s="63" t="str">
        <x:v>Resource limits</x:v>
      </x:c>
      <x:c r="B25" s="64" t="str">
        <x:v>Measure handshake rate, certificate size, CPU/RAM, fragmentation, packet loss and failover under worst credible load.</x:v>
      </x:c>
      <x:c r="C25" s="64" t="str">
        <x:v>Average latency can hide timing and availability failures.</x:v>
      </x:c>
      <x:c r="D25" s="66" t="str">
        <x:v>Not Started</x:v>
      </x:c>
      <x:c r="E25" s="66" t="str">
        <x:v>P1</x:v>
      </x:c>
      <x:c r="F25" s="66"/>
      <x:c r="G25" s="66"/>
      <x:c r="H25" s="66"/>
      <x:c r="I25" s="66"/>
      <x:c r="J25" s="64" t="str">
        <x:v>OT-C024</x:v>
      </x:c>
      <x:c r="K25" s="64" t="str">
        <x:v>N08, N13</x:v>
      </x:c>
      <x:c r="L25" s="64" t="str">
        <x:v>2027 pilots and rollout</x:v>
      </x:c>
      <x:c r="M25" s="64" t="str">
        <x:v>Resource exhaustion or timing failure</x:v>
      </x:c>
      <x:c r="N25" s="75"/>
      <x:c r="O25" s="66"/>
      <x:c r="P25" s="66"/>
      <x:c r="Q25" s="65" t="str">
        <x:f>IF(D25="Complete",IF(F25="","Add owner",IF(H25="","Add evidence",IF(N25="","Add review date",IF(O25="","Add reviewer","Evidence recorded")))),IF(OR(D25="Accepted Risk",D25="Not Applicable"),IF(F25="","Add owner",IF(P25="","Add rationale / approval",IF(H25="","Add evidence",IF(N25="","Add review date",IF(O25="","Add reviewer","Decision recorded"))))),IF(D25="Blocked","Resolve blocker","Work remains")))</x:f>
        <x:v>Work remains</x:v>
      </x:c>
    </x:row>
    <x:row r="26" ht="36" customHeight="1">
      <x:c r="A26" s="45" t="str">
        <x:v>Recovery</x:v>
      </x:c>
      <x:c r="B26" s="46" t="str">
        <x:v>Test power loss, cold start, disconnected operation, time-sync loss and offline validation in representative configurations.</x:v>
      </x:c>
      <x:c r="C26" s="46" t="str">
        <x:v>OT can remain isolated or offline for long periods.</x:v>
      </x:c>
      <x:c r="D26" s="66" t="str">
        <x:v>Not Started</x:v>
      </x:c>
      <x:c r="E26" s="66" t="str">
        <x:v>P1</x:v>
      </x:c>
      <x:c r="F26" s="66"/>
      <x:c r="G26" s="66"/>
      <x:c r="H26" s="66"/>
      <x:c r="I26" s="66"/>
      <x:c r="J26" s="46" t="str">
        <x:v>OT-C025</x:v>
      </x:c>
      <x:c r="K26" s="46" t="str">
        <x:v>N09, N13, N15</x:v>
      </x:c>
      <x:c r="L26" s="46" t="str">
        <x:v>2027 pilots and rollout</x:v>
      </x:c>
      <x:c r="M26" s="46" t="str">
        <x:v>Recovery or offline authentication failure</x:v>
      </x:c>
      <x:c r="N26" s="75"/>
      <x:c r="O26" s="66"/>
      <x:c r="P26" s="66"/>
      <x:c r="Q26" s="47" t="str">
        <x:f>IF(D26="Complete",IF(F26="","Add owner",IF(H26="","Add evidence",IF(N26="","Add review date",IF(O26="","Add reviewer","Evidence recorded")))),IF(OR(D26="Accepted Risk",D26="Not Applicable"),IF(F26="","Add owner",IF(P26="","Add rationale / approval",IF(H26="","Add evidence",IF(N26="","Add review date",IF(O26="","Add reviewer","Decision recorded"))))),IF(D26="Blocked","Resolve blocker","Work remains")))</x:f>
        <x:v>Work remains</x:v>
      </x:c>
    </x:row>
    <x:row r="27" ht="36" customHeight="1">
      <x:c r="A27" s="63" t="str">
        <x:v>Key lifecycle</x:v>
      </x:c>
      <x:c r="B27" s="64" t="str">
        <x:v>Test expiry, renewal, revocation, trust-anchor distribution and key recovery across redundant/intermittent sites.</x:v>
      </x:c>
      <x:c r="C27" s="64" t="str">
        <x:v>Trust failures can disable maintenance or process visibility.</x:v>
      </x:c>
      <x:c r="D27" s="66" t="str">
        <x:v>Not Started</x:v>
      </x:c>
      <x:c r="E27" s="66" t="str">
        <x:v>P1</x:v>
      </x:c>
      <x:c r="F27" s="66"/>
      <x:c r="G27" s="66"/>
      <x:c r="H27" s="66"/>
      <x:c r="I27" s="66"/>
      <x:c r="J27" s="64" t="str">
        <x:v>OT-C026</x:v>
      </x:c>
      <x:c r="K27" s="64" t="str">
        <x:v>N05, N09, N13</x:v>
      </x:c>
      <x:c r="L27" s="64" t="str">
        <x:v>2027 pilots and rollout</x:v>
      </x:c>
      <x:c r="M27" s="64" t="str">
        <x:v>Expired credentials or lost keys</x:v>
      </x:c>
      <x:c r="N27" s="75"/>
      <x:c r="O27" s="66"/>
      <x:c r="P27" s="66"/>
      <x:c r="Q27" s="65" t="str">
        <x:f>IF(D27="Complete",IF(F27="","Add owner",IF(H27="","Add evidence",IF(N27="","Add review date",IF(O27="","Add reviewer","Evidence recorded")))),IF(OR(D27="Accepted Risk",D27="Not Applicable"),IF(F27="","Add owner",IF(P27="","Add rationale / approval",IF(H27="","Add evidence",IF(N27="","Add review date",IF(O27="","Add reviewer","Decision recorded"))))),IF(D27="Blocked","Resolve blocker","Work remains")))</x:f>
        <x:v>Work remains</x:v>
      </x:c>
    </x:row>
    <x:row r="28" ht="36" customHeight="1">
      <x:c r="A28" s="45" t="str">
        <x:v>Firmware authenticity</x:v>
      </x:c>
      <x:c r="B28" s="46" t="str">
        <x:v>Verify new and historical signatures, reject tampering and unauthorized downgrade, and document approved recovery media.</x:v>
      </x:c>
      <x:c r="C28" s="46" t="str">
        <x:v>Rollback must not authorize unauthenticated or unsafe software.</x:v>
      </x:c>
      <x:c r="D28" s="66" t="str">
        <x:v>Not Started</x:v>
      </x:c>
      <x:c r="E28" s="66" t="str">
        <x:v>P1</x:v>
      </x:c>
      <x:c r="F28" s="66"/>
      <x:c r="G28" s="66"/>
      <x:c r="H28" s="66"/>
      <x:c r="I28" s="66"/>
      <x:c r="J28" s="46" t="str">
        <x:v>OT-C027</x:v>
      </x:c>
      <x:c r="K28" s="46" t="str">
        <x:v>N02, N03, N13, N15</x:v>
      </x:c>
      <x:c r="L28" s="46" t="str">
        <x:v>2027 pilots and rollout</x:v>
      </x:c>
      <x:c r="M28" s="46" t="str">
        <x:v>Forged firmware or unsafe downgrade</x:v>
      </x:c>
      <x:c r="N28" s="75"/>
      <x:c r="O28" s="66"/>
      <x:c r="P28" s="66"/>
      <x:c r="Q28" s="47" t="str">
        <x:f>IF(D28="Complete",IF(F28="","Add owner",IF(H28="","Add evidence",IF(N28="","Add review date",IF(O28="","Add reviewer","Evidence recorded")))),IF(OR(D28="Accepted Risk",D28="Not Applicable"),IF(F28="","Add owner",IF(P28="","Add rationale / approval",IF(H28="","Add evidence",IF(N28="","Add review date",IF(O28="","Add reviewer","Decision recorded"))))),IF(D28="Blocked","Resolve blocker","Work remains")))</x:f>
        <x:v>Work remains</x:v>
      </x:c>
    </x:row>
    <x:row r="29" ht="36" customHeight="1">
      <x:c r="A29" s="63" t="str">
        <x:v>Hybrid policy</x:v>
      </x:c>
      <x:c r="B29" s="64" t="str">
        <x:v>Record vendor-supported construction, negotiation and downgrade policy. Test component failures and capture algorithms.</x:v>
      </x:c>
      <x:c r="C29" s="64" t="str">
        <x:v>Hybrid adoption is protocol-dependent and can retain vulnerable paths.</x:v>
      </x:c>
      <x:c r="D29" s="66" t="str">
        <x:v>Not Started</x:v>
      </x:c>
      <x:c r="E29" s="66" t="str">
        <x:v>P1</x:v>
      </x:c>
      <x:c r="F29" s="66"/>
      <x:c r="G29" s="66"/>
      <x:c r="H29" s="66"/>
      <x:c r="I29" s="66"/>
      <x:c r="J29" s="64" t="str">
        <x:v>OT-C028</x:v>
      </x:c>
      <x:c r="K29" s="64" t="str">
        <x:v>N04, N05</x:v>
      </x:c>
      <x:c r="L29" s="64" t="str">
        <x:v>2027 pilots and rollout</x:v>
      </x:c>
      <x:c r="M29" s="64" t="str">
        <x:v>Downgrade or insecure composition</x:v>
      </x:c>
      <x:c r="N29" s="75"/>
      <x:c r="O29" s="66"/>
      <x:c r="P29" s="66"/>
      <x:c r="Q29" s="65" t="str">
        <x:f>IF(D29="Complete",IF(F29="","Add owner",IF(H29="","Add evidence",IF(N29="","Add review date",IF(O29="","Add reviewer","Evidence recorded")))),IF(OR(D29="Accepted Risk",D29="Not Applicable"),IF(F29="","Add owner",IF(P29="","Add rationale / approval",IF(H29="","Add evidence",IF(N29="","Add review date",IF(O29="","Add reviewer","Decision recorded"))))),IF(D29="Blocked","Resolve blocker","Work remains")))</x:f>
        <x:v>Work remains</x:v>
      </x:c>
    </x:row>
    <x:row r="30" ht="36" customHeight="1">
      <x:c r="A30" s="45" t="str">
        <x:v>Gateway boundary</x:v>
      </x:c>
      <x:c r="B30" s="46" t="str">
        <x:v>Document cleartext segments, trust termination and residual risk behind gateways. Test overlay failure and failover.</x:v>
      </x:c>
      <x:c r="C30" s="46" t="str">
        <x:v>An overlay protects only its defined path and does not repair endpoint trust.</x:v>
      </x:c>
      <x:c r="D30" s="66" t="str">
        <x:v>Not Started</x:v>
      </x:c>
      <x:c r="E30" s="66" t="str">
        <x:v>P1</x:v>
      </x:c>
      <x:c r="F30" s="66"/>
      <x:c r="G30" s="66"/>
      <x:c r="H30" s="66"/>
      <x:c r="I30" s="66"/>
      <x:c r="J30" s="46" t="str">
        <x:v>OT-C029</x:v>
      </x:c>
      <x:c r="K30" s="46" t="str">
        <x:v>N13</x:v>
      </x:c>
      <x:c r="L30" s="46" t="str">
        <x:v>2027 pilots and rollout</x:v>
      </x:c>
      <x:c r="M30" s="46" t="str">
        <x:v>Exposed legacy segment or single point of failure</x:v>
      </x:c>
      <x:c r="N30" s="75"/>
      <x:c r="O30" s="66"/>
      <x:c r="P30" s="66"/>
      <x:c r="Q30" s="47" t="str">
        <x:f>IF(D30="Complete",IF(F30="","Add owner",IF(H30="","Add evidence",IF(N30="","Add review date",IF(O30="","Add reviewer","Evidence recorded")))),IF(OR(D30="Accepted Risk",D30="Not Applicable"),IF(F30="","Add owner",IF(P30="","Add rationale / approval",IF(H30="","Add evidence",IF(N30="","Add review date",IF(O30="","Add reviewer","Decision recorded"))))),IF(D30="Blocked","Resolve blocker","Work remains")))</x:f>
        <x:v>Work remains</x:v>
      </x:c>
    </x:row>
    <x:row r="31" ht="36" customHeight="1">
      <x:c r="A31" s="63" t="str">
        <x:v>Supplier evidence</x:v>
      </x:c>
      <x:c r="B31" s="64" t="str">
        <x:v>Obtain exact supported versions, release commitments, test evidence, patch policy, end of support and safety/certification impact.</x:v>
      </x:c>
      <x:c r="C31" s="64" t="str">
        <x:v>Roadmaps must be tied to a deployable, supportable product.</x:v>
      </x:c>
      <x:c r="D31" s="66" t="str">
        <x:v>Not Started</x:v>
      </x:c>
      <x:c r="E31" s="66" t="str">
        <x:v>P1</x:v>
      </x:c>
      <x:c r="F31" s="66"/>
      <x:c r="G31" s="66"/>
      <x:c r="H31" s="66"/>
      <x:c r="I31" s="66"/>
      <x:c r="J31" s="64" t="str">
        <x:v>OT-C030</x:v>
      </x:c>
      <x:c r="K31" s="64" t="str">
        <x:v>N29</x:v>
      </x:c>
      <x:c r="L31" s="64" t="str">
        <x:v>2026 baseline</x:v>
      </x:c>
      <x:c r="M31" s="64" t="str">
        <x:v>Supplier delay or unsupported lifecycle</x:v>
      </x:c>
      <x:c r="N31" s="75"/>
      <x:c r="O31" s="66"/>
      <x:c r="P31" s="66"/>
      <x:c r="Q31" s="65" t="str">
        <x:f>IF(D31="Complete",IF(F31="","Add owner",IF(H31="","Add evidence",IF(N31="","Add review date",IF(O31="","Add reviewer","Evidence recorded")))),IF(OR(D31="Accepted Risk",D31="Not Applicable"),IF(F31="","Add owner",IF(P31="","Add rationale / approval",IF(H31="","Add evidence",IF(N31="","Add review date",IF(O31="","Add reviewer","Decision recorded"))))),IF(D31="Blocked","Resolve blocker","Work remains")))</x:f>
        <x:v>Work remains</x:v>
      </x:c>
    </x:row>
    <x:row r="32" ht="36" customHeight="1">
      <x:c r="A32" s="45" t="str">
        <x:v>Module assurance</x:v>
      </x:c>
      <x:c r="B32" s="46" t="str">
        <x:v>Where required, verify CMVP certificate, module/version, operating environment, approved mode, PQC service coverage and current status.</x:v>
      </x:c>
      <x:c r="C32" s="46" t="str">
        <x:v>Algorithm approval is not module/product validation. Historical status is not revocation.</x:v>
      </x:c>
      <x:c r="D32" s="66" t="str">
        <x:v>Not Started</x:v>
      </x:c>
      <x:c r="E32" s="66" t="str">
        <x:v>P1</x:v>
      </x:c>
      <x:c r="F32" s="66"/>
      <x:c r="G32" s="66"/>
      <x:c r="H32" s="66"/>
      <x:c r="I32" s="66"/>
      <x:c r="J32" s="46" t="str">
        <x:v>OT-C031</x:v>
      </x:c>
      <x:c r="K32" s="46" t="str">
        <x:v>N24, N25, N26</x:v>
      </x:c>
      <x:c r="L32" s="46" t="str">
        <x:v>2027 pilots and rollout</x:v>
      </x:c>
      <x:c r="M32" s="46" t="str">
        <x:v>Unsupported assurance claim</x:v>
      </x:c>
      <x:c r="N32" s="75"/>
      <x:c r="O32" s="66"/>
      <x:c r="P32" s="66"/>
      <x:c r="Q32" s="47" t="str">
        <x:f>IF(D32="Complete",IF(F32="","Add owner",IF(H32="","Add evidence",IF(N32="","Add review date",IF(O32="","Add reviewer","Evidence recorded")))),IF(OR(D32="Accepted Risk",D32="Not Applicable"),IF(F32="","Add owner",IF(P32="","Add rationale / approval",IF(H32="","Add evidence",IF(N32="","Add review date",IF(O32="","Add reviewer","Decision recorded"))))),IF(D32="Blocked","Resolve blocker","Work remains")))</x:f>
        <x:v>Work remains</x:v>
      </x:c>
    </x:row>
    <x:row r="33" ht="36" customHeight="1">
      <x:c r="A33" s="63" t="str">
        <x:v>Lab exit review</x:v>
      </x:c>
      <x:c r="B33" s="64" t="str">
        <x:v>Require approved engineering limits, representative tests, safety/operations approval and vendor-supported rollback before release.</x:v>
      </x:c>
      <x:c r="C33" s="64" t="str">
        <x:v>Passing connectivity tests alone cannot authorize an OT change.</x:v>
      </x:c>
      <x:c r="D33" s="66" t="str">
        <x:v>Not Started</x:v>
      </x:c>
      <x:c r="E33" s="66" t="str">
        <x:v>P1</x:v>
      </x:c>
      <x:c r="F33" s="66"/>
      <x:c r="G33" s="66"/>
      <x:c r="H33" s="66"/>
      <x:c r="I33" s="66"/>
      <x:c r="J33" s="64" t="str">
        <x:v>OT-C032</x:v>
      </x:c>
      <x:c r="K33" s="64" t="str">
        <x:v>N05, N13</x:v>
      </x:c>
      <x:c r="L33" s="64" t="str">
        <x:v>2027 pilots and rollout</x:v>
      </x:c>
      <x:c r="M33" s="64" t="str">
        <x:v>Premature production change</x:v>
      </x:c>
      <x:c r="N33" s="75"/>
      <x:c r="O33" s="66"/>
      <x:c r="P33" s="66"/>
      <x:c r="Q33" s="65" t="str">
        <x:f>IF(D33="Complete",IF(F33="","Add owner",IF(H33="","Add evidence",IF(N33="","Add review date",IF(O33="","Add reviewer","Evidence recorded")))),IF(OR(D33="Accepted Risk",D33="Not Applicable"),IF(F33="","Add owner",IF(P33="","Add rationale / approval",IF(H33="","Add evidence",IF(N33="","Add review date",IF(O33="","Add reviewer","Decision recorded"))))),IF(D33="Blocked","Resolve blocker","Work remains")))</x:f>
        <x:v>Work remains</x:v>
      </x:c>
    </x:row>
    <x:row r="34" ht="49" customHeight="1">
      <x:c r="A34" s="45" t="str">
        <x:v>Backup governance</x:v>
      </x:c>
      <x:c r="B34" s="46" t="str">
        <x:v>Include device configs, firmware, logic, trust stores, certificates and recovery credentials in protected backups. Test restoration and document dependencies.</x:v>
      </x:c>
      <x:c r="C34" s="46" t="str">
        <x:v>Backup availability is only useful when the safe process state can be restored.</x:v>
      </x:c>
      <x:c r="D34" s="66" t="str">
        <x:v>Not Started</x:v>
      </x:c>
      <x:c r="E34" s="66" t="str">
        <x:v>P1</x:v>
      </x:c>
      <x:c r="F34" s="66"/>
      <x:c r="G34" s="66"/>
      <x:c r="H34" s="66"/>
      <x:c r="I34" s="66"/>
      <x:c r="J34" s="46" t="str">
        <x:v>OT-C033</x:v>
      </x:c>
      <x:c r="K34" s="46" t="str">
        <x:v>N13, N15</x:v>
      </x:c>
      <x:c r="L34" s="46" t="str">
        <x:v>2026 baseline</x:v>
      </x:c>
      <x:c r="M34" s="46" t="str">
        <x:v>Unrecoverable process state</x:v>
      </x:c>
      <x:c r="N34" s="75"/>
      <x:c r="O34" s="66"/>
      <x:c r="P34" s="66"/>
      <x:c r="Q34" s="47" t="str">
        <x:f>IF(D34="Complete",IF(F34="","Add owner",IF(H34="","Add evidence",IF(N34="","Add review date",IF(O34="","Add reviewer","Evidence recorded")))),IF(OR(D34="Accepted Risk",D34="Not Applicable"),IF(F34="","Add owner",IF(P34="","Add rationale / approval",IF(H34="","Add evidence",IF(N34="","Add review date",IF(O34="","Add reviewer","Decision recorded"))))),IF(D34="Blocked","Resolve blocker","Work remains")))</x:f>
        <x:v>Work remains</x:v>
      </x:c>
    </x:row>
    <x:row r="35" ht="36" customHeight="1">
      <x:c r="A35" s="63" t="str">
        <x:v>Exception management</x:v>
      </x:c>
      <x:c r="B35" s="64" t="str">
        <x:v>Record owner, risk approver, controls, review/expiry date, replacement milestone and decommission evidence for unsupported assets.</x:v>
      </x:c>
      <x:c r="C35" s="64" t="str">
        <x:v>Residual risk needs review through long asset lifecycles.</x:v>
      </x:c>
      <x:c r="D35" s="66" t="str">
        <x:v>Not Started</x:v>
      </x:c>
      <x:c r="E35" s="66" t="str">
        <x:v>P1</x:v>
      </x:c>
      <x:c r="F35" s="66"/>
      <x:c r="G35" s="66"/>
      <x:c r="H35" s="66"/>
      <x:c r="I35" s="66"/>
      <x:c r="J35" s="64" t="str">
        <x:v>OT-C034</x:v>
      </x:c>
      <x:c r="K35" s="64" t="str">
        <x:v>N13, N27</x:v>
      </x:c>
      <x:c r="L35" s="64" t="str">
        <x:v>2028+ continuous migration</x:v>
      </x:c>
      <x:c r="M35" s="64" t="str">
        <x:v>Permanent unmanaged exposure</x:v>
      </x:c>
      <x:c r="N35" s="75"/>
      <x:c r="O35" s="66"/>
      <x:c r="P35" s="66"/>
      <x:c r="Q35" s="65" t="str">
        <x:f>IF(D35="Complete",IF(F35="","Add owner",IF(H35="","Add evidence",IF(N35="","Add review date",IF(O35="","Add reviewer","Evidence recorded")))),IF(OR(D35="Accepted Risk",D35="Not Applicable"),IF(F35="","Add owner",IF(P35="","Add rationale / approval",IF(H35="","Add evidence",IF(N35="","Add review date",IF(O35="","Add reviewer","Decision recorded"))))),IF(D35="Blocked","Resolve blocker","Work remains")))</x:f>
        <x:v>Work remains</x:v>
      </x:c>
    </x:row>
    <x:row r="36" ht="36" customHeight="1">
      <x:c r="A36" s="45" t="str">
        <x:v>Continuous assurance</x:v>
      </x:c>
      <x:c r="B36" s="46" t="str">
        <x:v>Reconcile after firmware updates, plant expansion, cloud/IIoT integration or vendor access changes. Retest critical flows.</x:v>
      </x:c>
      <x:c r="C36" s="46" t="str">
        <x:v>Later operational changes can invalidate previous migration results.</x:v>
      </x:c>
      <x:c r="D36" s="66" t="str">
        <x:v>Not Started</x:v>
      </x:c>
      <x:c r="E36" s="66" t="str">
        <x:v>P1</x:v>
      </x:c>
      <x:c r="F36" s="66"/>
      <x:c r="G36" s="66"/>
      <x:c r="H36" s="66"/>
      <x:c r="I36" s="66"/>
      <x:c r="J36" s="46" t="str">
        <x:v>OT-C035</x:v>
      </x:c>
      <x:c r="K36" s="46" t="str">
        <x:v>N05, N13; N14 draft watch</x:v>
      </x:c>
      <x:c r="L36" s="46" t="str">
        <x:v>2028+ continuous migration</x:v>
      </x:c>
      <x:c r="M36" s="46" t="str">
        <x:v>Drift or silent fallback</x:v>
      </x:c>
      <x:c r="N36" s="75"/>
      <x:c r="O36" s="66"/>
      <x:c r="P36" s="66"/>
      <x:c r="Q36" s="47" t="str">
        <x:f>IF(D36="Complete",IF(F36="","Add owner",IF(H36="","Add evidence",IF(N36="","Add review date",IF(O36="","Add reviewer","Evidence recorded")))),IF(OR(D36="Accepted Risk",D36="Not Applicable"),IF(F36="","Add owner",IF(P36="","Add rationale / approval",IF(H36="","Add evidence",IF(N36="","Add review date",IF(O36="","Add reviewer","Decision recorded"))))),IF(D36="Blocked","Resolve blocker","Work remains")))</x:f>
        <x:v>Work remains</x:v>
      </x:c>
    </x:row>
    <x:row r="37" ht="49" customHeight="1">
      <x:c r="A37" s="63" t="str">
        <x:v>Standards watch</x:v>
      </x:c>
      <x:c r="B37" s="64" t="str">
        <x:v>Monitor draft SP 800-82 Rev. 4 (2026-09-21), IR 8547, key-management/transition drafts, SP 800-230, SP 800-133 Rev. 3 and pending HQC/FN-DSA.</x:v>
      </x:c>
      <x:c r="C37" s="64" t="str">
        <x:v>SP 800-82 Rev. 3 remains the final OT baseline. Draft proposals and future dates are not mandates.</x:v>
      </x:c>
      <x:c r="D37" s="66" t="str">
        <x:v>Not Started</x:v>
      </x:c>
      <x:c r="E37" s="66" t="str">
        <x:v>P1</x:v>
      </x:c>
      <x:c r="F37" s="66"/>
      <x:c r="G37" s="66"/>
      <x:c r="H37" s="66"/>
      <x:c r="I37" s="66"/>
      <x:c r="J37" s="64" t="str">
        <x:v>OT-C036</x:v>
      </x:c>
      <x:c r="K37" s="64" t="str">
        <x:v>N06, N10, N12, N14, N19-N21, N30, N31</x:v>
      </x:c>
      <x:c r="L37" s="64" t="str">
        <x:v>2028+ continuous migration</x:v>
      </x:c>
      <x:c r="M37" s="64" t="str">
        <x:v>Stale standards or premature adoption</x:v>
      </x:c>
      <x:c r="N37" s="75"/>
      <x:c r="O37" s="66"/>
      <x:c r="P37" s="66"/>
      <x:c r="Q37" s="65" t="str">
        <x:f>IF(D37="Complete",IF(F37="","Add owner",IF(H37="","Add evidence",IF(N37="","Add review date",IF(O37="","Add reviewer","Evidence recorded")))),IF(OR(D37="Accepted Risk",D37="Not Applicable"),IF(F37="","Add owner",IF(P37="","Add rationale / approval",IF(H37="","Add evidence",IF(N37="","Add review date",IF(O37="","Add reviewer","Decision recorded"))))),IF(D37="Blocked","Resolve blocker","Work remains")))</x:f>
        <x:v>Work remains</x:v>
      </x:c>
    </x:row>
    <x:row r="38" ht="36" customHeight="1">
      <x:c r="A38" s="48" t="str">
        <x:v>Retirement</x:v>
      </x:c>
      <x:c r="B38" s="49" t="str">
        <x:v>Confirm migration or safe retirement of legacy keys, trust anchors, gateways, firmware verification and recovery-media dependencies.</x:v>
      </x:c>
      <x:c r="C38" s="49" t="str">
        <x:v>Residual dependencies preserve exposure after the primary path migrates.</x:v>
      </x:c>
      <x:c r="D38" s="67" t="str">
        <x:v>Not Started</x:v>
      </x:c>
      <x:c r="E38" s="67" t="str">
        <x:v>P1</x:v>
      </x:c>
      <x:c r="F38" s="67"/>
      <x:c r="G38" s="67"/>
      <x:c r="H38" s="67"/>
      <x:c r="I38" s="67"/>
      <x:c r="J38" s="49" t="str">
        <x:v>OT-C037</x:v>
      </x:c>
      <x:c r="K38" s="49" t="str">
        <x:v>N05, N09, N13</x:v>
      </x:c>
      <x:c r="L38" s="49" t="str">
        <x:v>2028+ continuous migration</x:v>
      </x:c>
      <x:c r="M38" s="49" t="str">
        <x:v>Residual quantum-vulnerable paths</x:v>
      </x:c>
      <x:c r="N38" s="76"/>
      <x:c r="O38" s="67"/>
      <x:c r="P38" s="67"/>
      <x:c r="Q38" s="50" t="str">
        <x:f>IF(D38="Complete",IF(F38="","Add owner",IF(H38="","Add evidence",IF(N38="","Add review date",IF(O38="","Add reviewer","Evidence recorded")))),IF(OR(D38="Accepted Risk",D38="Not Applicable"),IF(F38="","Add owner",IF(P38="","Add rationale / approval",IF(H38="","Add evidence",IF(N38="","Add review date",IF(O38="","Add reviewer","Decision recorded"))))),IF(D38="Blocked","Resolve blocker","Work remains")))</x:f>
        <x:v>Work remains</x:v>
      </x:c>
    </x:row>
  </x:sheetData>
  <x:conditionalFormatting sqref="Q2:Q38">
    <x:cfRule type="beginsWith" dxfId="0" priority="1" operator="beginsWith" text="Add"/>
  </x:conditionalFormatting>
  <x:conditionalFormatting sqref="D2:D38">
    <x:cfRule type="containsText" dxfId="1" priority="2" operator="containsText" text="Blocked"/>
  </x:conditionalFormatting>
  <x:dataValidations count="2">
    <x:dataValidation type="list" sqref="D2:D38">
      <x:formula1>"Not Started,In Progress,Blocked,Complete,Accepted Risk,Not Applicable"</x:formula1>
    </x:dataValidation>
    <x:dataValidation type="list" sqref="E2:E38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f99323115a45f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  <x:col min="12" max="12" width="27" hidden="0" customWidth="1"/>
    <x:col min="13" max="13" width="27" hidden="0" customWidth="1"/>
    <x:col min="14" max="14" width="27" hidden="0" customWidth="1"/>
    <x:col min="15" max="15" width="27" hidden="0" customWidth="1"/>
    <x:col min="16" max="16" width="27" hidden="0" customWidth="1"/>
    <x:col min="17" max="17" width="27" hidden="0" customWidth="1"/>
    <x:col min="18" max="18" width="18" hidden="0" customWidth="1"/>
    <x:col min="19" max="19" width="34" hidden="0" customWidth="1"/>
    <x:col min="20" max="20" width="34" hidden="0" customWidth="1"/>
    <x:col min="21" max="21" width="44" hidden="0" customWidth="1"/>
    <x:col min="22" max="22" width="25" hidden="0" customWidth="1"/>
    <x:col min="23" max="23" width="33" hidden="0" customWidth="1"/>
    <x:col min="24" max="24" width="41" hidden="0" customWidth="1"/>
    <x:col min="25" max="25" width="16" hidden="0" customWidth="1"/>
    <x:col min="26" max="26" width="26" hidden="0" customWidth="1"/>
    <x:col min="27" max="27" width="18" hidden="0" customWidth="1"/>
    <x:col min="28" max="28" width="28" hidden="0" customWidth="1"/>
    <x:col min="29" max="29" width="36" hidden="0" customWidth="1"/>
    <x:col min="30" max="30" width="43" hidden="0" customWidth="1"/>
  </x:cols>
  <x:sheetData>
    <x:row r="1" ht="42" customHeight="1">
      <x:c r="A1" s="60" t="str">
        <x:v>Site/Zone</x:v>
      </x:c>
      <x:c r="B1" s="61" t="str">
        <x:v>Asset / System</x:v>
      </x:c>
      <x:c r="C1" s="61" t="str">
        <x:v>Function</x:v>
      </x:c>
      <x:c r="D1" s="61" t="str">
        <x:v>Protocol / Path</x:v>
      </x:c>
      <x:c r="E1" s="61" t="str">
        <x:v>Crypto Use</x:v>
      </x:c>
      <x:c r="F1" s="61" t="str">
        <x:v>Algorithm / Key Type</x:v>
      </x:c>
      <x:c r="G1" s="61" t="str">
        <x:v>Legacy Gateway?</x:v>
      </x:c>
      <x:c r="H1" s="61" t="str">
        <x:v>Safety Criticality</x:v>
      </x:c>
      <x:c r="I1" s="61" t="str">
        <x:v>Latency Tolerance</x:v>
      </x:c>
      <x:c r="J1" s="61" t="str">
        <x:v>Maintenance Window</x:v>
      </x:c>
      <x:c r="K1" s="61" t="str">
        <x:v>Vendor Roadmap</x:v>
      </x:c>
      <x:c r="L1" s="61" t="str">
        <x:v>Hybrid Mode Plan</x:v>
      </x:c>
      <x:c r="M1" s="61" t="str">
        <x:v>Rollback Method</x:v>
      </x:c>
      <x:c r="N1" s="61" t="str">
        <x:v>Compensating Control</x:v>
      </x:c>
      <x:c r="O1" s="61" t="str">
        <x:v>Priority</x:v>
      </x:c>
      <x:c r="P1" s="61" t="str">
        <x:v>Evidence Link</x:v>
      </x:c>
      <x:c r="Q1" s="61" t="str">
        <x:v>Notes</x:v>
      </x:c>
      <x:c r="R1" s="61" t="str">
        <x:v>Asset / flow ID</x:v>
      </x:c>
      <x:c r="S1" s="61" t="str">
        <x:v>Hardware and firmware build</x:v>
      </x:c>
      <x:c r="T1" s="61" t="str">
        <x:v>Crypto library/provider version</x:v>
      </x:c>
      <x:c r="U1" s="61" t="str">
        <x:v>Key establishment / signature role</x:v>
      </x:c>
      <x:c r="V1" s="61" t="str">
        <x:v>Confidentiality lifetime (years)</x:v>
      </x:c>
      <x:c r="W1" s="61" t="str">
        <x:v>Signature verification lifetime</x:v>
      </x:c>
      <x:c r="X1" s="61" t="str">
        <x:v>Discovery method / approval</x:v>
      </x:c>
      <x:c r="Y1" s="61" t="str">
        <x:v>Last observed</x:v>
      </x:c>
      <x:c r="Z1" s="61" t="str">
        <x:v>Owner</x:v>
      </x:c>
      <x:c r="AA1" s="61" t="str">
        <x:v>End of support</x:v>
      </x:c>
      <x:c r="AB1" s="61" t="str">
        <x:v>Replacement milestone</x:v>
      </x:c>
      <x:c r="AC1" s="61" t="str">
        <x:v>Exception approver / review date</x:v>
      </x:c>
      <x:c r="AD1" s="62" t="str">
        <x:v>Residual exposure after gateway</x:v>
      </x:c>
    </x:row>
    <x:row r="2" ht="36" customHeight="1">
      <x:c r="A2" s="71" t="str">
        <x:v>Example OT DMZ</x:v>
      </x:c>
      <x:c r="B2" s="66" t="str">
        <x:v>Remote access gateway</x:v>
      </x:c>
      <x:c r="C2" s="66" t="str">
        <x:v>Vendor maintenance access</x:v>
      </x:c>
      <x:c r="D2" s="66" t="str">
        <x:v>VPN / TLS</x:v>
      </x:c>
      <x:c r="E2" s="66" t="str">
        <x:v>Key establishment and certificate auth</x:v>
      </x:c>
      <x:c r="F2" s="66" t="str">
        <x:v>ECDHE_RSA / RSA-2048</x:v>
      </x:c>
      <x:c r="G2" s="66" t="str">
        <x:v>Yes</x:v>
      </x:c>
      <x:c r="H2" s="66" t="str">
        <x:v>High</x:v>
      </x:c>
      <x:c r="I2" s="66" t="str">
        <x:v>&lt;100 ms for maintenance path</x:v>
      </x:c>
      <x:c r="J2" s="66" t="str">
        <x:v>Monthly approved window</x:v>
      </x:c>
      <x:c r="K2" s="66" t="str">
        <x:v>Requested</x:v>
      </x:c>
      <x:c r="L2" s="66" t="str">
        <x:v>Lab only until vendor support confirmed</x:v>
      </x:c>
      <x:c r="M2" s="66" t="str">
        <x:v>Restore previous gateway config and cert bundle</x:v>
      </x:c>
      <x:c r="N2" s="66" t="str">
        <x:v>Jump host, MFA, allowlist, monitoring</x:v>
      </x:c>
      <x:c r="O2" s="66" t="str">
        <x:v>P1</x:v>
      </x:c>
      <x:c r="P2" s="66"/>
      <x:c r="Q2" s="66" t="str">
        <x:v>Example only</x:v>
      </x:c>
      <x:c r="R2" s="66" t="str">
        <x:v>EX-OT-001</x:v>
      </x:c>
      <x:c r="S2" s="66" t="str">
        <x:v>Record exact supported build</x:v>
      </x:c>
      <x:c r="T2" s="66" t="str">
        <x:v>Unknown</x:v>
      </x:c>
      <x:c r="U2" s="66" t="str">
        <x:v>Discover KEX and certificate signature</x:v>
      </x:c>
      <x:c r="V2" s="66"/>
      <x:c r="W2" s="66" t="str">
        <x:v>Record trust-anchor lifetime</x:v>
      </x:c>
      <x:c r="X2" s="66" t="str">
        <x:v>Passive or vendor-approved discovery</x:v>
      </x:c>
      <x:c r="Y2" s="75"/>
      <x:c r="Z2" s="66"/>
      <x:c r="AA2" s="75"/>
      <x:c r="AB2" s="66"/>
      <x:c r="AC2" s="66"/>
      <x:c r="AD2" s="73" t="str">
        <x:v>Document unprotected segments</x:v>
      </x:c>
    </x:row>
    <x:row r="3" ht="36" customHeight="1">
      <x:c r="A3" s="71" t="str">
        <x:v>Example control network</x:v>
      </x:c>
      <x:c r="B3" s="66" t="str">
        <x:v>Historian connector</x:v>
      </x:c>
      <x:c r="C3" s="66" t="str">
        <x:v>Data collection</x:v>
      </x:c>
      <x:c r="D3" s="66" t="str">
        <x:v>TLS / MQTT</x:v>
      </x:c>
      <x:c r="E3" s="66" t="str">
        <x:v>TLS server and client auth</x:v>
      </x:c>
      <x:c r="F3" s="66" t="str">
        <x:v>ECDSA / P-256</x:v>
      </x:c>
      <x:c r="G3" s="66" t="str">
        <x:v>No</x:v>
      </x:c>
      <x:c r="H3" s="66" t="str">
        <x:v>Medium</x:v>
      </x:c>
      <x:c r="I3" s="66" t="str">
        <x:v>&lt;250 ms</x:v>
      </x:c>
      <x:c r="J3" s="66" t="str">
        <x:v>Quarterly window</x:v>
      </x:c>
      <x:c r="K3" s="66" t="str">
        <x:v>Unknown</x:v>
      </x:c>
      <x:c r="L3" s="66" t="str">
        <x:v>Assess in lab</x:v>
      </x:c>
      <x:c r="M3" s="66" t="str">
        <x:v>Rollback cert profile and trust store</x:v>
      </x:c>
      <x:c r="N3" s="66" t="str">
        <x:v>Segmentation and monitoring</x:v>
      </x:c>
      <x:c r="O3" s="66" t="str">
        <x:v>P2</x:v>
      </x:c>
      <x:c r="P3" s="66"/>
      <x:c r="Q3" s="66" t="str">
        <x:v>Example only</x:v>
      </x:c>
      <x:c r="R3" s="66" t="str">
        <x:v>EX-OT-002</x:v>
      </x:c>
      <x:c r="S3" s="66" t="str">
        <x:v>Record exact supported build</x:v>
      </x:c>
      <x:c r="T3" s="66" t="str">
        <x:v>Unknown</x:v>
      </x:c>
      <x:c r="U3" s="66" t="str">
        <x:v>Discover TLS KEX and certificate signature</x:v>
      </x:c>
      <x:c r="V3" s="66"/>
      <x:c r="W3" s="66" t="str">
        <x:v>Record trust-anchor lifetime</x:v>
      </x:c>
      <x:c r="X3" s="66" t="str">
        <x:v>Passive or vendor-approved discovery</x:v>
      </x:c>
      <x:c r="Y3" s="75"/>
      <x:c r="Z3" s="66"/>
      <x:c r="AA3" s="75"/>
      <x:c r="AB3" s="66"/>
      <x:c r="AC3" s="66"/>
      <x:c r="AD3" s="73" t="str">
        <x:v>Document complete path boundary</x:v>
      </x:c>
    </x:row>
    <x:row r="4" ht="36" customHeight="1">
      <x:c r="A4" s="71" t="str">
        <x:v>Example engineering zone</x:v>
      </x:c>
      <x:c r="B4" s="66" t="str">
        <x:v>Engineering workstation update channel</x:v>
      </x:c>
      <x:c r="C4" s="66" t="str">
        <x:v>Firmware/software update verification</x:v>
      </x:c>
      <x:c r="D4" s="66" t="str">
        <x:v>HTTPS / code signing</x:v>
      </x:c>
      <x:c r="E4" s="66" t="str">
        <x:v>Signature verification</x:v>
      </x:c>
      <x:c r="F4" s="66" t="str">
        <x:v>RSA-2048</x:v>
      </x:c>
      <x:c r="G4" s="66" t="str">
        <x:v>No</x:v>
      </x:c>
      <x:c r="H4" s="66" t="str">
        <x:v>High</x:v>
      </x:c>
      <x:c r="I4" s="66" t="str">
        <x:v>N/A</x:v>
      </x:c>
      <x:c r="J4" s="66" t="str">
        <x:v>Scheduled outage</x:v>
      </x:c>
      <x:c r="K4" s="66" t="str">
        <x:v>Requested</x:v>
      </x:c>
      <x:c r="L4" s="66" t="str">
        <x:v>N/A until vendor support</x:v>
      </x:c>
      <x:c r="M4" s="66" t="str">
        <x:v>Restore previous update package and validation settings</x:v>
      </x:c>
      <x:c r="N4" s="66" t="str">
        <x:v>Offline validation and allowlisting</x:v>
      </x:c>
      <x:c r="O4" s="66" t="str">
        <x:v>P1</x:v>
      </x:c>
      <x:c r="P4" s="66"/>
      <x:c r="Q4" s="66" t="str">
        <x:v>Example only</x:v>
      </x:c>
      <x:c r="R4" s="66" t="str">
        <x:v>EX-OT-003</x:v>
      </x:c>
      <x:c r="S4" s="66" t="str">
        <x:v>Record exact supported build</x:v>
      </x:c>
      <x:c r="T4" s="66" t="str">
        <x:v>Unknown</x:v>
      </x:c>
      <x:c r="U4" s="66" t="str">
        <x:v>Firmware signature verification</x:v>
      </x:c>
      <x:c r="V4" s="66"/>
      <x:c r="W4" s="66" t="str">
        <x:v>Device and firmware lifecycle</x:v>
      </x:c>
      <x:c r="X4" s="66" t="str">
        <x:v>Offline vendor documentation</x:v>
      </x:c>
      <x:c r="Y4" s="75"/>
      <x:c r="Z4" s="66"/>
      <x:c r="AA4" s="75"/>
      <x:c r="AB4" s="66"/>
      <x:c r="AC4" s="66"/>
      <x:c r="AD4" s="73" t="str">
        <x:v>Document offline verification controls</x:v>
      </x:c>
    </x:row>
    <x:row r="5" ht="34" customHeight="1">
      <x:c r="A5" s="71"/>
      <x:c r="B5" s="66"/>
      <x:c r="C5" s="66"/>
      <x:c r="D5" s="66"/>
      <x:c r="E5" s="66"/>
      <x:c r="F5" s="66"/>
      <x:c r="G5" s="66"/>
      <x:c r="H5" s="66"/>
      <x:c r="I5" s="66"/>
      <x:c r="J5" s="66"/>
      <x:c r="K5" s="66"/>
      <x:c r="L5" s="66"/>
      <x:c r="M5" s="66"/>
      <x:c r="N5" s="66"/>
      <x:c r="O5" s="66"/>
      <x:c r="P5" s="66"/>
      <x:c r="Q5" s="66"/>
      <x:c r="R5" s="66"/>
      <x:c r="S5" s="66"/>
      <x:c r="T5" s="66"/>
      <x:c r="U5" s="66"/>
      <x:c r="V5" s="66"/>
      <x:c r="W5" s="66"/>
      <x:c r="X5" s="66"/>
      <x:c r="Y5" s="75"/>
      <x:c r="Z5" s="66"/>
      <x:c r="AA5" s="75"/>
      <x:c r="AB5" s="66"/>
      <x:c r="AC5" s="66"/>
      <x:c r="AD5" s="73"/>
    </x:row>
    <x:row r="6" ht="34" customHeight="1">
      <x:c r="A6" s="71"/>
      <x:c r="B6" s="66"/>
      <x:c r="C6" s="66"/>
      <x:c r="D6" s="66"/>
      <x:c r="E6" s="66"/>
      <x:c r="F6" s="66"/>
      <x:c r="G6" s="66"/>
      <x:c r="H6" s="66"/>
      <x:c r="I6" s="66"/>
      <x:c r="J6" s="66"/>
      <x:c r="K6" s="66"/>
      <x:c r="L6" s="66"/>
      <x:c r="M6" s="66"/>
      <x:c r="N6" s="66"/>
      <x:c r="O6" s="66"/>
      <x:c r="P6" s="66"/>
      <x:c r="Q6" s="66"/>
      <x:c r="R6" s="66"/>
      <x:c r="S6" s="66"/>
      <x:c r="T6" s="66"/>
      <x:c r="U6" s="66"/>
      <x:c r="V6" s="66"/>
      <x:c r="W6" s="66"/>
      <x:c r="X6" s="66"/>
      <x:c r="Y6" s="75"/>
      <x:c r="Z6" s="66"/>
      <x:c r="AA6" s="75"/>
      <x:c r="AB6" s="66"/>
      <x:c r="AC6" s="66"/>
      <x:c r="AD6" s="73"/>
    </x:row>
    <x:row r="7" ht="34" customHeight="1">
      <x:c r="A7" s="71"/>
      <x:c r="B7" s="66"/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6"/>
      <x:c r="N7" s="66"/>
      <x:c r="O7" s="66"/>
      <x:c r="P7" s="66"/>
      <x:c r="Q7" s="66"/>
      <x:c r="R7" s="66"/>
      <x:c r="S7" s="66"/>
      <x:c r="T7" s="66"/>
      <x:c r="U7" s="66"/>
      <x:c r="V7" s="66"/>
      <x:c r="W7" s="66"/>
      <x:c r="X7" s="66"/>
      <x:c r="Y7" s="75"/>
      <x:c r="Z7" s="66"/>
      <x:c r="AA7" s="75"/>
      <x:c r="AB7" s="66"/>
      <x:c r="AC7" s="66"/>
      <x:c r="AD7" s="73"/>
    </x:row>
    <x:row r="8" ht="34" customHeight="1">
      <x:c r="A8" s="71"/>
      <x:c r="B8" s="66"/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  <x:c r="Q8" s="66"/>
      <x:c r="R8" s="66"/>
      <x:c r="S8" s="66"/>
      <x:c r="T8" s="66"/>
      <x:c r="U8" s="66"/>
      <x:c r="V8" s="66"/>
      <x:c r="W8" s="66"/>
      <x:c r="X8" s="66"/>
      <x:c r="Y8" s="75"/>
      <x:c r="Z8" s="66"/>
      <x:c r="AA8" s="75"/>
      <x:c r="AB8" s="66"/>
      <x:c r="AC8" s="66"/>
      <x:c r="AD8" s="73"/>
    </x:row>
    <x:row r="9" ht="34" customHeight="1">
      <x:c r="A9" s="71"/>
      <x:c r="B9" s="66"/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66"/>
      <x:c r="S9" s="66"/>
      <x:c r="T9" s="66"/>
      <x:c r="U9" s="66"/>
      <x:c r="V9" s="66"/>
      <x:c r="W9" s="66"/>
      <x:c r="X9" s="66"/>
      <x:c r="Y9" s="75"/>
      <x:c r="Z9" s="66"/>
      <x:c r="AA9" s="75"/>
      <x:c r="AB9" s="66"/>
      <x:c r="AC9" s="66"/>
      <x:c r="AD9" s="73"/>
    </x:row>
    <x:row r="10" ht="34" customHeight="1">
      <x:c r="A10" s="71"/>
      <x:c r="B10" s="66"/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6"/>
      <x:c r="S10" s="66"/>
      <x:c r="T10" s="66"/>
      <x:c r="U10" s="66"/>
      <x:c r="V10" s="66"/>
      <x:c r="W10" s="66"/>
      <x:c r="X10" s="66"/>
      <x:c r="Y10" s="75"/>
      <x:c r="Z10" s="66"/>
      <x:c r="AA10" s="75"/>
      <x:c r="AB10" s="66"/>
      <x:c r="AC10" s="66"/>
      <x:c r="AD10" s="73"/>
    </x:row>
    <x:row r="11" ht="34" customHeight="1">
      <x:c r="A11" s="71"/>
      <x:c r="B11" s="66"/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6"/>
      <x:c r="X11" s="66"/>
      <x:c r="Y11" s="75"/>
      <x:c r="Z11" s="66"/>
      <x:c r="AA11" s="75"/>
      <x:c r="AB11" s="66"/>
      <x:c r="AC11" s="66"/>
      <x:c r="AD11" s="73"/>
    </x:row>
    <x:row r="12" ht="34" customHeight="1">
      <x:c r="A12" s="71"/>
      <x:c r="B12" s="66"/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6"/>
      <x:c r="S12" s="66"/>
      <x:c r="T12" s="66"/>
      <x:c r="U12" s="66"/>
      <x:c r="V12" s="66"/>
      <x:c r="W12" s="66"/>
      <x:c r="X12" s="66"/>
      <x:c r="Y12" s="75"/>
      <x:c r="Z12" s="66"/>
      <x:c r="AA12" s="75"/>
      <x:c r="AB12" s="66"/>
      <x:c r="AC12" s="66"/>
      <x:c r="AD12" s="73"/>
    </x:row>
    <x:row r="13" ht="34" customHeight="1">
      <x:c r="A13" s="71"/>
      <x:c r="B13" s="66"/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  <x:c r="P13" s="66"/>
      <x:c r="Q13" s="66"/>
      <x:c r="R13" s="66"/>
      <x:c r="S13" s="66"/>
      <x:c r="T13" s="66"/>
      <x:c r="U13" s="66"/>
      <x:c r="V13" s="66"/>
      <x:c r="W13" s="66"/>
      <x:c r="X13" s="66"/>
      <x:c r="Y13" s="75"/>
      <x:c r="Z13" s="66"/>
      <x:c r="AA13" s="75"/>
      <x:c r="AB13" s="66"/>
      <x:c r="AC13" s="66"/>
      <x:c r="AD13" s="73"/>
    </x:row>
    <x:row r="14" ht="34" customHeight="1">
      <x:c r="A14" s="71"/>
      <x:c r="B14" s="66"/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66"/>
      <x:c r="S14" s="66"/>
      <x:c r="T14" s="66"/>
      <x:c r="U14" s="66"/>
      <x:c r="V14" s="66"/>
      <x:c r="W14" s="66"/>
      <x:c r="X14" s="66"/>
      <x:c r="Y14" s="75"/>
      <x:c r="Z14" s="66"/>
      <x:c r="AA14" s="75"/>
      <x:c r="AB14" s="66"/>
      <x:c r="AC14" s="66"/>
      <x:c r="AD14" s="73"/>
    </x:row>
    <x:row r="15" ht="34" customHeight="1">
      <x:c r="A15" s="71"/>
      <x:c r="B15" s="66"/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  <x:c r="T15" s="66"/>
      <x:c r="U15" s="66"/>
      <x:c r="V15" s="66"/>
      <x:c r="W15" s="66"/>
      <x:c r="X15" s="66"/>
      <x:c r="Y15" s="75"/>
      <x:c r="Z15" s="66"/>
      <x:c r="AA15" s="75"/>
      <x:c r="AB15" s="66"/>
      <x:c r="AC15" s="66"/>
      <x:c r="AD15" s="73"/>
    </x:row>
    <x:row r="16" ht="34" customHeight="1">
      <x:c r="A16" s="71"/>
      <x:c r="B16" s="66"/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6"/>
      <x:c r="S16" s="66"/>
      <x:c r="T16" s="66"/>
      <x:c r="U16" s="66"/>
      <x:c r="V16" s="66"/>
      <x:c r="W16" s="66"/>
      <x:c r="X16" s="66"/>
      <x:c r="Y16" s="75"/>
      <x:c r="Z16" s="66"/>
      <x:c r="AA16" s="75"/>
      <x:c r="AB16" s="66"/>
      <x:c r="AC16" s="66"/>
      <x:c r="AD16" s="73"/>
    </x:row>
    <x:row r="17" ht="34" customHeight="1">
      <x:c r="A17" s="71"/>
      <x:c r="B17" s="66"/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6"/>
      <x:c r="S17" s="66"/>
      <x:c r="T17" s="66"/>
      <x:c r="U17" s="66"/>
      <x:c r="V17" s="66"/>
      <x:c r="W17" s="66"/>
      <x:c r="X17" s="66"/>
      <x:c r="Y17" s="75"/>
      <x:c r="Z17" s="66"/>
      <x:c r="AA17" s="75"/>
      <x:c r="AB17" s="66"/>
      <x:c r="AC17" s="66"/>
      <x:c r="AD17" s="73"/>
    </x:row>
    <x:row r="18" ht="34" customHeight="1">
      <x:c r="A18" s="71"/>
      <x:c r="B18" s="66"/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6"/>
      <x:c r="S18" s="66"/>
      <x:c r="T18" s="66"/>
      <x:c r="U18" s="66"/>
      <x:c r="V18" s="66"/>
      <x:c r="W18" s="66"/>
      <x:c r="X18" s="66"/>
      <x:c r="Y18" s="75"/>
      <x:c r="Z18" s="66"/>
      <x:c r="AA18" s="75"/>
      <x:c r="AB18" s="66"/>
      <x:c r="AC18" s="66"/>
      <x:c r="AD18" s="73"/>
    </x:row>
    <x:row r="19" ht="34" customHeight="1">
      <x:c r="A19" s="71"/>
      <x:c r="B19" s="66"/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66"/>
      <x:c r="S19" s="66"/>
      <x:c r="T19" s="66"/>
      <x:c r="U19" s="66"/>
      <x:c r="V19" s="66"/>
      <x:c r="W19" s="66"/>
      <x:c r="X19" s="66"/>
      <x:c r="Y19" s="75"/>
      <x:c r="Z19" s="66"/>
      <x:c r="AA19" s="75"/>
      <x:c r="AB19" s="66"/>
      <x:c r="AC19" s="66"/>
      <x:c r="AD19" s="73"/>
    </x:row>
    <x:row r="20" ht="34" customHeight="1">
      <x:c r="A20" s="71"/>
      <x:c r="B20" s="66"/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  <x:c r="W20" s="66"/>
      <x:c r="X20" s="66"/>
      <x:c r="Y20" s="75"/>
      <x:c r="Z20" s="66"/>
      <x:c r="AA20" s="75"/>
      <x:c r="AB20" s="66"/>
      <x:c r="AC20" s="66"/>
      <x:c r="AD20" s="73"/>
    </x:row>
    <x:row r="21" ht="34" customHeight="1">
      <x:c r="A21" s="71"/>
      <x:c r="B21" s="66"/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  <x:c r="W21" s="66"/>
      <x:c r="X21" s="66"/>
      <x:c r="Y21" s="75"/>
      <x:c r="Z21" s="66"/>
      <x:c r="AA21" s="75"/>
      <x:c r="AB21" s="66"/>
      <x:c r="AC21" s="66"/>
      <x:c r="AD21" s="73"/>
    </x:row>
    <x:row r="22" ht="34" customHeight="1">
      <x:c r="A22" s="71"/>
      <x:c r="B22" s="66"/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66"/>
      <x:c r="S22" s="66"/>
      <x:c r="T22" s="66"/>
      <x:c r="U22" s="66"/>
      <x:c r="V22" s="66"/>
      <x:c r="W22" s="66"/>
      <x:c r="X22" s="66"/>
      <x:c r="Y22" s="75"/>
      <x:c r="Z22" s="66"/>
      <x:c r="AA22" s="75"/>
      <x:c r="AB22" s="66"/>
      <x:c r="AC22" s="66"/>
      <x:c r="AD22" s="73"/>
    </x:row>
    <x:row r="23" ht="34" customHeight="1">
      <x:c r="A23" s="71"/>
      <x:c r="B23" s="66"/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66"/>
      <x:c r="S23" s="66"/>
      <x:c r="T23" s="66"/>
      <x:c r="U23" s="66"/>
      <x:c r="V23" s="66"/>
      <x:c r="W23" s="66"/>
      <x:c r="X23" s="66"/>
      <x:c r="Y23" s="75"/>
      <x:c r="Z23" s="66"/>
      <x:c r="AA23" s="75"/>
      <x:c r="AB23" s="66"/>
      <x:c r="AC23" s="66"/>
      <x:c r="AD23" s="73"/>
    </x:row>
    <x:row r="24" ht="34" customHeight="1">
      <x:c r="A24" s="71"/>
      <x:c r="B24" s="66"/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66"/>
      <x:c r="S24" s="66"/>
      <x:c r="T24" s="66"/>
      <x:c r="U24" s="66"/>
      <x:c r="V24" s="66"/>
      <x:c r="W24" s="66"/>
      <x:c r="X24" s="66"/>
      <x:c r="Y24" s="75"/>
      <x:c r="Z24" s="66"/>
      <x:c r="AA24" s="75"/>
      <x:c r="AB24" s="66"/>
      <x:c r="AC24" s="66"/>
      <x:c r="AD24" s="73"/>
    </x:row>
    <x:row r="25" ht="34" customHeight="1">
      <x:c r="A25" s="72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76"/>
      <x:c r="Z25" s="67"/>
      <x:c r="AA25" s="76"/>
      <x:c r="AB25" s="67"/>
      <x:c r="AC25" s="67"/>
      <x:c r="AD25" s="74"/>
    </x:row>
  </x:sheetData>
  <x:dataValidations count="4">
    <x:dataValidation type="list" sqref="G2:G25">
      <x:formula1>"Yes,No,Unknown"</x:formula1>
    </x:dataValidation>
    <x:dataValidation type="list" sqref="H2:H25">
      <x:formula1>"Critical,High,Medium,Low,Unknown"</x:formula1>
    </x:dataValidation>
    <x:dataValidation type="list" sqref="K2:K25">
      <x:formula1>"Supported,Roadmap,Requested,Unknown,No support"</x:formula1>
    </x:dataValidation>
    <x:dataValidation type="list" sqref="O2:O25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c0452f2a184eb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56" hidden="0" customWidth="1"/>
    <x:col min="3" max="3" width="46" hidden="0" customWidth="1"/>
    <x:col min="4" max="4" width="40" hidden="0" customWidth="1"/>
    <x:col min="5" max="5" width="67" hidden="0" customWidth="1"/>
    <x:col min="6" max="6" width="25" hidden="0" customWidth="1"/>
    <x:col min="7" max="7" width="19" hidden="0" customWidth="1"/>
    <x:col min="8" max="8" width="19" hidden="0" customWidth="1"/>
    <x:col min="9" max="9" width="35" hidden="0" customWidth="1"/>
    <x:col min="10" max="10" width="36" hidden="0" customWidth="1"/>
    <x:col min="11" max="11" width="41" hidden="0" customWidth="1"/>
    <x:col min="12" max="12" width="40" hidden="0" customWidth="1"/>
    <x:col min="13" max="13" width="36" hidden="0" customWidth="1"/>
    <x:col min="14" max="14" width="36" hidden="0" customWidth="1"/>
    <x:col min="15" max="15" width="16" hidden="0" customWidth="1"/>
    <x:col min="16" max="16" width="28" hidden="0" customWidth="1"/>
  </x:cols>
  <x:sheetData>
    <x:row r="1" ht="42" customHeight="1">
      <x:c r="A1" s="60" t="str">
        <x:v>Test ID</x:v>
      </x:c>
      <x:c r="B1" s="61" t="str">
        <x:v>Scenario</x:v>
      </x:c>
      <x:c r="C1" s="61" t="str">
        <x:v>Metric</x:v>
      </x:c>
      <x:c r="D1" s="61" t="str">
        <x:v>Baseline</x:v>
      </x:c>
      <x:c r="E1" s="61" t="str">
        <x:v>Acceptance Criteria</x:v>
      </x:c>
      <x:c r="F1" s="61" t="str">
        <x:v>Test Environment</x:v>
      </x:c>
      <x:c r="G1" s="61" t="str">
        <x:v>Result</x:v>
      </x:c>
      <x:c r="H1" s="61" t="str">
        <x:v>Rollback Tested?</x:v>
      </x:c>
      <x:c r="I1" s="61" t="str">
        <x:v>Evidence Link</x:v>
      </x:c>
      <x:c r="J1" s="61" t="str">
        <x:v>Notes</x:v>
      </x:c>
      <x:c r="K1" s="61" t="str">
        <x:v>Exact hardware / firmware / profile</x:v>
      </x:c>
      <x:c r="L1" s="61" t="str">
        <x:v>Measured result with units</x:v>
      </x:c>
      <x:c r="M1" s="61" t="str">
        <x:v>Engineering limit approval</x:v>
      </x:c>
      <x:c r="N1" s="61" t="str">
        <x:v>Safety / operations approval</x:v>
      </x:c>
      <x:c r="O1" s="61" t="str">
        <x:v>Test date</x:v>
      </x:c>
      <x:c r="P1" s="62" t="str">
        <x:v>Owner / reviewer</x:v>
      </x:c>
    </x:row>
    <x:row r="2" ht="36" customHeight="1">
      <x:c r="A2" s="45" t="str">
        <x:v>OT-001</x:v>
      </x:c>
      <x:c r="B2" s="46" t="str">
        <x:v>TLS/mTLS gateway handshake under expected maintenance traffic</x:v>
      </x:c>
      <x:c r="C2" s="46" t="str">
        <x:v>Handshake success, latency, CPU, memory</x:v>
      </x:c>
      <x:c r="D2" s="66" t="str">
        <x:v>Capture before change</x:v>
      </x:c>
      <x:c r="E2" s="66" t="str">
        <x:v>No critical errors; latency within engineering threshold; CPU/memory within safety-approved limit.</x:v>
      </x:c>
      <x:c r="F2" s="66" t="str">
        <x:v>Lab</x:v>
      </x:c>
      <x:c r="G2" s="66" t="str">
        <x:v>Not Tested</x:v>
      </x:c>
      <x:c r="H2" s="66" t="str">
        <x:v>No</x:v>
      </x:c>
      <x:c r="I2" s="66"/>
      <x:c r="J2" s="66"/>
      <x:c r="K2" s="66"/>
      <x:c r="L2" s="66"/>
      <x:c r="M2" s="66"/>
      <x:c r="N2" s="66"/>
      <x:c r="O2" s="75"/>
      <x:c r="P2" s="73"/>
    </x:row>
    <x:row r="3" ht="36" customHeight="1">
      <x:c r="A3" s="63" t="str">
        <x:v>OT-002</x:v>
      </x:c>
      <x:c r="B3" s="64" t="str">
        <x:v>Certificate chain-size and trust-store compatibility test</x:v>
      </x:c>
      <x:c r="C3" s="64" t="str">
        <x:v>Chain validation success, error rate, log visibility</x:v>
      </x:c>
      <x:c r="D3" s="66" t="str">
        <x:v>Current chain size and validation behavior</x:v>
      </x:c>
      <x:c r="E3" s="66" t="str">
        <x:v>All test clients validate; failures are observable and reversible.</x:v>
      </x:c>
      <x:c r="F3" s="66" t="str">
        <x:v>Lab</x:v>
      </x:c>
      <x:c r="G3" s="66" t="str">
        <x:v>Not Tested</x:v>
      </x:c>
      <x:c r="H3" s="66" t="str">
        <x:v>No</x:v>
      </x:c>
      <x:c r="I3" s="66"/>
      <x:c r="J3" s="66"/>
      <x:c r="K3" s="66"/>
      <x:c r="L3" s="66"/>
      <x:c r="M3" s="66"/>
      <x:c r="N3" s="66"/>
      <x:c r="O3" s="75"/>
      <x:c r="P3" s="73"/>
    </x:row>
    <x:row r="4" ht="36" customHeight="1">
      <x:c r="A4" s="45" t="str">
        <x:v>OT-003</x:v>
      </x:c>
      <x:c r="B4" s="46" t="str">
        <x:v>Legacy gateway firmware/configuration rollback</x:v>
      </x:c>
      <x:c r="C4" s="46" t="str">
        <x:v>Rollback time, configuration integrity, restored service</x:v>
      </x:c>
      <x:c r="D4" s="66" t="str">
        <x:v>Current gateway config backup</x:v>
      </x:c>
      <x:c r="E4" s="66" t="str">
        <x:v>Rollback completes within approved window with service restored.</x:v>
      </x:c>
      <x:c r="F4" s="66" t="str">
        <x:v>Lab</x:v>
      </x:c>
      <x:c r="G4" s="66" t="str">
        <x:v>Not Tested</x:v>
      </x:c>
      <x:c r="H4" s="66" t="str">
        <x:v>No</x:v>
      </x:c>
      <x:c r="I4" s="66"/>
      <x:c r="J4" s="66"/>
      <x:c r="K4" s="66"/>
      <x:c r="L4" s="66"/>
      <x:c r="M4" s="66"/>
      <x:c r="N4" s="66"/>
      <x:c r="O4" s="75"/>
      <x:c r="P4" s="73"/>
    </x:row>
    <x:row r="5" ht="36" customHeight="1">
      <x:c r="A5" s="63" t="str">
        <x:v>OT-004</x:v>
      </x:c>
      <x:c r="B5" s="64" t="str">
        <x:v>Vendor remote-access session through controlled jump path</x:v>
      </x:c>
      <x:c r="C5" s="64" t="str">
        <x:v>Connection success, latency, logging, MFA/allowlist status</x:v>
      </x:c>
      <x:c r="D5" s="66" t="str">
        <x:v>Current vendor access baseline</x:v>
      </x:c>
      <x:c r="E5" s="66" t="str">
        <x:v>No bypass of remote-access controls; logs retained.</x:v>
      </x:c>
      <x:c r="F5" s="66" t="str">
        <x:v>Lab or maintenance window</x:v>
      </x:c>
      <x:c r="G5" s="66" t="str">
        <x:v>Not Tested</x:v>
      </x:c>
      <x:c r="H5" s="66" t="str">
        <x:v>No</x:v>
      </x:c>
      <x:c r="I5" s="66"/>
      <x:c r="J5" s="66"/>
      <x:c r="K5" s="66"/>
      <x:c r="L5" s="66"/>
      <x:c r="M5" s="66"/>
      <x:c r="N5" s="66"/>
      <x:c r="O5" s="75"/>
      <x:c r="P5" s="73"/>
    </x:row>
    <x:row r="6" ht="36" customHeight="1">
      <x:c r="A6" s="45" t="str">
        <x:v>OT-005</x:v>
      </x:c>
      <x:c r="B6" s="46" t="str">
        <x:v>Monitoring and alerting validation</x:v>
      </x:c>
      <x:c r="C6" s="46" t="str">
        <x:v>Alerts for cert errors, auth failures, VPN failures, gateway CPU/memory</x:v>
      </x:c>
      <x:c r="D6" s="66" t="str">
        <x:v>Current monitoring baseline</x:v>
      </x:c>
      <x:c r="E6" s="66" t="str">
        <x:v>Alerts fire for failure scenarios without unacceptable noise.</x:v>
      </x:c>
      <x:c r="F6" s="66" t="str">
        <x:v>Lab</x:v>
      </x:c>
      <x:c r="G6" s="66" t="str">
        <x:v>Not Tested</x:v>
      </x:c>
      <x:c r="H6" s="66" t="str">
        <x:v>No</x:v>
      </x:c>
      <x:c r="I6" s="66"/>
      <x:c r="J6" s="66"/>
      <x:c r="K6" s="66"/>
      <x:c r="L6" s="66"/>
      <x:c r="M6" s="66"/>
      <x:c r="N6" s="66"/>
      <x:c r="O6" s="75"/>
      <x:c r="P6" s="73"/>
    </x:row>
    <x:row r="7" ht="36" customHeight="1">
      <x:c r="A7" s="63" t="str">
        <x:v>OT-006</x:v>
      </x:c>
      <x:c r="B7" s="64" t="str">
        <x:v>Hybrid mode interoperability trial where vendor-supported</x:v>
      </x:c>
      <x:c r="C7" s="64" t="str">
        <x:v>Protocol success, latency, error rate, fallback behavior</x:v>
      </x:c>
      <x:c r="D7" s="66" t="str">
        <x:v>Current production-equivalent behavior</x:v>
      </x:c>
      <x:c r="E7" s="66" t="str">
        <x:v>Hybrid mode does not break test flows; rollback is validated.</x:v>
      </x:c>
      <x:c r="F7" s="66" t="str">
        <x:v>Lab</x:v>
      </x:c>
      <x:c r="G7" s="66" t="str">
        <x:v>Not Tested</x:v>
      </x:c>
      <x:c r="H7" s="66" t="str">
        <x:v>No</x:v>
      </x:c>
      <x:c r="I7" s="66"/>
      <x:c r="J7" s="66"/>
      <x:c r="K7" s="66"/>
      <x:c r="L7" s="66"/>
      <x:c r="M7" s="66"/>
      <x:c r="N7" s="66"/>
      <x:c r="O7" s="75"/>
      <x:c r="P7" s="73"/>
    </x:row>
    <x:row r="8" ht="34" customHeight="1">
      <x:c r="A8" s="45" t="str">
        <x:v>OT-007</x:v>
      </x:c>
      <x:c r="B8" s="46" t="str">
        <x:v>Worst credible load and degraded network</x:v>
      </x:c>
      <x:c r="C8" s="46" t="str">
        <x:v>Tail latency, jitter, CPU, RAM and timeouts</x:v>
      </x:c>
      <x:c r="D8" s="66" t="str">
        <x:v>Production-equivalent baseline</x:v>
      </x:c>
      <x:c r="E8" s="66" t="str">
        <x:v>All engineering-approved limits hold under peak load and packet loss.</x:v>
      </x:c>
      <x:c r="F8" s="66" t="str">
        <x:v>Representative lab</x:v>
      </x:c>
      <x:c r="G8" s="66" t="str">
        <x:v>Not Tested</x:v>
      </x:c>
      <x:c r="H8" s="66" t="str">
        <x:v>No</x:v>
      </x:c>
      <x:c r="I8" s="66"/>
      <x:c r="J8" s="66"/>
      <x:c r="K8" s="66"/>
      <x:c r="L8" s="66"/>
      <x:c r="M8" s="66"/>
      <x:c r="N8" s="66"/>
      <x:c r="O8" s="75"/>
      <x:c r="P8" s="73"/>
    </x:row>
    <x:row r="9" ht="36" customHeight="1">
      <x:c r="A9" s="63" t="str">
        <x:v>OT-008</x:v>
      </x:c>
      <x:c r="B9" s="64" t="str">
        <x:v>Power loss, cold start and disconnected operations</x:v>
      </x:c>
      <x:c r="C9" s="64" t="str">
        <x:v>Boot, local control, authentication and time sync</x:v>
      </x:c>
      <x:c r="D9" s="66" t="str">
        <x:v>Approved cold-start behavior</x:v>
      </x:c>
      <x:c r="E9" s="66" t="str">
        <x:v>Required safe local operation and recovery remain available.</x:v>
      </x:c>
      <x:c r="F9" s="66" t="str">
        <x:v>Representative lab</x:v>
      </x:c>
      <x:c r="G9" s="66" t="str">
        <x:v>Not Tested</x:v>
      </x:c>
      <x:c r="H9" s="66" t="str">
        <x:v>No</x:v>
      </x:c>
      <x:c r="I9" s="66"/>
      <x:c r="J9" s="66"/>
      <x:c r="K9" s="66"/>
      <x:c r="L9" s="66"/>
      <x:c r="M9" s="66"/>
      <x:c r="N9" s="66"/>
      <x:c r="O9" s="75"/>
      <x:c r="P9" s="73"/>
    </x:row>
    <x:row r="10" ht="36" customHeight="1">
      <x:c r="A10" s="45" t="str">
        <x:v>OT-009</x:v>
      </x:c>
      <x:c r="B10" s="46" t="str">
        <x:v>Tampered firmware and unauthorized downgrade</x:v>
      </x:c>
      <x:c r="C10" s="46" t="str">
        <x:v>Signature validation and recovery-media trust</x:v>
      </x:c>
      <x:c r="D10" s="66" t="str">
        <x:v>Approved firmware/trust anchors</x:v>
      </x:c>
      <x:c r="E10" s="66" t="str">
        <x:v>Invalid packages are rejected. Approved recovery restores a safe supported version.</x:v>
      </x:c>
      <x:c r="F10" s="66" t="str">
        <x:v>Representative lab</x:v>
      </x:c>
      <x:c r="G10" s="66" t="str">
        <x:v>Not Tested</x:v>
      </x:c>
      <x:c r="H10" s="66" t="str">
        <x:v>No</x:v>
      </x:c>
      <x:c r="I10" s="66"/>
      <x:c r="J10" s="66"/>
      <x:c r="K10" s="66"/>
      <x:c r="L10" s="66"/>
      <x:c r="M10" s="66"/>
      <x:c r="N10" s="66"/>
      <x:c r="O10" s="75"/>
      <x:c r="P10" s="73"/>
    </x:row>
    <x:row r="11" ht="36" customHeight="1">
      <x:c r="A11" s="63" t="str">
        <x:v>OT-010</x:v>
      </x:c>
      <x:c r="B11" s="64" t="str">
        <x:v>Expiry, renewal and revocation while disconnected</x:v>
      </x:c>
      <x:c r="C11" s="64" t="str">
        <x:v>Trust availability, logging and recovery</x:v>
      </x:c>
      <x:c r="D11" s="66" t="str">
        <x:v>Current lifecycle behavior</x:v>
      </x:c>
      <x:c r="E11" s="66" t="str">
        <x:v>Expected policy holds without bypass; renewal/recovery works across disconnected sites.</x:v>
      </x:c>
      <x:c r="F11" s="66" t="str">
        <x:v>Representative lab</x:v>
      </x:c>
      <x:c r="G11" s="66" t="str">
        <x:v>Not Tested</x:v>
      </x:c>
      <x:c r="H11" s="66" t="str">
        <x:v>No</x:v>
      </x:c>
      <x:c r="I11" s="66"/>
      <x:c r="J11" s="66"/>
      <x:c r="K11" s="66"/>
      <x:c r="L11" s="66"/>
      <x:c r="M11" s="66"/>
      <x:c r="N11" s="66"/>
      <x:c r="O11" s="75"/>
      <x:c r="P11" s="73"/>
    </x:row>
    <x:row r="12" ht="34" customHeight="1">
      <x:c r="A12" s="45" t="str">
        <x:v>OT-011</x:v>
      </x:c>
      <x:c r="B12" s="46" t="str">
        <x:v>Gateway failover and exposed-segment review</x:v>
      </x:c>
      <x:c r="C12" s="46" t="str">
        <x:v>Failover time and protected path boundary</x:v>
      </x:c>
      <x:c r="D12" s="66" t="str">
        <x:v>Approved topology and baseline</x:v>
      </x:c>
      <x:c r="E12" s="66" t="str">
        <x:v>No unapproved route or bypass. Failover meets engineering limits.</x:v>
      </x:c>
      <x:c r="F12" s="66" t="str">
        <x:v>Representative lab</x:v>
      </x:c>
      <x:c r="G12" s="66" t="str">
        <x:v>Not Tested</x:v>
      </x:c>
      <x:c r="H12" s="66" t="str">
        <x:v>No</x:v>
      </x:c>
      <x:c r="I12" s="66"/>
      <x:c r="J12" s="66"/>
      <x:c r="K12" s="66"/>
      <x:c r="L12" s="66"/>
      <x:c r="M12" s="66"/>
      <x:c r="N12" s="66"/>
      <x:c r="O12" s="75"/>
      <x:c r="P12" s="73"/>
    </x:row>
    <x:row r="13" ht="36" customHeight="1">
      <x:c r="A13" s="63" t="str">
        <x:v>OT-012</x:v>
      </x:c>
      <x:c r="B13" s="64" t="str">
        <x:v>Malformed ciphertext and downgrade behavior</x:v>
      </x:c>
      <x:c r="C13" s="64" t="str">
        <x:v>Failure, crash resistance and algorithms</x:v>
      </x:c>
      <x:c r="D13" s="66" t="str">
        <x:v>Vendor-approved behavior</x:v>
      </x:c>
      <x:c r="E13" s="66" t="str">
        <x:v>Vetted implementation follows policy without secret exposure or silent fallback.</x:v>
      </x:c>
      <x:c r="F13" s="66" t="str">
        <x:v>Representative lab</x:v>
      </x:c>
      <x:c r="G13" s="66" t="str">
        <x:v>Not Tested</x:v>
      </x:c>
      <x:c r="H13" s="66" t="str">
        <x:v>No</x:v>
      </x:c>
      <x:c r="I13" s="66"/>
      <x:c r="J13" s="66"/>
      <x:c r="K13" s="66"/>
      <x:c r="L13" s="66"/>
      <x:c r="M13" s="66"/>
      <x:c r="N13" s="66"/>
      <x:c r="O13" s="75"/>
      <x:c r="P13" s="73"/>
    </x:row>
    <x:row r="14" ht="36" customHeight="1">
      <x:c r="A14" s="45" t="str">
        <x:v>OT-013</x:v>
      </x:c>
      <x:c r="B14" s="46" t="str">
        <x:v>Safety and operator visibility during crypto failure</x:v>
      </x:c>
      <x:c r="C14" s="46" t="str">
        <x:v>Interlocks, fail-safe state, HMI and alarms</x:v>
      </x:c>
      <x:c r="D14" s="66" t="str">
        <x:v>Approved safety/operations behavior</x:v>
      </x:c>
      <x:c r="E14" s="66" t="str">
        <x:v>Independent engineering review confirms safety functions and required visibility.</x:v>
      </x:c>
      <x:c r="F14" s="66" t="str">
        <x:v>Representative lab</x:v>
      </x:c>
      <x:c r="G14" s="66" t="str">
        <x:v>Not Tested</x:v>
      </x:c>
      <x:c r="H14" s="66" t="str">
        <x:v>No</x:v>
      </x:c>
      <x:c r="I14" s="66"/>
      <x:c r="J14" s="66"/>
      <x:c r="K14" s="66"/>
      <x:c r="L14" s="66"/>
      <x:c r="M14" s="66"/>
      <x:c r="N14" s="66"/>
      <x:c r="O14" s="75"/>
      <x:c r="P14" s="73"/>
    </x:row>
    <x:row r="15" ht="36" customHeight="1">
      <x:c r="A15" s="63" t="str">
        <x:v>OT-014</x:v>
      </x:c>
      <x:c r="B15" s="64" t="str">
        <x:v>Backup, trust-anchor and key recovery</x:v>
      </x:c>
      <x:c r="C15" s="64" t="str">
        <x:v>Restore time, config integrity and key access</x:v>
      </x:c>
      <x:c r="D15" s="66" t="str">
        <x:v>Verified offline recovery set</x:v>
      </x:c>
      <x:c r="E15" s="66" t="str">
        <x:v>Complete recovery meets approved safety/restoration limits with evidence.</x:v>
      </x:c>
      <x:c r="F15" s="66" t="str">
        <x:v>Representative lab</x:v>
      </x:c>
      <x:c r="G15" s="66" t="str">
        <x:v>Not Tested</x:v>
      </x:c>
      <x:c r="H15" s="66" t="str">
        <x:v>No</x:v>
      </x:c>
      <x:c r="I15" s="66"/>
      <x:c r="J15" s="66"/>
      <x:c r="K15" s="66"/>
      <x:c r="L15" s="66"/>
      <x:c r="M15" s="66"/>
      <x:c r="N15" s="66"/>
      <x:c r="O15" s="75"/>
      <x:c r="P15" s="73"/>
    </x:row>
    <x:row r="16" ht="36" customHeight="1">
      <x:c r="A16" s="45" t="str">
        <x:v>OT-015</x:v>
      </x:c>
      <x:c r="B16" s="46" t="str">
        <x:v>Long-running soak and reconnect storm</x:v>
      </x:c>
      <x:c r="C16" s="46" t="str">
        <x:v>Timing drift, memory, retries and continuity</x:v>
      </x:c>
      <x:c r="D16" s="66" t="str">
        <x:v>Production-equivalent steady state</x:v>
      </x:c>
      <x:c r="E16" s="66" t="str">
        <x:v>No unacceptable timing, leak or loss of required control over the defined duration.</x:v>
      </x:c>
      <x:c r="F16" s="66" t="str">
        <x:v>Representative lab</x:v>
      </x:c>
      <x:c r="G16" s="66" t="str">
        <x:v>Not Tested</x:v>
      </x:c>
      <x:c r="H16" s="66" t="str">
        <x:v>No</x:v>
      </x:c>
      <x:c r="I16" s="66"/>
      <x:c r="J16" s="66"/>
      <x:c r="K16" s="66"/>
      <x:c r="L16" s="66"/>
      <x:c r="M16" s="66"/>
      <x:c r="N16" s="66"/>
      <x:c r="O16" s="75"/>
      <x:c r="P16" s="73"/>
    </x:row>
    <x:row r="17" ht="36" customHeight="1">
      <x:c r="A17" s="68" t="str">
        <x:v>OT-016</x:v>
      </x:c>
      <x:c r="B17" s="69" t="str">
        <x:v>Post-upgrade regression and rollback</x:v>
      </x:c>
      <x:c r="C17" s="69" t="str">
        <x:v>Critical flows, vendor access and inventory</x:v>
      </x:c>
      <x:c r="D17" s="67" t="str">
        <x:v>Last approved configuration</x:v>
      </x:c>
      <x:c r="E17" s="67" t="str">
        <x:v>Critical paths and safe rollback are verified; inventory matches deployed version.</x:v>
      </x:c>
      <x:c r="F17" s="67" t="str">
        <x:v>Representative lab</x:v>
      </x:c>
      <x:c r="G17" s="67" t="str">
        <x:v>Not Tested</x:v>
      </x:c>
      <x:c r="H17" s="67" t="str">
        <x:v>No</x:v>
      </x:c>
      <x:c r="I17" s="67"/>
      <x:c r="J17" s="67"/>
      <x:c r="K17" s="67"/>
      <x:c r="L17" s="67"/>
      <x:c r="M17" s="67"/>
      <x:c r="N17" s="67"/>
      <x:c r="O17" s="76"/>
      <x:c r="P17" s="74"/>
    </x:row>
  </x:sheetData>
  <x:dataValidations count="2">
    <x:dataValidation type="list" sqref="G2:G17">
      <x:formula1>"Not Tested,Pass,Fail,Blocked,Accepted Risk"</x:formula1>
    </x:dataValidation>
    <x:dataValidation type="list" sqref="H2:H17">
      <x:formula1>"Yes,No,N/A"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359932341f45e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  <x:col min="12" max="12" width="41" hidden="0" customWidth="1"/>
    <x:col min="13" max="13" width="43" hidden="0" customWidth="1"/>
    <x:col min="14" max="14" width="24" hidden="0" customWidth="1"/>
    <x:col min="15" max="15" width="42" hidden="0" customWidth="1"/>
    <x:col min="16" max="16" width="39" hidden="0" customWidth="1"/>
    <x:col min="17" max="17" width="41" hidden="0" customWidth="1"/>
    <x:col min="18" max="18" width="20" hidden="0" customWidth="1"/>
    <x:col min="19" max="19" width="38" hidden="0" customWidth="1"/>
  </x:cols>
  <x:sheetData>
    <x:row r="1" ht="42" customHeight="1">
      <x:c r="A1" s="60" t="str">
        <x:v>Vendor/Product</x:v>
      </x:c>
      <x:c r="B1" s="61" t="str">
        <x:v>OT Function</x:v>
      </x:c>
      <x:c r="C1" s="61" t="str">
        <x:v>Firmware/Version</x:v>
      </x:c>
      <x:c r="D1" s="61" t="str">
        <x:v>Support Window</x:v>
      </x:c>
      <x:c r="E1" s="61" t="str">
        <x:v>PQC Roadmap</x:v>
      </x:c>
      <x:c r="F1" s="61" t="str">
        <x:v>Cryptographic Disclosure Available?</x:v>
      </x:c>
      <x:c r="G1" s="61" t="str">
        <x:v>Maintenance Window Requirement</x:v>
      </x:c>
      <x:c r="H1" s="61" t="str">
        <x:v>Rollback Guidance Available?</x:v>
      </x:c>
      <x:c r="I1" s="61" t="str">
        <x:v>Owner</x:v>
      </x:c>
      <x:c r="J1" s="61" t="str">
        <x:v>Evidence Link</x:v>
      </x:c>
      <x:c r="K1" s="61" t="str">
        <x:v>Notes</x:v>
      </x:c>
      <x:c r="L1" s="61" t="str">
        <x:v>PQC algorithms / parameters</x:v>
      </x:c>
      <x:c r="M1" s="61" t="str">
        <x:v>Protocol profile / status</x:v>
      </x:c>
      <x:c r="N1" s="61" t="str">
        <x:v>Release date commitment</x:v>
      </x:c>
      <x:c r="O1" s="61" t="str">
        <x:v>CMVP certificate/version if required</x:v>
      </x:c>
      <x:c r="P1" s="61" t="str">
        <x:v>Safety certification impact</x:v>
      </x:c>
      <x:c r="Q1" s="61" t="str">
        <x:v>Verified interoperability evidence</x:v>
      </x:c>
      <x:c r="R1" s="61" t="str">
        <x:v>Support end date</x:v>
      </x:c>
      <x:c r="S1" s="62" t="str">
        <x:v>Replacement plan / next review</x:v>
      </x:c>
    </x:row>
    <x:row r="2" ht="36" customHeight="1">
      <x:c r="A2" s="71" t="str">
        <x:v>Example gateway vendor</x:v>
      </x:c>
      <x:c r="B2" s="66" t="str">
        <x:v>Remote access gateway</x:v>
      </x:c>
      <x:c r="C2" s="66" t="str">
        <x:v>Redacted</x:v>
      </x:c>
      <x:c r="D2" s="66" t="str">
        <x:v>Requested</x:v>
      </x:c>
      <x:c r="E2" s="66" t="str">
        <x:v>Requested</x:v>
      </x:c>
      <x:c r="F2" s="66" t="str">
        <x:v>Unknown</x:v>
      </x:c>
      <x:c r="G2" s="66" t="str">
        <x:v>Vendor-supported window required</x:v>
      </x:c>
      <x:c r="H2" s="66" t="str">
        <x:v>Unknown</x:v>
      </x:c>
      <x:c r="I2" s="66"/>
      <x:c r="J2" s="66"/>
      <x:c r="K2" s="66" t="str">
        <x:v>Example only</x:v>
      </x:c>
      <x:c r="L2" s="66" t="str">
        <x:v>Unknown</x:v>
      </x:c>
      <x:c r="M2" s="66" t="str">
        <x:v>Unknown</x:v>
      </x:c>
      <x:c r="N2" s="75"/>
      <x:c r="O2" s="66"/>
      <x:c r="P2" s="66" t="str">
        <x:v>Request vendor statement</x:v>
      </x:c>
      <x:c r="Q2" s="66"/>
      <x:c r="R2" s="75"/>
      <x:c r="S2" s="73"/>
    </x:row>
    <x:row r="3" ht="34" customHeight="1">
      <x:c r="A3" s="71" t="str">
        <x:v>Example protocol converter</x:v>
      </x:c>
      <x:c r="B3" s="66" t="str">
        <x:v>Legacy protocol gateway</x:v>
      </x:c>
      <x:c r="C3" s="66" t="str">
        <x:v>Redacted</x:v>
      </x:c>
      <x:c r="D3" s="66" t="str">
        <x:v>Requested</x:v>
      </x:c>
      <x:c r="E3" s="66" t="str">
        <x:v>Unknown</x:v>
      </x:c>
      <x:c r="F3" s="66" t="str">
        <x:v>Unknown</x:v>
      </x:c>
      <x:c r="G3" s="66" t="str">
        <x:v>Plant outage required</x:v>
      </x:c>
      <x:c r="H3" s="66" t="str">
        <x:v>Unknown</x:v>
      </x:c>
      <x:c r="I3" s="66"/>
      <x:c r="J3" s="66"/>
      <x:c r="K3" s="66" t="str">
        <x:v>Example only</x:v>
      </x:c>
      <x:c r="L3" s="66" t="str">
        <x:v>Unknown</x:v>
      </x:c>
      <x:c r="M3" s="66" t="str">
        <x:v>Unknown</x:v>
      </x:c>
      <x:c r="N3" s="75"/>
      <x:c r="O3" s="66"/>
      <x:c r="P3" s="66" t="str">
        <x:v>Request vendor statement</x:v>
      </x:c>
      <x:c r="Q3" s="66"/>
      <x:c r="R3" s="75"/>
      <x:c r="S3" s="73"/>
    </x:row>
    <x:row r="4" ht="34" customHeight="1">
      <x:c r="A4" s="71" t="str">
        <x:v>Example historian vendor</x:v>
      </x:c>
      <x:c r="B4" s="66" t="str">
        <x:v>Data collection/analytics</x:v>
      </x:c>
      <x:c r="C4" s="66" t="str">
        <x:v>Redacted</x:v>
      </x:c>
      <x:c r="D4" s="66" t="str">
        <x:v>Requested</x:v>
      </x:c>
      <x:c r="E4" s="66" t="str">
        <x:v>Roadmap requested</x:v>
      </x:c>
      <x:c r="F4" s="66" t="str">
        <x:v>Unknown</x:v>
      </x:c>
      <x:c r="G4" s="66" t="str">
        <x:v>Quarterly window</x:v>
      </x:c>
      <x:c r="H4" s="66" t="str">
        <x:v>Unknown</x:v>
      </x:c>
      <x:c r="I4" s="66"/>
      <x:c r="J4" s="66"/>
      <x:c r="K4" s="66" t="str">
        <x:v>Example only</x:v>
      </x:c>
      <x:c r="L4" s="66" t="str">
        <x:v>Unknown</x:v>
      </x:c>
      <x:c r="M4" s="66" t="str">
        <x:v>Unknown</x:v>
      </x:c>
      <x:c r="N4" s="75"/>
      <x:c r="O4" s="66"/>
      <x:c r="P4" s="66" t="str">
        <x:v>Request vendor statement</x:v>
      </x:c>
      <x:c r="Q4" s="66"/>
      <x:c r="R4" s="75"/>
      <x:c r="S4" s="73"/>
    </x:row>
    <x:row r="5" ht="34" customHeight="1">
      <x:c r="A5" s="71"/>
      <x:c r="B5" s="66"/>
      <x:c r="C5" s="66"/>
      <x:c r="D5" s="66"/>
      <x:c r="E5" s="66"/>
      <x:c r="F5" s="66"/>
      <x:c r="G5" s="66"/>
      <x:c r="H5" s="66"/>
      <x:c r="I5" s="66"/>
      <x:c r="J5" s="66"/>
      <x:c r="K5" s="66"/>
      <x:c r="L5" s="66"/>
      <x:c r="M5" s="66"/>
      <x:c r="N5" s="75"/>
      <x:c r="O5" s="66"/>
      <x:c r="P5" s="66"/>
      <x:c r="Q5" s="66"/>
      <x:c r="R5" s="75"/>
      <x:c r="S5" s="73"/>
    </x:row>
    <x:row r="6" ht="34" customHeight="1">
      <x:c r="A6" s="71"/>
      <x:c r="B6" s="66"/>
      <x:c r="C6" s="66"/>
      <x:c r="D6" s="66"/>
      <x:c r="E6" s="66"/>
      <x:c r="F6" s="66"/>
      <x:c r="G6" s="66"/>
      <x:c r="H6" s="66"/>
      <x:c r="I6" s="66"/>
      <x:c r="J6" s="66"/>
      <x:c r="K6" s="66"/>
      <x:c r="L6" s="66"/>
      <x:c r="M6" s="66"/>
      <x:c r="N6" s="75"/>
      <x:c r="O6" s="66"/>
      <x:c r="P6" s="66"/>
      <x:c r="Q6" s="66"/>
      <x:c r="R6" s="75"/>
      <x:c r="S6" s="73"/>
    </x:row>
    <x:row r="7" ht="34" customHeight="1">
      <x:c r="A7" s="71"/>
      <x:c r="B7" s="66"/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6"/>
      <x:c r="N7" s="75"/>
      <x:c r="O7" s="66"/>
      <x:c r="P7" s="66"/>
      <x:c r="Q7" s="66"/>
      <x:c r="R7" s="75"/>
      <x:c r="S7" s="73"/>
    </x:row>
    <x:row r="8" ht="34" customHeight="1">
      <x:c r="A8" s="71"/>
      <x:c r="B8" s="66"/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75"/>
      <x:c r="O8" s="66"/>
      <x:c r="P8" s="66"/>
      <x:c r="Q8" s="66"/>
      <x:c r="R8" s="75"/>
      <x:c r="S8" s="73"/>
    </x:row>
    <x:row r="9" ht="34" customHeight="1">
      <x:c r="A9" s="71"/>
      <x:c r="B9" s="66"/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75"/>
      <x:c r="O9" s="66"/>
      <x:c r="P9" s="66"/>
      <x:c r="Q9" s="66"/>
      <x:c r="R9" s="75"/>
      <x:c r="S9" s="73"/>
    </x:row>
    <x:row r="10" ht="34" customHeight="1">
      <x:c r="A10" s="71"/>
      <x:c r="B10" s="66"/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75"/>
      <x:c r="O10" s="66"/>
      <x:c r="P10" s="66"/>
      <x:c r="Q10" s="66"/>
      <x:c r="R10" s="75"/>
      <x:c r="S10" s="73"/>
    </x:row>
    <x:row r="11" ht="34" customHeight="1">
      <x:c r="A11" s="71"/>
      <x:c r="B11" s="66"/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75"/>
      <x:c r="O11" s="66"/>
      <x:c r="P11" s="66"/>
      <x:c r="Q11" s="66"/>
      <x:c r="R11" s="75"/>
      <x:c r="S11" s="73"/>
    </x:row>
    <x:row r="12" ht="34" customHeight="1">
      <x:c r="A12" s="71"/>
      <x:c r="B12" s="66"/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75"/>
      <x:c r="O12" s="66"/>
      <x:c r="P12" s="66"/>
      <x:c r="Q12" s="66"/>
      <x:c r="R12" s="75"/>
      <x:c r="S12" s="73"/>
    </x:row>
    <x:row r="13" ht="34" customHeight="1">
      <x:c r="A13" s="71"/>
      <x:c r="B13" s="66"/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75"/>
      <x:c r="O13" s="66"/>
      <x:c r="P13" s="66"/>
      <x:c r="Q13" s="66"/>
      <x:c r="R13" s="75"/>
      <x:c r="S13" s="73"/>
    </x:row>
    <x:row r="14" ht="34" customHeight="1">
      <x:c r="A14" s="71"/>
      <x:c r="B14" s="66"/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75"/>
      <x:c r="O14" s="66"/>
      <x:c r="P14" s="66"/>
      <x:c r="Q14" s="66"/>
      <x:c r="R14" s="75"/>
      <x:c r="S14" s="73"/>
    </x:row>
    <x:row r="15" ht="34" customHeight="1">
      <x:c r="A15" s="71"/>
      <x:c r="B15" s="66"/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75"/>
      <x:c r="O15" s="66"/>
      <x:c r="P15" s="66"/>
      <x:c r="Q15" s="66"/>
      <x:c r="R15" s="75"/>
      <x:c r="S15" s="73"/>
    </x:row>
    <x:row r="16" ht="34" customHeight="1">
      <x:c r="A16" s="71"/>
      <x:c r="B16" s="66"/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75"/>
      <x:c r="O16" s="66"/>
      <x:c r="P16" s="66"/>
      <x:c r="Q16" s="66"/>
      <x:c r="R16" s="75"/>
      <x:c r="S16" s="73"/>
    </x:row>
    <x:row r="17" ht="34" customHeight="1">
      <x:c r="A17" s="71"/>
      <x:c r="B17" s="66"/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75"/>
      <x:c r="O17" s="66"/>
      <x:c r="P17" s="66"/>
      <x:c r="Q17" s="66"/>
      <x:c r="R17" s="75"/>
      <x:c r="S17" s="73"/>
    </x:row>
    <x:row r="18" ht="34" customHeight="1">
      <x:c r="A18" s="71"/>
      <x:c r="B18" s="66"/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75"/>
      <x:c r="O18" s="66"/>
      <x:c r="P18" s="66"/>
      <x:c r="Q18" s="66"/>
      <x:c r="R18" s="75"/>
      <x:c r="S18" s="73"/>
    </x:row>
    <x:row r="19" ht="34" customHeight="1">
      <x:c r="A19" s="71"/>
      <x:c r="B19" s="66"/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75"/>
      <x:c r="O19" s="66"/>
      <x:c r="P19" s="66"/>
      <x:c r="Q19" s="66"/>
      <x:c r="R19" s="75"/>
      <x:c r="S19" s="73"/>
    </x:row>
    <x:row r="20" ht="34" customHeight="1">
      <x:c r="A20" s="71"/>
      <x:c r="B20" s="66"/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75"/>
      <x:c r="O20" s="66"/>
      <x:c r="P20" s="66"/>
      <x:c r="Q20" s="66"/>
      <x:c r="R20" s="75"/>
      <x:c r="S20" s="73"/>
    </x:row>
    <x:row r="21" ht="34" customHeight="1">
      <x:c r="A21" s="71"/>
      <x:c r="B21" s="66"/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75"/>
      <x:c r="O21" s="66"/>
      <x:c r="P21" s="66"/>
      <x:c r="Q21" s="66"/>
      <x:c r="R21" s="75"/>
      <x:c r="S21" s="73"/>
    </x:row>
    <x:row r="22" ht="34" customHeight="1">
      <x:c r="A22" s="71"/>
      <x:c r="B22" s="66"/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75"/>
      <x:c r="O22" s="66"/>
      <x:c r="P22" s="66"/>
      <x:c r="Q22" s="66"/>
      <x:c r="R22" s="75"/>
      <x:c r="S22" s="73"/>
    </x:row>
    <x:row r="23" ht="34" customHeight="1">
      <x:c r="A23" s="71"/>
      <x:c r="B23" s="66"/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75"/>
      <x:c r="O23" s="66"/>
      <x:c r="P23" s="66"/>
      <x:c r="Q23" s="66"/>
      <x:c r="R23" s="75"/>
      <x:c r="S23" s="73"/>
    </x:row>
    <x:row r="24" ht="34" customHeight="1">
      <x:c r="A24" s="71"/>
      <x:c r="B24" s="66"/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75"/>
      <x:c r="O24" s="66"/>
      <x:c r="P24" s="66"/>
      <x:c r="Q24" s="66"/>
      <x:c r="R24" s="75"/>
      <x:c r="S24" s="73"/>
    </x:row>
    <x:row r="25" ht="34" customHeight="1">
      <x:c r="A25" s="72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76"/>
      <x:c r="O25" s="67"/>
      <x:c r="P25" s="67"/>
      <x:c r="Q25" s="67"/>
      <x:c r="R25" s="76"/>
      <x:c r="S25" s="74"/>
    </x:row>
  </x:sheetData>
  <x:dataValidations count="2">
    <x:dataValidation type="list" sqref="F2:F25">
      <x:formula1>"Yes,No,Unknown,Requested"</x:formula1>
    </x:dataValidation>
    <x:dataValidation type="list" sqref="H2:H25">
      <x:formula1>"Yes,No,Unknown,Requested"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203a372d0043b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75" hidden="0" customWidth="1"/>
    <x:col min="3" max="3" width="40" hidden="0" customWidth="1"/>
    <x:col min="4" max="4" width="56" hidden="0" customWidth="1"/>
    <x:col min="5" max="5" width="86" hidden="0" customWidth="1"/>
  </x:cols>
  <x:sheetData>
    <x:row r="1" ht="28" hidden="0" customHeight="1">
      <x:c r="A1" s="92" t="str">
        <x:v>Sources v2.0. Reviewed 2026-09-29</x:v>
      </x:c>
      <x:c r="B1"/>
      <x:c r="C1"/>
      <x:c r="D1"/>
      <x:c r="E1"/>
      <x:c r="F1"/>
      <x:c r="G1"/>
      <x:c r="H1"/>
    </x:row>
    <x:row r="2" ht="20" hidden="0" customHeight="1">
      <x:c r="A2"/>
      <x:c r="B2"/>
      <x:c r="C2"/>
      <x:c r="D2"/>
      <x:c r="E2"/>
      <x:c r="F2"/>
      <x:c r="G2"/>
      <x:c r="H2"/>
    </x:row>
    <x:row r="3" ht="8" hidden="0" customHeight="1">
      <x:c r="A3"/>
      <x:c r="B3"/>
      <x:c r="C3"/>
      <x:c r="D3"/>
      <x:c r="E3"/>
      <x:c r="F3"/>
      <x:c r="G3"/>
      <x:c r="H3"/>
    </x:row>
    <x:row r="4" ht="42" hidden="0" customHeight="1">
      <x:c r="A4" s="60" t="str">
        <x:v>Source ID</x:v>
      </x:c>
      <x:c r="B4" s="61" t="str">
        <x:v>Publication and application</x:v>
      </x:c>
      <x:c r="C4" s="61" t="str">
        <x:v>Status as of 2026-09-29</x:v>
      </x:c>
      <x:c r="D4" s="61" t="str">
        <x:v>Interpretation</x:v>
      </x:c>
      <x:c r="E4" s="62" t="str">
        <x:v>Public URL</x:v>
      </x:c>
      <x:c r="F4"/>
      <x:c r="G4"/>
      <x:c r="H4"/>
    </x:row>
    <x:row r="5" ht="36" hidden="0" customHeight="1">
      <x:c r="A5" s="45" t="str">
        <x:v>N01</x:v>
      </x:c>
      <x:c r="B5" s="46" t="str">
        <x:v>FIPS 203 ML-KEM; key establishment, parameter sets 512/768/1024; monitor potential errata</x:v>
      </x:c>
      <x:c r="C5" s="46" t="str">
        <x:v>Final 2024-08-13; notice 2025-11-17</x:v>
      </x:c>
      <x:c r="D5" s="46" t="str">
        <x:v>Derived controls and annual phases are local planning recommendations. Drafts are not final requirements.</x:v>
      </x:c>
      <x:c r="E5" s="47" t="str">
        <x:v>https://csrc.nist.gov/pubs/fips/203/final</x:v>
      </x:c>
      <x:c r="F5"/>
      <x:c r="G5"/>
      <x:c r="H5"/>
    </x:row>
    <x:row r="6" ht="36" customHeight="1">
      <x:c r="A6" s="63" t="str">
        <x:v>N02</x:v>
      </x:c>
      <x:c r="B6" s="64" t="str">
        <x:v>FIPS 204 ML-DSA; signature generation and verification; monitor potential errata</x:v>
      </x:c>
      <x:c r="C6" s="64" t="str">
        <x:v>Final 2024-08-13; notice 2026-07-31</x:v>
      </x:c>
      <x:c r="D6" s="64" t="str">
        <x:v>Derived controls and annual phases are local planning recommendations. Drafts are not final requirements.</x:v>
      </x:c>
      <x:c r="E6" s="65" t="str">
        <x:v>https://csrc.nist.gov/pubs/fips/204/final</x:v>
      </x:c>
    </x:row>
    <x:row r="7" ht="36" customHeight="1">
      <x:c r="A7" s="45" t="str">
        <x:v>N03</x:v>
      </x:c>
      <x:c r="B7" s="46" t="str">
        <x:v>FIPS 205 SLH-DSA; stateless hash-based signatures</x:v>
      </x:c>
      <x:c r="C7" s="46" t="str">
        <x:v>Final 2024-08-13</x:v>
      </x:c>
      <x:c r="D7" s="46" t="str">
        <x:v>Derived controls and annual phases are local planning recommendations. Drafts are not final requirements.</x:v>
      </x:c>
      <x:c r="E7" s="47" t="str">
        <x:v>https://csrc.nist.gov/pubs/fips/205/final</x:v>
      </x:c>
    </x:row>
    <x:row r="8" ht="49" customHeight="1">
      <x:c r="A8" s="63" t="str">
        <x:v>N04</x:v>
      </x:c>
      <x:c r="B8" s="64" t="str">
        <x:v>SP 800-227; conforming KEM implementation, randomness, input validation, key destruction, authentication, key derivation/confirmation and multi-algorithm construction</x:v>
      </x:c>
      <x:c r="C8" s="64" t="str">
        <x:v>Final 2025-09-18</x:v>
      </x:c>
      <x:c r="D8" s="64" t="str">
        <x:v>Derived controls and annual phases are local planning recommendations. Drafts are not final requirements.</x:v>
      </x:c>
      <x:c r="E8" s="65" t="str">
        <x:v>https://csrc.nist.gov/pubs/sp/800/227/final</x:v>
      </x:c>
    </x:row>
    <x:row r="9" ht="36" customHeight="1">
      <x:c r="A9" s="45" t="str">
        <x:v>N05</x:v>
      </x:c>
      <x:c r="B9" s="46" t="str">
        <x:v>CSWP 39-upd1; governance, inventory, risk-prioritized agility, negotiation, supply chains, APIs, continuous improvement</x:v>
      </x:c>
      <x:c r="C9" s="46" t="str">
        <x:v>Final 2025-12-19; updated 2026-06-29</x:v>
      </x:c>
      <x:c r="D9" s="46" t="str">
        <x:v>Derived controls and annual phases are local planning recommendations. Drafts are not final requirements.</x:v>
      </x:c>
      <x:c r="E9" s="47" t="str">
        <x:v>https://csrc.nist.gov/pubs/cswp/39/upd1/considerations-for-achieving-crypto-agility/final</x:v>
      </x:c>
    </x:row>
    <x:row r="10" ht="36" customHeight="1">
      <x:c r="A10" s="63" t="str">
        <x:v>N06</x:v>
      </x:c>
      <x:c r="B10" s="64" t="str">
        <x:v>IR 8547; HNDL, signature and code-verification distinctions, draft transition tables</x:v>
      </x:c>
      <x:c r="C10" s="64" t="str">
        <x:v>Initial public draft 2024-11-12</x:v>
      </x:c>
      <x:c r="D10" s="64" t="str">
        <x:v>Derived controls and annual phases are local planning recommendations. Drafts are not final requirements.</x:v>
      </x:c>
      <x:c r="E10" s="65" t="str">
        <x:v>https://csrc.nist.gov/pubs/ir/8547/ipd</x:v>
      </x:c>
    </x:row>
    <x:row r="11" ht="36" customHeight="1">
      <x:c r="A11" s="45" t="str">
        <x:v>N07</x:v>
      </x:c>
      <x:c r="B11" s="46" t="str">
        <x:v>NCCoE Migration to PQC; discovery/inventory and interoperability workstreams; evolving output model</x:v>
      </x:c>
      <x:c r="C11" s="46" t="str">
        <x:v>Active project; preliminary documents</x:v>
      </x:c>
      <x:c r="D11" s="46" t="str">
        <x:v>Derived controls and annual phases are local planning recommendations. Drafts are not final requirements.</x:v>
      </x:c>
      <x:c r="E11" s="47" t="str">
        <x:v>https://www.nccoe.nist.gov/applied-cryptography/migration-to-pqc</x:v>
      </x:c>
    </x:row>
    <x:row r="12" ht="36" customHeight="1">
      <x:c r="A12" s="63" t="str">
        <x:v>N08</x:v>
      </x:c>
      <x:c r="B12" s="64" t="str">
        <x:v>SP 1800-38 B/C; discovery and interoperability/performance demonstration</x:v>
      </x:c>
      <x:c r="C12" s="64" t="str">
        <x:v>Initial preliminary draft 2023-12-19</x:v>
      </x:c>
      <x:c r="D12" s="64" t="str">
        <x:v>Derived controls and annual phases are local planning recommendations. Drafts are not final requirements.</x:v>
      </x:c>
      <x:c r="E12" s="65" t="str">
        <x:v>https://csrc.nist.gov/pubs/sp/1800/38/iprd-(1)</x:v>
      </x:c>
    </x:row>
    <x:row r="13" ht="36" customHeight="1">
      <x:c r="A13" s="45" t="str">
        <x:v>N09</x:v>
      </x:c>
      <x:c r="B13" s="46" t="str">
        <x:v>SP 800-57 Part 1 Rev. 5; key management baseline</x:v>
      </x:c>
      <x:c r="C13" s="46" t="str">
        <x:v>Final 2020-05-04</x:v>
      </x:c>
      <x:c r="D13" s="46" t="str">
        <x:v>Derived controls and annual phases are local planning recommendations. Drafts are not final requirements.</x:v>
      </x:c>
      <x:c r="E13" s="47" t="str">
        <x:v>https://csrc.nist.gov/pubs/sp/800/57/pt1/r5/final</x:v>
      </x:c>
    </x:row>
    <x:row r="14" ht="36" customHeight="1">
      <x:c r="A14" s="63" t="str">
        <x:v>N10</x:v>
      </x:c>
      <x:c r="B14" s="64" t="str">
        <x:v>SP 800-57 Part 1 Rev. 6; PQC-aware key management and storage proposals</x:v>
      </x:c>
      <x:c r="C14" s="64" t="str">
        <x:v>Initial public draft 2025-12-05</x:v>
      </x:c>
      <x:c r="D14" s="64" t="str">
        <x:v>Derived controls and annual phases are local planning recommendations. Drafts are not final requirements.</x:v>
      </x:c>
      <x:c r="E14" s="65" t="str">
        <x:v>https://csrc.nist.gov/pubs/sp/800/57/pt1/r6/ipd</x:v>
      </x:c>
    </x:row>
    <x:row r="15" ht="36" customHeight="1">
      <x:c r="A15" s="45" t="str">
        <x:v>N11</x:v>
      </x:c>
      <x:c r="B15" s="46" t="str">
        <x:v>SP 800-131A Rev. 2; current final algorithm transition baseline</x:v>
      </x:c>
      <x:c r="C15" s="46" t="str">
        <x:v>Final 2019-03-21</x:v>
      </x:c>
      <x:c r="D15" s="46" t="str">
        <x:v>Derived controls and annual phases are local planning recommendations. Drafts are not final requirements.</x:v>
      </x:c>
      <x:c r="E15" s="47" t="str">
        <x:v>https://csrc.nist.gov/pubs/sp/800/131/a/r2/final</x:v>
      </x:c>
    </x:row>
    <x:row r="16" ht="36" customHeight="1">
      <x:c r="A16" s="63" t="str">
        <x:v>N12</x:v>
      </x:c>
      <x:c r="B16" s="64" t="str">
        <x:v>SP 800-131A Rev. 3; proposed algorithm/key-strength transitions</x:v>
      </x:c>
      <x:c r="C16" s="64" t="str">
        <x:v>Initial public draft 2024-10-21</x:v>
      </x:c>
      <x:c r="D16" s="64" t="str">
        <x:v>Derived controls and annual phases are local planning recommendations. Drafts are not final requirements.</x:v>
      </x:c>
      <x:c r="E16" s="65" t="str">
        <x:v>https://csrc.nist.gov/pubs/sp/800/131/a/r3/ipd</x:v>
      </x:c>
    </x:row>
    <x:row r="17" ht="36" customHeight="1">
      <x:c r="A17" s="45" t="str">
        <x:v>N13</x:v>
      </x:c>
      <x:c r="B17" s="46" t="str">
        <x:v>SP 800-82 Rev. 3; OT performance, reliability, safety and controls</x:v>
      </x:c>
      <x:c r="C17" s="46" t="str">
        <x:v>Final 2023-09-28</x:v>
      </x:c>
      <x:c r="D17" s="46" t="str">
        <x:v>Derived controls and annual phases are local planning recommendations. Drafts are not final requirements.</x:v>
      </x:c>
      <x:c r="E17" s="47" t="str">
        <x:v>https://csrc.nist.gov/pubs/sp/800/82/r3/final</x:v>
      </x:c>
    </x:row>
    <x:row r="18" ht="36" customHeight="1">
      <x:c r="A18" s="63" t="str">
        <x:v>N14</x:v>
      </x:c>
      <x:c r="B18" s="64" t="str">
        <x:v>SP 800-82 Rev. 4; CSF2 alignment, asset management, monitoring, OT/IIoT/cloud, system-management security</x:v>
      </x:c>
      <x:c r="C18" s="64" t="str">
        <x:v>Initial public draft 2026-09-21</x:v>
      </x:c>
      <x:c r="D18" s="64" t="str">
        <x:v>Derived controls and annual phases are local planning recommendations. Drafts are not final requirements.</x:v>
      </x:c>
      <x:c r="E18" s="65" t="str">
        <x:v>https://csrc.nist.gov/pubs/sp/800/82/r4/ipd</x:v>
      </x:c>
    </x:row>
    <x:row r="19" ht="36" customHeight="1">
      <x:c r="A19" s="45" t="str">
        <x:v>N15</x:v>
      </x:c>
      <x:c r="B19" s="46" t="str">
        <x:v>SP 1339; backups in OT change and recovery practice</x:v>
      </x:c>
      <x:c r="C19" s="46" t="str">
        <x:v>Final 2026-06-17</x:v>
      </x:c>
      <x:c r="D19" s="46" t="str">
        <x:v>Derived controls and annual phases are local planning recommendations. Drafts are not final requirements.</x:v>
      </x:c>
      <x:c r="E19" s="47" t="str">
        <x:v>https://csrc.nist.gov/pubs/sp/1339/final</x:v>
      </x:c>
    </x:row>
    <x:row r="20" ht="36" customHeight="1">
      <x:c r="A20" s="63" t="str">
        <x:v>N16</x:v>
      </x:c>
      <x:c r="B20" s="64" t="str">
        <x:v>IR 8587; signed tokens/assertions, key lifecycle, verification, workload/automated identity token use, Section 7.7 PQC interoperability constraints</x:v>
      </x:c>
      <x:c r="C20" s="64" t="str">
        <x:v>Final 2026-09-15</x:v>
      </x:c>
      <x:c r="D20" s="64" t="str">
        <x:v>Derived controls and annual phases are local planning recommendations. Drafts are not final requirements.</x:v>
      </x:c>
      <x:c r="E20" s="65" t="str">
        <x:v>https://csrc.nist.gov/pubs/ir/8587/final</x:v>
      </x:c>
    </x:row>
    <x:row r="21" ht="36" customHeight="1">
      <x:c r="A21" s="45" t="str">
        <x:v>N17</x:v>
      </x:c>
      <x:c r="B21" s="46" t="str">
        <x:v>SP 800-228-upd1; API lifecycle risks and controls</x:v>
      </x:c>
      <x:c r="C21" s="46" t="str">
        <x:v>Final; original 2025-06-27, updated 2026-03-13</x:v>
      </x:c>
      <x:c r="D21" s="46" t="str">
        <x:v>Derived controls and annual phases are local planning recommendations. Drafts are not final requirements.</x:v>
      </x:c>
      <x:c r="E21" s="47" t="str">
        <x:v>https://csrc.nist.gov/pubs/sp/800/228/upd1/final</x:v>
      </x:c>
    </x:row>
    <x:row r="22" ht="36" customHeight="1">
      <x:c r="A22" s="63" t="str">
        <x:v>N18</x:v>
      </x:c>
      <x:c r="B22" s="64" t="str">
        <x:v>CSWP 48; mapping PQC discovery and interoperability capabilities to risk frameworks</x:v>
      </x:c>
      <x:c r="C22" s="64" t="str">
        <x:v>Initial public draft 2025-09-18</x:v>
      </x:c>
      <x:c r="D22" s="64" t="str">
        <x:v>Derived controls and annual phases are local planning recommendations. Drafts are not final requirements.</x:v>
      </x:c>
      <x:c r="E22" s="65" t="str">
        <x:v>https://csrc.nist.gov/pubs/cswp/48/mapping-migration-to-pqc-project-capabilities-to-r/ipd</x:v>
      </x:c>
    </x:row>
    <x:row r="23" ht="36" customHeight="1">
      <x:c r="A23" s="45" t="str">
        <x:v>N19</x:v>
      </x:c>
      <x:c r="B23" s="46" t="str">
        <x:v>NIST PQC project; current standardized/selected algorithm status</x:v>
      </x:c>
      <x:c r="C23" s="46" t="str">
        <x:v>Project updated 2026-08-05</x:v>
      </x:c>
      <x:c r="D23" s="46" t="str">
        <x:v>Derived controls and annual phases are local planning recommendations. Drafts are not final requirements.</x:v>
      </x:c>
      <x:c r="E23" s="47" t="str">
        <x:v>https://csrc.nist.gov/projects/post-quantum-cryptography</x:v>
      </x:c>
    </x:row>
    <x:row r="24" ht="36" customHeight="1">
      <x:c r="A24" s="63" t="str">
        <x:v>N20</x:v>
      </x:c>
      <x:c r="B24" s="64" t="str">
        <x:v>HQC selection announcement; diversification backup, continue current migration, expected 2027 finalization</x:v>
      </x:c>
      <x:c r="C24" s="64" t="str">
        <x:v>Selection announcement 2025-03-11, forecast not approval</x:v>
      </x:c>
      <x:c r="D24" s="64" t="str">
        <x:v>Derived controls and annual phases are local planning recommendations. Drafts are not final requirements.</x:v>
      </x:c>
      <x:c r="E24" s="65" t="str">
        <x:v>https://www.nist.gov/news-events/news/2025/03/nist-selects-hqc-fifth-algorithm-post-quantum-encryption</x:v>
      </x:c>
    </x:row>
    <x:row r="25" ht="36" customHeight="1">
      <x:c r="A25" s="45" t="str">
        <x:v>N21</x:v>
      </x:c>
      <x:c r="B25" s="46" t="str">
        <x:v>Additional digital signature schemes; Round3 announced May14,2026</x:v>
      </x:c>
      <x:c r="C25" s="46" t="str">
        <x:v>Evaluation candidates, not standards</x:v>
      </x:c>
      <x:c r="D25" s="46" t="str">
        <x:v>Derived controls and annual phases are local planning recommendations. Drafts are not final requirements.</x:v>
      </x:c>
      <x:c r="E25" s="47" t="str">
        <x:v>https://csrc.nist.gov/projects/pqc-dig-sig</x:v>
      </x:c>
    </x:row>
    <x:row r="26" ht="36" customHeight="1">
      <x:c r="A26" s="63" t="str">
        <x:v>N22</x:v>
      </x:c>
      <x:c r="B26" s="64" t="str">
        <x:v>SP 800-204A; service-mesh security architecture</x:v>
      </x:c>
      <x:c r="C26" s="64" t="str">
        <x:v>Final 2020-05-27</x:v>
      </x:c>
      <x:c r="D26" s="64" t="str">
        <x:v>Derived controls and annual phases are local planning recommendations. Drafts are not final requirements.</x:v>
      </x:c>
      <x:c r="E26" s="65" t="str">
        <x:v>https://csrc.nist.gov/pubs/sp/800/204/a/final</x:v>
      </x:c>
    </x:row>
    <x:row r="27" ht="36" customHeight="1">
      <x:c r="A27" s="45" t="str">
        <x:v>N23</x:v>
      </x:c>
      <x:c r="B27" s="46" t="str">
        <x:v>SP 800-204B; service-mesh authentication/authorization</x:v>
      </x:c>
      <x:c r="C27" s="46" t="str">
        <x:v>Final 2021-08</x:v>
      </x:c>
      <x:c r="D27" s="46" t="str">
        <x:v>Derived controls and annual phases are local planning recommendations. Drafts are not final requirements.</x:v>
      </x:c>
      <x:c r="E27" s="47" t="str">
        <x:v>https://csrc.nist.gov/pubs/sp/800/204/b/final</x:v>
      </x:c>
    </x:row>
    <x:row r="28" ht="36" customHeight="1">
      <x:c r="A28" s="63" t="str">
        <x:v>N24</x:v>
      </x:c>
      <x:c r="B28" s="64" t="str">
        <x:v>CAVP program; algorithm validation is prerequisite to, not replacement for, module validation</x:v>
      </x:c>
      <x:c r="C28" s="64" t="str">
        <x:v>Official program; updated 2026-09-22</x:v>
      </x:c>
      <x:c r="D28" s="64" t="str">
        <x:v>Derived controls and annual phases are local planning recommendations. Drafts are not final requirements.</x:v>
      </x:c>
      <x:c r="E28" s="65" t="str">
        <x:v>https://csrc.nist.gov/projects/cryptographic-algorithm-validation-program</x:v>
      </x:c>
    </x:row>
    <x:row r="29" ht="36" customHeight="1">
      <x:c r="A29" s="45" t="str">
        <x:v>N25</x:v>
      </x:c>
      <x:c r="B29" s="46" t="str">
        <x:v>CMVP FAQ; module/version/operating-environment verification, protocol/product validation boundary, FIPS140-2 active-list transition</x:v>
      </x:c>
      <x:c r="C29" s="46" t="str">
        <x:v>Official FAQ checked 2026-09-29</x:v>
      </x:c>
      <x:c r="D29" s="46" t="str">
        <x:v>Derived controls and annual phases are local planning recommendations. Drafts are not final requirements.</x:v>
      </x:c>
      <x:c r="E29" s="47" t="str">
        <x:v>https://csrc.nist.gov/Projects/cryptographic-module-validation-program/faqs</x:v>
      </x:c>
    </x:row>
    <x:row r="30" ht="36" customHeight="1">
      <x:c r="A30" s="63" t="str">
        <x:v>N26</x:v>
      </x:c>
      <x:c r="B30" s="64" t="str">
        <x:v>CMVP validated modules; inspect certificate/security policy and active/historical/revoked status</x:v>
      </x:c>
      <x:c r="C30" s="64" t="str">
        <x:v>Live certificate registry checked 2026-09-29</x:v>
      </x:c>
      <x:c r="D30" s="64" t="str">
        <x:v>Derived controls and annual phases are local planning recommendations. Drafts are not final requirements.</x:v>
      </x:c>
      <x:c r="E30" s="65" t="str">
        <x:v>https://csrc.nist.gov/projects/cryptographic-module-validation-program/validated-modules</x:v>
      </x:c>
    </x:row>
    <x:row r="31" ht="36" customHeight="1">
      <x:c r="A31" s="45" t="str">
        <x:v>N27</x:v>
      </x:c>
      <x:c r="B31" s="46" t="str">
        <x:v>CSWP 29 / CSF 2.0; cybersecurity outcome framework, not a prescriptive PQC implementation standard</x:v>
      </x:c>
      <x:c r="C31" s="46" t="str">
        <x:v>Final 2024-02-26</x:v>
      </x:c>
      <x:c r="D31" s="46" t="str">
        <x:v>Derived controls and annual phases are local planning recommendations. Drafts are not final requirements.</x:v>
      </x:c>
      <x:c r="E31" s="47" t="str">
        <x:v>https://csrc.nist.gov/pubs/cswp/29/the-nist-cybersecurity-framework-csf-20/final</x:v>
      </x:c>
    </x:row>
    <x:row r="32" ht="36" customHeight="1">
      <x:c r="A32" s="63" t="str">
        <x:v>N28</x:v>
      </x:c>
      <x:c r="B32" s="64" t="str">
        <x:v>SP 800-53 Rev. 5; current control catalog is Release 5.2.0 referenced by publication-page planning note</x:v>
      </x:c>
      <x:c r="C32" s="64" t="str">
        <x:v>Final; base 2020-09/update 2020-12-10; minor Release 5.2.0 finalized 2025-08-27</x:v>
      </x:c>
      <x:c r="D32" s="64" t="str">
        <x:v>Derived controls and annual phases are local planning recommendations. Drafts are not final requirements.</x:v>
      </x:c>
      <x:c r="E32" s="65" t="str">
        <x:v>https://csrc.nist.gov/pubs/sp/800/53/r5/upd1/final</x:v>
      </x:c>
    </x:row>
    <x:row r="33" ht="36" customHeight="1">
      <x:c r="A33" s="45" t="str">
        <x:v>N29</x:v>
      </x:c>
      <x:c r="B33" s="46" t="str">
        <x:v>SP 800-161 Rev. 1-upd1; supplier risk and dependency governance</x:v>
      </x:c>
      <x:c r="C33" s="46" t="str">
        <x:v>Final; original 2022-05, update 2024-11-01</x:v>
      </x:c>
      <x:c r="D33" s="46" t="str">
        <x:v>Derived controls and annual phases are local planning recommendations. Drafts are not final requirements.</x:v>
      </x:c>
      <x:c r="E33" s="47" t="str">
        <x:v>https://csrc.nist.gov/pubs/sp/800/161/r1/upd1/final</x:v>
      </x:c>
    </x:row>
    <x:row r="34" ht="36" customHeight="1">
      <x:c r="A34" s="63" t="str">
        <x:v>N30</x:v>
      </x:c>
      <x:c r="B34" s="64" t="str">
        <x:v>SP 800-230; additional limited-signature SLH-DSA parameter sets, software/firmware/certificate watch item</x:v>
      </x:c>
      <x:c r="C34" s="64" t="str">
        <x:v>Initial public draft 2026-04-13</x:v>
      </x:c>
      <x:c r="D34" s="64" t="str">
        <x:v>Derived controls and annual phases are local planning recommendations. Drafts are not final requirements.</x:v>
      </x:c>
      <x:c r="E34" s="65" t="str">
        <x:v>https://csrc.nist.gov/pubs/sp/800/230/ipd</x:v>
      </x:c>
    </x:row>
    <x:row r="35" ht="36" customHeight="1">
      <x:c r="A35" s="45" t="str">
        <x:v>N31</x:v>
      </x:c>
      <x:c r="B35" s="46" t="str">
        <x:v>SP 800-133 Rev. 3; proposed PQC key generation, seed expansion, KEM and HSM considerations</x:v>
      </x:c>
      <x:c r="C35" s="46" t="str">
        <x:v>Initial public draft 2026-04-17</x:v>
      </x:c>
      <x:c r="D35" s="46" t="str">
        <x:v>Derived controls and annual phases are local planning recommendations. Drafts are not final requirements.</x:v>
      </x:c>
      <x:c r="E35" s="47" t="str">
        <x:v>https://csrc.nist.gov/pubs/sp/800/133/r3/ipd</x:v>
      </x:c>
    </x:row>
    <x:row r="36" ht="49" customHeight="1">
      <x:c r="A36" s="63" t="str">
        <x:v>C1</x:v>
      </x:c>
      <x:c r="B36" s="64" t="str">
        <x:v>CISA - Product Categories for Technologies That Use Post-Quantum Cryptography Standards</x:v>
      </x:c>
      <x:c r="C36" s="64" t="str">
        <x:v>Supplementary guidance; see publication</x:v>
      </x:c>
      <x:c r="D36" s="64" t="str">
        <x:v>2026 product-category reference for PQC adoption, including cloud services, web software, and endpoint security categories.</x:v>
      </x:c>
      <x:c r="E36" s="65" t="str">
        <x:v>https://content.govdelivery.com/accounts/USDHSCISA/bulletins/405c246</x:v>
      </x:c>
    </x:row>
    <x:row r="37" ht="36" customHeight="1">
      <x:c r="A37" s="45" t="str">
        <x:v>C2</x:v>
      </x:c>
      <x:c r="B37" s="46" t="str">
        <x:v>CISA/NSA/NIST - Quantum-Readiness: Migration to Post-Quantum Cryptography</x:v>
      </x:c>
      <x:c r="C37" s="46" t="str">
        <x:v>Supplementary guidance; see publication</x:v>
      </x:c>
      <x:c r="D37" s="46" t="str">
        <x:v>Quantum-readiness roadmap, cryptographic inventory, vendor engagement, and supply-chain dependency assessment.</x:v>
      </x:c>
      <x:c r="E37" s="47" t="str">
        <x:v>https://www.cisa.gov/resources-tools/resources/quantum-readiness-migration-post-quantum-cryptography</x:v>
      </x:c>
    </x:row>
    <x:row r="38" ht="36" customHeight="1">
      <x:c r="A38" s="68" t="str">
        <x:v>C3</x:v>
      </x:c>
      <x:c r="B38" s="69" t="str">
        <x:v>CISA - Post-Quantum Considerations for Operational Technology</x:v>
      </x:c>
      <x:c r="C38" s="69" t="str">
        <x:v>Supplementary guidance; see publication</x:v>
      </x:c>
      <x:c r="D38" s="69" t="str">
        <x:v>OT/ICS/SCADA migration considerations for safety, performance, vendor dependency, and operational continuity.</x:v>
      </x:c>
      <x:c r="E38" s="70" t="str">
        <x:v>https://www.cisa.gov/resources-tools/resources/post-quantum-considerations-operational-technology</x:v>
      </x:c>
    </x:row>
  </x:sheetData>
  <x:pageMargins left="0.7" right="0.7" top="0.75" bottom="0.75" header="0.3" footer="0.3"/>
  <x:tableParts count="1">
    <x:tablePart xmlns:r="http://schemas.openxmlformats.org/officeDocument/2006/relationships" r:id="R1773e6a5ecf847bf"/>
  </x:tableParts>
</x:worksheet>
</file>

<file path=docProps/core.xml><?xml version="1.0" encoding="utf-8"?>
<cp:coreProperties xmlns:cp="http://schemas.openxmlformats.org/package/2006/metadata/core-properties" xmlns:dc="http://purl.org/dc/elements/1.1/">
  <dc:creator>Ankit Gupta</dc:creator>
  <cp:lastModifiedBy>Ankit Gupta</cp:lastModifiedBy>
</cp:coreProperties>
</file>