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tables/table1.xml" ContentType="application/vnd.openxmlformats-officedocument.spreadsheetml.table+xml"/>
  <ns0:Override PartName="/xl/worksheets/sheet3.xml" ContentType="application/vnd.openxmlformats-officedocument.spreadsheetml.worksheet+xml"/>
  <ns0:Override PartName="/xl/tables/table2.xml" ContentType="application/vnd.openxmlformats-officedocument.spreadsheetml.table+xml"/>
  <ns0:Override PartName="/xl/worksheets/sheet4.xml" ContentType="application/vnd.openxmlformats-officedocument.spreadsheetml.worksheet+xml"/>
  <ns0:Override PartName="/xl/tables/table3.xml" ContentType="application/vnd.openxmlformats-officedocument.spreadsheetml.table+xml"/>
  <ns0:Override PartName="/xl/worksheets/sheet5.xml" ContentType="application/vnd.openxmlformats-officedocument.spreadsheetml.worksheet+xml"/>
  <ns0:Override PartName="/xl/tables/table4.xml" ContentType="application/vnd.openxmlformats-officedocument.spreadsheetml.table+xml"/>
  <ns0:Override PartName="/xl/worksheets/sheet6.xml" ContentType="application/vnd.openxmlformats-officedocument.spreadsheetml.worksheet+xml"/>
  <ns0:Override PartName="/xl/tables/table5.xml" ContentType="application/vnd.openxmlformats-officedocument.spreadsheetml.table+xml"/>
  <ns0:Override PartName="/xl/worksheets/sheet7.xml" ContentType="application/vnd.openxmlformats-officedocument.spreadsheetml.worksheet+xml"/>
  <ns0:Override PartName="/xl/tables/table6.xml" ContentType="application/vnd.openxmlformats-officedocument.spreadsheetml.table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3eab56bb34974ca5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b594f85a4864395"/>
    <x:sheet xmlns:r="http://schemas.openxmlformats.org/officeDocument/2006/relationships" name="Checklist" sheetId="2" r:id="R8fe6497727214641"/>
    <x:sheet xmlns:r="http://schemas.openxmlformats.org/officeDocument/2006/relationships" name="Workload_Identity_Inventory" sheetId="3" r:id="R7561de1f967e4ebc"/>
    <x:sheet xmlns:r="http://schemas.openxmlformats.org/officeDocument/2006/relationships" name="Certificate_and_Key_Map" sheetId="4" r:id="R952a0eeaad6e472b"/>
    <x:sheet xmlns:r="http://schemas.openxmlformats.org/officeDocument/2006/relationships" name="CISA_Category_Map" sheetId="5" r:id="Ra5d2164f29bb4b41"/>
    <x:sheet xmlns:r="http://schemas.openxmlformats.org/officeDocument/2006/relationships" name="Pilot_Test_Plan" sheetId="6" r:id="R0611da7697f04119"/>
    <x:sheet xmlns:r="http://schemas.openxmlformats.org/officeDocument/2006/relationships" name="Sources" sheetId="7" r:id="R422b7e44cc0c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0"/>
      <x:color rgb="FF182B42"/>
      <x:name val="Arial"/>
    </x:font>
    <x:font>
      <x:sz val="10"/>
      <x:color rgb="FF182B42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sz val="10"/>
      <x:color rgb="FF0F172A"/>
      <x:name val="Arial"/>
    </x:font>
    <x:font>
      <x:sz val="10"/>
      <x:name val="Arial"/>
    </x:font>
    <x:font>
      <x:b/>
      <x:sz val="14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2355B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FFF8DD"/>
      </x:patternFill>
    </x:fill>
  </x:fills>
  <x:borders count="10">
    <x:border/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horizontal="center"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xfId="0" applyNumberFormat="1" applyFont="1" applyFill="1" applyBorder="0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7" xfId="0" applyNumberFormat="1" applyFont="1" applyFill="1" applyBorder="0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200" fontId="6" fillId="7" xfId="0" applyNumberFormat="1" applyFont="1" applyFill="1" applyBorder="0" applyAlignment="1">
      <x:alignment vertical="top" wrapText="1"/>
    </x:xf>
    <x:xf numFmtId="200" fontId="6" fillId="7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top" wrapText="1"/>
    </x:xf>
    <x:xf numFmtId="200" fontId="9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wrapText="1"/>
    </x:xf>
    <x:xf numFmtId="201" fontId="10" fillId="6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6" fillId="0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2222"/>
      </x:font>
      <x:fill>
        <x:patternFill patternType="solid">
          <x:bgColor rgb="FFFDE9E7"/>
        </x:patternFill>
      </x:fill>
    </x:dxf>
    <x:dxf>
      <x:font>
        <x:color rgb="FF9C2222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db4fd36aa45ae" /><Relationship Type="http://schemas.openxmlformats.org/officeDocument/2006/relationships/theme" Target="/xl/theme/theme1.xml" Id="Rc01c729c9c124f6a" /><Relationship Type="http://schemas.openxmlformats.org/officeDocument/2006/relationships/sharedStrings" Target="/xl/sharedStrings.xml" Id="Rc28e9a0a2d2d4013" /><Relationship Type="http://schemas.openxmlformats.org/officeDocument/2006/relationships/worksheet" Target="/xl/worksheets/sheet1.xml" Id="Rcb594f85a4864395" /><Relationship Type="http://schemas.openxmlformats.org/officeDocument/2006/relationships/worksheet" Target="/xl/worksheets/sheet2.xml" Id="R8fe6497727214641" /><Relationship Type="http://schemas.openxmlformats.org/officeDocument/2006/relationships/worksheet" Target="/xl/worksheets/sheet3.xml" Id="R7561de1f967e4ebc" /><Relationship Type="http://schemas.openxmlformats.org/officeDocument/2006/relationships/worksheet" Target="/xl/worksheets/sheet4.xml" Id="R952a0eeaad6e472b" /><Relationship Type="http://schemas.openxmlformats.org/officeDocument/2006/relationships/worksheet" Target="/xl/worksheets/sheet5.xml" Id="Ra5d2164f29bb4b41" /><Relationship Type="http://schemas.openxmlformats.org/officeDocument/2006/relationships/worksheet" Target="/xl/worksheets/sheet6.xml" Id="R0611da7697f04119" /><Relationship Type="http://schemas.openxmlformats.org/officeDocument/2006/relationships/worksheet" Target="/xl/worksheets/sheet7.xml" Id="R422b7e44cc0c4956" /></Relationships>
</file>

<file path=xl/tables/table1.xml><?xml version="1.0" encoding="utf-8"?>
<x:table xmlns:x="http://schemas.openxmlformats.org/spreadsheetml/2006/main" id="1" name="CloudChecklistV2" displayName="CloudChecklistV2" ref="A1:S39" headerRowCount="1" totalsRowCount="0" totalsRowShown="0">
  <x:autoFilter ref="A1:S39"/>
  <x:tableColumns count="19">
    <x:tableColumn id="1" name="Domain"/>
    <x:tableColumn id="2" name="Control / Task"/>
    <x:tableColumn id="3" name="Why It Matters"/>
    <x:tableColumn id="4" name="Product-family mapping"/>
    <x:tableColumn id="5" name="NIST/PQC Alignment"/>
    <x:tableColumn id="6" name="Status"/>
    <x:tableColumn id="7" name="Priority"/>
    <x:tableColumn id="8" name="Owner"/>
    <x:tableColumn id="9" name="Due Date"/>
    <x:tableColumn id="10" name="Evidence Link"/>
    <x:tableColumn id="11" name="Notes"/>
    <x:tableColumn id="12" name="Control ID"/>
    <x:tableColumn id="13" name="Planning horizon"/>
    <x:tableColumn id="14" name="Guidance status"/>
    <x:tableColumn id="15" name="Review date"/>
    <x:tableColumn id="16" name="Reviewer"/>
    <x:tableColumn id="17" name="Rationale / approval"/>
    <x:tableColumn id="18" name="Next action"/>
    <x:tableColumn id="19" name="Threat / ga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loadIdentityInventoryV2" displayName="WorkloadIdentityInventoryV2" ref="A1:AB25" headerRowCount="1" totalsRowCount="0" totalsRowShown="0">
  <x:autoFilter ref="A1:AB25"/>
  <x:tableColumns count="28">
    <x:tableColumn id="1" name="Platform"/>
    <x:tableColumn id="2" name="Workload/App"/>
    <x:tableColumn id="3" name="Environment"/>
    <x:tableColumn id="4" name="Identity Type"/>
    <x:tableColumn id="5" name="Token/Certificate Mechanism"/>
    <x:tableColumn id="6" name="Signing Algorithm"/>
    <x:tableColumn id="7" name="Issuer / Trust Anchor"/>
    <x:tableColumn id="8" name="Rotation Period"/>
    <x:tableColumn id="9" name="External Exposure"/>
    <x:tableColumn id="10" name="PQC Dependency"/>
    <x:tableColumn id="11" name="Migration Blocker"/>
    <x:tableColumn id="12" name="Priority"/>
    <x:tableColumn id="13" name="Owner"/>
    <x:tableColumn id="14" name="Evidence Link"/>
    <x:tableColumn id="15" name="Notes"/>
    <x:tableColumn id="16" name="Asset / flow ID"/>
    <x:tableColumn id="17" name="Crypto library/provider version"/>
    <x:tableColumn id="18" name="Protocol/profile and version"/>
    <x:tableColumn id="19" name="Key establishment / KEM"/>
    <x:tableColumn id="20" name="Parameter set"/>
    <x:tableColumn id="21" name="Confidentiality lifetime (years)"/>
    <x:tableColumn id="22" name="Signature verification lifetime"/>
    <x:tableColumn id="23" name="Discovery method"/>
    <x:tableColumn id="24" name="Last observed"/>
    <x:tableColumn id="25" name="Supplier/version evidence"/>
    <x:tableColumn id="26" name="CMVP evidence if required"/>
    <x:tableColumn id="27" name="Migration wave"/>
    <x:tableColumn id="28" name="Exception approver / review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ertificateandKeyMapV2" displayName="CertificateandKeyMapV2" ref="A1:Y25" headerRowCount="1" totalsRowCount="0" totalsRowShown="0">
  <x:autoFilter ref="A1:Y25"/>
  <x:tableColumns count="25">
    <x:tableColumn id="1" name="Endpoint / Service"/>
    <x:tableColumn id="2" name="TLS/mTLS/Signing Use"/>
    <x:tableColumn id="3" name="Issuer"/>
    <x:tableColumn id="4" name="Algorithm"/>
    <x:tableColumn id="5" name="Key Size / Curve"/>
    <x:tableColumn id="6" name="Validity Period"/>
    <x:tableColumn id="7" name="Automation Tool"/>
    <x:tableColumn id="8" name="Termination Layer"/>
    <x:tableColumn id="9" name="Relying Parties"/>
    <x:tableColumn id="10" name="PQC Roadmap"/>
    <x:tableColumn id="11" name="Pilot Needed?"/>
    <x:tableColumn id="12" name="Priority"/>
    <x:tableColumn id="13" name="Evidence Link"/>
    <x:tableColumn id="14" name="Notes"/>
    <x:tableColumn id="15" name="Asset / flow ID"/>
    <x:tableColumn id="16" name="Key establishment algorithm"/>
    <x:tableColumn id="17" name="Signature parameter set"/>
    <x:tableColumn id="18" name="Profile/status and support version"/>
    <x:tableColumn id="19" name="Chain / token bytes"/>
    <x:tableColumn id="20" name="KMS/HSM module and CMVP evidence"/>
    <x:tableColumn id="21" name="Expiry date"/>
    <x:tableColumn id="22" name="Revocation / recovery evidence"/>
    <x:tableColumn id="23" name="All verifier versions"/>
    <x:tableColumn id="24" name="Last verified"/>
    <x:tableColumn id="25" name="Approved change / 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oudSupplierMapV2" displayName="CloudSupplierMapV2" ref="A1:I7" headerRowCount="1" totalsRowCount="0" totalsRowShown="0">
  <x:autoFilter ref="A1:I7"/>
  <x:tableColumns count="9">
    <x:tableColumn id="1" name="Product family (local map)"/>
    <x:tableColumn id="2" name="Examples"/>
    <x:tableColumn id="3" name="Checklist Focus"/>
    <x:tableColumn id="4" name="Readiness Evidence to Request"/>
    <x:tableColumn id="5" name="Migration Concern"/>
    <x:tableColumn id="6" name="Supplier and exact version"/>
    <x:tableColumn id="7" name="Support status"/>
    <x:tableColumn id="8" name="Evidence date / URL"/>
    <x:tableColumn id="9" name="Owner / next revie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oudPilotTestsV2" displayName="CloudPilotTestsV2" ref="A1:N16" headerRowCount="1" totalsRowCount="0" totalsRowShown="0">
  <x:autoFilter ref="A1:N16"/>
  <x:tableColumns count="14">
    <x:tableColumn id="1" name="Test ID"/>
    <x:tableColumn id="2" name="Scenario"/>
    <x:tableColumn id="3" name="Control Point"/>
    <x:tableColumn id="4" name="Metric"/>
    <x:tableColumn id="5" name="Acceptance Criteria"/>
    <x:tableColumn id="6" name="Result"/>
    <x:tableColumn id="7" name="Owner"/>
    <x:tableColumn id="8" name="Evidence Link"/>
    <x:tableColumn id="9" name="Notes"/>
    <x:tableColumn id="10" name="Baseline / exact versions"/>
    <x:tableColumn id="11" name="Measured result"/>
    <x:tableColumn id="12" name="Test date"/>
    <x:tableColumn id="13" name="Reviewer / approval"/>
    <x:tableColumn id="14" name="NIST sourc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V2" displayName="SourcesV2" ref="A4:E38" headerRowCount="1" totalsRowCount="0" totalsRowShown="0">
  <x:autoFilter ref="A4:E38"/>
  <x:tableColumns count="5">
    <x:tableColumn id="1" name="Source ID"/>
    <x:tableColumn id="2" name="Publication and application"/>
    <x:tableColumn id="3" name="Status as of 2026-09-29"/>
    <x:tableColumn id="4" name="Interpretation"/>
    <x:tableColumn id="5" name="Public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ceacdfc2d8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9d376dd03b49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2e7d761b1146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78e45372ca47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0e8b99a82548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6bfeb304c343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3" hidden="0" customWidth="1"/>
  </x:cols>
  <x:sheetData>
    <x:row r="1" ht="40" hidden="0" customHeight="1">
      <x:c r="A1" s="78" t="str">
        <x:v>SecureAzCloud PQC Cloud &amp; Workload Identity Migration Checklist</x:v>
      </x:c>
      <x:c r="B1" s="79"/>
      <x:c r="C1" s="79"/>
      <x:c r="D1" s="79"/>
      <x:c r="E1" s="79"/>
      <x:c r="F1" s="79"/>
      <x:c r="G1" s="79"/>
      <x:c r="H1" s="79"/>
    </x:row>
    <x:row r="2" ht="42" hidden="0" customHeight="1">
      <x:c r="A2" s="80" t="str">
        <x:v>Redacted public checklist for cloud, IAM, certificates, workload identity, token signing, PKI, TLS, SaaS, key lifecycle, and supplier-readiness migration planning.</x:v>
      </x:c>
      <x:c r="B2" s="81"/>
      <x:c r="C2" s="81"/>
      <x:c r="D2" s="81"/>
      <x:c r="E2" s="81"/>
      <x:c r="F2" s="81"/>
      <x:c r="G2" s="81"/>
      <x:c r="H2" s="81"/>
    </x:row>
    <x:row r="3" ht="15" hidden="0" customHeight="1">
      <x:c r="A3" s="82" t="str">
        <x:v>Version</x:v>
      </x:c>
      <x:c r="B3" s="83" t="str">
        <x:v>v2.0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82" t="str">
        <x:v>Updated</x:v>
      </x:c>
      <x:c r="B4" s="84" t="n">
        <x:v>46294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82" t="str">
        <x:v>Author / Maintainer</x:v>
      </x:c>
      <x:c r="B5" s="83" t="str">
        <x:v>Ankit Gupta</x:v>
      </x:c>
      <x:c r="C5" s="29"/>
      <x:c r="D5" s="29"/>
      <x:c r="E5" s="29"/>
      <x:c r="F5" s="29"/>
      <x:c r="G5" s="29"/>
      <x:c r="H5" s="29"/>
    </x:row>
    <x:row r="6">
      <x:c r="A6" s="85"/>
      <x:c r="B6" s="85"/>
    </x:row>
    <x:row r="7" ht="46" customHeight="1">
      <x:c r="A7" s="82" t="str">
        <x:v>Purpose</x:v>
      </x:c>
      <x:c r="B7" s="83" t="str">
        <x:v>Use this checklist to translate PQC readiness into cloud and identity implementation tasks across workload identity, managed certificates, federation, KMS/HSM, SaaS dependencies, and CI/CD signing.</x:v>
      </x:c>
    </x:row>
    <x:row r="8" ht="46" customHeight="1">
      <x:c r="A8" s="82" t="str">
        <x:v>NIST basis</x:v>
      </x:c>
      <x:c r="B8" s="83" t="str">
        <x:v>FIPS 203/204/205, SP 800-227, CSWP 39 Update 1, IR 8587, SP 800-228 Update 1 and NCCoE migration resources. Product-family mapping is supplementary.</x:v>
      </x:c>
    </x:row>
    <x:row r="9" ht="46" customHeight="1">
      <x:c r="A9" s="82" t="str">
        <x:v>How to use</x:v>
      </x:c>
      <x:c r="B9" s="83" t="str">
        <x:v>Work through the Checklist sheet, collect evidence, then populate Workload_Identity_Inventory and Certificate_and_Key_Map for P1/P2 assets.</x:v>
      </x:c>
    </x:row>
    <x:row r="10" ht="46" customHeight="1">
      <x:c r="A10" s="82" t="str">
        <x:v>Evidence standard</x:v>
      </x:c>
      <x:c r="B10" s="83" t="str">
        <x:v>Use architecture diagrams, IAM exports, certificate scans, KMS/HSM reports, service mesh configs, CI/CD signing settings, vendor roadmaps, and pilot test records.</x:v>
      </x:c>
    </x:row>
    <x:row r="11" ht="46" customHeight="1">
      <x:c r="A11" s="82" t="str">
        <x:v>Caution</x:v>
      </x:c>
      <x:c r="B11" s="83" t="str">
        <x:v>This is a planning tool. Do not enable production PQC or hybrid cryptography without vendor support, protocol support, interoperability testing, observability, and rollback approval.</x:v>
      </x:c>
    </x:row>
    <x:row r="12" ht="46" customHeight="1">
      <x:c r="A12" s="89" t="str">
        <x:v>2026 baseline</x:v>
      </x:c>
      <x:c r="B12" s="90" t="str">
        <x:v>Assign owners, discover public-key dependencies, assess data and signature lifetimes, confirm supplier versions and establish tested recovery.</x:v>
      </x:c>
    </x:row>
    <x:row r="13" ht="46" customHeight="1">
      <x:c r="A13" s="89" t="str">
        <x:v>2027 delivery</x:v>
      </x:c>
      <x:c r="B13" s="90" t="str">
        <x:v>Pilot supported profiles, verify relying parties and operational limits, approve migration waves and require measurable supplier commitments.</x:v>
      </x:c>
    </x:row>
    <x:row r="14" ht="46" customHeight="1">
      <x:c r="A14" s="89" t="str">
        <x:v>2028 and later</x:v>
      </x:c>
      <x:c r="B14" s="90" t="str">
        <x:v>Expand deployment based on risk and support. Track residual quantum-vulnerable paths, exceptions, replacements and standards updates.</x:v>
      </x:c>
    </x:row>
    <x:row r="15" ht="60" customHeight="1">
      <x:c r="A15" s="89" t="str">
        <x:v>Timeline interpretation</x:v>
      </x:c>
      <x:c r="B15" s="90" t="str">
        <x:v>These horizons are suggested local planning phases. IR 8547 is draft. Algorithm-specific 2030/2035 proposals are not a universal mandate or a prediction of a quantum computer date.</x:v>
      </x:c>
    </x:row>
    <x:row r="16" ht="46" customHeight="1">
      <x:c r="A16" s="89" t="str">
        <x:v>Evidence workflow</x:v>
      </x:c>
      <x:c r="B16" s="90" t="str">
        <x:v>Complete needs owner, evidence, review date and reviewer. Accepted Risk / Not Applicable also needs rationale and approval. Next action flags missing prerequisites.</x:v>
      </x:c>
    </x:row>
    <x:row r="17" ht="46" customHeight="1">
      <x:c r="A17" s="89" t="str">
        <x:v>Input legend</x:v>
      </x:c>
      <x:c r="B17" s="90" t="str">
        <x:v>Amber cells are editable. P1/P2/P3 are local priorities, not NIST scores. Example inventory rows are fictional. Blank cells mean unassessed. No implementation results are asserted.</x:v>
      </x:c>
    </x:row>
    <x:row r="18" ht="46" customHeight="1">
      <x:c r="A18" s="89" t="str">
        <x:v>Update cadence</x:v>
      </x:c>
      <x:c r="B18" s="90" t="str">
        <x:v>Recheck sources, vendor support, inventory evidence and exceptions quarterly and after material changes. This is a local cadence. Review new evidence before claiming alignment with future 2027+ guidance.</x:v>
      </x:c>
    </x:row>
    <x:row r="19" ht="26" customHeight="1">
      <x:c r="A19" s="89" t="str">
        <x:v>Controls</x:v>
      </x:c>
      <x:c r="B19" s="91" t="n">
        <x:v>38</x:v>
      </x:c>
    </x:row>
    <x:row r="20" ht="26" customHeight="1">
      <x:c r="A20" s="89" t="str">
        <x:v>Complete with evidence</x:v>
      </x:c>
      <x:c r="B20" s="91" t="n">
        <x:f>COUNTIFS('Checklist'!R2:R39,"Evidence recorded")</x:f>
        <x:v>0</x:v>
      </x:c>
    </x:row>
    <x:row r="21" ht="26" customHeight="1">
      <x:c r="A21" s="89" t="str">
        <x:v>Accepted decisions with evidence</x:v>
      </x:c>
      <x:c r="B21" s="91" t="n">
        <x:f>COUNTIFS('Checklist'!R2:R39,"Decision recorded")</x:f>
        <x:v>0</x:v>
      </x:c>
    </x:row>
    <x:row r="22" ht="26" customHeight="1">
      <x:c r="A22" s="89" t="str">
        <x:v>Status needs review inputs</x:v>
      </x:c>
      <x:c r="B22" s="91" t="n">
        <x:f>COUNTIFS('Checklist'!R2:R39,"Add*")</x:f>
        <x:v>0</x:v>
      </x:c>
    </x:row>
    <x:row r="23" ht="26" customHeight="1">
      <x:c r="A23" s="89" t="str">
        <x:v>Not complete</x:v>
      </x:c>
      <x:c r="B23" s="91" t="n">
        <x:f>B19-B20-B21</x:f>
        <x:v>38</x:v>
      </x:c>
    </x:row>
    <x:row r="24" ht="46" customHeight="1">
      <x:c r="A24" s="89" t="str">
        <x:v>Interpretation</x:v>
      </x:c>
      <x:c r="B24" s="90" t="str">
        <x:v>Counts measure documentary prerequisites. They do not certify NIST compliance or independently validate implementation.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66" hidden="0" customWidth="1"/>
    <x:col min="3" max="3" width="48" hidden="0" customWidth="1"/>
    <x:col min="4" max="4" width="29" hidden="0" customWidth="1"/>
    <x:col min="5" max="5" width="36" hidden="0" customWidth="1"/>
    <x:col min="6" max="6" width="19" hidden="0" customWidth="1"/>
    <x:col min="7" max="7" width="11" hidden="0" customWidth="1"/>
    <x:col min="8" max="8" width="23" hidden="0" customWidth="1"/>
    <x:col min="9" max="9" width="15" hidden="0" customWidth="1"/>
    <x:col min="10" max="10" width="32" hidden="0" customWidth="1"/>
    <x:col min="11" max="11" width="36" hidden="0" customWidth="1"/>
    <x:col min="12" max="12" width="16" hidden="0" customWidth="1"/>
    <x:col min="13" max="13" width="27" hidden="0" customWidth="1"/>
    <x:col min="14" max="14" width="38" hidden="0" customWidth="1"/>
    <x:col min="15" max="15" width="16" hidden="0" customWidth="1"/>
    <x:col min="16" max="16" width="23" hidden="0" customWidth="1"/>
    <x:col min="17" max="17" width="34" hidden="0" customWidth="1"/>
    <x:col min="18" max="18" width="28" hidden="0" customWidth="1"/>
    <x:col min="19" max="19" width="31" hidden="0" customWidth="1"/>
  </x:cols>
  <x:sheetData>
    <x:row r="1" ht="42" customHeight="1">
      <x:c r="A1" s="60" t="str">
        <x:v>Domain</x:v>
      </x:c>
      <x:c r="B1" s="61" t="str">
        <x:v>Control / Task</x:v>
      </x:c>
      <x:c r="C1" s="61" t="str">
        <x:v>Why It Matters</x:v>
      </x:c>
      <x:c r="D1" s="61" t="str">
        <x:v>Product-family mapping</x:v>
      </x:c>
      <x:c r="E1" s="61" t="str">
        <x:v>NIST/PQC Alignment</x:v>
      </x:c>
      <x:c r="F1" s="61" t="str">
        <x:v>Status</x:v>
      </x:c>
      <x:c r="G1" s="61" t="str">
        <x:v>Priority</x:v>
      </x:c>
      <x:c r="H1" s="61" t="str">
        <x:v>Owner</x:v>
      </x:c>
      <x:c r="I1" s="61" t="str">
        <x:v>Due Date</x:v>
      </x:c>
      <x:c r="J1" s="61" t="str">
        <x:v>Evidence Link</x:v>
      </x:c>
      <x:c r="K1" s="61" t="str">
        <x:v>Notes</x:v>
      </x:c>
      <x:c r="L1" s="61" t="str">
        <x:v>Control ID</x:v>
      </x:c>
      <x:c r="M1" s="61" t="str">
        <x:v>Planning horizon</x:v>
      </x:c>
      <x:c r="N1" s="61" t="str">
        <x:v>Guidance status</x:v>
      </x:c>
      <x:c r="O1" s="61" t="str">
        <x:v>Review date</x:v>
      </x:c>
      <x:c r="P1" s="61" t="str">
        <x:v>Reviewer</x:v>
      </x:c>
      <x:c r="Q1" s="61" t="str">
        <x:v>Rationale / approval</x:v>
      </x:c>
      <x:c r="R1" s="61" t="str">
        <x:v>Next action</x:v>
      </x:c>
      <x:c r="S1" s="62" t="str">
        <x:v>Threat / gap</x:v>
      </x:c>
    </x:row>
    <x:row r="2" ht="36" customHeight="1">
      <x:c r="A2" s="45" t="str">
        <x:v>Governance</x:v>
      </x:c>
      <x:c r="B2" s="46" t="str">
        <x:v>Assign cloud/IAM PQC migration owner and define scope for cloud accounts, tenants, subscriptions, projects, and SaaS providers.</x:v>
      </x:c>
      <x:c r="C2" s="46" t="str">
        <x:v>Cloud and identity trust paths cross organizational boundaries and require accountable ownership.</x:v>
      </x:c>
      <x:c r="D2" s="46" t="str">
        <x:v>Cloud services; SaaS; identity services</x:v>
      </x:c>
      <x:c r="E2" s="46" t="str">
        <x:v>NIST NCCoE migration scope and inventory</x:v>
      </x:c>
      <x:c r="F2" s="69" t="str">
        <x:v>Not Started</x:v>
      </x:c>
      <x:c r="G2" s="69" t="str">
        <x:v>P1</x:v>
      </x:c>
      <x:c r="H2" s="69"/>
      <x:c r="I2" s="71"/>
      <x:c r="J2" s="69"/>
      <x:c r="K2" s="69"/>
      <x:c r="L2" s="46" t="str">
        <x:v>CLD-C001</x:v>
      </x:c>
      <x:c r="M2" s="46" t="str">
        <x:v>2026 baseline</x:v>
      </x:c>
      <x:c r="N2" s="46" t="str">
        <x:v>Local task mapped to NIST guidance</x:v>
      </x:c>
      <x:c r="O2" s="71"/>
      <x:c r="P2" s="69"/>
      <x:c r="Q2" s="69"/>
      <x:c r="R2" s="46" t="str">
        <x:f>IF(F2="Complete",IF(H2="","Add owner",IF(J2="","Add evidence",IF(O2="","Add review date",IF(P2="","Add reviewer","Evidence recorded")))),IF(OR(F2="Accepted Risk",F2="Not Applicable"),IF(H2="","Add owner",IF(Q2="","Add rationale / approval",IF(J2="","Add evidence",IF(O2="","Add review date",IF(P2="","Add reviewer","Decision recorded"))))),IF(F2="Blocked","Resolve blocker","Work remains")))</x:f>
        <x:v>Work remains</x:v>
      </x:c>
      <x:c r="S2" s="47" t="str">
        <x:v>See task rationale</x:v>
      </x:c>
    </x:row>
    <x:row r="3" ht="49" customHeight="1">
      <x:c r="A3" s="63" t="str">
        <x:v>Governance</x:v>
      </x:c>
      <x:c r="B3" s="64" t="str">
        <x:v>Define cryptographic change control for managed cloud services, identity providers, certificate authorities, service mesh, and CI/CD signing.</x:v>
      </x:c>
      <x:c r="C3" s="64" t="str">
        <x:v>Provider-managed services may change cryptographic behavior outside application release cycles.</x:v>
      </x:c>
      <x:c r="D3" s="64" t="str">
        <x:v>Cloud services; web software</x:v>
      </x:c>
      <x:c r="E3" s="64" t="str">
        <x:v>Crypto-agility governance</x:v>
      </x:c>
      <x:c r="F3" s="69" t="str">
        <x:v>Not Started</x:v>
      </x:c>
      <x:c r="G3" s="69" t="str">
        <x:v>P1</x:v>
      </x:c>
      <x:c r="H3" s="69"/>
      <x:c r="I3" s="71"/>
      <x:c r="J3" s="69"/>
      <x:c r="K3" s="69"/>
      <x:c r="L3" s="64" t="str">
        <x:v>CLD-C002</x:v>
      </x:c>
      <x:c r="M3" s="64" t="str">
        <x:v>2026 baseline</x:v>
      </x:c>
      <x:c r="N3" s="64" t="str">
        <x:v>Local task mapped to NIST guidance</x:v>
      </x:c>
      <x:c r="O3" s="71"/>
      <x:c r="P3" s="69"/>
      <x:c r="Q3" s="69"/>
      <x:c r="R3" s="64" t="str">
        <x:f>IF(F3="Complete",IF(H3="","Add owner",IF(J3="","Add evidence",IF(O3="","Add review date",IF(P3="","Add reviewer","Evidence recorded")))),IF(OR(F3="Accepted Risk",F3="Not Applicable"),IF(H3="","Add owner",IF(Q3="","Add rationale / approval",IF(J3="","Add evidence",IF(O3="","Add review date",IF(P3="","Add reviewer","Decision recorded"))))),IF(F3="Blocked","Resolve blocker","Work remains")))</x:f>
        <x:v>Work remains</x:v>
      </x:c>
      <x:c r="S3" s="65" t="str">
        <x:v>See task rationale</x:v>
      </x:c>
    </x:row>
    <x:row r="4" ht="36" customHeight="1">
      <x:c r="A4" s="45" t="str">
        <x:v>Discovery</x:v>
      </x:c>
      <x:c r="B4" s="46" t="str">
        <x:v>Inventory all managed certificates, private CAs, public CAs, certificate automation tools, and TLS termination points.</x:v>
      </x:c>
      <x:c r="C4" s="46" t="str">
        <x:v>Certificate and TLS dependencies are common PQC migration blockers.</x:v>
      </x:c>
      <x:c r="D4" s="46" t="str">
        <x:v>Web software; cloud services</x:v>
      </x:c>
      <x:c r="E4" s="46" t="str">
        <x:v>FIPS 203/204/205 planning; NCCoE discovery</x:v>
      </x:c>
      <x:c r="F4" s="69" t="str">
        <x:v>Not Started</x:v>
      </x:c>
      <x:c r="G4" s="69" t="str">
        <x:v>P1</x:v>
      </x:c>
      <x:c r="H4" s="69"/>
      <x:c r="I4" s="71"/>
      <x:c r="J4" s="69"/>
      <x:c r="K4" s="69"/>
      <x:c r="L4" s="46" t="str">
        <x:v>CLD-C003</x:v>
      </x:c>
      <x:c r="M4" s="46" t="str">
        <x:v>2026 baseline</x:v>
      </x:c>
      <x:c r="N4" s="46" t="str">
        <x:v>Local task mapped to NIST guidance</x:v>
      </x:c>
      <x:c r="O4" s="71"/>
      <x:c r="P4" s="69"/>
      <x:c r="Q4" s="69"/>
      <x:c r="R4" s="46" t="str">
        <x:f>IF(F4="Complete",IF(H4="","Add owner",IF(J4="","Add evidence",IF(O4="","Add review date",IF(P4="","Add reviewer","Evidence recorded")))),IF(OR(F4="Accepted Risk",F4="Not Applicable"),IF(H4="","Add owner",IF(Q4="","Add rationale / approval",IF(J4="","Add evidence",IF(O4="","Add review date",IF(P4="","Add reviewer","Decision recorded"))))),IF(F4="Blocked","Resolve blocker","Work remains")))</x:f>
        <x:v>Work remains</x:v>
      </x:c>
      <x:c r="S4" s="47" t="str">
        <x:v>See task rationale</x:v>
      </x:c>
    </x:row>
    <x:row r="5" ht="49" customHeight="1">
      <x:c r="A5" s="63" t="str">
        <x:v>Discovery</x:v>
      </x:c>
      <x:c r="B5" s="64" t="str">
        <x:v>Inventory all workload identities: service principals, managed identities, IAM roles, Kubernetes service accounts, SPIFFE/SPIRE IDs, service mesh identities, and CI/CD identities.</x:v>
      </x:c>
      <x:c r="C5" s="64" t="str">
        <x:v>Machine identities frequently rely on certificates, tokens, or signed assertions.</x:v>
      </x:c>
      <x:c r="D5" s="64" t="str">
        <x:v>Cloud services; SaaS; identity services</x:v>
      </x:c>
      <x:c r="E5" s="64" t="str">
        <x:v>Identity and key lifecycle planning</x:v>
      </x:c>
      <x:c r="F5" s="69" t="str">
        <x:v>Not Started</x:v>
      </x:c>
      <x:c r="G5" s="69" t="str">
        <x:v>P1</x:v>
      </x:c>
      <x:c r="H5" s="69"/>
      <x:c r="I5" s="71"/>
      <x:c r="J5" s="69"/>
      <x:c r="K5" s="69"/>
      <x:c r="L5" s="64" t="str">
        <x:v>CLD-C004</x:v>
      </x:c>
      <x:c r="M5" s="64" t="str">
        <x:v>2026 baseline</x:v>
      </x:c>
      <x:c r="N5" s="64" t="str">
        <x:v>Local task mapped to NIST guidance</x:v>
      </x:c>
      <x:c r="O5" s="71"/>
      <x:c r="P5" s="69"/>
      <x:c r="Q5" s="69"/>
      <x:c r="R5" s="64" t="str">
        <x:f>IF(F5="Complete",IF(H5="","Add owner",IF(J5="","Add evidence",IF(O5="","Add review date",IF(P5="","Add reviewer","Evidence recorded")))),IF(OR(F5="Accepted Risk",F5="Not Applicable"),IF(H5="","Add owner",IF(Q5="","Add rationale / approval",IF(J5="","Add evidence",IF(O5="","Add review date",IF(P5="","Add reviewer","Decision recorded"))))),IF(F5="Blocked","Resolve blocker","Work remains")))</x:f>
        <x:v>Work remains</x:v>
      </x:c>
      <x:c r="S5" s="65" t="str">
        <x:v>See task rationale</x:v>
      </x:c>
    </x:row>
    <x:row r="6" ht="49" customHeight="1">
      <x:c r="A6" s="45" t="str">
        <x:v>Certificates</x:v>
      </x:c>
      <x:c r="B6" s="46" t="str">
        <x:v>Map TLS/mTLS endpoints by issuer, algorithm, key size, validity period, renewal automation, and termination layer.</x:v>
      </x:c>
      <x:c r="C6" s="46" t="str">
        <x:v>PQC signature and key-establishment changes may affect certificate chain size and handshake behavior.</x:v>
      </x:c>
      <x:c r="D6" s="46" t="str">
        <x:v>Web software; cloud services</x:v>
      </x:c>
      <x:c r="E6" s="46" t="str">
        <x:v>FIPS 203 key establishment; FIPS 204/205 signatures</x:v>
      </x:c>
      <x:c r="F6" s="69" t="str">
        <x:v>Not Started</x:v>
      </x:c>
      <x:c r="G6" s="69" t="str">
        <x:v>P1</x:v>
      </x:c>
      <x:c r="H6" s="69"/>
      <x:c r="I6" s="71"/>
      <x:c r="J6" s="69"/>
      <x:c r="K6" s="69"/>
      <x:c r="L6" s="46" t="str">
        <x:v>CLD-C005</x:v>
      </x:c>
      <x:c r="M6" s="46" t="str">
        <x:v>2026 baseline</x:v>
      </x:c>
      <x:c r="N6" s="46" t="str">
        <x:v>Local task mapped to NIST guidance</x:v>
      </x:c>
      <x:c r="O6" s="71"/>
      <x:c r="P6" s="69"/>
      <x:c r="Q6" s="69"/>
      <x:c r="R6" s="46" t="str">
        <x:f>IF(F6="Complete",IF(H6="","Add owner",IF(J6="","Add evidence",IF(O6="","Add review date",IF(P6="","Add reviewer","Evidence recorded")))),IF(OR(F6="Accepted Risk",F6="Not Applicable"),IF(H6="","Add owner",IF(Q6="","Add rationale / approval",IF(J6="","Add evidence",IF(O6="","Add review date",IF(P6="","Add reviewer","Decision recorded"))))),IF(F6="Blocked","Resolve blocker","Work remains")))</x:f>
        <x:v>Work remains</x:v>
      </x:c>
      <x:c r="S6" s="47" t="str">
        <x:v>See task rationale</x:v>
      </x:c>
    </x:row>
    <x:row r="7" ht="36" customHeight="1">
      <x:c r="A7" s="63" t="str">
        <x:v>Certificates</x:v>
      </x:c>
      <x:c r="B7" s="64" t="str">
        <x:v>Identify certificate chain-size, header-size, MTU, proxy, load balancer, API gateway, and service mesh limits.</x:v>
      </x:c>
      <x:c r="C7" s="64" t="str">
        <x:v>PQC and hybrid credentials can increase message sizes and trigger interoperability issues.</x:v>
      </x:c>
      <x:c r="D7" s="64" t="str">
        <x:v>Web software; cloud services</x:v>
      </x:c>
      <x:c r="E7" s="64" t="str">
        <x:v>Interoperability testing</x:v>
      </x:c>
      <x:c r="F7" s="69" t="str">
        <x:v>Not Started</x:v>
      </x:c>
      <x:c r="G7" s="69" t="str">
        <x:v>P1</x:v>
      </x:c>
      <x:c r="H7" s="69"/>
      <x:c r="I7" s="71"/>
      <x:c r="J7" s="69"/>
      <x:c r="K7" s="69"/>
      <x:c r="L7" s="64" t="str">
        <x:v>CLD-C006</x:v>
      </x:c>
      <x:c r="M7" s="64" t="str">
        <x:v>2026 baseline</x:v>
      </x:c>
      <x:c r="N7" s="64" t="str">
        <x:v>Local task mapped to NIST guidance</x:v>
      </x:c>
      <x:c r="O7" s="71"/>
      <x:c r="P7" s="69"/>
      <x:c r="Q7" s="69"/>
      <x:c r="R7" s="64" t="str">
        <x:f>IF(F7="Complete",IF(H7="","Add owner",IF(J7="","Add evidence",IF(O7="","Add review date",IF(P7="","Add reviewer","Evidence recorded")))),IF(OR(F7="Accepted Risk",F7="Not Applicable"),IF(H7="","Add owner",IF(Q7="","Add rationale / approval",IF(J7="","Add evidence",IF(O7="","Add review date",IF(P7="","Add reviewer","Decision recorded"))))),IF(F7="Blocked","Resolve blocker","Work remains")))</x:f>
        <x:v>Work remains</x:v>
      </x:c>
      <x:c r="S7" s="65" t="str">
        <x:v>See task rationale</x:v>
      </x:c>
    </x:row>
    <x:row r="8" ht="36" customHeight="1">
      <x:c r="A8" s="45" t="str">
        <x:v>PKI</x:v>
      </x:c>
      <x:c r="B8" s="46" t="str">
        <x:v>Request CA roadmap for ML-DSA/SLH-DSA or supported hybrid certificate profiles where applicable.</x:v>
      </x:c>
      <x:c r="C8" s="46" t="str">
        <x:v>PKI migration depends on issuer and relying-party support.</x:v>
      </x:c>
      <x:c r="D8" s="46" t="str">
        <x:v>Web software; cloud services</x:v>
      </x:c>
      <x:c r="E8" s="46" t="str">
        <x:v>FIPS 204/205 signature planning</x:v>
      </x:c>
      <x:c r="F8" s="69" t="str">
        <x:v>Not Started</x:v>
      </x:c>
      <x:c r="G8" s="69" t="str">
        <x:v>P1</x:v>
      </x:c>
      <x:c r="H8" s="69"/>
      <x:c r="I8" s="71"/>
      <x:c r="J8" s="69"/>
      <x:c r="K8" s="69"/>
      <x:c r="L8" s="46" t="str">
        <x:v>CLD-C007</x:v>
      </x:c>
      <x:c r="M8" s="46" t="str">
        <x:v>2026 baseline</x:v>
      </x:c>
      <x:c r="N8" s="46" t="str">
        <x:v>Local task mapped to NIST guidance</x:v>
      </x:c>
      <x:c r="O8" s="71"/>
      <x:c r="P8" s="69"/>
      <x:c r="Q8" s="69"/>
      <x:c r="R8" s="46" t="str">
        <x:f>IF(F8="Complete",IF(H8="","Add owner",IF(J8="","Add evidence",IF(O8="","Add review date",IF(P8="","Add reviewer","Evidence recorded")))),IF(OR(F8="Accepted Risk",F8="Not Applicable"),IF(H8="","Add owner",IF(Q8="","Add rationale / approval",IF(J8="","Add evidence",IF(O8="","Add review date",IF(P8="","Add reviewer","Decision recorded"))))),IF(F8="Blocked","Resolve blocker","Work remains")))</x:f>
        <x:v>Work remains</x:v>
      </x:c>
      <x:c r="S8" s="47" t="str">
        <x:v>See task rationale</x:v>
      </x:c>
    </x:row>
    <x:row r="9" ht="36" customHeight="1">
      <x:c r="A9" s="63" t="str">
        <x:v>IAM</x:v>
      </x:c>
      <x:c r="B9" s="64" t="str">
        <x:v>Inventory token-signing algorithms for OIDC, OAuth, SAML, JWT, federation metadata, and session-token verification.</x:v>
      </x:c>
      <x:c r="C9" s="64" t="str">
        <x:v>Identity assurance can fail if relying parties cannot validate new signature algorithms.</x:v>
      </x:c>
      <x:c r="D9" s="64" t="str">
        <x:v>SaaS; cloud services; identity services</x:v>
      </x:c>
      <x:c r="E9" s="64" t="str">
        <x:v>Digital signature migration planning</x:v>
      </x:c>
      <x:c r="F9" s="69" t="str">
        <x:v>Not Started</x:v>
      </x:c>
      <x:c r="G9" s="69" t="str">
        <x:v>P1</x:v>
      </x:c>
      <x:c r="H9" s="69"/>
      <x:c r="I9" s="71"/>
      <x:c r="J9" s="69"/>
      <x:c r="K9" s="69"/>
      <x:c r="L9" s="64" t="str">
        <x:v>CLD-C008</x:v>
      </x:c>
      <x:c r="M9" s="64" t="str">
        <x:v>2026 baseline</x:v>
      </x:c>
      <x:c r="N9" s="64" t="str">
        <x:v>Local task mapped to NIST guidance</x:v>
      </x:c>
      <x:c r="O9" s="71"/>
      <x:c r="P9" s="69"/>
      <x:c r="Q9" s="69"/>
      <x:c r="R9" s="64" t="str">
        <x:f>IF(F9="Complete",IF(H9="","Add owner",IF(J9="","Add evidence",IF(O9="","Add review date",IF(P9="","Add reviewer","Evidence recorded")))),IF(OR(F9="Accepted Risk",F9="Not Applicable"),IF(H9="","Add owner",IF(Q9="","Add rationale / approval",IF(J9="","Add evidence",IF(O9="","Add review date",IF(P9="","Add reviewer","Decision recorded"))))),IF(F9="Blocked","Resolve blocker","Work remains")))</x:f>
        <x:v>Work remains</x:v>
      </x:c>
      <x:c r="S9" s="65" t="str">
        <x:v>See task rationale</x:v>
      </x:c>
    </x:row>
    <x:row r="10" ht="36" customHeight="1">
      <x:c r="A10" s="45" t="str">
        <x:v>IAM</x:v>
      </x:c>
      <x:c r="B10" s="46" t="str">
        <x:v>Map relying-party applications and libraries that validate tokens or signed assertions.</x:v>
      </x:c>
      <x:c r="C10" s="46" t="str">
        <x:v>Verifier compatibility is as important as issuer readiness.</x:v>
      </x:c>
      <x:c r="D10" s="46" t="str">
        <x:v>SaaS; web software</x:v>
      </x:c>
      <x:c r="E10" s="46" t="str">
        <x:v>Crypto-agility and interoperability testing</x:v>
      </x:c>
      <x:c r="F10" s="69" t="str">
        <x:v>Not Started</x:v>
      </x:c>
      <x:c r="G10" s="69" t="str">
        <x:v>P1</x:v>
      </x:c>
      <x:c r="H10" s="69"/>
      <x:c r="I10" s="71"/>
      <x:c r="J10" s="69"/>
      <x:c r="K10" s="69"/>
      <x:c r="L10" s="46" t="str">
        <x:v>CLD-C009</x:v>
      </x:c>
      <x:c r="M10" s="46" t="str">
        <x:v>2026 baseline</x:v>
      </x:c>
      <x:c r="N10" s="46" t="str">
        <x:v>Local task mapped to NIST guidance</x:v>
      </x:c>
      <x:c r="O10" s="71"/>
      <x:c r="P10" s="69"/>
      <x:c r="Q10" s="69"/>
      <x:c r="R10" s="46" t="str">
        <x:f>IF(F10="Complete",IF(H10="","Add owner",IF(J10="","Add evidence",IF(O10="","Add review date",IF(P10="","Add reviewer","Evidence recorded")))),IF(OR(F10="Accepted Risk",F10="Not Applicable"),IF(H10="","Add owner",IF(Q10="","Add rationale / approval",IF(J10="","Add evidence",IF(O10="","Add review date",IF(P10="","Add reviewer","Decision recorded"))))),IF(F10="Blocked","Resolve blocker","Work remains")))</x:f>
        <x:v>Work remains</x:v>
      </x:c>
      <x:c r="S10" s="47" t="str">
        <x:v>See task rationale</x:v>
      </x:c>
    </x:row>
    <x:row r="11" ht="36" customHeight="1">
      <x:c r="A11" s="63" t="str">
        <x:v>Workload Identity</x:v>
      </x:c>
      <x:c r="B11" s="64" t="str">
        <x:v>Document Kubernetes/service-mesh certificate issuers, trust bundles, mTLS policies, rotation intervals, and sidecar/gateway constraints.</x:v>
      </x:c>
      <x:c r="C11" s="64" t="str">
        <x:v>Workload identity often depends on short-lived certs and service-to-service trust.</x:v>
      </x:c>
      <x:c r="D11" s="64" t="str">
        <x:v>Cloud services; web software</x:v>
      </x:c>
      <x:c r="E11" s="64" t="str">
        <x:v>Certificate lifecycle and key establishment</x:v>
      </x:c>
      <x:c r="F11" s="69" t="str">
        <x:v>Not Started</x:v>
      </x:c>
      <x:c r="G11" s="69" t="str">
        <x:v>P1</x:v>
      </x:c>
      <x:c r="H11" s="69"/>
      <x:c r="I11" s="71"/>
      <x:c r="J11" s="69"/>
      <x:c r="K11" s="69"/>
      <x:c r="L11" s="64" t="str">
        <x:v>CLD-C010</x:v>
      </x:c>
      <x:c r="M11" s="64" t="str">
        <x:v>2026 baseline</x:v>
      </x:c>
      <x:c r="N11" s="64" t="str">
        <x:v>Local task mapped to NIST guidance</x:v>
      </x:c>
      <x:c r="O11" s="71"/>
      <x:c r="P11" s="69"/>
      <x:c r="Q11" s="69"/>
      <x:c r="R11" s="64" t="str">
        <x:f>IF(F11="Complete",IF(H11="","Add owner",IF(J11="","Add evidence",IF(O11="","Add review date",IF(P11="","Add reviewer","Evidence recorded")))),IF(OR(F11="Accepted Risk",F11="Not Applicable"),IF(H11="","Add owner",IF(Q11="","Add rationale / approval",IF(J11="","Add evidence",IF(O11="","Add review date",IF(P11="","Add reviewer","Decision recorded"))))),IF(F11="Blocked","Resolve blocker","Work remains")))</x:f>
        <x:v>Work remains</x:v>
      </x:c>
      <x:c r="S11" s="65" t="str">
        <x:v>See task rationale</x:v>
      </x:c>
    </x:row>
    <x:row r="12" ht="49" customHeight="1">
      <x:c r="A12" s="45" t="str">
        <x:v>Workload Identity</x:v>
      </x:c>
      <x:c r="B12" s="46" t="str">
        <x:v>Document serverless, container, and VM identity mechanisms and whether they use signed tokens, certificates, cloud metadata, or workload attestation.</x:v>
      </x:c>
      <x:c r="C12" s="46" t="str">
        <x:v>Provider-managed identity abstractions still depend on cryptographic primitives.</x:v>
      </x:c>
      <x:c r="D12" s="46" t="str">
        <x:v>Cloud services</x:v>
      </x:c>
      <x:c r="E12" s="46" t="str">
        <x:v>Inventory and supplier readiness</x:v>
      </x:c>
      <x:c r="F12" s="69" t="str">
        <x:v>Not Started</x:v>
      </x:c>
      <x:c r="G12" s="69" t="str">
        <x:v>P2</x:v>
      </x:c>
      <x:c r="H12" s="69"/>
      <x:c r="I12" s="71"/>
      <x:c r="J12" s="69"/>
      <x:c r="K12" s="69"/>
      <x:c r="L12" s="46" t="str">
        <x:v>CLD-C011</x:v>
      </x:c>
      <x:c r="M12" s="46" t="str">
        <x:v>2026 baseline</x:v>
      </x:c>
      <x:c r="N12" s="46" t="str">
        <x:v>Local task mapped to NIST guidance</x:v>
      </x:c>
      <x:c r="O12" s="71"/>
      <x:c r="P12" s="69"/>
      <x:c r="Q12" s="69"/>
      <x:c r="R12" s="46" t="str">
        <x:f>IF(F12="Complete",IF(H12="","Add owner",IF(J12="","Add evidence",IF(O12="","Add review date",IF(P12="","Add reviewer","Evidence recorded")))),IF(OR(F12="Accepted Risk",F12="Not Applicable"),IF(H12="","Add owner",IF(Q12="","Add rationale / approval",IF(J12="","Add evidence",IF(O12="","Add review date",IF(P12="","Add reviewer","Decision recorded"))))),IF(F12="Blocked","Resolve blocker","Work remains")))</x:f>
        <x:v>Work remains</x:v>
      </x:c>
      <x:c r="S12" s="47" t="str">
        <x:v>See task rationale</x:v>
      </x:c>
    </x:row>
    <x:row r="13" ht="36" customHeight="1">
      <x:c r="A13" s="63" t="str">
        <x:v>Key Management</x:v>
      </x:c>
      <x:c r="B13" s="64" t="str">
        <x:v>Inventory KMS, HSM, secrets managers, envelope encryption, key wrapping, and external key store dependencies.</x:v>
      </x:c>
      <x:c r="C13" s="64" t="str">
        <x:v>Key lifecycle controls must support migration without breaking availability or compliance.</x:v>
      </x:c>
      <x:c r="D13" s="64" t="str">
        <x:v>Cloud services; endpoint/data-at-rest</x:v>
      </x:c>
      <x:c r="E13" s="64" t="str">
        <x:v>Crypto-agility and C-SCRM</x:v>
      </x:c>
      <x:c r="F13" s="69" t="str">
        <x:v>Not Started</x:v>
      </x:c>
      <x:c r="G13" s="69" t="str">
        <x:v>P1</x:v>
      </x:c>
      <x:c r="H13" s="69"/>
      <x:c r="I13" s="71"/>
      <x:c r="J13" s="69"/>
      <x:c r="K13" s="69"/>
      <x:c r="L13" s="64" t="str">
        <x:v>CLD-C012</x:v>
      </x:c>
      <x:c r="M13" s="64" t="str">
        <x:v>2026 baseline</x:v>
      </x:c>
      <x:c r="N13" s="64" t="str">
        <x:v>Local task mapped to NIST guidance</x:v>
      </x:c>
      <x:c r="O13" s="71"/>
      <x:c r="P13" s="69"/>
      <x:c r="Q13" s="69"/>
      <x:c r="R13" s="64" t="str">
        <x:f>IF(F13="Complete",IF(H13="","Add owner",IF(J13="","Add evidence",IF(O13="","Add review date",IF(P13="","Add reviewer","Evidence recorded")))),IF(OR(F13="Accepted Risk",F13="Not Applicable"),IF(H13="","Add owner",IF(Q13="","Add rationale / approval",IF(J13="","Add evidence",IF(O13="","Add review date",IF(P13="","Add reviewer","Decision recorded"))))),IF(F13="Blocked","Resolve blocker","Work remains")))</x:f>
        <x:v>Work remains</x:v>
      </x:c>
      <x:c r="S13" s="65" t="str">
        <x:v>See task rationale</x:v>
      </x:c>
    </x:row>
    <x:row r="14" ht="36" customHeight="1">
      <x:c r="A14" s="45" t="str">
        <x:v>Key Management</x:v>
      </x:c>
      <x:c r="B14" s="46" t="str">
        <x:v>Confirm key rotation, backup, escrow, destruction, and recovery processes remain valid during algorithm or provider changes.</x:v>
      </x:c>
      <x:c r="C14" s="46" t="str">
        <x:v>Poorly sequenced key changes can break recovery or data access.</x:v>
      </x:c>
      <x:c r="D14" s="46" t="str">
        <x:v>Cloud services; endpoint/data-at-rest</x:v>
      </x:c>
      <x:c r="E14" s="46" t="str">
        <x:v>Operational resilience</x:v>
      </x:c>
      <x:c r="F14" s="69" t="str">
        <x:v>Not Started</x:v>
      </x:c>
      <x:c r="G14" s="69" t="str">
        <x:v>P2</x:v>
      </x:c>
      <x:c r="H14" s="69"/>
      <x:c r="I14" s="71"/>
      <x:c r="J14" s="69"/>
      <x:c r="K14" s="69"/>
      <x:c r="L14" s="46" t="str">
        <x:v>CLD-C013</x:v>
      </x:c>
      <x:c r="M14" s="46" t="str">
        <x:v>2026 baseline</x:v>
      </x:c>
      <x:c r="N14" s="46" t="str">
        <x:v>Local task mapped to NIST guidance</x:v>
      </x:c>
      <x:c r="O14" s="71"/>
      <x:c r="P14" s="69"/>
      <x:c r="Q14" s="69"/>
      <x:c r="R14" s="46" t="str">
        <x:f>IF(F14="Complete",IF(H14="","Add owner",IF(J14="","Add evidence",IF(O14="","Add review date",IF(P14="","Add reviewer","Evidence recorded")))),IF(OR(F14="Accepted Risk",F14="Not Applicable"),IF(H14="","Add owner",IF(Q14="","Add rationale / approval",IF(J14="","Add evidence",IF(O14="","Add review date",IF(P14="","Add reviewer","Decision recorded"))))),IF(F14="Blocked","Resolve blocker","Work remains")))</x:f>
        <x:v>Work remains</x:v>
      </x:c>
      <x:c r="S14" s="47" t="str">
        <x:v>See task rationale</x:v>
      </x:c>
    </x:row>
    <x:row r="15" ht="36" customHeight="1">
      <x:c r="A15" s="63" t="str">
        <x:v>CI/CD Signing</x:v>
      </x:c>
      <x:c r="B15" s="64" t="str">
        <x:v>Inventory artifact signing, container signing, IaC signing, package repository signing, and build-provenance attestations.</x:v>
      </x:c>
      <x:c r="C15" s="64" t="str">
        <x:v>Software supply-chain trust relies on signature verification at multiple points.</x:v>
      </x:c>
      <x:c r="D15" s="64" t="str">
        <x:v>Cloud services; web software; endpoint security</x:v>
      </x:c>
      <x:c r="E15" s="64" t="str">
        <x:v>FIPS 204/205 signature planning; SP 800-161</x:v>
      </x:c>
      <x:c r="F15" s="69" t="str">
        <x:v>Not Started</x:v>
      </x:c>
      <x:c r="G15" s="69" t="str">
        <x:v>P1</x:v>
      </x:c>
      <x:c r="H15" s="69"/>
      <x:c r="I15" s="71"/>
      <x:c r="J15" s="69"/>
      <x:c r="K15" s="69"/>
      <x:c r="L15" s="64" t="str">
        <x:v>CLD-C014</x:v>
      </x:c>
      <x:c r="M15" s="64" t="str">
        <x:v>2026 baseline</x:v>
      </x:c>
      <x:c r="N15" s="64" t="str">
        <x:v>Local task mapped to NIST guidance</x:v>
      </x:c>
      <x:c r="O15" s="71"/>
      <x:c r="P15" s="69"/>
      <x:c r="Q15" s="69"/>
      <x:c r="R15" s="64" t="str">
        <x:f>IF(F15="Complete",IF(H15="","Add owner",IF(J15="","Add evidence",IF(O15="","Add review date",IF(P15="","Add reviewer","Evidence recorded")))),IF(OR(F15="Accepted Risk",F15="Not Applicable"),IF(H15="","Add owner",IF(Q15="","Add rationale / approval",IF(J15="","Add evidence",IF(O15="","Add review date",IF(P15="","Add reviewer","Decision recorded"))))),IF(F15="Blocked","Resolve blocker","Work remains")))</x:f>
        <x:v>Work remains</x:v>
      </x:c>
      <x:c r="S15" s="65" t="str">
        <x:v>See task rationale</x:v>
      </x:c>
    </x:row>
    <x:row r="16" ht="49" customHeight="1">
      <x:c r="A16" s="45" t="str">
        <x:v>SaaS</x:v>
      </x:c>
      <x:c r="B16" s="46" t="str">
        <x:v>Request SaaS providers' PQC readiness, certificate roadmap, token-signing roadmap, data-at-rest key lifecycle, and support-window commitments.</x:v>
      </x:c>
      <x:c r="C16" s="46" t="str">
        <x:v>SaaS migration depends on supplier-controlled trust chains.</x:v>
      </x:c>
      <x:c r="D16" s="46" t="str">
        <x:v>SaaS; cloud services</x:v>
      </x:c>
      <x:c r="E16" s="46" t="str">
        <x:v>SP 800-161 supplier risk</x:v>
      </x:c>
      <x:c r="F16" s="69" t="str">
        <x:v>Not Started</x:v>
      </x:c>
      <x:c r="G16" s="69" t="str">
        <x:v>P1</x:v>
      </x:c>
      <x:c r="H16" s="69"/>
      <x:c r="I16" s="71"/>
      <x:c r="J16" s="69"/>
      <x:c r="K16" s="69"/>
      <x:c r="L16" s="46" t="str">
        <x:v>CLD-C015</x:v>
      </x:c>
      <x:c r="M16" s="46" t="str">
        <x:v>2026 baseline</x:v>
      </x:c>
      <x:c r="N16" s="46" t="str">
        <x:v>Local task mapped to NIST guidance</x:v>
      </x:c>
      <x:c r="O16" s="71"/>
      <x:c r="P16" s="69"/>
      <x:c r="Q16" s="69"/>
      <x:c r="R16" s="46" t="str">
        <x:f>IF(F16="Complete",IF(H16="","Add owner",IF(J16="","Add evidence",IF(O16="","Add review date",IF(P16="","Add reviewer","Evidence recorded")))),IF(OR(F16="Accepted Risk",F16="Not Applicable"),IF(H16="","Add owner",IF(Q16="","Add rationale / approval",IF(J16="","Add evidence",IF(O16="","Add review date",IF(P16="","Add reviewer","Decision recorded"))))),IF(F16="Blocked","Resolve blocker","Work remains")))</x:f>
        <x:v>Work remains</x:v>
      </x:c>
      <x:c r="S16" s="47" t="str">
        <x:v>See task rationale</x:v>
      </x:c>
    </x:row>
    <x:row r="17" ht="36" customHeight="1">
      <x:c r="A17" s="63" t="str">
        <x:v>Testing</x:v>
      </x:c>
      <x:c r="B17" s="64" t="str">
        <x:v>Create non-production pilot for TLS/mTLS, identity token verification, API gateway, service mesh, logging, monitoring, and rollback.</x:v>
      </x:c>
      <x:c r="C17" s="64" t="str">
        <x:v>PQC readiness should be demonstrated before enterprise rollout.</x:v>
      </x:c>
      <x:c r="D17" s="64" t="str">
        <x:v>Cloud services; web software</x:v>
      </x:c>
      <x:c r="E17" s="64" t="str">
        <x:v>NCCoE interoperability testing</x:v>
      </x:c>
      <x:c r="F17" s="69" t="str">
        <x:v>Not Started</x:v>
      </x:c>
      <x:c r="G17" s="69" t="str">
        <x:v>P1</x:v>
      </x:c>
      <x:c r="H17" s="69"/>
      <x:c r="I17" s="71"/>
      <x:c r="J17" s="69"/>
      <x:c r="K17" s="69"/>
      <x:c r="L17" s="64" t="str">
        <x:v>CLD-C016</x:v>
      </x:c>
      <x:c r="M17" s="64" t="str">
        <x:v>2027 pilots and rollout</x:v>
      </x:c>
      <x:c r="N17" s="64" t="str">
        <x:v>Local task mapped to NIST guidance</x:v>
      </x:c>
      <x:c r="O17" s="71"/>
      <x:c r="P17" s="69"/>
      <x:c r="Q17" s="69"/>
      <x:c r="R17" s="64" t="str">
        <x:f>IF(F17="Complete",IF(H17="","Add owner",IF(J17="","Add evidence",IF(O17="","Add review date",IF(P17="","Add reviewer","Evidence recorded")))),IF(OR(F17="Accepted Risk",F17="Not Applicable"),IF(H17="","Add owner",IF(Q17="","Add rationale / approval",IF(J17="","Add evidence",IF(O17="","Add review date",IF(P17="","Add reviewer","Decision recorded"))))),IF(F17="Blocked","Resolve blocker","Work remains")))</x:f>
        <x:v>Work remains</x:v>
      </x:c>
      <x:c r="S17" s="65" t="str">
        <x:v>See task rationale</x:v>
      </x:c>
    </x:row>
    <x:row r="18" ht="49" customHeight="1">
      <x:c r="A18" s="45" t="str">
        <x:v>Operations</x:v>
      </x:c>
      <x:c r="B18" s="46" t="str">
        <x:v>Update runbooks for certificate renewal failure, token-signing key changes, trust-bundle distribution, emergency rollback, and vendor outage.</x:v>
      </x:c>
      <x:c r="C18" s="46" t="str">
        <x:v>Migration failure modes require operational recovery paths.</x:v>
      </x:c>
      <x:c r="D18" s="46" t="str">
        <x:v>Cloud services; web software; SaaS</x:v>
      </x:c>
      <x:c r="E18" s="46" t="str">
        <x:v>Operational continuity</x:v>
      </x:c>
      <x:c r="F18" s="69" t="str">
        <x:v>Not Started</x:v>
      </x:c>
      <x:c r="G18" s="69" t="str">
        <x:v>P2</x:v>
      </x:c>
      <x:c r="H18" s="69"/>
      <x:c r="I18" s="71"/>
      <x:c r="J18" s="69"/>
      <x:c r="K18" s="69"/>
      <x:c r="L18" s="46" t="str">
        <x:v>CLD-C017</x:v>
      </x:c>
      <x:c r="M18" s="46" t="str">
        <x:v>2027 pilots and rollout</x:v>
      </x:c>
      <x:c r="N18" s="46" t="str">
        <x:v>Local task mapped to NIST guidance</x:v>
      </x:c>
      <x:c r="O18" s="71"/>
      <x:c r="P18" s="69"/>
      <x:c r="Q18" s="69"/>
      <x:c r="R18" s="46" t="str">
        <x:f>IF(F18="Complete",IF(H18="","Add owner",IF(J18="","Add evidence",IF(O18="","Add review date",IF(P18="","Add reviewer","Evidence recorded")))),IF(OR(F18="Accepted Risk",F18="Not Applicable"),IF(H18="","Add owner",IF(Q18="","Add rationale / approval",IF(J18="","Add evidence",IF(O18="","Add review date",IF(P18="","Add reviewer","Decision recorded"))))),IF(F18="Blocked","Resolve blocker","Work remains")))</x:f>
        <x:v>Work remains</x:v>
      </x:c>
      <x:c r="S18" s="47" t="str">
        <x:v>See task rationale</x:v>
      </x:c>
    </x:row>
    <x:row r="19" ht="49" customHeight="1">
      <x:c r="A19" s="63" t="str">
        <x:v>Procurement</x:v>
      </x:c>
      <x:c r="B19" s="64" t="str">
        <x:v>Add PQC support, crypto inventory/CBOM, roadmap, testing evidence, and notification clauses to vendor evaluations.</x:v>
      </x:c>
      <x:c r="C19" s="64" t="str">
        <x:v>Future procurement should not introduce unmanaged quantum-vulnerable dependencies.</x:v>
      </x:c>
      <x:c r="D19" s="64" t="str">
        <x:v>CISA product categories; cloud services; web software; endpoint security</x:v>
      </x:c>
      <x:c r="E19" s="64" t="str">
        <x:v>SP 800-161 C-SCRM</x:v>
      </x:c>
      <x:c r="F19" s="69" t="str">
        <x:v>Not Started</x:v>
      </x:c>
      <x:c r="G19" s="69" t="str">
        <x:v>P1</x:v>
      </x:c>
      <x:c r="H19" s="69"/>
      <x:c r="I19" s="71"/>
      <x:c r="J19" s="69"/>
      <x:c r="K19" s="69"/>
      <x:c r="L19" s="64" t="str">
        <x:v>CLD-C018</x:v>
      </x:c>
      <x:c r="M19" s="64" t="str">
        <x:v>2027 pilots and rollout</x:v>
      </x:c>
      <x:c r="N19" s="64" t="str">
        <x:v>Local task mapped to NIST guidance</x:v>
      </x:c>
      <x:c r="O19" s="71"/>
      <x:c r="P19" s="69"/>
      <x:c r="Q19" s="69"/>
      <x:c r="R19" s="64" t="str">
        <x:f>IF(F19="Complete",IF(H19="","Add owner",IF(J19="","Add evidence",IF(O19="","Add review date",IF(P19="","Add reviewer","Evidence recorded")))),IF(OR(F19="Accepted Risk",F19="Not Applicable"),IF(H19="","Add owner",IF(Q19="","Add rationale / approval",IF(J19="","Add evidence",IF(O19="","Add review date",IF(P19="","Add reviewer","Decision recorded"))))),IF(F19="Blocked","Resolve blocker","Work remains")))</x:f>
        <x:v>Work remains</x:v>
      </x:c>
      <x:c r="S19" s="65" t="str">
        <x:v>See task rationale</x:v>
      </x:c>
    </x:row>
    <x:row r="20" ht="36" customHeight="1">
      <x:c r="A20" s="45" t="str">
        <x:v>Threat assessment</x:v>
      </x:c>
      <x:c r="B20" s="46" t="str">
        <x:v>Record confidentiality lifetime and capture exposure for traffic, backups, secrets exchange and retained sensitive data.</x:v>
      </x:c>
      <x:c r="C20" s="46" t="str">
        <x:v>Harvest-now-decrypt-later risk depends on data lifetime and capture exposure.</x:v>
      </x:c>
      <x:c r="D20" s="46" t="str">
        <x:v>Cloud / identity / supply chain</x:v>
      </x:c>
      <x:c r="E20" s="46" t="str">
        <x:v>N06, N07</x:v>
      </x:c>
      <x:c r="F20" s="69" t="str">
        <x:v>Not Started</x:v>
      </x:c>
      <x:c r="G20" s="69" t="str">
        <x:v>P1</x:v>
      </x:c>
      <x:c r="H20" s="69"/>
      <x:c r="I20" s="71"/>
      <x:c r="J20" s="69"/>
      <x:c r="K20" s="69"/>
      <x:c r="L20" s="46" t="str">
        <x:v>CLD-C019</x:v>
      </x:c>
      <x:c r="M20" s="46" t="str">
        <x:v>2026 baseline</x:v>
      </x:c>
      <x:c r="N20" s="46" t="str">
        <x:v>Includes draft watch; see Sources</x:v>
      </x:c>
      <x:c r="O20" s="71"/>
      <x:c r="P20" s="69"/>
      <x:c r="Q20" s="69"/>
      <x:c r="R20" s="46" t="str">
        <x:f>IF(F20="Complete",IF(H20="","Add owner",IF(J20="","Add evidence",IF(O20="","Add review date",IF(P20="","Add reviewer","Evidence recorded")))),IF(OR(F20="Accepted Risk",F20="Not Applicable"),IF(H20="","Add owner",IF(Q20="","Add rationale / approval",IF(J20="","Add evidence",IF(O20="","Add review date",IF(P20="","Add reviewer","Decision recorded"))))),IF(F20="Blocked","Resolve blocker","Work remains")))</x:f>
        <x:v>Work remains</x:v>
      </x:c>
      <x:c r="S20" s="47" t="str">
        <x:v>Harvest now, decrypt later</x:v>
      </x:c>
    </x:row>
    <x:row r="21" ht="36" customHeight="1">
      <x:c r="A21" s="63" t="str">
        <x:v>Threat assessment</x:v>
      </x:c>
      <x:c r="B21" s="64" t="str">
        <x:v>Record verification lifetime for tokens, trust anchors, release artifacts, audit evidence and archived records.</x:v>
      </x:c>
      <x:c r="C21" s="64" t="str">
        <x:v>Future forgery affects authentication and long-lived authenticity differently from confidentiality.</x:v>
      </x:c>
      <x:c r="D21" s="64" t="str">
        <x:v>Cloud / identity / supply chain</x:v>
      </x:c>
      <x:c r="E21" s="64" t="str">
        <x:v>N02, N03, N09, N16</x:v>
      </x:c>
      <x:c r="F21" s="69" t="str">
        <x:v>Not Started</x:v>
      </x:c>
      <x:c r="G21" s="69" t="str">
        <x:v>P1</x:v>
      </x:c>
      <x:c r="H21" s="69"/>
      <x:c r="I21" s="71"/>
      <x:c r="J21" s="69"/>
      <x:c r="K21" s="69"/>
      <x:c r="L21" s="64" t="str">
        <x:v>CLD-C020</x:v>
      </x:c>
      <x:c r="M21" s="64" t="str">
        <x:v>2026 baseline</x:v>
      </x:c>
      <x:c r="N21" s="64" t="str">
        <x:v>Local task; source status in Sources</x:v>
      </x:c>
      <x:c r="O21" s="71"/>
      <x:c r="P21" s="69"/>
      <x:c r="Q21" s="69"/>
      <x:c r="R21" s="64" t="str">
        <x:f>IF(F21="Complete",IF(H21="","Add owner",IF(J21="","Add evidence",IF(O21="","Add review date",IF(P21="","Add reviewer","Evidence recorded")))),IF(OR(F21="Accepted Risk",F21="Not Applicable"),IF(H21="","Add owner",IF(Q21="","Add rationale / approval",IF(J21="","Add evidence",IF(O21="","Add review date",IF(P21="","Add reviewer","Decision recorded"))))),IF(F21="Blocked","Resolve blocker","Work remains")))</x:f>
        <x:v>Work remains</x:v>
      </x:c>
      <x:c r="S21" s="65" t="str">
        <x:v>Future signature forgery</x:v>
      </x:c>
    </x:row>
    <x:row r="22" ht="36" customHeight="1">
      <x:c r="A22" s="45" t="str">
        <x:v>Discovery</x:v>
      </x:c>
      <x:c r="B22" s="46" t="str">
        <x:v>Record library/provider, exact build, protocol version, parameter set, config location, discovery method, last observed date and gaps.</x:v>
      </x:c>
      <x:c r="C22" s="46" t="str">
        <x:v>Product names and account inventories alone do not identify cryptographic use.</x:v>
      </x:c>
      <x:c r="D22" s="46" t="str">
        <x:v>Cloud / identity / supply chain</x:v>
      </x:c>
      <x:c r="E22" s="46" t="str">
        <x:v>N05, N07, N08</x:v>
      </x:c>
      <x:c r="F22" s="69" t="str">
        <x:v>Not Started</x:v>
      </x:c>
      <x:c r="G22" s="69" t="str">
        <x:v>P1</x:v>
      </x:c>
      <x:c r="H22" s="69"/>
      <x:c r="I22" s="71"/>
      <x:c r="J22" s="69"/>
      <x:c r="K22" s="69"/>
      <x:c r="L22" s="46" t="str">
        <x:v>CLD-C021</x:v>
      </x:c>
      <x:c r="M22" s="46" t="str">
        <x:v>2026 baseline</x:v>
      </x:c>
      <x:c r="N22" s="46" t="str">
        <x:v>Local task; source status in Sources</x:v>
      </x:c>
      <x:c r="O22" s="71"/>
      <x:c r="P22" s="69"/>
      <x:c r="Q22" s="69"/>
      <x:c r="R22" s="46" t="str">
        <x:f>IF(F22="Complete",IF(H22="","Add owner",IF(J22="","Add evidence",IF(O22="","Add review date",IF(P22="","Add reviewer","Evidence recorded")))),IF(OR(F22="Accepted Risk",F22="Not Applicable"),IF(H22="","Add owner",IF(Q22="","Add rationale / approval",IF(J22="","Add evidence",IF(O22="","Add review date",IF(P22="","Add reviewer","Decision recorded"))))),IF(F22="Blocked","Resolve blocker","Work remains")))</x:f>
        <x:v>Work remains</x:v>
      </x:c>
      <x:c r="S22" s="47" t="str">
        <x:v>Hidden or stale dependencies</x:v>
      </x:c>
    </x:row>
    <x:row r="23" ht="36" customHeight="1">
      <x:c r="A23" s="63" t="str">
        <x:v>Discovery</x:v>
      </x:c>
      <x:c r="B23" s="64" t="str">
        <x:v>Map issuers, intermediaries, all relying parties, partner APIs, multi-region paths, egress, backups and recovery environments.</x:v>
      </x:c>
      <x:c r="C23" s="64" t="str">
        <x:v>The least-ready trust dependency can block migration.</x:v>
      </x:c>
      <x:c r="D23" s="64" t="str">
        <x:v>Cloud / identity / supply chain</x:v>
      </x:c>
      <x:c r="E23" s="64" t="str">
        <x:v>N05, N07, N16</x:v>
      </x:c>
      <x:c r="F23" s="69" t="str">
        <x:v>Not Started</x:v>
      </x:c>
      <x:c r="G23" s="69" t="str">
        <x:v>P1</x:v>
      </x:c>
      <x:c r="H23" s="69"/>
      <x:c r="I23" s="71"/>
      <x:c r="J23" s="69"/>
      <x:c r="K23" s="69"/>
      <x:c r="L23" s="64" t="str">
        <x:v>CLD-C022</x:v>
      </x:c>
      <x:c r="M23" s="64" t="str">
        <x:v>2026 baseline</x:v>
      </x:c>
      <x:c r="N23" s="64" t="str">
        <x:v>Local task; source status in Sources</x:v>
      </x:c>
      <x:c r="O23" s="71"/>
      <x:c r="P23" s="69"/>
      <x:c r="Q23" s="69"/>
      <x:c r="R23" s="64" t="str">
        <x:f>IF(F23="Complete",IF(H23="","Add owner",IF(J23="","Add evidence",IF(O23="","Add review date",IF(P23="","Add reviewer","Evidence recorded")))),IF(OR(F23="Accepted Risk",F23="Not Applicable"),IF(H23="","Add owner",IF(Q23="","Add rationale / approval",IF(J23="","Add evidence",IF(O23="","Add review date",IF(P23="","Add reviewer","Decision recorded"))))),IF(F23="Blocked","Resolve blocker","Work remains")))</x:f>
        <x:v>Work remains</x:v>
      </x:c>
      <x:c r="S23" s="65" t="str">
        <x:v>Unmapped trust and recovery paths</x:v>
      </x:c>
    </x:row>
    <x:row r="24" ht="36" customHeight="1">
      <x:c r="A24" s="45" t="str">
        <x:v>Algorithm selection</x:v>
      </x:c>
      <x:c r="B24" s="46" t="str">
        <x:v>Separate ML-KEM shared-secret establishment from ML-DSA/SLH-DSA signatures. Record parameter set, KDF and consuming protocol.</x:v>
      </x:c>
      <x:c r="C24" s="46" t="str">
        <x:v>KEM adoption does not replace certificate or token signatures.</x:v>
      </x:c>
      <x:c r="D24" s="46" t="str">
        <x:v>Cloud / identity / supply chain</x:v>
      </x:c>
      <x:c r="E24" s="46" t="str">
        <x:v>N01, N02, N03, N04</x:v>
      </x:c>
      <x:c r="F24" s="69" t="str">
        <x:v>Not Started</x:v>
      </x:c>
      <x:c r="G24" s="69" t="str">
        <x:v>P1</x:v>
      </x:c>
      <x:c r="H24" s="69"/>
      <x:c r="I24" s="71"/>
      <x:c r="J24" s="69"/>
      <x:c r="K24" s="69"/>
      <x:c r="L24" s="46" t="str">
        <x:v>CLD-C023</x:v>
      </x:c>
      <x:c r="M24" s="46" t="str">
        <x:v>2026 baseline</x:v>
      </x:c>
      <x:c r="N24" s="46" t="str">
        <x:v>Local task; source status in Sources</x:v>
      </x:c>
      <x:c r="O24" s="71"/>
      <x:c r="P24" s="69"/>
      <x:c r="Q24" s="69"/>
      <x:c r="R24" s="46" t="str">
        <x:f>IF(F24="Complete",IF(H24="","Add owner",IF(J24="","Add evidence",IF(O24="","Add review date",IF(P24="","Add reviewer","Evidence recorded")))),IF(OR(F24="Accepted Risk",F24="Not Applicable"),IF(H24="","Add owner",IF(Q24="","Add rationale / approval",IF(J24="","Add evidence",IF(O24="","Add review date",IF(P24="","Add reviewer","Decision recorded"))))),IF(F24="Blocked","Resolve blocker","Work remains")))</x:f>
        <x:v>Work remains</x:v>
      </x:c>
      <x:c r="S24" s="47" t="str">
        <x:v>Wrong primitive or parameters</x:v>
      </x:c>
    </x:row>
    <x:row r="25" ht="36" customHeight="1">
      <x:c r="A25" s="63" t="str">
        <x:v>KEM engineering</x:v>
      </x:c>
      <x:c r="B25" s="64" t="str">
        <x:v>Review vetted implementation, randomness, key separation, input validation, decapsulation failure behavior and shared-secret destruction.</x:v>
      </x:c>
      <x:c r="C25" s="64" t="str">
        <x:v>Correct algorithms can fail through implementation or key-management defects.</x:v>
      </x:c>
      <x:c r="D25" s="64" t="str">
        <x:v>Cloud / identity / supply chain</x:v>
      </x:c>
      <x:c r="E25" s="64" t="str">
        <x:v>N04, N09</x:v>
      </x:c>
      <x:c r="F25" s="69" t="str">
        <x:v>Not Started</x:v>
      </x:c>
      <x:c r="G25" s="69" t="str">
        <x:v>P1</x:v>
      </x:c>
      <x:c r="H25" s="69"/>
      <x:c r="I25" s="71"/>
      <x:c r="J25" s="69"/>
      <x:c r="K25" s="69"/>
      <x:c r="L25" s="64" t="str">
        <x:v>CLD-C024</x:v>
      </x:c>
      <x:c r="M25" s="64" t="str">
        <x:v>2027 pilots and rollout</x:v>
      </x:c>
      <x:c r="N25" s="64" t="str">
        <x:v>Local task; source status in Sources</x:v>
      </x:c>
      <x:c r="O25" s="71"/>
      <x:c r="P25" s="69"/>
      <x:c r="Q25" s="69"/>
      <x:c r="R25" s="64" t="str">
        <x:f>IF(F25="Complete",IF(H25="","Add owner",IF(J25="","Add evidence",IF(O25="","Add review date",IF(P25="","Add reviewer","Evidence recorded")))),IF(OR(F25="Accepted Risk",F25="Not Applicable"),IF(H25="","Add owner",IF(Q25="","Add rationale / approval",IF(J25="","Add evidence",IF(O25="","Add review date",IF(P25="","Add reviewer","Decision recorded"))))),IF(F25="Blocked","Resolve blocker","Work remains")))</x:f>
        <x:v>Work remains</x:v>
      </x:c>
      <x:c r="S25" s="65" t="str">
        <x:v>Malformed ciphertext, side channels or secret leakage</x:v>
      </x:c>
    </x:row>
    <x:row r="26" ht="49" customHeight="1">
      <x:c r="A26" s="45" t="str">
        <x:v>Module assurance</x:v>
      </x:c>
      <x:c r="B26" s="46" t="str">
        <x:v>Verify CMVP certificate, module/version, operating environment, approved mode, PQC service coverage and current status where required.</x:v>
      </x:c>
      <x:c r="C26" s="46" t="str">
        <x:v>CAVP or a marketing claim is not module, protocol or whole-product validation. Historical is not the same as revoked.</x:v>
      </x:c>
      <x:c r="D26" s="46" t="str">
        <x:v>Cloud / identity / supply chain</x:v>
      </x:c>
      <x:c r="E26" s="46" t="str">
        <x:v>N24, N25, N26</x:v>
      </x:c>
      <x:c r="F26" s="69" t="str">
        <x:v>Not Started</x:v>
      </x:c>
      <x:c r="G26" s="69" t="str">
        <x:v>P1</x:v>
      </x:c>
      <x:c r="H26" s="69"/>
      <x:c r="I26" s="71"/>
      <x:c r="J26" s="69"/>
      <x:c r="K26" s="69"/>
      <x:c r="L26" s="46" t="str">
        <x:v>CLD-C025</x:v>
      </x:c>
      <x:c r="M26" s="46" t="str">
        <x:v>2026 baseline</x:v>
      </x:c>
      <x:c r="N26" s="46" t="str">
        <x:v>Local task; source status in Sources</x:v>
      </x:c>
      <x:c r="O26" s="71"/>
      <x:c r="P26" s="69"/>
      <x:c r="Q26" s="69"/>
      <x:c r="R26" s="46" t="str">
        <x:f>IF(F26="Complete",IF(H26="","Add owner",IF(J26="","Add evidence",IF(O26="","Add review date",IF(P26="","Add reviewer","Evidence recorded")))),IF(OR(F26="Accepted Risk",F26="Not Applicable"),IF(H26="","Add owner",IF(Q26="","Add rationale / approval",IF(J26="","Add evidence",IF(O26="","Add review date",IF(P26="","Add reviewer","Decision recorded"))))),IF(F26="Blocked","Resolve blocker","Work remains")))</x:f>
        <x:v>Work remains</x:v>
      </x:c>
      <x:c r="S26" s="47" t="str">
        <x:v>Unsupported assurance claim</x:v>
      </x:c>
    </x:row>
    <x:row r="27" ht="36" customHeight="1">
      <x:c r="A27" s="63" t="str">
        <x:v>Interoperability</x:v>
      </x:c>
      <x:c r="B27" s="64" t="str">
        <x:v>Record protocol profile and maturity for TLS, SSH, VPN, JOSE/COSE, OIDC/SAML and X.509. Test exact endpoint/verifier versions.</x:v>
      </x:c>
      <x:c r="C27" s="64" t="str">
        <x:v>Final algorithms do not make every protocol integration standardized or supported.</x:v>
      </x:c>
      <x:c r="D27" s="64" t="str">
        <x:v>Cloud / identity / supply chain</x:v>
      </x:c>
      <x:c r="E27" s="64" t="str">
        <x:v>N01, N02, N03, N08, N16</x:v>
      </x:c>
      <x:c r="F27" s="69" t="str">
        <x:v>Not Started</x:v>
      </x:c>
      <x:c r="G27" s="69" t="str">
        <x:v>P1</x:v>
      </x:c>
      <x:c r="H27" s="69"/>
      <x:c r="I27" s="71"/>
      <x:c r="J27" s="69"/>
      <x:c r="K27" s="69"/>
      <x:c r="L27" s="64" t="str">
        <x:v>CLD-C026</x:v>
      </x:c>
      <x:c r="M27" s="64" t="str">
        <x:v>2027 pilots and rollout</x:v>
      </x:c>
      <x:c r="N27" s="64" t="str">
        <x:v>Local task; source status in Sources</x:v>
      </x:c>
      <x:c r="O27" s="71"/>
      <x:c r="P27" s="69"/>
      <x:c r="Q27" s="69"/>
      <x:c r="R27" s="64" t="str">
        <x:f>IF(F27="Complete",IF(H27="","Add owner",IF(J27="","Add evidence",IF(O27="","Add review date",IF(P27="","Add reviewer","Evidence recorded")))),IF(OR(F27="Accepted Risk",F27="Not Applicable"),IF(H27="","Add owner",IF(Q27="","Add rationale / approval",IF(J27="","Add evidence",IF(O27="","Add review date",IF(P27="","Add reviewer","Decision recorded"))))),IF(F27="Blocked","Resolve blocker","Work remains")))</x:f>
        <x:v>Work remains</x:v>
      </x:c>
      <x:c r="S27" s="65" t="str">
        <x:v>Protocol/profile incompatibility</x:v>
      </x:c>
    </x:row>
    <x:row r="28" ht="49" customHeight="1">
      <x:c r="A28" s="45" t="str">
        <x:v>Hybrid policy</x:v>
      </x:c>
      <x:c r="B28" s="46" t="str">
        <x:v>Document supported hybrid construction, combiner, negotiation and downgrade policy. Test failure of either component and log negotiated results.</x:v>
      </x:c>
      <x:c r="C28" s="46" t="str">
        <x:v>Hybrid properties depend on protocol construction and implementation.</x:v>
      </x:c>
      <x:c r="D28" s="46" t="str">
        <x:v>Cloud / identity / supply chain</x:v>
      </x:c>
      <x:c r="E28" s="46" t="str">
        <x:v>N04, N05</x:v>
      </x:c>
      <x:c r="F28" s="69" t="str">
        <x:v>Not Started</x:v>
      </x:c>
      <x:c r="G28" s="69" t="str">
        <x:v>P1</x:v>
      </x:c>
      <x:c r="H28" s="69"/>
      <x:c r="I28" s="71"/>
      <x:c r="J28" s="69"/>
      <x:c r="K28" s="69"/>
      <x:c r="L28" s="46" t="str">
        <x:v>CLD-C027</x:v>
      </x:c>
      <x:c r="M28" s="46" t="str">
        <x:v>2027 pilots and rollout</x:v>
      </x:c>
      <x:c r="N28" s="46" t="str">
        <x:v>Local task; source status in Sources</x:v>
      </x:c>
      <x:c r="O28" s="71"/>
      <x:c r="P28" s="69"/>
      <x:c r="Q28" s="69"/>
      <x:c r="R28" s="46" t="str">
        <x:f>IF(F28="Complete",IF(H28="","Add owner",IF(J28="","Add evidence",IF(O28="","Add review date",IF(P28="","Add reviewer","Evidence recorded")))),IF(OR(F28="Accepted Risk",F28="Not Applicable"),IF(H28="","Add owner",IF(Q28="","Add rationale / approval",IF(J28="","Add evidence",IF(O28="","Add review date",IF(P28="","Add reviewer","Decision recorded"))))),IF(F28="Blocked","Resolve blocker","Work remains")))</x:f>
        <x:v>Work remains</x:v>
      </x:c>
      <x:c r="S28" s="47" t="str">
        <x:v>Downgrade or insecure composition</x:v>
      </x:c>
    </x:row>
    <x:row r="29" ht="49" customHeight="1">
      <x:c r="A29" s="63" t="str">
        <x:v>Capacity</x:v>
      </x:c>
      <x:c r="B29" s="64" t="str">
        <x:v>Measure handshake, certificate and token sizes, HTTP header/cookie limits, CPU, RAM, concurrency, tail latency, MTU and denial-of-service behavior.</x:v>
      </x:c>
      <x:c r="C29" s="64" t="str">
        <x:v>Larger keys, signatures and messages can disrupt authentication or availability.</x:v>
      </x:c>
      <x:c r="D29" s="64" t="str">
        <x:v>Cloud / identity / supply chain</x:v>
      </x:c>
      <x:c r="E29" s="64" t="str">
        <x:v>N08, N16, N17</x:v>
      </x:c>
      <x:c r="F29" s="69" t="str">
        <x:v>Not Started</x:v>
      </x:c>
      <x:c r="G29" s="69" t="str">
        <x:v>P1</x:v>
      </x:c>
      <x:c r="H29" s="69"/>
      <x:c r="I29" s="71"/>
      <x:c r="J29" s="69"/>
      <x:c r="K29" s="69"/>
      <x:c r="L29" s="64" t="str">
        <x:v>CLD-C028</x:v>
      </x:c>
      <x:c r="M29" s="64" t="str">
        <x:v>2027 pilots and rollout</x:v>
      </x:c>
      <x:c r="N29" s="64" t="str">
        <x:v>Local task; source status in Sources</x:v>
      </x:c>
      <x:c r="O29" s="71"/>
      <x:c r="P29" s="69"/>
      <x:c r="Q29" s="69"/>
      <x:c r="R29" s="64" t="str">
        <x:f>IF(F29="Complete",IF(H29="","Add owner",IF(J29="","Add evidence",IF(O29="","Add review date",IF(P29="","Add reviewer","Evidence recorded")))),IF(OR(F29="Accepted Risk",F29="Not Applicable"),IF(H29="","Add owner",IF(Q29="","Add rationale / approval",IF(J29="","Add evidence",IF(O29="","Add review date",IF(P29="","Add reviewer","Decision recorded"))))),IF(F29="Blocked","Resolve blocker","Work remains")))</x:f>
        <x:v>Work remains</x:v>
      </x:c>
      <x:c r="S29" s="65" t="str">
        <x:v>Resource exhaustion or availability loss</x:v>
      </x:c>
    </x:row>
    <x:row r="30" ht="36" customHeight="1">
      <x:c r="A30" s="45" t="str">
        <x:v>Federation</x:v>
      </x:c>
      <x:c r="B30" s="46" t="str">
        <x:v>Test JWKS/metadata distribution, caches, key identifiers, rollover overlap, token expiry, and rejection of disallowed algorithms.</x:v>
      </x:c>
      <x:c r="C30" s="46" t="str">
        <x:v>Successful issuance does not prove safe verification across relying parties.</x:v>
      </x:c>
      <x:c r="D30" s="46" t="str">
        <x:v>Cloud / identity / supply chain</x:v>
      </x:c>
      <x:c r="E30" s="46" t="str">
        <x:v>N09, N16</x:v>
      </x:c>
      <x:c r="F30" s="69" t="str">
        <x:v>Not Started</x:v>
      </x:c>
      <x:c r="G30" s="69" t="str">
        <x:v>P1</x:v>
      </x:c>
      <x:c r="H30" s="69"/>
      <x:c r="I30" s="71"/>
      <x:c r="J30" s="69"/>
      <x:c r="K30" s="69"/>
      <x:c r="L30" s="46" t="str">
        <x:v>CLD-C029</x:v>
      </x:c>
      <x:c r="M30" s="46" t="str">
        <x:v>2027 pilots and rollout</x:v>
      </x:c>
      <x:c r="N30" s="46" t="str">
        <x:v>Local task; source status in Sources</x:v>
      </x:c>
      <x:c r="O30" s="71"/>
      <x:c r="P30" s="69"/>
      <x:c r="Q30" s="69"/>
      <x:c r="R30" s="46" t="str">
        <x:f>IF(F30="Complete",IF(H30="","Add owner",IF(J30="","Add evidence",IF(O30="","Add review date",IF(P30="","Add reviewer","Evidence recorded")))),IF(OR(F30="Accepted Risk",F30="Not Applicable"),IF(H30="","Add owner",IF(Q30="","Add rationale / approval",IF(J30="","Add evidence",IF(O30="","Add review date",IF(P30="","Add reviewer","Decision recorded"))))),IF(F30="Blocked","Resolve blocker","Work remains")))</x:f>
        <x:v>Work remains</x:v>
      </x:c>
      <x:c r="S30" s="47" t="str">
        <x:v>Stale trust or algorithm confusion</x:v>
      </x:c>
    </x:row>
    <x:row r="31" ht="36" customHeight="1">
      <x:c r="A31" s="63" t="str">
        <x:v>Workload identity</x:v>
      </x:c>
      <x:c r="B31" s="64" t="str">
        <x:v>Include service and automated workload signed-token issuers and every validator. Verify audience, issuer, lifetime and delegated scope.</x:v>
      </x:c>
      <x:c r="C31" s="64" t="str">
        <x:v>A new token signature cannot repair excessive privileges or incorrect token validation.</x:v>
      </x:c>
      <x:c r="D31" s="64" t="str">
        <x:v>Cloud / identity / supply chain</x:v>
      </x:c>
      <x:c r="E31" s="64" t="str">
        <x:v>N16, N17, N22, N23</x:v>
      </x:c>
      <x:c r="F31" s="69" t="str">
        <x:v>Not Started</x:v>
      </x:c>
      <x:c r="G31" s="69" t="str">
        <x:v>P1</x:v>
      </x:c>
      <x:c r="H31" s="69"/>
      <x:c r="I31" s="71"/>
      <x:c r="J31" s="69"/>
      <x:c r="K31" s="69"/>
      <x:c r="L31" s="64" t="str">
        <x:v>CLD-C030</x:v>
      </x:c>
      <x:c r="M31" s="64" t="str">
        <x:v>2026 baseline</x:v>
      </x:c>
      <x:c r="N31" s="64" t="str">
        <x:v>Local task; source status in Sources</x:v>
      </x:c>
      <x:c r="O31" s="71"/>
      <x:c r="P31" s="69"/>
      <x:c r="Q31" s="69"/>
      <x:c r="R31" s="64" t="str">
        <x:f>IF(F31="Complete",IF(H31="","Add owner",IF(J31="","Add evidence",IF(O31="","Add review date",IF(P31="","Add reviewer","Evidence recorded")))),IF(OR(F31="Accepted Risk",F31="Not Applicable"),IF(H31="","Add owner",IF(Q31="","Add rationale / approval",IF(J31="","Add evidence",IF(O31="","Add review date",IF(P31="","Add reviewer","Decision recorded"))))),IF(F31="Blocked","Resolve blocker","Work remains")))</x:f>
        <x:v>Work remains</x:v>
      </x:c>
      <x:c r="S31" s="65" t="str">
        <x:v>Token replay, excessive delegation or validator gaps</x:v>
      </x:c>
    </x:row>
    <x:row r="32" ht="36" customHeight="1">
      <x:c r="A32" s="45" t="str">
        <x:v>PKI lifecycle</x:v>
      </x:c>
      <x:c r="B32" s="46" t="str">
        <x:v>Test enrollment, renewal, revocation, chain building and trust-store distribution across all supported issuer/verifier versions.</x:v>
      </x:c>
      <x:c r="C32" s="46" t="str">
        <x:v>A migrated CA can still break trust, renewal or revocation.</x:v>
      </x:c>
      <x:c r="D32" s="46" t="str">
        <x:v>Cloud / identity / supply chain</x:v>
      </x:c>
      <x:c r="E32" s="46" t="str">
        <x:v>N02, N03, N09</x:v>
      </x:c>
      <x:c r="F32" s="69" t="str">
        <x:v>Not Started</x:v>
      </x:c>
      <x:c r="G32" s="69" t="str">
        <x:v>P1</x:v>
      </x:c>
      <x:c r="H32" s="69"/>
      <x:c r="I32" s="71"/>
      <x:c r="J32" s="69"/>
      <x:c r="K32" s="69"/>
      <x:c r="L32" s="46" t="str">
        <x:v>CLD-C031</x:v>
      </x:c>
      <x:c r="M32" s="46" t="str">
        <x:v>2027 pilots and rollout</x:v>
      </x:c>
      <x:c r="N32" s="46" t="str">
        <x:v>Local task; source status in Sources</x:v>
      </x:c>
      <x:c r="O32" s="71"/>
      <x:c r="P32" s="69"/>
      <x:c r="Q32" s="69"/>
      <x:c r="R32" s="46" t="str">
        <x:f>IF(F32="Complete",IF(H32="","Add owner",IF(J32="","Add evidence",IF(O32="","Add review date",IF(P32="","Add reviewer","Evidence recorded")))),IF(OR(F32="Accepted Risk",F32="Not Applicable"),IF(H32="","Add owner",IF(Q32="","Add rationale / approval",IF(J32="","Add evidence",IF(O32="","Add review date",IF(P32="","Add reviewer","Decision recorded"))))),IF(F32="Blocked","Resolve blocker","Work remains")))</x:f>
        <x:v>Work remains</x:v>
      </x:c>
      <x:c r="S32" s="47" t="str">
        <x:v>Trust outage or stale revoked credentials</x:v>
      </x:c>
    </x:row>
    <x:row r="33" ht="36" customHeight="1">
      <x:c r="A33" s="63" t="str">
        <x:v>Data recovery</x:v>
      </x:c>
      <x:c r="B33" s="64" t="str">
        <x:v>Inventory archive/backup key wrapping. Test old-data restore, key recovery and rewrapping. Assess bulk symmetric encryption separately.</x:v>
      </x:c>
      <x:c r="C33" s="64" t="str">
        <x:v>Long-lived data depends on protecting its key management and recovery paths.</x:v>
      </x:c>
      <x:c r="D33" s="64" t="str">
        <x:v>Cloud / identity / supply chain</x:v>
      </x:c>
      <x:c r="E33" s="64" t="str">
        <x:v>N04, N09</x:v>
      </x:c>
      <x:c r="F33" s="69" t="str">
        <x:v>Not Started</x:v>
      </x:c>
      <x:c r="G33" s="69" t="str">
        <x:v>P1</x:v>
      </x:c>
      <x:c r="H33" s="69"/>
      <x:c r="I33" s="71"/>
      <x:c r="J33" s="69"/>
      <x:c r="K33" s="69"/>
      <x:c r="L33" s="64" t="str">
        <x:v>CLD-C032</x:v>
      </x:c>
      <x:c r="M33" s="64" t="str">
        <x:v>2027 pilots and rollout</x:v>
      </x:c>
      <x:c r="N33" s="64" t="str">
        <x:v>Local task; source status in Sources</x:v>
      </x:c>
      <x:c r="O33" s="71"/>
      <x:c r="P33" s="69"/>
      <x:c r="Q33" s="69"/>
      <x:c r="R33" s="64" t="str">
        <x:f>IF(F33="Complete",IF(H33="","Add owner",IF(J33="","Add evidence",IF(O33="","Add review date",IF(P33="","Add reviewer","Evidence recorded")))),IF(OR(F33="Accepted Risk",F33="Not Applicable"),IF(H33="","Add owner",IF(Q33="","Add rationale / approval",IF(J33="","Add evidence",IF(O33="","Add review date",IF(P33="","Add reviewer","Decision recorded"))))),IF(F33="Blocked","Resolve blocker","Work remains")))</x:f>
        <x:v>Work remains</x:v>
      </x:c>
      <x:c r="S33" s="65" t="str">
        <x:v>Loss of confidentiality or recovery</x:v>
      </x:c>
    </x:row>
    <x:row r="34" ht="36" customHeight="1">
      <x:c r="A34" s="45" t="str">
        <x:v>Supplier evidence</x:v>
      </x:c>
      <x:c r="B34" s="46" t="str">
        <x:v>Require exact support versions, release dates, interoperability evidence, security updates, lifecycle dates and notification commitments.</x:v>
      </x:c>
      <x:c r="C34" s="46" t="str">
        <x:v>A roadmap without version-level evidence cannot support an approved wave.</x:v>
      </x:c>
      <x:c r="D34" s="46" t="str">
        <x:v>Cloud / identity / supply chain</x:v>
      </x:c>
      <x:c r="E34" s="46" t="str">
        <x:v>N05, N29</x:v>
      </x:c>
      <x:c r="F34" s="69" t="str">
        <x:v>Not Started</x:v>
      </x:c>
      <x:c r="G34" s="69" t="str">
        <x:v>P1</x:v>
      </x:c>
      <x:c r="H34" s="69"/>
      <x:c r="I34" s="71"/>
      <x:c r="J34" s="69"/>
      <x:c r="K34" s="69"/>
      <x:c r="L34" s="46" t="str">
        <x:v>CLD-C033</x:v>
      </x:c>
      <x:c r="M34" s="46" t="str">
        <x:v>2026 baseline</x:v>
      </x:c>
      <x:c r="N34" s="46" t="str">
        <x:v>Local task; source status in Sources</x:v>
      </x:c>
      <x:c r="O34" s="71"/>
      <x:c r="P34" s="69"/>
      <x:c r="Q34" s="69"/>
      <x:c r="R34" s="46" t="str">
        <x:f>IF(F34="Complete",IF(H34="","Add owner",IF(J34="","Add evidence",IF(O34="","Add review date",IF(P34="","Add reviewer","Evidence recorded")))),IF(OR(F34="Accepted Risk",F34="Not Applicable"),IF(H34="","Add owner",IF(Q34="","Add rationale / approval",IF(J34="","Add evidence",IF(O34="","Add review date",IF(P34="","Add reviewer","Decision recorded"))))),IF(F34="Blocked","Resolve blocker","Work remains")))</x:f>
        <x:v>Work remains</x:v>
      </x:c>
      <x:c r="S34" s="47" t="str">
        <x:v>Supplier delay or unsupported products</x:v>
      </x:c>
    </x:row>
    <x:row r="35" ht="49" customHeight="1">
      <x:c r="A35" s="63" t="str">
        <x:v>Release approval</x:v>
      </x:c>
      <x:c r="B35" s="64" t="str">
        <x:v>Record owner-approved tests, monitoring, incident contacts and rollback. Obtain production authorization separately from a successful lab result.</x:v>
      </x:c>
      <x:c r="C35" s="64" t="str">
        <x:v>Deployment decisions require complete operational evidence.</x:v>
      </x:c>
      <x:c r="D35" s="64" t="str">
        <x:v>Cloud / identity / supply chain</x:v>
      </x:c>
      <x:c r="E35" s="64" t="str">
        <x:v>N05, N27</x:v>
      </x:c>
      <x:c r="F35" s="69" t="str">
        <x:v>Not Started</x:v>
      </x:c>
      <x:c r="G35" s="69" t="str">
        <x:v>P1</x:v>
      </x:c>
      <x:c r="H35" s="69"/>
      <x:c r="I35" s="71"/>
      <x:c r="J35" s="69"/>
      <x:c r="K35" s="69"/>
      <x:c r="L35" s="64" t="str">
        <x:v>CLD-C034</x:v>
      </x:c>
      <x:c r="M35" s="64" t="str">
        <x:v>2027 pilots and rollout</x:v>
      </x:c>
      <x:c r="N35" s="64" t="str">
        <x:v>Local task; source status in Sources</x:v>
      </x:c>
      <x:c r="O35" s="71"/>
      <x:c r="P35" s="69"/>
      <x:c r="Q35" s="69"/>
      <x:c r="R35" s="64" t="str">
        <x:f>IF(F35="Complete",IF(H35="","Add owner",IF(J35="","Add evidence",IF(O35="","Add review date",IF(P35="","Add reviewer","Evidence recorded")))),IF(OR(F35="Accepted Risk",F35="Not Applicable"),IF(H35="","Add owner",IF(Q35="","Add rationale / approval",IF(J35="","Add evidence",IF(O35="","Add review date",IF(P35="","Add reviewer","Decision recorded"))))),IF(F35="Blocked","Resolve blocker","Work remains")))</x:f>
        <x:v>Work remains</x:v>
      </x:c>
      <x:c r="S35" s="65" t="str">
        <x:v>Premature rollout or outage</x:v>
      </x:c>
    </x:row>
    <x:row r="36" ht="36" customHeight="1">
      <x:c r="A36" s="45" t="str">
        <x:v>Exception management</x:v>
      </x:c>
      <x:c r="B36" s="46" t="str">
        <x:v>Record unsupported dependencies, compensating controls, approver, review/expiry date and replacement milestone.</x:v>
      </x:c>
      <x:c r="C36" s="46" t="str">
        <x:v>Accepted residual risk does not make a legacy path quantum resistant.</x:v>
      </x:c>
      <x:c r="D36" s="46" t="str">
        <x:v>Cloud / identity / supply chain</x:v>
      </x:c>
      <x:c r="E36" s="46" t="str">
        <x:v>N05, N27</x:v>
      </x:c>
      <x:c r="F36" s="69" t="str">
        <x:v>Not Started</x:v>
      </x:c>
      <x:c r="G36" s="69" t="str">
        <x:v>P1</x:v>
      </x:c>
      <x:c r="H36" s="69"/>
      <x:c r="I36" s="71"/>
      <x:c r="J36" s="69"/>
      <x:c r="K36" s="69"/>
      <x:c r="L36" s="46" t="str">
        <x:v>CLD-C035</x:v>
      </x:c>
      <x:c r="M36" s="46" t="str">
        <x:v>2027 pilots and rollout</x:v>
      </x:c>
      <x:c r="N36" s="46" t="str">
        <x:v>Local task; source status in Sources</x:v>
      </x:c>
      <x:c r="O36" s="71"/>
      <x:c r="P36" s="69"/>
      <x:c r="Q36" s="69"/>
      <x:c r="R36" s="46" t="str">
        <x:f>IF(F36="Complete",IF(H36="","Add owner",IF(J36="","Add evidence",IF(O36="","Add review date",IF(P36="","Add reviewer","Evidence recorded")))),IF(OR(F36="Accepted Risk",F36="Not Applicable"),IF(H36="","Add owner",IF(Q36="","Add rationale / approval",IF(J36="","Add evidence",IF(O36="","Add review date",IF(P36="","Add reviewer","Decision recorded"))))),IF(F36="Blocked","Resolve blocker","Work remains")))</x:f>
        <x:v>Work remains</x:v>
      </x:c>
      <x:c r="S36" s="47" t="str">
        <x:v>Permanent legacy exception</x:v>
      </x:c>
    </x:row>
    <x:row r="37" ht="36" customHeight="1">
      <x:c r="A37" s="63" t="str">
        <x:v>Continuous assurance</x:v>
      </x:c>
      <x:c r="B37" s="64" t="str">
        <x:v>Rediscover cryptography after releases, acquisitions, provider changes and trust updates. Detect classical fallback and inventory drift.</x:v>
      </x:c>
      <x:c r="C37" s="64" t="str">
        <x:v>Crypto agility requires maintained evidence after initial migration.</x:v>
      </x:c>
      <x:c r="D37" s="64" t="str">
        <x:v>Cloud / identity / supply chain</x:v>
      </x:c>
      <x:c r="E37" s="64" t="str">
        <x:v>N05, N07</x:v>
      </x:c>
      <x:c r="F37" s="69" t="str">
        <x:v>Not Started</x:v>
      </x:c>
      <x:c r="G37" s="69" t="str">
        <x:v>P1</x:v>
      </x:c>
      <x:c r="H37" s="69"/>
      <x:c r="I37" s="71"/>
      <x:c r="J37" s="69"/>
      <x:c r="K37" s="69"/>
      <x:c r="L37" s="64" t="str">
        <x:v>CLD-C036</x:v>
      </x:c>
      <x:c r="M37" s="64" t="str">
        <x:v>2028+ continuous migration</x:v>
      </x:c>
      <x:c r="N37" s="64" t="str">
        <x:v>Local task; source status in Sources</x:v>
      </x:c>
      <x:c r="O37" s="71"/>
      <x:c r="P37" s="69"/>
      <x:c r="Q37" s="69"/>
      <x:c r="R37" s="64" t="str">
        <x:f>IF(F37="Complete",IF(H37="","Add owner",IF(J37="","Add evidence",IF(O37="","Add review date",IF(P37="","Add reviewer","Evidence recorded")))),IF(OR(F37="Accepted Risk",F37="Not Applicable"),IF(H37="","Add owner",IF(Q37="","Add rationale / approval",IF(J37="","Add evidence",IF(O37="","Add review date",IF(P37="","Add reviewer","Decision recorded"))))),IF(F37="Blocked","Resolve blocker","Work remains")))</x:f>
        <x:v>Work remains</x:v>
      </x:c>
      <x:c r="S37" s="65" t="str">
        <x:v>Silent regression</x:v>
      </x:c>
    </x:row>
    <x:row r="38" ht="49" customHeight="1">
      <x:c r="A38" s="45" t="str">
        <x:v>Standards watch</x:v>
      </x:c>
      <x:c r="B38" s="46" t="str">
        <x:v>Review FIPS errata, IR 8547, draft SP 800-131A Rev. 3, SP 800-57 Part 1 Rev. 6, SP 800-133 Rev. 3 and SP 800-230; monitor pending FN-DSA/HQC.</x:v>
      </x:c>
      <x:c r="C38" s="46" t="str">
        <x:v>Drafts, candidates and forecasts are not finalized approvals. Do not defer current migration for a future algorithm.</x:v>
      </x:c>
      <x:c r="D38" s="46" t="str">
        <x:v>Cloud / identity / supply chain</x:v>
      </x:c>
      <x:c r="E38" s="46" t="str">
        <x:v>N01-N06, N10, N12, N19-N21, N30, N31</x:v>
      </x:c>
      <x:c r="F38" s="69" t="str">
        <x:v>Not Started</x:v>
      </x:c>
      <x:c r="G38" s="69" t="str">
        <x:v>P1</x:v>
      </x:c>
      <x:c r="H38" s="69"/>
      <x:c r="I38" s="71"/>
      <x:c r="J38" s="69"/>
      <x:c r="K38" s="69"/>
      <x:c r="L38" s="46" t="str">
        <x:v>CLD-C037</x:v>
      </x:c>
      <x:c r="M38" s="46" t="str">
        <x:v>2028+ continuous migration</x:v>
      </x:c>
      <x:c r="N38" s="46" t="str">
        <x:v>Includes draft watch; see Sources</x:v>
      </x:c>
      <x:c r="O38" s="71"/>
      <x:c r="P38" s="69"/>
      <x:c r="Q38" s="69"/>
      <x:c r="R38" s="46" t="str">
        <x:f>IF(F38="Complete",IF(H38="","Add owner",IF(J38="","Add evidence",IF(O38="","Add review date",IF(P38="","Add reviewer","Evidence recorded")))),IF(OR(F38="Accepted Risk",F38="Not Applicable"),IF(H38="","Add owner",IF(Q38="","Add rationale / approval",IF(J38="","Add evidence",IF(O38="","Add review date",IF(P38="","Add reviewer","Decision recorded"))))),IF(F38="Blocked","Resolve blocker","Work remains")))</x:f>
        <x:v>Work remains</x:v>
      </x:c>
      <x:c r="S38" s="47" t="str">
        <x:v>Stale guidance or premature standards claims</x:v>
      </x:c>
    </x:row>
    <x:row r="39" ht="36" customHeight="1">
      <x:c r="A39" s="66" t="str">
        <x:v>Retirement</x:v>
      </x:c>
      <x:c r="B39" s="67" t="str">
        <x:v>Retire replaced keys, trust anchors, configs and unsupported dependencies after validating recovery and retention obligations.</x:v>
      </x:c>
      <x:c r="C39" s="67" t="str">
        <x:v>Migration is incomplete while unmanaged fallback or verification remains.</x:v>
      </x:c>
      <x:c r="D39" s="67" t="str">
        <x:v>Cloud / identity / supply chain</x:v>
      </x:c>
      <x:c r="E39" s="67" t="str">
        <x:v>N05, N09</x:v>
      </x:c>
      <x:c r="F39" s="70" t="str">
        <x:v>Not Started</x:v>
      </x:c>
      <x:c r="G39" s="70" t="str">
        <x:v>P1</x:v>
      </x:c>
      <x:c r="H39" s="70"/>
      <x:c r="I39" s="72"/>
      <x:c r="J39" s="70"/>
      <x:c r="K39" s="70"/>
      <x:c r="L39" s="67" t="str">
        <x:v>CLD-C038</x:v>
      </x:c>
      <x:c r="M39" s="67" t="str">
        <x:v>2028+ continuous migration</x:v>
      </x:c>
      <x:c r="N39" s="67" t="str">
        <x:v>Local task; source status in Sources</x:v>
      </x:c>
      <x:c r="O39" s="72"/>
      <x:c r="P39" s="70"/>
      <x:c r="Q39" s="70"/>
      <x:c r="R39" s="67" t="str">
        <x:f>IF(F39="Complete",IF(H39="","Add owner",IF(J39="","Add evidence",IF(O39="","Add review date",IF(P39="","Add reviewer","Evidence recorded")))),IF(OR(F39="Accepted Risk",F39="Not Applicable"),IF(H39="","Add owner",IF(Q39="","Add rationale / approval",IF(J39="","Add evidence",IF(O39="","Add review date",IF(P39="","Add reviewer","Decision recorded"))))),IF(F39="Blocked","Resolve blocker","Work remains")))</x:f>
        <x:v>Work remains</x:v>
      </x:c>
      <x:c r="S39" s="68" t="str">
        <x:v>Residual quantum-vulnerable paths</x:v>
      </x:c>
    </x:row>
  </x:sheetData>
  <x:conditionalFormatting sqref="R2:R39">
    <x:cfRule type="beginsWith" dxfId="0" priority="1" operator="beginsWith" text="Add"/>
  </x:conditionalFormatting>
  <x:conditionalFormatting sqref="F2:F39">
    <x:cfRule type="containsText" dxfId="1" priority="2" operator="containsText" text="Blocked"/>
  </x:conditionalFormatting>
  <x:dataValidations count="2">
    <x:dataValidation type="list" sqref="F2:F39">
      <x:formula1>"Not Started,In Progress,Blocked,Complete,Accepted Risk,Not Applicable"</x:formula1>
    </x:dataValidation>
    <x:dataValidation type="list" sqref="G2:G39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ceacdfc2d84a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18" hidden="0" customWidth="1"/>
    <x:col min="17" max="17" width="34" hidden="0" customWidth="1"/>
    <x:col min="18" max="18" width="34" hidden="0" customWidth="1"/>
    <x:col min="19" max="19" width="31" hidden="0" customWidth="1"/>
    <x:col min="20" max="20" width="22" hidden="0" customWidth="1"/>
    <x:col min="21" max="21" width="24" hidden="0" customWidth="1"/>
    <x:col min="22" max="22" width="31" hidden="0" customWidth="1"/>
    <x:col min="23" max="23" width="37" hidden="0" customWidth="1"/>
    <x:col min="24" max="24" width="16" hidden="0" customWidth="1"/>
    <x:col min="25" max="25" width="34" hidden="0" customWidth="1"/>
    <x:col min="26" max="26" width="34" hidden="0" customWidth="1"/>
    <x:col min="27" max="27" width="22" hidden="0" customWidth="1"/>
    <x:col min="28" max="28" width="35" hidden="0" customWidth="1"/>
  </x:cols>
  <x:sheetData>
    <x:row r="1" ht="42" customHeight="1">
      <x:c r="A1" s="60" t="str">
        <x:v>Platform</x:v>
      </x:c>
      <x:c r="B1" s="61" t="str">
        <x:v>Workload/App</x:v>
      </x:c>
      <x:c r="C1" s="61" t="str">
        <x:v>Environment</x:v>
      </x:c>
      <x:c r="D1" s="61" t="str">
        <x:v>Identity Type</x:v>
      </x:c>
      <x:c r="E1" s="61" t="str">
        <x:v>Token/Certificate Mechanism</x:v>
      </x:c>
      <x:c r="F1" s="61" t="str">
        <x:v>Signing Algorithm</x:v>
      </x:c>
      <x:c r="G1" s="61" t="str">
        <x:v>Issuer / Trust Anchor</x:v>
      </x:c>
      <x:c r="H1" s="61" t="str">
        <x:v>Rotation Period</x:v>
      </x:c>
      <x:c r="I1" s="61" t="str">
        <x:v>External Exposure</x:v>
      </x:c>
      <x:c r="J1" s="61" t="str">
        <x:v>PQC Dependency</x:v>
      </x:c>
      <x:c r="K1" s="61" t="str">
        <x:v>Migration Blocker</x:v>
      </x:c>
      <x:c r="L1" s="61" t="str">
        <x:v>Priority</x:v>
      </x:c>
      <x:c r="M1" s="61" t="str">
        <x:v>Owner</x:v>
      </x:c>
      <x:c r="N1" s="61" t="str">
        <x:v>Evidence Link</x:v>
      </x:c>
      <x:c r="O1" s="61" t="str">
        <x:v>Notes</x:v>
      </x:c>
      <x:c r="P1" s="61" t="str">
        <x:v>Asset / flow ID</x:v>
      </x:c>
      <x:c r="Q1" s="61" t="str">
        <x:v>Crypto library/provider version</x:v>
      </x:c>
      <x:c r="R1" s="61" t="str">
        <x:v>Protocol/profile and version</x:v>
      </x:c>
      <x:c r="S1" s="61" t="str">
        <x:v>Key establishment / KEM</x:v>
      </x:c>
      <x:c r="T1" s="61" t="str">
        <x:v>Parameter set</x:v>
      </x:c>
      <x:c r="U1" s="61" t="str">
        <x:v>Confidentiality lifetime (years)</x:v>
      </x:c>
      <x:c r="V1" s="61" t="str">
        <x:v>Signature verification lifetime</x:v>
      </x:c>
      <x:c r="W1" s="61" t="str">
        <x:v>Discovery method</x:v>
      </x:c>
      <x:c r="X1" s="61" t="str">
        <x:v>Last observed</x:v>
      </x:c>
      <x:c r="Y1" s="61" t="str">
        <x:v>Supplier/version evidence</x:v>
      </x:c>
      <x:c r="Z1" s="61" t="str">
        <x:v>CMVP evidence if required</x:v>
      </x:c>
      <x:c r="AA1" s="61" t="str">
        <x:v>Migration wave</x:v>
      </x:c>
      <x:c r="AB1" s="62" t="str">
        <x:v>Exception approver / review date</x:v>
      </x:c>
    </x:row>
    <x:row r="2" ht="36" customHeight="1">
      <x:c r="A2" s="73" t="str">
        <x:v>Example Kubernetes platform</x:v>
      </x:c>
      <x:c r="B2" s="69" t="str">
        <x:v>Example service mesh app</x:v>
      </x:c>
      <x:c r="C2" s="69" t="str">
        <x:v>Production</x:v>
      </x:c>
      <x:c r="D2" s="69" t="str">
        <x:v>Kubernetes service account / mTLS identity</x:v>
      </x:c>
      <x:c r="E2" s="69" t="str">
        <x:v>Short-lived workload certificate</x:v>
      </x:c>
      <x:c r="F2" s="69" t="str">
        <x:v>ECDSA/RSA</x:v>
      </x:c>
      <x:c r="G2" s="69" t="str">
        <x:v>Private workload CA</x:v>
      </x:c>
      <x:c r="H2" s="69" t="str">
        <x:v>24 hours</x:v>
      </x:c>
      <x:c r="I2" s="69" t="str">
        <x:v>Internal</x:v>
      </x:c>
      <x:c r="J2" s="69" t="str">
        <x:v>Certificate signature and TLS handshake behavior</x:v>
      </x:c>
      <x:c r="K2" s="69" t="str">
        <x:v>Certificate chain-size and service mesh compatibility</x:v>
      </x:c>
      <x:c r="L2" s="69" t="str">
        <x:v>P1</x:v>
      </x:c>
      <x:c r="M2" s="69"/>
      <x:c r="N2" s="69"/>
      <x:c r="O2" s="69" t="str">
        <x:v>Example only</x:v>
      </x:c>
      <x:c r="P2" s="69" t="str">
        <x:v>EX-CLD-001</x:v>
      </x:c>
      <x:c r="Q2" s="69" t="str">
        <x:v>Record actual provider</x:v>
      </x:c>
      <x:c r="R2" s="69" t="str">
        <x:v>Record TLS/mTLS profile</x:v>
      </x:c>
      <x:c r="S2" s="69" t="str">
        <x:v>Unknown: discover negotiated group</x:v>
      </x:c>
      <x:c r="T2" s="69" t="str">
        <x:v>Unknown</x:v>
      </x:c>
      <x:c r="U2" s="69"/>
      <x:c r="V2" s="69" t="str">
        <x:v>Credential and trust-anchor lifetime</x:v>
      </x:c>
      <x:c r="W2" s="69" t="str">
        <x:v>Configuration and passive evidence</x:v>
      </x:c>
      <x:c r="X2" s="71"/>
      <x:c r="Y2" s="69"/>
      <x:c r="Z2" s="69"/>
      <x:c r="AA2" s="69" t="str">
        <x:v>Unassigned</x:v>
      </x:c>
      <x:c r="AB2" s="75"/>
    </x:row>
    <x:row r="3" ht="36" customHeight="1">
      <x:c r="A3" s="73" t="str">
        <x:v>Example CI/CD platform</x:v>
      </x:c>
      <x:c r="B3" s="69" t="str">
        <x:v>Build signing workflow</x:v>
      </x:c>
      <x:c r="C3" s="69" t="str">
        <x:v>Production</x:v>
      </x:c>
      <x:c r="D3" s="69" t="str">
        <x:v>CI/CD service identity</x:v>
      </x:c>
      <x:c r="E3" s="69" t="str">
        <x:v>Artifact signing key</x:v>
      </x:c>
      <x:c r="F3" s="69" t="str">
        <x:v>RSA</x:v>
      </x:c>
      <x:c r="G3" s="69" t="str">
        <x:v>Enterprise signing service</x:v>
      </x:c>
      <x:c r="H3" s="69" t="str">
        <x:v>Release-based</x:v>
      </x:c>
      <x:c r="I3" s="69" t="str">
        <x:v>Internal</x:v>
      </x:c>
      <x:c r="J3" s="69" t="str">
        <x:v>Signature algorithm and verifier compatibility</x:v>
      </x:c>
      <x:c r="K3" s="69" t="str">
        <x:v>Verifier support roadmap unknown</x:v>
      </x:c>
      <x:c r="L3" s="69" t="str">
        <x:v>P1</x:v>
      </x:c>
      <x:c r="M3" s="69"/>
      <x:c r="N3" s="69"/>
      <x:c r="O3" s="69" t="str">
        <x:v>Example only</x:v>
      </x:c>
      <x:c r="P3" s="69" t="str">
        <x:v>EX-CLD-002</x:v>
      </x:c>
      <x:c r="Q3" s="69" t="str">
        <x:v>Record signing implementation</x:v>
      </x:c>
      <x:c r="R3" s="69" t="str">
        <x:v>Record artifact signature profile</x:v>
      </x:c>
      <x:c r="S3" s="69" t="str">
        <x:v>N/A to signing</x:v>
      </x:c>
      <x:c r="T3" s="69" t="str">
        <x:v>Unknown</x:v>
      </x:c>
      <x:c r="U3" s="69"/>
      <x:c r="V3" s="69" t="str">
        <x:v>Retained artifact lifetime</x:v>
      </x:c>
      <x:c r="W3" s="69" t="str">
        <x:v>Pipeline and verifier inventory</x:v>
      </x:c>
      <x:c r="X3" s="71"/>
      <x:c r="Y3" s="69"/>
      <x:c r="Z3" s="69"/>
      <x:c r="AA3" s="69" t="str">
        <x:v>Unassigned</x:v>
      </x:c>
      <x:c r="AB3" s="75"/>
    </x:row>
    <x:row r="4" ht="36" customHeight="1">
      <x:c r="A4" s="73" t="str">
        <x:v>Example cloud API integration</x:v>
      </x:c>
      <x:c r="B4" s="69" t="str">
        <x:v>Machine-to-machine API</x:v>
      </x:c>
      <x:c r="C4" s="69" t="str">
        <x:v>Production</x:v>
      </x:c>
      <x:c r="D4" s="69" t="str">
        <x:v>OAuth/OIDC client credential</x:v>
      </x:c>
      <x:c r="E4" s="69" t="str">
        <x:v>JWT signed by IdP</x:v>
      </x:c>
      <x:c r="F4" s="69" t="str">
        <x:v>RSA</x:v>
      </x:c>
      <x:c r="G4" s="69" t="str">
        <x:v>Identity provider</x:v>
      </x:c>
      <x:c r="H4" s="69" t="str">
        <x:v>90 days</x:v>
      </x:c>
      <x:c r="I4" s="69" t="str">
        <x:v>Internet-facing</x:v>
      </x:c>
      <x:c r="J4" s="69" t="str">
        <x:v>Token signing and verifier libraries</x:v>
      </x:c>
      <x:c r="K4" s="69" t="str">
        <x:v>Relying-party library compatibility</x:v>
      </x:c>
      <x:c r="L4" s="69" t="str">
        <x:v>P1</x:v>
      </x:c>
      <x:c r="M4" s="69"/>
      <x:c r="N4" s="69"/>
      <x:c r="O4" s="69" t="str">
        <x:v>Example only</x:v>
      </x:c>
      <x:c r="P4" s="69" t="str">
        <x:v>EX-CLD-003</x:v>
      </x:c>
      <x:c r="Q4" s="69" t="str">
        <x:v>Record IdP and verifier versions</x:v>
      </x:c>
      <x:c r="R4" s="69" t="str">
        <x:v>Record OIDC/JOSE profile</x:v>
      </x:c>
      <x:c r="S4" s="69" t="str">
        <x:v>Assess transport separately</x:v>
      </x:c>
      <x:c r="T4" s="69" t="str">
        <x:v>Unknown</x:v>
      </x:c>
      <x:c r="U4" s="69"/>
      <x:c r="V4" s="69" t="str">
        <x:v>Token and verifier lifetime</x:v>
      </x:c>
      <x:c r="W4" s="69" t="str">
        <x:v>IdP export and relying-party evidence</x:v>
      </x:c>
      <x:c r="X4" s="71"/>
      <x:c r="Y4" s="69"/>
      <x:c r="Z4" s="69"/>
      <x:c r="AA4" s="69" t="str">
        <x:v>Unassigned</x:v>
      </x:c>
      <x:c r="AB4" s="75"/>
    </x:row>
    <x:row r="5" ht="34" customHeight="1">
      <x:c r="A5" s="73"/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71"/>
      <x:c r="Y5" s="69"/>
      <x:c r="Z5" s="69"/>
      <x:c r="AA5" s="69"/>
      <x:c r="AB5" s="75"/>
    </x:row>
    <x:row r="6" ht="34" customHeight="1">
      <x:c r="A6" s="73"/>
      <x:c r="B6" s="69"/>
      <x:c r="C6" s="69"/>
      <x:c r="D6" s="69"/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71"/>
      <x:c r="Y6" s="69"/>
      <x:c r="Z6" s="69"/>
      <x:c r="AA6" s="69"/>
      <x:c r="AB6" s="75"/>
    </x:row>
    <x:row r="7" ht="34" customHeight="1">
      <x:c r="A7" s="73"/>
      <x:c r="B7" s="69"/>
      <x:c r="C7" s="69"/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71"/>
      <x:c r="Y7" s="69"/>
      <x:c r="Z7" s="69"/>
      <x:c r="AA7" s="69"/>
      <x:c r="AB7" s="75"/>
    </x:row>
    <x:row r="8" ht="34" customHeight="1">
      <x:c r="A8" s="73"/>
      <x:c r="B8" s="69"/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71"/>
      <x:c r="Y8" s="69"/>
      <x:c r="Z8" s="69"/>
      <x:c r="AA8" s="69"/>
      <x:c r="AB8" s="75"/>
    </x:row>
    <x:row r="9" ht="34" customHeight="1">
      <x:c r="A9" s="73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71"/>
      <x:c r="Y9" s="69"/>
      <x:c r="Z9" s="69"/>
      <x:c r="AA9" s="69"/>
      <x:c r="AB9" s="75"/>
    </x:row>
    <x:row r="10" ht="34" customHeight="1">
      <x:c r="A10" s="73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71"/>
      <x:c r="Y10" s="69"/>
      <x:c r="Z10" s="69"/>
      <x:c r="AA10" s="69"/>
      <x:c r="AB10" s="75"/>
    </x:row>
    <x:row r="11" ht="34" customHeight="1">
      <x:c r="A11" s="73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71"/>
      <x:c r="Y11" s="69"/>
      <x:c r="Z11" s="69"/>
      <x:c r="AA11" s="69"/>
      <x:c r="AB11" s="75"/>
    </x:row>
    <x:row r="12" ht="34" customHeight="1">
      <x:c r="A12" s="73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71"/>
      <x:c r="Y12" s="69"/>
      <x:c r="Z12" s="69"/>
      <x:c r="AA12" s="69"/>
      <x:c r="AB12" s="75"/>
    </x:row>
    <x:row r="13" ht="34" customHeight="1">
      <x:c r="A13" s="73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71"/>
      <x:c r="Y13" s="69"/>
      <x:c r="Z13" s="69"/>
      <x:c r="AA13" s="69"/>
      <x:c r="AB13" s="75"/>
    </x:row>
    <x:row r="14" ht="34" customHeight="1">
      <x:c r="A14" s="73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71"/>
      <x:c r="Y14" s="69"/>
      <x:c r="Z14" s="69"/>
      <x:c r="AA14" s="69"/>
      <x:c r="AB14" s="75"/>
    </x:row>
    <x:row r="15" ht="34" customHeight="1">
      <x:c r="A15" s="73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71"/>
      <x:c r="Y15" s="69"/>
      <x:c r="Z15" s="69"/>
      <x:c r="AA15" s="69"/>
      <x:c r="AB15" s="75"/>
    </x:row>
    <x:row r="16" ht="34" customHeight="1">
      <x:c r="A16" s="73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71"/>
      <x:c r="Y16" s="69"/>
      <x:c r="Z16" s="69"/>
      <x:c r="AA16" s="69"/>
      <x:c r="AB16" s="75"/>
    </x:row>
    <x:row r="17" ht="34" customHeight="1">
      <x:c r="A17" s="73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71"/>
      <x:c r="Y17" s="69"/>
      <x:c r="Z17" s="69"/>
      <x:c r="AA17" s="69"/>
      <x:c r="AB17" s="75"/>
    </x:row>
    <x:row r="18" ht="34" customHeight="1">
      <x:c r="A18" s="73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71"/>
      <x:c r="Y18" s="69"/>
      <x:c r="Z18" s="69"/>
      <x:c r="AA18" s="69"/>
      <x:c r="AB18" s="75"/>
    </x:row>
    <x:row r="19" ht="34" customHeight="1">
      <x:c r="A19" s="73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71"/>
      <x:c r="Y19" s="69"/>
      <x:c r="Z19" s="69"/>
      <x:c r="AA19" s="69"/>
      <x:c r="AB19" s="75"/>
    </x:row>
    <x:row r="20" ht="34" customHeight="1">
      <x:c r="A20" s="73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71"/>
      <x:c r="Y20" s="69"/>
      <x:c r="Z20" s="69"/>
      <x:c r="AA20" s="69"/>
      <x:c r="AB20" s="75"/>
    </x:row>
    <x:row r="21" ht="34" customHeight="1">
      <x:c r="A21" s="73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71"/>
      <x:c r="Y21" s="69"/>
      <x:c r="Z21" s="69"/>
      <x:c r="AA21" s="69"/>
      <x:c r="AB21" s="75"/>
    </x:row>
    <x:row r="22" ht="34" customHeight="1">
      <x:c r="A22" s="73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71"/>
      <x:c r="Y22" s="69"/>
      <x:c r="Z22" s="69"/>
      <x:c r="AA22" s="69"/>
      <x:c r="AB22" s="75"/>
    </x:row>
    <x:row r="23" ht="34" customHeight="1">
      <x:c r="A23" s="73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71"/>
      <x:c r="Y23" s="69"/>
      <x:c r="Z23" s="69"/>
      <x:c r="AA23" s="69"/>
      <x:c r="AB23" s="75"/>
    </x:row>
    <x:row r="24" ht="34" customHeight="1">
      <x:c r="A24" s="73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71"/>
      <x:c r="Y24" s="69"/>
      <x:c r="Z24" s="69"/>
      <x:c r="AA24" s="69"/>
      <x:c r="AB24" s="75"/>
    </x:row>
    <x:row r="25" ht="34" customHeight="1">
      <x:c r="A25" s="74"/>
      <x:c r="B25" s="70"/>
      <x:c r="C25" s="70"/>
      <x:c r="D25" s="70"/>
      <x:c r="E25" s="70"/>
      <x:c r="F25" s="70"/>
      <x:c r="G25" s="70"/>
      <x:c r="H25" s="70"/>
      <x:c r="I25" s="70"/>
      <x:c r="J25" s="70"/>
      <x:c r="K25" s="70"/>
      <x:c r="L25" s="70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2"/>
      <x:c r="Y25" s="70"/>
      <x:c r="Z25" s="70"/>
      <x:c r="AA25" s="70"/>
      <x:c r="AB25" s="76"/>
    </x:row>
  </x:sheetData>
  <x:dataValidations count="3">
    <x:dataValidation type="list" sqref="C2:C25">
      <x:formula1>"Production,Pre-production,Development,SaaS,Unknown"</x:formula1>
    </x:dataValidation>
    <x:dataValidation type="list" sqref="I2:I25">
      <x:formula1>"Internet-facing,Partner-accessible,Internal,Isolated,Unknown"</x:formula1>
    </x:dataValidation>
    <x:dataValidation type="list" sqref="L2:L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9d376dd03b490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18" hidden="0" customWidth="1"/>
    <x:col min="16" max="16" width="32" hidden="0" customWidth="1"/>
    <x:col min="17" max="17" width="29" hidden="0" customWidth="1"/>
    <x:col min="18" max="18" width="37" hidden="0" customWidth="1"/>
    <x:col min="19" max="19" width="20" hidden="0" customWidth="1"/>
    <x:col min="20" max="20" width="39" hidden="0" customWidth="1"/>
    <x:col min="21" max="21" width="16" hidden="0" customWidth="1"/>
    <x:col min="22" max="22" width="36" hidden="0" customWidth="1"/>
    <x:col min="23" max="23" width="37" hidden="0" customWidth="1"/>
    <x:col min="24" max="24" width="16" hidden="0" customWidth="1"/>
    <x:col min="25" max="25" width="35" hidden="0" customWidth="1"/>
  </x:cols>
  <x:sheetData>
    <x:row r="1" ht="42" customHeight="1">
      <x:c r="A1" s="60" t="str">
        <x:v>Endpoint / Service</x:v>
      </x:c>
      <x:c r="B1" s="61" t="str">
        <x:v>TLS/mTLS/Signing Use</x:v>
      </x:c>
      <x:c r="C1" s="61" t="str">
        <x:v>Issuer</x:v>
      </x:c>
      <x:c r="D1" s="61" t="str">
        <x:v>Algorithm</x:v>
      </x:c>
      <x:c r="E1" s="61" t="str">
        <x:v>Key Size / Curve</x:v>
      </x:c>
      <x:c r="F1" s="61" t="str">
        <x:v>Validity Period</x:v>
      </x:c>
      <x:c r="G1" s="61" t="str">
        <x:v>Automation Tool</x:v>
      </x:c>
      <x:c r="H1" s="61" t="str">
        <x:v>Termination Layer</x:v>
      </x:c>
      <x:c r="I1" s="61" t="str">
        <x:v>Relying Parties</x:v>
      </x:c>
      <x:c r="J1" s="61" t="str">
        <x:v>PQC Roadmap</x:v>
      </x:c>
      <x:c r="K1" s="61" t="str">
        <x:v>Pilot Needed?</x:v>
      </x:c>
      <x:c r="L1" s="61" t="str">
        <x:v>Priority</x:v>
      </x:c>
      <x:c r="M1" s="61" t="str">
        <x:v>Evidence Link</x:v>
      </x:c>
      <x:c r="N1" s="61" t="str">
        <x:v>Notes</x:v>
      </x:c>
      <x:c r="O1" s="61" t="str">
        <x:v>Asset / flow ID</x:v>
      </x:c>
      <x:c r="P1" s="61" t="str">
        <x:v>Key establishment algorithm</x:v>
      </x:c>
      <x:c r="Q1" s="61" t="str">
        <x:v>Signature parameter set</x:v>
      </x:c>
      <x:c r="R1" s="61" t="str">
        <x:v>Profile/status and support version</x:v>
      </x:c>
      <x:c r="S1" s="61" t="str">
        <x:v>Chain / token bytes</x:v>
      </x:c>
      <x:c r="T1" s="61" t="str">
        <x:v>KMS/HSM module and CMVP evidence</x:v>
      </x:c>
      <x:c r="U1" s="61" t="str">
        <x:v>Expiry date</x:v>
      </x:c>
      <x:c r="V1" s="61" t="str">
        <x:v>Revocation / recovery evidence</x:v>
      </x:c>
      <x:c r="W1" s="61" t="str">
        <x:v>All verifier versions</x:v>
      </x:c>
      <x:c r="X1" s="61" t="str">
        <x:v>Last verified</x:v>
      </x:c>
      <x:c r="Y1" s="62" t="str">
        <x:v>Approved change / exception</x:v>
      </x:c>
    </x:row>
    <x:row r="2" ht="36" customHeight="1">
      <x:c r="A2" s="73" t="str">
        <x:v>Example public API gateway</x:v>
      </x:c>
      <x:c r="B2" s="69" t="str">
        <x:v>TLS termination</x:v>
      </x:c>
      <x:c r="C2" s="69" t="str">
        <x:v>Public CA</x:v>
      </x:c>
      <x:c r="D2" s="69" t="str">
        <x:v>RSA/ECDSA</x:v>
      </x:c>
      <x:c r="E2" s="69" t="str">
        <x:v>RSA-2048 / P-256</x:v>
      </x:c>
      <x:c r="F2" s="69" t="str">
        <x:v>90 days</x:v>
      </x:c>
      <x:c r="G2" s="69" t="str">
        <x:v>ACME/managed cert</x:v>
      </x:c>
      <x:c r="H2" s="69" t="str">
        <x:v>API gateway</x:v>
      </x:c>
      <x:c r="I2" s="69" t="str">
        <x:v>Browsers, partners, mobile clients</x:v>
      </x:c>
      <x:c r="J2" s="69" t="str">
        <x:v>Vendor roadmap requested</x:v>
      </x:c>
      <x:c r="K2" s="69" t="str">
        <x:v>Yes</x:v>
      </x:c>
      <x:c r="L2" s="69" t="str">
        <x:v>P1</x:v>
      </x:c>
      <x:c r="M2" s="69"/>
      <x:c r="N2" s="69" t="str">
        <x:v>Example only</x:v>
      </x:c>
      <x:c r="O2" s="69" t="str">
        <x:v>EX-CLD-001</x:v>
      </x:c>
      <x:c r="P2" s="69" t="str">
        <x:v>Unknown: observe handshake</x:v>
      </x:c>
      <x:c r="Q2" s="69" t="str">
        <x:v>RSA/ECDSA example</x:v>
      </x:c>
      <x:c r="R2" s="69" t="str">
        <x:v>Unknown</x:v>
      </x:c>
      <x:c r="S2" s="69"/>
      <x:c r="T2" s="69"/>
      <x:c r="U2" s="71"/>
      <x:c r="V2" s="69"/>
      <x:c r="W2" s="69" t="str">
        <x:v>Record full client matrix</x:v>
      </x:c>
      <x:c r="X2" s="71"/>
      <x:c r="Y2" s="75"/>
    </x:row>
    <x:row r="3" ht="34" customHeight="1">
      <x:c r="A3" s="73" t="str">
        <x:v>Example service mesh CA</x:v>
      </x:c>
      <x:c r="B3" s="69" t="str">
        <x:v>mTLS workload certs</x:v>
      </x:c>
      <x:c r="C3" s="69" t="str">
        <x:v>Private CA</x:v>
      </x:c>
      <x:c r="D3" s="69" t="str">
        <x:v>ECDSA</x:v>
      </x:c>
      <x:c r="E3" s="69" t="str">
        <x:v>P-256</x:v>
      </x:c>
      <x:c r="F3" s="69" t="str">
        <x:v>24 hours</x:v>
      </x:c>
      <x:c r="G3" s="69" t="str">
        <x:v>Service mesh controller</x:v>
      </x:c>
      <x:c r="H3" s="69" t="str">
        <x:v>Sidecar/proxy</x:v>
      </x:c>
      <x:c r="I3" s="69" t="str">
        <x:v>Internal services</x:v>
      </x:c>
      <x:c r="J3" s="69" t="str">
        <x:v>Under review</x:v>
      </x:c>
      <x:c r="K3" s="69" t="str">
        <x:v>Yes</x:v>
      </x:c>
      <x:c r="L3" s="69" t="str">
        <x:v>P1</x:v>
      </x:c>
      <x:c r="M3" s="69"/>
      <x:c r="N3" s="69" t="str">
        <x:v>Example only</x:v>
      </x:c>
      <x:c r="O3" s="69" t="str">
        <x:v>EX-CLD-004</x:v>
      </x:c>
      <x:c r="P3" s="69" t="str">
        <x:v>Unknown: observe handshake</x:v>
      </x:c>
      <x:c r="Q3" s="69" t="str">
        <x:v>ECDSA P-256 example</x:v>
      </x:c>
      <x:c r="R3" s="69" t="str">
        <x:v>Unknown</x:v>
      </x:c>
      <x:c r="S3" s="69"/>
      <x:c r="T3" s="69"/>
      <x:c r="U3" s="71"/>
      <x:c r="V3" s="69"/>
      <x:c r="W3" s="69" t="str">
        <x:v>Record sidecar/client versions</x:v>
      </x:c>
      <x:c r="X3" s="71"/>
      <x:c r="Y3" s="75"/>
    </x:row>
    <x:row r="4" ht="34" customHeight="1">
      <x:c r="A4" s="73" t="str">
        <x:v>Example IdP token signing</x:v>
      </x:c>
      <x:c r="B4" s="69" t="str">
        <x:v>OIDC/JWT signing</x:v>
      </x:c>
      <x:c r="C4" s="69" t="str">
        <x:v>Identity provider</x:v>
      </x:c>
      <x:c r="D4" s="69" t="str">
        <x:v>RSA</x:v>
      </x:c>
      <x:c r="E4" s="69" t="str">
        <x:v>RSA-2048</x:v>
      </x:c>
      <x:c r="F4" s="69" t="str">
        <x:v>Key rollover</x:v>
      </x:c>
      <x:c r="G4" s="69" t="str">
        <x:v>IdP-managed</x:v>
      </x:c>
      <x:c r="H4" s="69" t="str">
        <x:v>Federation</x:v>
      </x:c>
      <x:c r="I4" s="69" t="str">
        <x:v>SaaS and internal apps</x:v>
      </x:c>
      <x:c r="J4" s="69" t="str">
        <x:v>Vendor roadmap requested</x:v>
      </x:c>
      <x:c r="K4" s="69" t="str">
        <x:v>Yes</x:v>
      </x:c>
      <x:c r="L4" s="69" t="str">
        <x:v>P1</x:v>
      </x:c>
      <x:c r="M4" s="69"/>
      <x:c r="N4" s="69" t="str">
        <x:v>Example only</x:v>
      </x:c>
      <x:c r="O4" s="69" t="str">
        <x:v>EX-CLD-003</x:v>
      </x:c>
      <x:c r="P4" s="69" t="str">
        <x:v>Assess transport separately</x:v>
      </x:c>
      <x:c r="Q4" s="69" t="str">
        <x:v>RSA-2048 example</x:v>
      </x:c>
      <x:c r="R4" s="69" t="str">
        <x:v>Unknown</x:v>
      </x:c>
      <x:c r="S4" s="69"/>
      <x:c r="T4" s="69"/>
      <x:c r="U4" s="71"/>
      <x:c r="V4" s="69"/>
      <x:c r="W4" s="69" t="str">
        <x:v>Record JWT verifier versions</x:v>
      </x:c>
      <x:c r="X4" s="71"/>
      <x:c r="Y4" s="75"/>
    </x:row>
    <x:row r="5" ht="34" customHeight="1">
      <x:c r="A5" s="73"/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71"/>
      <x:c r="V5" s="69"/>
      <x:c r="W5" s="69"/>
      <x:c r="X5" s="71"/>
      <x:c r="Y5" s="75"/>
    </x:row>
    <x:row r="6" ht="34" customHeight="1">
      <x:c r="A6" s="73"/>
      <x:c r="B6" s="69"/>
      <x:c r="C6" s="69"/>
      <x:c r="D6" s="69"/>
      <x:c r="E6" s="69"/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71"/>
      <x:c r="V6" s="69"/>
      <x:c r="W6" s="69"/>
      <x:c r="X6" s="71"/>
      <x:c r="Y6" s="75"/>
    </x:row>
    <x:row r="7" ht="34" customHeight="1">
      <x:c r="A7" s="73"/>
      <x:c r="B7" s="69"/>
      <x:c r="C7" s="69"/>
      <x:c r="D7" s="69"/>
      <x:c r="E7" s="69"/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71"/>
      <x:c r="V7" s="69"/>
      <x:c r="W7" s="69"/>
      <x:c r="X7" s="71"/>
      <x:c r="Y7" s="75"/>
    </x:row>
    <x:row r="8" ht="34" customHeight="1">
      <x:c r="A8" s="73"/>
      <x:c r="B8" s="69"/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71"/>
      <x:c r="V8" s="69"/>
      <x:c r="W8" s="69"/>
      <x:c r="X8" s="71"/>
      <x:c r="Y8" s="75"/>
    </x:row>
    <x:row r="9" ht="34" customHeight="1">
      <x:c r="A9" s="73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71"/>
      <x:c r="V9" s="69"/>
      <x:c r="W9" s="69"/>
      <x:c r="X9" s="71"/>
      <x:c r="Y9" s="75"/>
    </x:row>
    <x:row r="10" ht="34" customHeight="1">
      <x:c r="A10" s="73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71"/>
      <x:c r="V10" s="69"/>
      <x:c r="W10" s="69"/>
      <x:c r="X10" s="71"/>
      <x:c r="Y10" s="75"/>
    </x:row>
    <x:row r="11" ht="34" customHeight="1">
      <x:c r="A11" s="73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71"/>
      <x:c r="V11" s="69"/>
      <x:c r="W11" s="69"/>
      <x:c r="X11" s="71"/>
      <x:c r="Y11" s="75"/>
    </x:row>
    <x:row r="12" ht="34" customHeight="1">
      <x:c r="A12" s="73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71"/>
      <x:c r="V12" s="69"/>
      <x:c r="W12" s="69"/>
      <x:c r="X12" s="71"/>
      <x:c r="Y12" s="75"/>
    </x:row>
    <x:row r="13" ht="34" customHeight="1">
      <x:c r="A13" s="73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71"/>
      <x:c r="V13" s="69"/>
      <x:c r="W13" s="69"/>
      <x:c r="X13" s="71"/>
      <x:c r="Y13" s="75"/>
    </x:row>
    <x:row r="14" ht="34" customHeight="1">
      <x:c r="A14" s="73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71"/>
      <x:c r="V14" s="69"/>
      <x:c r="W14" s="69"/>
      <x:c r="X14" s="71"/>
      <x:c r="Y14" s="75"/>
    </x:row>
    <x:row r="15" ht="34" customHeight="1">
      <x:c r="A15" s="73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71"/>
      <x:c r="V15" s="69"/>
      <x:c r="W15" s="69"/>
      <x:c r="X15" s="71"/>
      <x:c r="Y15" s="75"/>
    </x:row>
    <x:row r="16" ht="34" customHeight="1">
      <x:c r="A16" s="73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71"/>
      <x:c r="V16" s="69"/>
      <x:c r="W16" s="69"/>
      <x:c r="X16" s="71"/>
      <x:c r="Y16" s="75"/>
    </x:row>
    <x:row r="17" ht="34" customHeight="1">
      <x:c r="A17" s="73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71"/>
      <x:c r="V17" s="69"/>
      <x:c r="W17" s="69"/>
      <x:c r="X17" s="71"/>
      <x:c r="Y17" s="75"/>
    </x:row>
    <x:row r="18" ht="34" customHeight="1">
      <x:c r="A18" s="73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71"/>
      <x:c r="V18" s="69"/>
      <x:c r="W18" s="69"/>
      <x:c r="X18" s="71"/>
      <x:c r="Y18" s="75"/>
    </x:row>
    <x:row r="19" ht="34" customHeight="1">
      <x:c r="A19" s="73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71"/>
      <x:c r="V19" s="69"/>
      <x:c r="W19" s="69"/>
      <x:c r="X19" s="71"/>
      <x:c r="Y19" s="75"/>
    </x:row>
    <x:row r="20" ht="34" customHeight="1">
      <x:c r="A20" s="73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71"/>
      <x:c r="V20" s="69"/>
      <x:c r="W20" s="69"/>
      <x:c r="X20" s="71"/>
      <x:c r="Y20" s="75"/>
    </x:row>
    <x:row r="21" ht="34" customHeight="1">
      <x:c r="A21" s="73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71"/>
      <x:c r="V21" s="69"/>
      <x:c r="W21" s="69"/>
      <x:c r="X21" s="71"/>
      <x:c r="Y21" s="75"/>
    </x:row>
    <x:row r="22" ht="34" customHeight="1">
      <x:c r="A22" s="73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71"/>
      <x:c r="V22" s="69"/>
      <x:c r="W22" s="69"/>
      <x:c r="X22" s="71"/>
      <x:c r="Y22" s="75"/>
    </x:row>
    <x:row r="23" ht="34" customHeight="1">
      <x:c r="A23" s="73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71"/>
      <x:c r="V23" s="69"/>
      <x:c r="W23" s="69"/>
      <x:c r="X23" s="71"/>
      <x:c r="Y23" s="75"/>
    </x:row>
    <x:row r="24" ht="34" customHeight="1">
      <x:c r="A24" s="73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71"/>
      <x:c r="V24" s="69"/>
      <x:c r="W24" s="69"/>
      <x:c r="X24" s="71"/>
      <x:c r="Y24" s="75"/>
    </x:row>
    <x:row r="25" ht="34" customHeight="1">
      <x:c r="A25" s="74"/>
      <x:c r="B25" s="70"/>
      <x:c r="C25" s="70"/>
      <x:c r="D25" s="70"/>
      <x:c r="E25" s="70"/>
      <x:c r="F25" s="70"/>
      <x:c r="G25" s="70"/>
      <x:c r="H25" s="70"/>
      <x:c r="I25" s="70"/>
      <x:c r="J25" s="70"/>
      <x:c r="K25" s="70"/>
      <x:c r="L25" s="70"/>
      <x:c r="M25" s="70"/>
      <x:c r="N25" s="70"/>
      <x:c r="O25" s="70"/>
      <x:c r="P25" s="70"/>
      <x:c r="Q25" s="70"/>
      <x:c r="R25" s="70"/>
      <x:c r="S25" s="70"/>
      <x:c r="T25" s="70"/>
      <x:c r="U25" s="72"/>
      <x:c r="V25" s="70"/>
      <x:c r="W25" s="70"/>
      <x:c r="X25" s="72"/>
      <x:c r="Y25" s="76"/>
    </x:row>
  </x:sheetData>
  <x:dataValidations count="2">
    <x:dataValidation type="list" sqref="K2:K25">
      <x:formula1>"Yes,No,Unknown"</x:formula1>
    </x:dataValidation>
    <x:dataValidation type="list" sqref="L2:L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2e7d761b11460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45" hidden="0" customWidth="1"/>
    <x:col min="3" max="3" width="46" hidden="0" customWidth="1"/>
    <x:col min="4" max="4" width="49" hidden="0" customWidth="1"/>
    <x:col min="5" max="5" width="48" hidden="0" customWidth="1"/>
    <x:col min="6" max="6" width="32" hidden="0" customWidth="1"/>
    <x:col min="7" max="7" width="23" hidden="0" customWidth="1"/>
    <x:col min="8" max="8" width="37" hidden="0" customWidth="1"/>
    <x:col min="9" max="9" width="32" hidden="0" customWidth="1"/>
  </x:cols>
  <x:sheetData>
    <x:row r="1" ht="42" customHeight="1">
      <x:c r="A1" s="60" t="str">
        <x:v>Product family (local map)</x:v>
      </x:c>
      <x:c r="B1" s="61" t="str">
        <x:v>Examples</x:v>
      </x:c>
      <x:c r="C1" s="61" t="str">
        <x:v>Checklist Focus</x:v>
      </x:c>
      <x:c r="D1" s="61" t="str">
        <x:v>Readiness Evidence to Request</x:v>
      </x:c>
      <x:c r="E1" s="61" t="str">
        <x:v>Migration Concern</x:v>
      </x:c>
      <x:c r="F1" s="61" t="str">
        <x:v>Supplier and exact version</x:v>
      </x:c>
      <x:c r="G1" s="61" t="str">
        <x:v>Support status</x:v>
      </x:c>
      <x:c r="H1" s="61" t="str">
        <x:v>Evidence date / URL</x:v>
      </x:c>
      <x:c r="I1" s="62" t="str">
        <x:v>Owner / next review</x:v>
      </x:c>
    </x:row>
    <x:row r="2" ht="36" customHeight="1">
      <x:c r="A2" s="45" t="str">
        <x:v>Cloud services</x:v>
      </x:c>
      <x:c r="B2" s="46" t="str">
        <x:v>IaaS, PaaS, managed TLS, KMS/HSM, secrets, API gateways</x:v>
      </x:c>
      <x:c r="C2" s="46" t="str">
        <x:v>Managed crypto, certificates, workload identity, KMS/HSM, provider roadmap</x:v>
      </x:c>
      <x:c r="D2" s="46" t="str">
        <x:v>PQC support statement, API/configuration guidance, test evidence, support timeline</x:v>
      </x:c>
      <x:c r="E2" s="46" t="str">
        <x:v>Provider-managed cryptography can constrain enterprise sequencing.</x:v>
      </x:c>
      <x:c r="F2" s="69"/>
      <x:c r="G2" s="69" t="str">
        <x:v>Unverified</x:v>
      </x:c>
      <x:c r="H2" s="69"/>
      <x:c r="I2" s="75"/>
    </x:row>
    <x:row r="3" ht="36" customHeight="1">
      <x:c r="A3" s="63" t="str">
        <x:v>Web software</x:v>
      </x:c>
      <x:c r="B3" s="64" t="str">
        <x:v>Browsers, web servers, proxies, WAF, load balancers</x:v>
      </x:c>
      <x:c r="C3" s="64" t="str">
        <x:v>TLS, certificate chain size, protocol negotiation, monitoring, rollback</x:v>
      </x:c>
      <x:c r="D3" s="64" t="str">
        <x:v>Supported protocol versions, PQC/hybrid documentation, interoperability tests</x:v>
      </x:c>
      <x:c r="E3" s="64" t="str">
        <x:v>Client/server mismatch can break availability.</x:v>
      </x:c>
      <x:c r="F3" s="69"/>
      <x:c r="G3" s="69" t="str">
        <x:v>Unverified</x:v>
      </x:c>
      <x:c r="H3" s="69"/>
      <x:c r="I3" s="75"/>
    </x:row>
    <x:row r="4" ht="36" customHeight="1">
      <x:c r="A4" s="45" t="str">
        <x:v>Endpoint security / data-at-rest</x:v>
      </x:c>
      <x:c r="B4" s="46" t="str">
        <x:v>Full disk encryption, data-at-rest security, device protection</x:v>
      </x:c>
      <x:c r="C4" s="46" t="str">
        <x:v>Long-lived data, key wrapping, KMS, recovery process</x:v>
      </x:c>
      <x:c r="D4" s="46" t="str">
        <x:v>Algorithm disclosure, key lifecycle process, recovery test</x:v>
      </x:c>
      <x:c r="E4" s="46" t="str">
        <x:v>Data recovery and device management must remain reliable.</x:v>
      </x:c>
      <x:c r="F4" s="69"/>
      <x:c r="G4" s="69" t="str">
        <x:v>Unverified</x:v>
      </x:c>
      <x:c r="H4" s="69"/>
      <x:c r="I4" s="75"/>
    </x:row>
    <x:row r="5" ht="36" customHeight="1">
      <x:c r="A5" s="63" t="str">
        <x:v>Collaboration software</x:v>
      </x:c>
      <x:c r="B5" s="64" t="str">
        <x:v>Chat, messaging, collaboration platforms</x:v>
      </x:c>
      <x:c r="C5" s="64" t="str">
        <x:v>Vendor PQC roadmap, retention, eDiscovery/export, identity integration</x:v>
      </x:c>
      <x:c r="D5" s="64" t="str">
        <x:v>Vendor roadmap, encryption architecture, support timeline</x:v>
      </x:c>
      <x:c r="E5" s="64" t="str">
        <x:v>SaaS-controlled cryptography and long-lived retained data.</x:v>
      </x:c>
      <x:c r="F5" s="69"/>
      <x:c r="G5" s="69" t="str">
        <x:v>Unverified</x:v>
      </x:c>
      <x:c r="H5" s="69"/>
      <x:c r="I5" s="75"/>
    </x:row>
    <x:row r="6" ht="36" customHeight="1">
      <x:c r="A6" s="45" t="str">
        <x:v>Identity and access management</x:v>
      </x:c>
      <x:c r="B6" s="46" t="str">
        <x:v>IdP, federation, privileged access, machine identities</x:v>
      </x:c>
      <x:c r="C6" s="46" t="str">
        <x:v>Token signing, federation metadata, relying-party verification</x:v>
      </x:c>
      <x:c r="D6" s="46" t="str">
        <x:v>Algorithm roadmap, metadata rollout procedure, verifier compatibility</x:v>
      </x:c>
      <x:c r="E6" s="46" t="str">
        <x:v>Identity token verification failures can cause broad outages.</x:v>
      </x:c>
      <x:c r="F6" s="69"/>
      <x:c r="G6" s="69" t="str">
        <x:v>Unverified</x:v>
      </x:c>
      <x:c r="H6" s="69"/>
      <x:c r="I6" s="75"/>
    </x:row>
    <x:row r="7" ht="36" customHeight="1">
      <x:c r="A7" s="66" t="str">
        <x:v>CI/CD and artifact signing</x:v>
      </x:c>
      <x:c r="B7" s="67" t="str">
        <x:v>Build systems, package repositories, container signing, release signing</x:v>
      </x:c>
      <x:c r="C7" s="67" t="str">
        <x:v>Signature algorithm, key protection, verifier support</x:v>
      </x:c>
      <x:c r="D7" s="67" t="str">
        <x:v>Signing roadmap, verifier matrix, rollback plan</x:v>
      </x:c>
      <x:c r="E7" s="67" t="str">
        <x:v>Build trust chain can fail if verifiers are not migrated.</x:v>
      </x:c>
      <x:c r="F7" s="70"/>
      <x:c r="G7" s="70" t="str">
        <x:v>Unverified</x:v>
      </x:c>
      <x:c r="H7" s="70"/>
      <x:c r="I7" s="76"/>
    </x:row>
  </x:sheetData>
  <x:dataValidations count="1">
    <x:dataValidation type="list" sqref="G2:G7">
      <x:formula1>"Unverified,Requested,Lab supported,Production supported,Unsupported"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78e45372ca47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54" hidden="0" customWidth="1"/>
    <x:col min="3" max="3" width="34" hidden="0" customWidth="1"/>
    <x:col min="4" max="4" width="44" hidden="0" customWidth="1"/>
    <x:col min="5" max="5" width="62" hidden="0" customWidth="1"/>
    <x:col min="6" max="6" width="19" hidden="0" customWidth="1"/>
    <x:col min="7" max="7" width="23" hidden="0" customWidth="1"/>
    <x:col min="8" max="8" width="34" hidden="0" customWidth="1"/>
    <x:col min="9" max="9" width="34" hidden="0" customWidth="1"/>
    <x:col min="10" max="10" width="39" hidden="0" customWidth="1"/>
    <x:col min="11" max="11" width="39" hidden="0" customWidth="1"/>
    <x:col min="12" max="12" width="16" hidden="0" customWidth="1"/>
    <x:col min="13" max="13" width="32" hidden="0" customWidth="1"/>
    <x:col min="14" max="14" width="39" hidden="0" customWidth="1"/>
  </x:cols>
  <x:sheetData>
    <x:row r="1" ht="42" customHeight="1">
      <x:c r="A1" s="60" t="str">
        <x:v>Test ID</x:v>
      </x:c>
      <x:c r="B1" s="61" t="str">
        <x:v>Scenario</x:v>
      </x:c>
      <x:c r="C1" s="61" t="str">
        <x:v>Control Point</x:v>
      </x:c>
      <x:c r="D1" s="61" t="str">
        <x:v>Metric</x:v>
      </x:c>
      <x:c r="E1" s="61" t="str">
        <x:v>Acceptance Criteria</x:v>
      </x:c>
      <x:c r="F1" s="61" t="str">
        <x:v>Result</x:v>
      </x:c>
      <x:c r="G1" s="61" t="str">
        <x:v>Owner</x:v>
      </x:c>
      <x:c r="H1" s="61" t="str">
        <x:v>Evidence Link</x:v>
      </x:c>
      <x:c r="I1" s="61" t="str">
        <x:v>Notes</x:v>
      </x:c>
      <x:c r="J1" s="61" t="str">
        <x:v>Baseline / exact versions</x:v>
      </x:c>
      <x:c r="K1" s="61" t="str">
        <x:v>Measured result</x:v>
      </x:c>
      <x:c r="L1" s="61" t="str">
        <x:v>Test date</x:v>
      </x:c>
      <x:c r="M1" s="61" t="str">
        <x:v>Reviewer / approval</x:v>
      </x:c>
      <x:c r="N1" s="62" t="str">
        <x:v>NIST sources</x:v>
      </x:c>
    </x:row>
    <x:row r="2" ht="36" customHeight="1">
      <x:c r="A2" s="45" t="str">
        <x:v>CLD-001</x:v>
      </x:c>
      <x:c r="B2" s="46" t="str">
        <x:v>TLS/mTLS pilot through API gateway and service mesh</x:v>
      </x:c>
      <x:c r="C2" s="46" t="str">
        <x:v>Gateway, proxy, service mesh</x:v>
      </x:c>
      <x:c r="D2" s="46" t="str">
        <x:v>Handshake success, latency, error rate, logging</x:v>
      </x:c>
      <x:c r="E2" s="46" t="str">
        <x:v>No critical errors; latency within approved threshold; rollback tested.</x:v>
      </x:c>
      <x:c r="F2" s="69" t="str">
        <x:v>Not Tested</x:v>
      </x:c>
      <x:c r="G2" s="69"/>
      <x:c r="H2" s="69"/>
      <x:c r="I2" s="69"/>
      <x:c r="J2" s="69"/>
      <x:c r="K2" s="69"/>
      <x:c r="L2" s="71"/>
      <x:c r="M2" s="69"/>
      <x:c r="N2" s="47" t="str">
        <x:v>N04, N05, N08, N09, N16, N17</x:v>
      </x:c>
    </x:row>
    <x:row r="3" ht="49" customHeight="1">
      <x:c r="A3" s="63" t="str">
        <x:v>CLD-002</x:v>
      </x:c>
      <x:c r="B3" s="64" t="str">
        <x:v>OIDC/JWT token-signing compatibility test</x:v>
      </x:c>
      <x:c r="C3" s="64" t="str">
        <x:v>IdP and relying parties</x:v>
      </x:c>
      <x:c r="D3" s="64" t="str">
        <x:v>Token validation success/failure, library support</x:v>
      </x:c>
      <x:c r="E3" s="64" t="str">
        <x:v>All in-scope relying parties pass expected token-validation tests. Record failures, exclusions and risk approvals separately. An exception is not a test pass.</x:v>
      </x:c>
      <x:c r="F3" s="69" t="str">
        <x:v>Not Tested</x:v>
      </x:c>
      <x:c r="G3" s="69"/>
      <x:c r="H3" s="69"/>
      <x:c r="I3" s="69"/>
      <x:c r="J3" s="69"/>
      <x:c r="K3" s="69"/>
      <x:c r="L3" s="71"/>
      <x:c r="M3" s="69"/>
      <x:c r="N3" s="65" t="str">
        <x:v>N04, N05, N08, N09, N16, N17</x:v>
      </x:c>
    </x:row>
    <x:row r="4" ht="36" customHeight="1">
      <x:c r="A4" s="45" t="str">
        <x:v>CLD-003</x:v>
      </x:c>
      <x:c r="B4" s="46" t="str">
        <x:v>Artifact signing verification test</x:v>
      </x:c>
      <x:c r="C4" s="46" t="str">
        <x:v>CI/CD and package consumers</x:v>
      </x:c>
      <x:c r="D4" s="46" t="str">
        <x:v>Signature creation/verification, artifact deployment success</x:v>
      </x:c>
      <x:c r="E4" s="46" t="str">
        <x:v>Build and deployment pipeline succeeds; failed signature blocks deployment.</x:v>
      </x:c>
      <x:c r="F4" s="69" t="str">
        <x:v>Not Tested</x:v>
      </x:c>
      <x:c r="G4" s="69"/>
      <x:c r="H4" s="69"/>
      <x:c r="I4" s="69"/>
      <x:c r="J4" s="69"/>
      <x:c r="K4" s="69"/>
      <x:c r="L4" s="71"/>
      <x:c r="M4" s="69"/>
      <x:c r="N4" s="47" t="str">
        <x:v>N04, N05, N08, N09, N16, N17</x:v>
      </x:c>
    </x:row>
    <x:row r="5" ht="34" customHeight="1">
      <x:c r="A5" s="63" t="str">
        <x:v>CLD-004</x:v>
      </x:c>
      <x:c r="B5" s="64" t="str">
        <x:v>KMS/HSM key lifecycle drill</x:v>
      </x:c>
      <x:c r="C5" s="64" t="str">
        <x:v>KMS/HSM/secrets</x:v>
      </x:c>
      <x:c r="D5" s="64" t="str">
        <x:v>Rotation, backup, recovery, audit logs</x:v>
      </x:c>
      <x:c r="E5" s="64" t="str">
        <x:v>Recovery and rotation procedure passes with evidence.</x:v>
      </x:c>
      <x:c r="F5" s="69" t="str">
        <x:v>Not Tested</x:v>
      </x:c>
      <x:c r="G5" s="69"/>
      <x:c r="H5" s="69"/>
      <x:c r="I5" s="69"/>
      <x:c r="J5" s="69"/>
      <x:c r="K5" s="69"/>
      <x:c r="L5" s="71"/>
      <x:c r="M5" s="69"/>
      <x:c r="N5" s="65" t="str">
        <x:v>N04, N05, N08, N09, N16, N17</x:v>
      </x:c>
    </x:row>
    <x:row r="6" ht="36" customHeight="1">
      <x:c r="A6" s="45" t="str">
        <x:v>CLD-005</x:v>
      </x:c>
      <x:c r="B6" s="46" t="str">
        <x:v>Rollback and incident runbook exercise</x:v>
      </x:c>
      <x:c r="C6" s="46" t="str">
        <x:v>Operations</x:v>
      </x:c>
      <x:c r="D6" s="46" t="str">
        <x:v>Recovery time, decision path, evidence capture</x:v>
      </x:c>
      <x:c r="E6" s="46" t="str">
        <x:v>Rollback completes within approved window and records are retained.</x:v>
      </x:c>
      <x:c r="F6" s="69" t="str">
        <x:v>Not Tested</x:v>
      </x:c>
      <x:c r="G6" s="69"/>
      <x:c r="H6" s="69"/>
      <x:c r="I6" s="69"/>
      <x:c r="J6" s="69"/>
      <x:c r="K6" s="69"/>
      <x:c r="L6" s="71"/>
      <x:c r="M6" s="69"/>
      <x:c r="N6" s="47" t="str">
        <x:v>N04, N05, N08, N09, N16, N17</x:v>
      </x:c>
    </x:row>
    <x:row r="7" ht="36" customHeight="1">
      <x:c r="A7" s="63" t="str">
        <x:v>CLD-006</x:v>
      </x:c>
      <x:c r="B7" s="64" t="str">
        <x:v>Malformed KEM ciphertext and unsupported parameters</x:v>
      </x:c>
      <x:c r="C7" s="64" t="str">
        <x:v>KEM library/provider</x:v>
      </x:c>
      <x:c r="D7" s="64" t="str">
        <x:v>Failure behavior and secret handling</x:v>
      </x:c>
      <x:c r="E7" s="64" t="str">
        <x:v>No crash, secret disclosure or silent fallback. Approved validation and failure behavior.</x:v>
      </x:c>
      <x:c r="F7" s="69" t="str">
        <x:v>Not Tested</x:v>
      </x:c>
      <x:c r="G7" s="69"/>
      <x:c r="H7" s="69"/>
      <x:c r="I7" s="69"/>
      <x:c r="J7" s="69"/>
      <x:c r="K7" s="69"/>
      <x:c r="L7" s="71"/>
      <x:c r="M7" s="69"/>
      <x:c r="N7" s="65" t="str">
        <x:v>N04, N05, N08, N09, N16, N17</x:v>
      </x:c>
    </x:row>
    <x:row r="8" ht="36" customHeight="1">
      <x:c r="A8" s="45" t="str">
        <x:v>CLD-007</x:v>
      </x:c>
      <x:c r="B8" s="46" t="str">
        <x:v>Hybrid negotiation and downgrade attempt</x:v>
      </x:c>
      <x:c r="C8" s="46" t="str">
        <x:v>Supported TLS/VPN/SSH profile</x:v>
      </x:c>
      <x:c r="D8" s="46" t="str">
        <x:v>Negotiated algorithms and component failures</x:v>
      </x:c>
      <x:c r="E8" s="46" t="str">
        <x:v>Behavior matches policy. Downgrade is rejected or explicitly approved and logged.</x:v>
      </x:c>
      <x:c r="F8" s="69" t="str">
        <x:v>Not Tested</x:v>
      </x:c>
      <x:c r="G8" s="69"/>
      <x:c r="H8" s="69"/>
      <x:c r="I8" s="69"/>
      <x:c r="J8" s="69"/>
      <x:c r="K8" s="69"/>
      <x:c r="L8" s="71"/>
      <x:c r="M8" s="69"/>
      <x:c r="N8" s="47" t="str">
        <x:v>N04, N05, N08, N09, N16, N17</x:v>
      </x:c>
    </x:row>
    <x:row r="9" ht="34" customHeight="1">
      <x:c r="A9" s="63" t="str">
        <x:v>CLD-008</x:v>
      </x:c>
      <x:c r="B9" s="64" t="str">
        <x:v>Large certificate and token path</x:v>
      </x:c>
      <x:c r="C9" s="64" t="str">
        <x:v>WAF, proxy, gateway and clients</x:v>
      </x:c>
      <x:c r="D9" s="64" t="str">
        <x:v>Bytes, headers, cookies, MTU and tail latency</x:v>
      </x:c>
      <x:c r="E9" s="64" t="str">
        <x:v>All supported paths satisfy recorded owner-approved limits.</x:v>
      </x:c>
      <x:c r="F9" s="69" t="str">
        <x:v>Not Tested</x:v>
      </x:c>
      <x:c r="G9" s="69"/>
      <x:c r="H9" s="69"/>
      <x:c r="I9" s="69"/>
      <x:c r="J9" s="69"/>
      <x:c r="K9" s="69"/>
      <x:c r="L9" s="71"/>
      <x:c r="M9" s="69"/>
      <x:c r="N9" s="65" t="str">
        <x:v>N04, N05, N08, N09, N16, N17</x:v>
      </x:c>
    </x:row>
    <x:row r="10" ht="36" customHeight="1">
      <x:c r="A10" s="45" t="str">
        <x:v>CLD-009</x:v>
      </x:c>
      <x:c r="B10" s="46" t="str">
        <x:v>Concurrent handshake and failure storm</x:v>
      </x:c>
      <x:c r="C10" s="46" t="str">
        <x:v>Mesh and identity endpoints</x:v>
      </x:c>
      <x:c r="D10" s="46" t="str">
        <x:v>CPU, RAM, handshake rate and errors</x:v>
      </x:c>
      <x:c r="E10" s="46" t="str">
        <x:v>Peak-load results meet recorded limits and rate limiting preserves service.</x:v>
      </x:c>
      <x:c r="F10" s="69" t="str">
        <x:v>Not Tested</x:v>
      </x:c>
      <x:c r="G10" s="69"/>
      <x:c r="H10" s="69"/>
      <x:c r="I10" s="69"/>
      <x:c r="J10" s="69"/>
      <x:c r="K10" s="69"/>
      <x:c r="L10" s="71"/>
      <x:c r="M10" s="69"/>
      <x:c r="N10" s="47" t="str">
        <x:v>N04, N05, N08, N09, N16, N17</x:v>
      </x:c>
    </x:row>
    <x:row r="11" ht="36" customHeight="1">
      <x:c r="A11" s="63" t="str">
        <x:v>CLD-010</x:v>
      </x:c>
      <x:c r="B11" s="64" t="str">
        <x:v>JWKS, metadata and token rollover</x:v>
      </x:c>
      <x:c r="C11" s="64" t="str">
        <x:v>IdP and every validator</x:v>
      </x:c>
      <x:c r="D11" s="64" t="str">
        <x:v>Cache refresh, expiry, audience and issuer checks</x:v>
      </x:c>
      <x:c r="E11" s="64" t="str">
        <x:v>Valid tokens work; invalid, expired or disallowed-algorithm tokens fail.</x:v>
      </x:c>
      <x:c r="F11" s="69" t="str">
        <x:v>Not Tested</x:v>
      </x:c>
      <x:c r="G11" s="69"/>
      <x:c r="H11" s="69"/>
      <x:c r="I11" s="69"/>
      <x:c r="J11" s="69"/>
      <x:c r="K11" s="69"/>
      <x:c r="L11" s="71"/>
      <x:c r="M11" s="69"/>
      <x:c r="N11" s="65" t="str">
        <x:v>N04, N05, N08, N09, N16, N17</x:v>
      </x:c>
    </x:row>
    <x:row r="12" ht="34" customHeight="1">
      <x:c r="A12" s="45" t="str">
        <x:v>CLD-011</x:v>
      </x:c>
      <x:c r="B12" s="46" t="str">
        <x:v>Historical backup and key recovery</x:v>
      </x:c>
      <x:c r="C12" s="46" t="str">
        <x:v>KMS/HSM and backup platform</x:v>
      </x:c>
      <x:c r="D12" s="46" t="str">
        <x:v>Restore time and data integrity</x:v>
      </x:c>
      <x:c r="E12" s="46" t="str">
        <x:v>Restore with approved keys meets owner-approved recovery target.</x:v>
      </x:c>
      <x:c r="F12" s="69" t="str">
        <x:v>Not Tested</x:v>
      </x:c>
      <x:c r="G12" s="69"/>
      <x:c r="H12" s="69"/>
      <x:c r="I12" s="69"/>
      <x:c r="J12" s="69"/>
      <x:c r="K12" s="69"/>
      <x:c r="L12" s="71"/>
      <x:c r="M12" s="69"/>
      <x:c r="N12" s="47" t="str">
        <x:v>N04, N05, N08, N09, N16, N17</x:v>
      </x:c>
    </x:row>
    <x:row r="13" ht="36" customHeight="1">
      <x:c r="A13" s="63" t="str">
        <x:v>CLD-012</x:v>
      </x:c>
      <x:c r="B13" s="64" t="str">
        <x:v>CA renewal and revocation lifecycle</x:v>
      </x:c>
      <x:c r="C13" s="64" t="str">
        <x:v>CA, agents and verifiers</x:v>
      </x:c>
      <x:c r="D13" s="64" t="str">
        <x:v>Enrollment, renewal, chain and revocation</x:v>
      </x:c>
      <x:c r="E13" s="64" t="str">
        <x:v>Each supported verifier handles lifecycle states according to policy.</x:v>
      </x:c>
      <x:c r="F13" s="69" t="str">
        <x:v>Not Tested</x:v>
      </x:c>
      <x:c r="G13" s="69"/>
      <x:c r="H13" s="69"/>
      <x:c r="I13" s="69"/>
      <x:c r="J13" s="69"/>
      <x:c r="K13" s="69"/>
      <x:c r="L13" s="71"/>
      <x:c r="M13" s="69"/>
      <x:c r="N13" s="65" t="str">
        <x:v>N04, N05, N08, N09, N16, N17</x:v>
      </x:c>
    </x:row>
    <x:row r="14" ht="34" customHeight="1">
      <x:c r="A14" s="45" t="str">
        <x:v>CLD-013</x:v>
      </x:c>
      <x:c r="B14" s="46" t="str">
        <x:v>Old artifact verification and tamper rejection</x:v>
      </x:c>
      <x:c r="C14" s="46" t="str">
        <x:v>CI/CD and offline consumers</x:v>
      </x:c>
      <x:c r="D14" s="46" t="str">
        <x:v>Signature validation and release controls</x:v>
      </x:c>
      <x:c r="E14" s="46" t="str">
        <x:v>Retained artifacts remain verifiable. Tampering blocks release.</x:v>
      </x:c>
      <x:c r="F14" s="69" t="str">
        <x:v>Not Tested</x:v>
      </x:c>
      <x:c r="G14" s="69"/>
      <x:c r="H14" s="69"/>
      <x:c r="I14" s="69"/>
      <x:c r="J14" s="69"/>
      <x:c r="K14" s="69"/>
      <x:c r="L14" s="71"/>
      <x:c r="M14" s="69"/>
      <x:c r="N14" s="47" t="str">
        <x:v>N04, N05, N08, N09, N16, N17</x:v>
      </x:c>
    </x:row>
    <x:row r="15" ht="36" customHeight="1">
      <x:c r="A15" s="63" t="str">
        <x:v>CLD-014</x:v>
      </x:c>
      <x:c r="B15" s="64" t="str">
        <x:v>Regional failover and provider outage</x:v>
      </x:c>
      <x:c r="C15" s="64" t="str">
        <x:v>Cloud recovery path</x:v>
      </x:c>
      <x:c r="D15" s="64" t="str">
        <x:v>Authentication, failover time and logging</x:v>
      </x:c>
      <x:c r="E15" s="64" t="str">
        <x:v>Recovery identity paths meet recorded security and availability limits.</x:v>
      </x:c>
      <x:c r="F15" s="69" t="str">
        <x:v>Not Tested</x:v>
      </x:c>
      <x:c r="G15" s="69"/>
      <x:c r="H15" s="69"/>
      <x:c r="I15" s="69"/>
      <x:c r="J15" s="69"/>
      <x:c r="K15" s="69"/>
      <x:c r="L15" s="71"/>
      <x:c r="M15" s="69"/>
      <x:c r="N15" s="65" t="str">
        <x:v>N04, N05, N08, N09, N16, N17</x:v>
      </x:c>
    </x:row>
    <x:row r="16" ht="36" customHeight="1">
      <x:c r="A16" s="48" t="str">
        <x:v>CLD-015</x:v>
      </x:c>
      <x:c r="B16" s="49" t="str">
        <x:v>Library update and inventory drift</x:v>
      </x:c>
      <x:c r="C16" s="49" t="str">
        <x:v>Discovery and release pipeline</x:v>
      </x:c>
      <x:c r="D16" s="49" t="str">
        <x:v>Version detection and evidence refresh</x:v>
      </x:c>
      <x:c r="E16" s="49" t="str">
        <x:v>Changes are detected and assessed before release; inventory matches deployed version.</x:v>
      </x:c>
      <x:c r="F16" s="70" t="str">
        <x:v>Not Tested</x:v>
      </x:c>
      <x:c r="G16" s="70"/>
      <x:c r="H16" s="70"/>
      <x:c r="I16" s="70"/>
      <x:c r="J16" s="70"/>
      <x:c r="K16" s="70"/>
      <x:c r="L16" s="72"/>
      <x:c r="M16" s="70"/>
      <x:c r="N16" s="50" t="str">
        <x:v>N04, N05, N08, N09, N16, N17</x:v>
      </x:c>
    </x:row>
  </x:sheetData>
  <x:dataValidations count="1">
    <x:dataValidation type="list" sqref="F2:F16">
      <x:formula1>"Not Tested,Pass,Fail,Blocked,Accepted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0e8b99a825487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75" hidden="0" customWidth="1"/>
    <x:col min="3" max="3" width="40" hidden="0" customWidth="1"/>
    <x:col min="4" max="4" width="56" hidden="0" customWidth="1"/>
    <x:col min="5" max="5" width="86" hidden="0" customWidth="1"/>
  </x:cols>
  <x:sheetData>
    <x:row r="1" ht="28" hidden="0" customHeight="1">
      <x:c r="A1" s="92" t="str">
        <x:v>Sources v2.0. Reviewed 2026-09-29</x:v>
      </x:c>
      <x:c r="B1"/>
      <x:c r="C1"/>
      <x:c r="D1"/>
      <x:c r="E1"/>
      <x:c r="F1"/>
      <x:c r="G1"/>
      <x:c r="H1"/>
    </x:row>
    <x:row r="2" ht="20" hidden="0" customHeight="1">
      <x:c r="A2"/>
      <x:c r="B2"/>
      <x:c r="C2"/>
      <x:c r="D2"/>
      <x:c r="E2"/>
      <x:c r="F2"/>
      <x:c r="G2"/>
      <x:c r="H2"/>
    </x:row>
    <x:row r="3" ht="8" hidden="0" customHeight="1">
      <x:c r="A3"/>
      <x:c r="B3"/>
      <x:c r="C3"/>
      <x:c r="D3"/>
      <x:c r="E3"/>
      <x:c r="F3"/>
      <x:c r="G3"/>
      <x:c r="H3"/>
    </x:row>
    <x:row r="4" ht="42" hidden="0" customHeight="1">
      <x:c r="A4" s="60" t="str">
        <x:v>Source ID</x:v>
      </x:c>
      <x:c r="B4" s="61" t="str">
        <x:v>Publication and application</x:v>
      </x:c>
      <x:c r="C4" s="61" t="str">
        <x:v>Status as of 2026-09-29</x:v>
      </x:c>
      <x:c r="D4" s="61" t="str">
        <x:v>Interpretation</x:v>
      </x:c>
      <x:c r="E4" s="62" t="str">
        <x:v>Public URL</x:v>
      </x:c>
      <x:c r="F4"/>
      <x:c r="G4"/>
      <x:c r="H4"/>
    </x:row>
    <x:row r="5" ht="36" hidden="0" customHeight="1">
      <x:c r="A5" s="45" t="str">
        <x:v>N01</x:v>
      </x:c>
      <x:c r="B5" s="46" t="str">
        <x:v>FIPS 203 ML-KEM; key establishment, parameter sets 512/768/1024; monitor potential errata</x:v>
      </x:c>
      <x:c r="C5" s="46" t="str">
        <x:v>Final 2024-08-13; notice 2025-11-17</x:v>
      </x:c>
      <x:c r="D5" s="46" t="str">
        <x:v>Derived controls and annual phases are local planning recommendations. Drafts are not final requirements.</x:v>
      </x:c>
      <x:c r="E5" s="47" t="str">
        <x:v>https://csrc.nist.gov/pubs/fips/203/final</x:v>
      </x:c>
      <x:c r="F5"/>
      <x:c r="G5"/>
      <x:c r="H5"/>
    </x:row>
    <x:row r="6" ht="36" customHeight="1">
      <x:c r="A6" s="63" t="str">
        <x:v>N02</x:v>
      </x:c>
      <x:c r="B6" s="64" t="str">
        <x:v>FIPS 204 ML-DSA; signature generation and verification; monitor potential errata</x:v>
      </x:c>
      <x:c r="C6" s="64" t="str">
        <x:v>Final 2024-08-13; notice 2026-07-31</x:v>
      </x:c>
      <x:c r="D6" s="64" t="str">
        <x:v>Derived controls and annual phases are local planning recommendations. Drafts are not final requirements.</x:v>
      </x:c>
      <x:c r="E6" s="65" t="str">
        <x:v>https://csrc.nist.gov/pubs/fips/204/final</x:v>
      </x:c>
    </x:row>
    <x:row r="7" ht="36" customHeight="1">
      <x:c r="A7" s="45" t="str">
        <x:v>N03</x:v>
      </x:c>
      <x:c r="B7" s="46" t="str">
        <x:v>FIPS 205 SLH-DSA; stateless hash-based signatures</x:v>
      </x:c>
      <x:c r="C7" s="46" t="str">
        <x:v>Final 2024-08-13</x:v>
      </x:c>
      <x:c r="D7" s="46" t="str">
        <x:v>Derived controls and annual phases are local planning recommendations. Drafts are not final requirements.</x:v>
      </x:c>
      <x:c r="E7" s="47" t="str">
        <x:v>https://csrc.nist.gov/pubs/fips/205/final</x:v>
      </x:c>
    </x:row>
    <x:row r="8" ht="49" customHeight="1">
      <x:c r="A8" s="63" t="str">
        <x:v>N04</x:v>
      </x:c>
      <x:c r="B8" s="64" t="str">
        <x:v>SP 800-227; conforming KEM implementation, randomness, input validation, key destruction, authentication, key derivation/confirmation and multi-algorithm construction</x:v>
      </x:c>
      <x:c r="C8" s="64" t="str">
        <x:v>Final 2025-09-18</x:v>
      </x:c>
      <x:c r="D8" s="64" t="str">
        <x:v>Derived controls and annual phases are local planning recommendations. Drafts are not final requirements.</x:v>
      </x:c>
      <x:c r="E8" s="65" t="str">
        <x:v>https://csrc.nist.gov/pubs/sp/800/227/final</x:v>
      </x:c>
    </x:row>
    <x:row r="9" ht="36" customHeight="1">
      <x:c r="A9" s="45" t="str">
        <x:v>N05</x:v>
      </x:c>
      <x:c r="B9" s="46" t="str">
        <x:v>CSWP 39-upd1; governance, inventory, risk-prioritized agility, negotiation, supply chains, APIs, continuous improvement</x:v>
      </x:c>
      <x:c r="C9" s="46" t="str">
        <x:v>Final 2025-12-19; updated 2026-06-29</x:v>
      </x:c>
      <x:c r="D9" s="46" t="str">
        <x:v>Derived controls and annual phases are local planning recommendations. Drafts are not final requirements.</x:v>
      </x:c>
      <x:c r="E9" s="47" t="str">
        <x:v>https://csrc.nist.gov/pubs/cswp/39/upd1/considerations-for-achieving-crypto-agility/final</x:v>
      </x:c>
    </x:row>
    <x:row r="10" ht="36" customHeight="1">
      <x:c r="A10" s="63" t="str">
        <x:v>N06</x:v>
      </x:c>
      <x:c r="B10" s="64" t="str">
        <x:v>IR 8547; HNDL, signature and code-verification distinctions, draft transition tables</x:v>
      </x:c>
      <x:c r="C10" s="64" t="str">
        <x:v>Initial public draft 2024-11-12</x:v>
      </x:c>
      <x:c r="D10" s="64" t="str">
        <x:v>Derived controls and annual phases are local planning recommendations. Drafts are not final requirements.</x:v>
      </x:c>
      <x:c r="E10" s="65" t="str">
        <x:v>https://csrc.nist.gov/pubs/ir/8547/ipd</x:v>
      </x:c>
    </x:row>
    <x:row r="11" ht="36" customHeight="1">
      <x:c r="A11" s="45" t="str">
        <x:v>N07</x:v>
      </x:c>
      <x:c r="B11" s="46" t="str">
        <x:v>NCCoE Migration to PQC; discovery/inventory and interoperability workstreams; evolving output model</x:v>
      </x:c>
      <x:c r="C11" s="46" t="str">
        <x:v>Active project; preliminary documents</x:v>
      </x:c>
      <x:c r="D11" s="46" t="str">
        <x:v>Derived controls and annual phases are local planning recommendations. Drafts are not final requirements.</x:v>
      </x:c>
      <x:c r="E11" s="47" t="str">
        <x:v>https://www.nccoe.nist.gov/applied-cryptography/migration-to-pqc</x:v>
      </x:c>
    </x:row>
    <x:row r="12" ht="36" customHeight="1">
      <x:c r="A12" s="63" t="str">
        <x:v>N08</x:v>
      </x:c>
      <x:c r="B12" s="64" t="str">
        <x:v>SP 1800-38 B/C; discovery and interoperability/performance demonstration</x:v>
      </x:c>
      <x:c r="C12" s="64" t="str">
        <x:v>Initial preliminary draft 2023-12-19</x:v>
      </x:c>
      <x:c r="D12" s="64" t="str">
        <x:v>Derived controls and annual phases are local planning recommendations. Drafts are not final requirements.</x:v>
      </x:c>
      <x:c r="E12" s="65" t="str">
        <x:v>https://csrc.nist.gov/pubs/sp/1800/38/iprd-(1)</x:v>
      </x:c>
    </x:row>
    <x:row r="13" ht="36" customHeight="1">
      <x:c r="A13" s="45" t="str">
        <x:v>N09</x:v>
      </x:c>
      <x:c r="B13" s="46" t="str">
        <x:v>SP 800-57 Part 1 Rev. 5; key management baseline</x:v>
      </x:c>
      <x:c r="C13" s="46" t="str">
        <x:v>Final 2020-05-04</x:v>
      </x:c>
      <x:c r="D13" s="46" t="str">
        <x:v>Derived controls and annual phases are local planning recommendations. Drafts are not final requirements.</x:v>
      </x:c>
      <x:c r="E13" s="47" t="str">
        <x:v>https://csrc.nist.gov/pubs/sp/800/57/pt1/r5/final</x:v>
      </x:c>
    </x:row>
    <x:row r="14" ht="36" customHeight="1">
      <x:c r="A14" s="63" t="str">
        <x:v>N10</x:v>
      </x:c>
      <x:c r="B14" s="64" t="str">
        <x:v>SP 800-57 Part 1 Rev. 6; PQC-aware key management and storage proposals</x:v>
      </x:c>
      <x:c r="C14" s="64" t="str">
        <x:v>Initial public draft 2025-12-05</x:v>
      </x:c>
      <x:c r="D14" s="64" t="str">
        <x:v>Derived controls and annual phases are local planning recommendations. Drafts are not final requirements.</x:v>
      </x:c>
      <x:c r="E14" s="65" t="str">
        <x:v>https://csrc.nist.gov/pubs/sp/800/57/pt1/r6/ipd</x:v>
      </x:c>
    </x:row>
    <x:row r="15" ht="36" customHeight="1">
      <x:c r="A15" s="45" t="str">
        <x:v>N11</x:v>
      </x:c>
      <x:c r="B15" s="46" t="str">
        <x:v>SP 800-131A Rev. 2; current final algorithm transition baseline</x:v>
      </x:c>
      <x:c r="C15" s="46" t="str">
        <x:v>Final 2019-03-21</x:v>
      </x:c>
      <x:c r="D15" s="46" t="str">
        <x:v>Derived controls and annual phases are local planning recommendations. Drafts are not final requirements.</x:v>
      </x:c>
      <x:c r="E15" s="47" t="str">
        <x:v>https://csrc.nist.gov/pubs/sp/800/131/a/r2/final</x:v>
      </x:c>
    </x:row>
    <x:row r="16" ht="36" customHeight="1">
      <x:c r="A16" s="63" t="str">
        <x:v>N12</x:v>
      </x:c>
      <x:c r="B16" s="64" t="str">
        <x:v>SP 800-131A Rev. 3; proposed algorithm/key-strength transitions</x:v>
      </x:c>
      <x:c r="C16" s="64" t="str">
        <x:v>Initial public draft 2024-10-21</x:v>
      </x:c>
      <x:c r="D16" s="64" t="str">
        <x:v>Derived controls and annual phases are local planning recommendations. Drafts are not final requirements.</x:v>
      </x:c>
      <x:c r="E16" s="65" t="str">
        <x:v>https://csrc.nist.gov/pubs/sp/800/131/a/r3/ipd</x:v>
      </x:c>
    </x:row>
    <x:row r="17" ht="36" customHeight="1">
      <x:c r="A17" s="45" t="str">
        <x:v>N13</x:v>
      </x:c>
      <x:c r="B17" s="46" t="str">
        <x:v>SP 800-82 Rev. 3; OT performance, reliability, safety and controls</x:v>
      </x:c>
      <x:c r="C17" s="46" t="str">
        <x:v>Final 2023-09-28</x:v>
      </x:c>
      <x:c r="D17" s="46" t="str">
        <x:v>Derived controls and annual phases are local planning recommendations. Drafts are not final requirements.</x:v>
      </x:c>
      <x:c r="E17" s="47" t="str">
        <x:v>https://csrc.nist.gov/pubs/sp/800/82/r3/final</x:v>
      </x:c>
    </x:row>
    <x:row r="18" ht="36" customHeight="1">
      <x:c r="A18" s="63" t="str">
        <x:v>N14</x:v>
      </x:c>
      <x:c r="B18" s="64" t="str">
        <x:v>SP 800-82 Rev. 4; CSF2 alignment, asset management, monitoring, OT/IIoT/cloud, system-management security</x:v>
      </x:c>
      <x:c r="C18" s="64" t="str">
        <x:v>Initial public draft 2026-09-21</x:v>
      </x:c>
      <x:c r="D18" s="64" t="str">
        <x:v>Derived controls and annual phases are local planning recommendations. Drafts are not final requirements.</x:v>
      </x:c>
      <x:c r="E18" s="65" t="str">
        <x:v>https://csrc.nist.gov/pubs/sp/800/82/r4/ipd</x:v>
      </x:c>
    </x:row>
    <x:row r="19" ht="36" customHeight="1">
      <x:c r="A19" s="45" t="str">
        <x:v>N15</x:v>
      </x:c>
      <x:c r="B19" s="46" t="str">
        <x:v>SP 1339; backups in OT change and recovery practice</x:v>
      </x:c>
      <x:c r="C19" s="46" t="str">
        <x:v>Final 2026-06-17</x:v>
      </x:c>
      <x:c r="D19" s="46" t="str">
        <x:v>Derived controls and annual phases are local planning recommendations. Drafts are not final requirements.</x:v>
      </x:c>
      <x:c r="E19" s="47" t="str">
        <x:v>https://csrc.nist.gov/pubs/sp/1339/final</x:v>
      </x:c>
    </x:row>
    <x:row r="20" ht="36" customHeight="1">
      <x:c r="A20" s="63" t="str">
        <x:v>N16</x:v>
      </x:c>
      <x:c r="B20" s="64" t="str">
        <x:v>IR 8587; signed tokens/assertions, key lifecycle, verification, workload/automated identity token use, Section 7.7 PQC interoperability constraints</x:v>
      </x:c>
      <x:c r="C20" s="64" t="str">
        <x:v>Final 2026-09-15</x:v>
      </x:c>
      <x:c r="D20" s="64" t="str">
        <x:v>Derived controls and annual phases are local planning recommendations. Drafts are not final requirements.</x:v>
      </x:c>
      <x:c r="E20" s="65" t="str">
        <x:v>https://csrc.nist.gov/pubs/ir/8587/final</x:v>
      </x:c>
    </x:row>
    <x:row r="21" ht="36" customHeight="1">
      <x:c r="A21" s="45" t="str">
        <x:v>N17</x:v>
      </x:c>
      <x:c r="B21" s="46" t="str">
        <x:v>SP 800-228-upd1; API lifecycle risks and controls</x:v>
      </x:c>
      <x:c r="C21" s="46" t="str">
        <x:v>Final; original 2025-06-27, updated 2026-03-13</x:v>
      </x:c>
      <x:c r="D21" s="46" t="str">
        <x:v>Derived controls and annual phases are local planning recommendations. Drafts are not final requirements.</x:v>
      </x:c>
      <x:c r="E21" s="47" t="str">
        <x:v>https://csrc.nist.gov/pubs/sp/800/228/upd1/final</x:v>
      </x:c>
    </x:row>
    <x:row r="22" ht="36" customHeight="1">
      <x:c r="A22" s="63" t="str">
        <x:v>N18</x:v>
      </x:c>
      <x:c r="B22" s="64" t="str">
        <x:v>CSWP 48; mapping PQC discovery and interoperability capabilities to risk frameworks</x:v>
      </x:c>
      <x:c r="C22" s="64" t="str">
        <x:v>Initial public draft 2025-09-18</x:v>
      </x:c>
      <x:c r="D22" s="64" t="str">
        <x:v>Derived controls and annual phases are local planning recommendations. Drafts are not final requirements.</x:v>
      </x:c>
      <x:c r="E22" s="65" t="str">
        <x:v>https://csrc.nist.gov/pubs/cswp/48/mapping-migration-to-pqc-project-capabilities-to-r/ipd</x:v>
      </x:c>
    </x:row>
    <x:row r="23" ht="36" customHeight="1">
      <x:c r="A23" s="45" t="str">
        <x:v>N19</x:v>
      </x:c>
      <x:c r="B23" s="46" t="str">
        <x:v>NIST PQC project; current standardized/selected algorithm status</x:v>
      </x:c>
      <x:c r="C23" s="46" t="str">
        <x:v>Project updated 2026-08-05</x:v>
      </x:c>
      <x:c r="D23" s="46" t="str">
        <x:v>Derived controls and annual phases are local planning recommendations. Drafts are not final requirements.</x:v>
      </x:c>
      <x:c r="E23" s="47" t="str">
        <x:v>https://csrc.nist.gov/projects/post-quantum-cryptography</x:v>
      </x:c>
    </x:row>
    <x:row r="24" ht="36" customHeight="1">
      <x:c r="A24" s="63" t="str">
        <x:v>N20</x:v>
      </x:c>
      <x:c r="B24" s="64" t="str">
        <x:v>HQC selection announcement; diversification backup, continue current migration, expected 2027 finalization</x:v>
      </x:c>
      <x:c r="C24" s="64" t="str">
        <x:v>Selection announcement 2025-03-11, forecast not approval</x:v>
      </x:c>
      <x:c r="D24" s="64" t="str">
        <x:v>Derived controls and annual phases are local planning recommendations. Drafts are not final requirements.</x:v>
      </x:c>
      <x:c r="E24" s="65" t="str">
        <x:v>https://www.nist.gov/news-events/news/2025/03/nist-selects-hqc-fifth-algorithm-post-quantum-encryption</x:v>
      </x:c>
    </x:row>
    <x:row r="25" ht="36" customHeight="1">
      <x:c r="A25" s="45" t="str">
        <x:v>N21</x:v>
      </x:c>
      <x:c r="B25" s="46" t="str">
        <x:v>Additional digital signature schemes; Round3 announced May14,2026</x:v>
      </x:c>
      <x:c r="C25" s="46" t="str">
        <x:v>Evaluation candidates, not standards</x:v>
      </x:c>
      <x:c r="D25" s="46" t="str">
        <x:v>Derived controls and annual phases are local planning recommendations. Drafts are not final requirements.</x:v>
      </x:c>
      <x:c r="E25" s="47" t="str">
        <x:v>https://csrc.nist.gov/projects/pqc-dig-sig</x:v>
      </x:c>
    </x:row>
    <x:row r="26" ht="36" customHeight="1">
      <x:c r="A26" s="63" t="str">
        <x:v>N22</x:v>
      </x:c>
      <x:c r="B26" s="64" t="str">
        <x:v>SP 800-204A; service-mesh security architecture</x:v>
      </x:c>
      <x:c r="C26" s="64" t="str">
        <x:v>Final 2020-05-27</x:v>
      </x:c>
      <x:c r="D26" s="64" t="str">
        <x:v>Derived controls and annual phases are local planning recommendations. Drafts are not final requirements.</x:v>
      </x:c>
      <x:c r="E26" s="65" t="str">
        <x:v>https://csrc.nist.gov/pubs/sp/800/204/a/final</x:v>
      </x:c>
    </x:row>
    <x:row r="27" ht="36" customHeight="1">
      <x:c r="A27" s="45" t="str">
        <x:v>N23</x:v>
      </x:c>
      <x:c r="B27" s="46" t="str">
        <x:v>SP 800-204B; service-mesh authentication/authorization</x:v>
      </x:c>
      <x:c r="C27" s="46" t="str">
        <x:v>Final 2021-08</x:v>
      </x:c>
      <x:c r="D27" s="46" t="str">
        <x:v>Derived controls and annual phases are local planning recommendations. Drafts are not final requirements.</x:v>
      </x:c>
      <x:c r="E27" s="47" t="str">
        <x:v>https://csrc.nist.gov/pubs/sp/800/204/b/final</x:v>
      </x:c>
    </x:row>
    <x:row r="28" ht="36" customHeight="1">
      <x:c r="A28" s="63" t="str">
        <x:v>N24</x:v>
      </x:c>
      <x:c r="B28" s="64" t="str">
        <x:v>CAVP program; algorithm validation is prerequisite to, not replacement for, module validation</x:v>
      </x:c>
      <x:c r="C28" s="64" t="str">
        <x:v>Official program; updated 2026-09-22</x:v>
      </x:c>
      <x:c r="D28" s="64" t="str">
        <x:v>Derived controls and annual phases are local planning recommendations. Drafts are not final requirements.</x:v>
      </x:c>
      <x:c r="E28" s="65" t="str">
        <x:v>https://csrc.nist.gov/projects/cryptographic-algorithm-validation-program</x:v>
      </x:c>
    </x:row>
    <x:row r="29" ht="36" customHeight="1">
      <x:c r="A29" s="45" t="str">
        <x:v>N25</x:v>
      </x:c>
      <x:c r="B29" s="46" t="str">
        <x:v>CMVP FAQ; module/version/operating-environment verification, protocol/product validation boundary, FIPS140-2 active-list transition</x:v>
      </x:c>
      <x:c r="C29" s="46" t="str">
        <x:v>Official FAQ checked 2026-09-29</x:v>
      </x:c>
      <x:c r="D29" s="46" t="str">
        <x:v>Derived controls and annual phases are local planning recommendations. Drafts are not final requirements.</x:v>
      </x:c>
      <x:c r="E29" s="47" t="str">
        <x:v>https://csrc.nist.gov/Projects/cryptographic-module-validation-program/faqs</x:v>
      </x:c>
    </x:row>
    <x:row r="30" ht="36" customHeight="1">
      <x:c r="A30" s="63" t="str">
        <x:v>N26</x:v>
      </x:c>
      <x:c r="B30" s="64" t="str">
        <x:v>CMVP validated modules; inspect certificate/security policy and active/historical/revoked status</x:v>
      </x:c>
      <x:c r="C30" s="64" t="str">
        <x:v>Live certificate registry checked 2026-09-29</x:v>
      </x:c>
      <x:c r="D30" s="64" t="str">
        <x:v>Derived controls and annual phases are local planning recommendations. Drafts are not final requirements.</x:v>
      </x:c>
      <x:c r="E30" s="65" t="str">
        <x:v>https://csrc.nist.gov/projects/cryptographic-module-validation-program/validated-modules</x:v>
      </x:c>
    </x:row>
    <x:row r="31" ht="36" customHeight="1">
      <x:c r="A31" s="45" t="str">
        <x:v>N27</x:v>
      </x:c>
      <x:c r="B31" s="46" t="str">
        <x:v>CSWP 29 / CSF 2.0; cybersecurity outcome framework, not a prescriptive PQC implementation standard</x:v>
      </x:c>
      <x:c r="C31" s="46" t="str">
        <x:v>Final 2024-02-26</x:v>
      </x:c>
      <x:c r="D31" s="46" t="str">
        <x:v>Derived controls and annual phases are local planning recommendations. Drafts are not final requirements.</x:v>
      </x:c>
      <x:c r="E31" s="47" t="str">
        <x:v>https://csrc.nist.gov/pubs/cswp/29/the-nist-cybersecurity-framework-csf-20/final</x:v>
      </x:c>
    </x:row>
    <x:row r="32" ht="36" customHeight="1">
      <x:c r="A32" s="63" t="str">
        <x:v>N28</x:v>
      </x:c>
      <x:c r="B32" s="64" t="str">
        <x:v>SP 800-53 Rev. 5; current control catalog is Release 5.2.0 referenced by publication-page planning note</x:v>
      </x:c>
      <x:c r="C32" s="64" t="str">
        <x:v>Final; base 2020-09/update 2020-12-10; minor Release 5.2.0 finalized 2025-08-27</x:v>
      </x:c>
      <x:c r="D32" s="64" t="str">
        <x:v>Derived controls and annual phases are local planning recommendations. Drafts are not final requirements.</x:v>
      </x:c>
      <x:c r="E32" s="65" t="str">
        <x:v>https://csrc.nist.gov/pubs/sp/800/53/r5/upd1/final</x:v>
      </x:c>
    </x:row>
    <x:row r="33" ht="36" customHeight="1">
      <x:c r="A33" s="45" t="str">
        <x:v>N29</x:v>
      </x:c>
      <x:c r="B33" s="46" t="str">
        <x:v>SP 800-161 Rev. 1-upd1; supplier risk and dependency governance</x:v>
      </x:c>
      <x:c r="C33" s="46" t="str">
        <x:v>Final; original 2022-05, update 2024-11-01</x:v>
      </x:c>
      <x:c r="D33" s="46" t="str">
        <x:v>Derived controls and annual phases are local planning recommendations. Drafts are not final requirements.</x:v>
      </x:c>
      <x:c r="E33" s="47" t="str">
        <x:v>https://csrc.nist.gov/pubs/sp/800/161/r1/upd1/final</x:v>
      </x:c>
    </x:row>
    <x:row r="34" ht="36" customHeight="1">
      <x:c r="A34" s="63" t="str">
        <x:v>N30</x:v>
      </x:c>
      <x:c r="B34" s="64" t="str">
        <x:v>SP 800-230; additional limited-signature SLH-DSA parameter sets, software/firmware/certificate watch item</x:v>
      </x:c>
      <x:c r="C34" s="64" t="str">
        <x:v>Initial public draft 2026-04-13</x:v>
      </x:c>
      <x:c r="D34" s="64" t="str">
        <x:v>Derived controls and annual phases are local planning recommendations. Drafts are not final requirements.</x:v>
      </x:c>
      <x:c r="E34" s="65" t="str">
        <x:v>https://csrc.nist.gov/pubs/sp/800/230/ipd</x:v>
      </x:c>
    </x:row>
    <x:row r="35" ht="36" customHeight="1">
      <x:c r="A35" s="45" t="str">
        <x:v>N31</x:v>
      </x:c>
      <x:c r="B35" s="46" t="str">
        <x:v>SP 800-133 Rev. 3; proposed PQC key generation, seed expansion, KEM and HSM considerations</x:v>
      </x:c>
      <x:c r="C35" s="46" t="str">
        <x:v>Initial public draft 2026-04-17</x:v>
      </x:c>
      <x:c r="D35" s="46" t="str">
        <x:v>Derived controls and annual phases are local planning recommendations. Drafts are not final requirements.</x:v>
      </x:c>
      <x:c r="E35" s="47" t="str">
        <x:v>https://csrc.nist.gov/pubs/sp/800/133/r3/ipd</x:v>
      </x:c>
    </x:row>
    <x:row r="36" ht="49" customHeight="1">
      <x:c r="A36" s="63" t="str">
        <x:v>C1</x:v>
      </x:c>
      <x:c r="B36" s="64" t="str">
        <x:v>CISA - Product Categories for Technologies That Use Post-Quantum Cryptography Standards</x:v>
      </x:c>
      <x:c r="C36" s="64" t="str">
        <x:v>Supplementary guidance; see publication</x:v>
      </x:c>
      <x:c r="D36" s="64" t="str">
        <x:v>2026 product-category reference for PQC adoption, including cloud services, web software, and endpoint security categories.</x:v>
      </x:c>
      <x:c r="E36" s="65" t="str">
        <x:v>https://content.govdelivery.com/accounts/USDHSCISA/bulletins/405c246</x:v>
      </x:c>
    </x:row>
    <x:row r="37" ht="36" customHeight="1">
      <x:c r="A37" s="45" t="str">
        <x:v>C2</x:v>
      </x:c>
      <x:c r="B37" s="46" t="str">
        <x:v>CISA/NSA/NIST - Quantum-Readiness: Migration to Post-Quantum Cryptography</x:v>
      </x:c>
      <x:c r="C37" s="46" t="str">
        <x:v>Supplementary guidance; see publication</x:v>
      </x:c>
      <x:c r="D37" s="46" t="str">
        <x:v>Quantum-readiness roadmap, cryptographic inventory, vendor engagement, and supply-chain dependency assessment.</x:v>
      </x:c>
      <x:c r="E37" s="47" t="str">
        <x:v>https://www.cisa.gov/resources-tools/resources/quantum-readiness-migration-post-quantum-cryptography</x:v>
      </x:c>
    </x:row>
    <x:row r="38" ht="36" customHeight="1">
      <x:c r="A38" s="66" t="str">
        <x:v>C3</x:v>
      </x:c>
      <x:c r="B38" s="67" t="str">
        <x:v>CISA - Post-Quantum Considerations for Operational Technology</x:v>
      </x:c>
      <x:c r="C38" s="67" t="str">
        <x:v>Supplementary guidance; see publication</x:v>
      </x:c>
      <x:c r="D38" s="67" t="str">
        <x:v>OT/ICS/SCADA migration considerations for safety, performance, vendor dependency, and operational continuity.</x:v>
      </x:c>
      <x:c r="E38" s="68" t="str">
        <x:v>https://www.cisa.gov/resources-tools/resources/post-quantum-considerations-operational-technology</x:v>
      </x:c>
    </x:row>
  </x:sheetData>
  <x:pageMargins left="0.7" right="0.7" top="0.75" bottom="0.75" header="0.3" footer="0.3"/>
  <x:tableParts count="1">
    <x:tablePart xmlns:r="http://schemas.openxmlformats.org/officeDocument/2006/relationships" r:id="Rdc6bfeb304c343ee"/>
  </x:tableParts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