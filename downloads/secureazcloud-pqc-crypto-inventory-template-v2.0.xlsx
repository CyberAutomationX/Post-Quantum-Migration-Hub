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ables/table1.xml" ContentType="application/vnd.openxmlformats-officedocument.spreadsheetml.table+xml"/>
  <ns0:Override PartName="/xl/worksheets/sheet4.xml" ContentType="application/vnd.openxmlformats-officedocument.spreadsheetml.worksheet+xml"/>
  <ns0:Override PartName="/xl/tables/table2.xml" ContentType="application/vnd.openxmlformats-officedocument.spreadsheetml.table+xml"/>
  <ns0:Override PartName="/xl/worksheets/sheet5.xml" ContentType="application/vnd.openxmlformats-officedocument.spreadsheetml.worksheet+xml"/>
  <ns0:Override PartName="/xl/tables/table3.xml" ContentType="application/vnd.openxmlformats-officedocument.spreadsheetml.table+xml"/>
  <ns0:Override PartName="/xl/worksheets/sheet6.xml" ContentType="application/vnd.openxmlformats-officedocument.spreadsheetml.worksheet+xml"/>
  <ns0:Override PartName="/xl/tables/table4.xml" ContentType="application/vnd.openxmlformats-officedocument.spreadsheetml.table+xml"/>
  <ns0:Override PartName="/xl/worksheets/sheet7.xml" ContentType="application/vnd.openxmlformats-officedocument.spreadsheetml.worksheet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tables/table6.xml" ContentType="application/vnd.openxmlformats-officedocument.spreadsheetml.table+xml"/>
  <ns0:Override PartName="/xl/worksheets/sheet9.xml" ContentType="application/vnd.openxmlformats-officedocument.spreadsheetml.worksheet+xml"/>
  <ns0:Override PartName="/xl/tables/table7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dde5a50aea904490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392e1b57b7a411b"/>
    <x:sheet xmlns:r="http://schemas.openxmlformats.org/officeDocument/2006/relationships" name="Lists" sheetId="2" r:id="Rc0e39009d1674a30"/>
    <x:sheet xmlns:r="http://schemas.openxmlformats.org/officeDocument/2006/relationships" name="Crypto Inventory" sheetId="3" r:id="Rc444180d18c64484"/>
    <x:sheet xmlns:r="http://schemas.openxmlformats.org/officeDocument/2006/relationships" name="PQC Readiness Checklist" sheetId="4" r:id="Rc7e58cfacd934f3e"/>
    <x:sheet xmlns:r="http://schemas.openxmlformats.org/officeDocument/2006/relationships" name="Cloud IAM Playbook" sheetId="5" r:id="R99628b774b694d5c"/>
    <x:sheet xmlns:r="http://schemas.openxmlformats.org/officeDocument/2006/relationships" name="SCADA ICS Checklist" sheetId="6" r:id="Rdf10f2d58b7c4d94"/>
    <x:sheet xmlns:r="http://schemas.openxmlformats.org/officeDocument/2006/relationships" name="References" sheetId="7" r:id="Rec2256e764f64dd4"/>
    <x:sheet xmlns:r="http://schemas.openxmlformats.org/officeDocument/2006/relationships" name="Roadmap" sheetId="8" r:id="R5ec683fb951844d9"/>
    <x:sheet xmlns:r="http://schemas.openxmlformats.org/officeDocument/2006/relationships" name="Threat Register" sheetId="9" r:id="R72c5d11cea1c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18">
    <x:font>
      <x:sz val="11"/>
      <x:name val="Carlito"/>
    </x:font>
    <x:font>
      <x:b/>
      <x:sz val="18"/>
      <x:color rgb="FFFFFFFF"/>
      <x:name val="Carlito"/>
    </x:font>
    <x:font>
      <x:sz val="11"/>
      <x:color rgb="FF102A43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0"/>
      <x:name val="Aptos"/>
    </x:font>
    <x:font>
      <x:i/>
      <x:sz val="10"/>
      <x:color rgb="FF627D98"/>
      <x:name val="Aptos"/>
    </x:font>
    <x:font>
      <x:b/>
      <x:sz val="10"/>
      <x:color rgb="FFFFFFFF"/>
      <x:name val="Aptos"/>
    </x:font>
    <x:font>
      <x:b/>
      <x:sz val="10"/>
      <x:color rgb="FF172C3B"/>
      <x:name val="Arial"/>
    </x:font>
    <x:font>
      <x:sz val="10"/>
      <x:color rgb="FF172C3B"/>
      <x:name val="Arial"/>
    </x:font>
    <x:font>
      <x:b/>
      <x:sz val="10"/>
      <x:color rgb="FFFFFFFF"/>
      <x:name val="Arial"/>
    </x:font>
    <x:font>
      <x:sz val="10"/>
      <x:color rgb="FF215F8A"/>
      <x:name val="Arial"/>
    </x:font>
    <x:font>
      <x:b/>
      <x:sz val="14"/>
      <x:color rgb="FF17324D"/>
      <x:name val="Arial"/>
    </x:font>
    <x:font>
      <x:sz val="14"/>
      <x:color rgb="FF17324D"/>
      <x:name val="Arial"/>
    </x:font>
    <x:font>
      <x:b/>
      <x:sz val="11"/>
      <x:color rgb="FF17324D"/>
      <x:name val="Arial"/>
    </x:font>
    <x:font>
      <x:i/>
      <x:sz val="10"/>
      <x:color rgb="FF172C3B"/>
      <x:name val="Arial"/>
    </x:font>
    <x:font>
      <x:b/>
      <x:sz val="12"/>
      <x:color rgb="FF17324D"/>
      <x:name val="Arial"/>
    </x:font>
    <x:font>
      <x:b/>
      <x:sz val="14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0B4F6C"/>
      </x:patternFill>
    </x:fill>
    <x:fill>
      <x:patternFill patternType="solid">
        <x:fgColor rgb="FF0B4F6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/>
    <x:xf numFmtId="200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/>
    </x:xf>
    <x:xf numFmtId="202" fontId="9" fillId="0" borderId="0" xfId="0" applyNumberFormat="1" applyFont="1" applyFill="1" applyBorder="1" applyAlignment="1">
      <x:alignment vertical="top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left"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4" fillId="4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7" fillId="2" borderId="0" xfId="0" applyNumberFormat="1" applyFont="1" applyFill="1" applyBorder="1" applyAlignment="1">
      <x:alignment horizontal="left" vertical="top" wrapText="1"/>
    </x:xf>
    <x:xf numFmtId="0" fontId="17" fillId="0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7F1D1D"/>
      </x:font>
      <x:fill>
        <x:patternFill>
          <x:bgColor rgb="FFFEE2E2"/>
        </x:patternFill>
      </x:fill>
    </x:dxf>
    <x:dxf>
      <x:font>
        <x:b/>
        <x:color rgb="FF7C2D12"/>
      </x:font>
      <x:fill>
        <x:patternFill>
          <x:bgColor rgb="FFFFEDD5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b/>
        <x:color rgb="FF14532D"/>
      </x:font>
      <x:fill>
        <x:patternFill>
          <x:bgColor rgb="FFDCFCE7"/>
        </x:patternFill>
      </x:fill>
    </x:dxf>
    <x:dxf>
      <x:font>
        <x:color rgb="FF874A00"/>
      </x:font>
      <x:fill>
        <x:patternFill patternType="solid">
          <x:bgColor rgb="FFFFF0CF"/>
        </x:patternFill>
      </x:fill>
    </x:dxf>
    <x:dxf>
      <x:font>
        <x:color rgb="FF874A00"/>
      </x:font>
      <x:fill>
        <x:patternFill patternType="solid">
          <x:bgColor rgb="FFFFF0CF"/>
        </x:patternFill>
      </x:fill>
    </x:dxf>
    <x:dxf>
      <x:font>
        <x:color rgb="FF874A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3654d123842dd" /><Relationship Type="http://schemas.openxmlformats.org/officeDocument/2006/relationships/theme" Target="/xl/theme/theme1.xml" Id="R033841f18eff4cd5" /><Relationship Type="http://schemas.openxmlformats.org/officeDocument/2006/relationships/sharedStrings" Target="/xl/sharedStrings.xml" Id="R59f4c5f751fd461b" /><Relationship Type="http://schemas.openxmlformats.org/officeDocument/2006/relationships/worksheet" Target="/xl/worksheets/sheet1.xml" Id="Rc392e1b57b7a411b" /><Relationship Type="http://schemas.openxmlformats.org/officeDocument/2006/relationships/worksheet" Target="/xl/worksheets/sheet2.xml" Id="Rc0e39009d1674a30" /><Relationship Type="http://schemas.openxmlformats.org/officeDocument/2006/relationships/worksheet" Target="/xl/worksheets/sheet3.xml" Id="Rc444180d18c64484" /><Relationship Type="http://schemas.openxmlformats.org/officeDocument/2006/relationships/worksheet" Target="/xl/worksheets/sheet4.xml" Id="Rc7e58cfacd934f3e" /><Relationship Type="http://schemas.openxmlformats.org/officeDocument/2006/relationships/worksheet" Target="/xl/worksheets/sheet5.xml" Id="R99628b774b694d5c" /><Relationship Type="http://schemas.openxmlformats.org/officeDocument/2006/relationships/worksheet" Target="/xl/worksheets/sheet6.xml" Id="Rdf10f2d58b7c4d94" /><Relationship Type="http://schemas.openxmlformats.org/officeDocument/2006/relationships/worksheet" Target="/xl/worksheets/sheet7.xml" Id="Rec2256e764f64dd4" /><Relationship Type="http://schemas.openxmlformats.org/officeDocument/2006/relationships/worksheet" Target="/xl/worksheets/sheet8.xml" Id="R5ec683fb951844d9" /><Relationship Type="http://schemas.openxmlformats.org/officeDocument/2006/relationships/worksheet" Target="/xl/worksheets/sheet9.xml" Id="R72c5d11cea1c43ba" /></Relationships>
</file>

<file path=xl/tables/table1.xml><?xml version="1.0" encoding="utf-8"?>
<x:table xmlns:x="http://schemas.openxmlformats.org/spreadsheetml/2006/main" id="6" name="CryptoInventoryTable" displayName="CryptoInventoryTable" ref="A1:BN1001" headerRowCount="1" totalsRowCount="0" totalsRowShown="0">
  <x:autoFilter ref="A1:BN1001"/>
  <x:tableColumns count="66">
    <x:tableColumn id="1" name="Asset ID"/>
    <x:tableColumn id="2" name="Asset/System Name"/>
    <x:tableColumn id="3" name="Business Process"/>
    <x:tableColumn id="4" name="Business Owner"/>
    <x:tableColumn id="5" name="Technical Owner"/>
    <x:tableColumn id="6" name="Environment"/>
    <x:tableColumn id="7" name="Location/Zone"/>
    <x:tableColumn id="8" name="Data Classification"/>
    <x:tableColumn id="9" name="Confidentiality Life (years)"/>
    <x:tableColumn id="10" name="External Exposure"/>
    <x:tableColumn id="11" name="OT/ICS Safety Impact"/>
    <x:tableColumn id="12" name="Criticality (1-5)"/>
    <x:tableColumn id="13" name="Crypto Use Case"/>
    <x:tableColumn id="14" name="Protocol/Standard"/>
    <x:tableColumn id="15" name="Algorithm Family"/>
    <x:tableColumn id="16" name="Algorithm/Curve/Group"/>
    <x:tableColumn id="17" name="Key Size (bits) / Cert Bytes"/>
    <x:tableColumn id="18" name="Crypto Library / HSM / CA"/>
    <x:tableColumn id="19" name="Certificate/Key Location"/>
    <x:tableColumn id="20" name="Identity Type"/>
    <x:tableColumn id="21" name="Vendor/Supplier"/>
    <x:tableColumn id="22" name="Vendor PQC Roadmap"/>
    <x:tableColumn id="23" name="Crypto Agility"/>
    <x:tableColumn id="24" name="PQC Target Standard"/>
    <x:tableColumn id="25" name="Migration Pattern"/>
    <x:tableColumn id="26" name="Quantum Vulnerable"/>
    <x:tableColumn id="27" name="Harvest-Now Concern"/>
    <x:tableColumn id="28" name="Local Risk Score (0-100)"/>
    <x:tableColumn id="29" name="Local Migration Priority"/>
    <x:tableColumn id="30" name="Status"/>
    <x:tableColumn id="31" name="Target Quarter"/>
    <x:tableColumn id="32" name="Evidence URL"/>
    <x:tableColumn id="33" name="Last Verified Date"/>
    <x:tableColumn id="34" name="Notes"/>
    <x:tableColumn id="35" name="Record Type"/>
    <x:tableColumn id="36" name="Discovery Method"/>
    <x:tableColumn id="37" name="Discovery Evidence / Scope"/>
    <x:tableColumn id="38" name="Discovery Date"/>
    <x:tableColumn id="39" name="Evidence Confidence"/>
    <x:tableColumn id="40" name="Crypto Function"/>
    <x:tableColumn id="41" name="Classical Strength (bits)"/>
    <x:tableColumn id="42" name="Signature Trust Life (years)"/>
    <x:tableColumn id="43" name="Component / Provider Version"/>
    <x:tableColumn id="44" name="CBOM / Dependency IDs"/>
    <x:tableColumn id="45" name="Parent / Peer Record IDs"/>
    <x:tableColumn id="46" name="Termination / Plaintext Legs"/>
    <x:tableColumn id="47" name="Target Parameter Set"/>
    <x:tableColumn id="48" name="Protocol Profile / Readiness"/>
    <x:tableColumn id="49" name="Interop / Performance Evidence"/>
    <x:tableColumn id="50" name="Algorithm CAVP Evidence"/>
    <x:tableColumn id="51" name="CMVP Module / Version / Scope"/>
    <x:tableColumn id="52" name="Product End of Support"/>
    <x:tableColumn id="53" name="Migration Lead Time (months)"/>
    <x:tableColumn id="54" name="Migration Owner"/>
    <x:tableColumn id="55" name="Next Review Date"/>
    <x:tableColumn id="56" name="Target Completion Date"/>
    <x:tableColumn id="57" name="Exception ID"/>
    <x:tableColumn id="58" name="Exception Approver / Expiry"/>
    <x:tableColumn id="59" name="Residual Risk / Treatment"/>
    <x:tableColumn id="60" name="Key Lifecycle / Backup Recovery"/>
    <x:tableColumn id="61" name="RNG / Key Generation Evidence"/>
    <x:tableColumn id="62" name="Implementation Security Evidence"/>
    <x:tableColumn id="63" name="Signing / Archive Transition"/>
    <x:tableColumn id="64" name="Downgrade / Fallback Policy"/>
    <x:tableColumn id="65" name="Evidence Completeness"/>
    <x:tableColumn id="66" name="Priority Override / 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QCReadinessTable" displayName="PQCReadinessTable" ref="A1:I100" headerRowCount="1">
  <x:tableColumns count="9">
    <x:tableColumn id="1" name="Domain"/>
    <x:tableColumn id="2" name="Checklist Item"/>
    <x:tableColumn id="3" name="Acceptance Criteria"/>
    <x:tableColumn id="4" name="Evidence / Artifact"/>
    <x:tableColumn id="5" name="Suggested Owner"/>
    <x:tableColumn id="6" name="NIST Alignment"/>
    <x:tableColumn id="7" name="Status"/>
    <x:tableColumn id="8" name="Target Date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loudIAMPlaybookTable" displayName="CloudIAMPlaybookTable" ref="A1:I100" headerRowCount="1">
  <x:tableColumns count="9">
    <x:tableColumn id="1" name="Phase"/>
    <x:tableColumn id="2" name="Activity"/>
    <x:tableColumn id="3" name="Detailed Action"/>
    <x:tableColumn id="4" name="Output / Decision"/>
    <x:tableColumn id="5" name="Owner"/>
    <x:tableColumn id="6" name="Dependencies"/>
    <x:tableColumn id="7" name="Status"/>
    <x:tableColumn id="8" name="Target Dat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ADAICSChecklistTable" displayName="SCADAICSChecklistTable" ref="A1:I100" headerRowCount="1">
  <x:tableColumns count="9">
    <x:tableColumn id="1" name="Area"/>
    <x:tableColumn id="2" name="Checklist Item"/>
    <x:tableColumn id="3" name="Safety / Operational Consideration"/>
    <x:tableColumn id="4" name="Evidence / Artifact"/>
    <x:tableColumn id="5" name="Owner"/>
    <x:tableColumn id="6" name="NIST Alignment"/>
    <x:tableColumn id="7" name="Status"/>
    <x:tableColumn id="8" name="Target Date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9" name="ReferencesTable" displayName="ReferencesTable" ref="A1:E35" headerRowCount="1" totalsRowCount="0" totalsRowShown="0">
  <x:autoFilter ref="A1:E35"/>
  <x:tableColumns count="5">
    <x:tableColumn id="1" name="Publication / Purpose"/>
    <x:tableColumn id="2" name="Publication Status / Scope"/>
    <x:tableColumn id="3" name="Official URL"/>
    <x:tableColumn id="4" name="Source ID"/>
    <x:tableColumn id="5" name="Checked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RoadmapTable" displayName="RoadmapTable" ref="A1:I40" headerRowCount="1" totalsRowCount="0" totalsRowShown="0">
  <x:autoFilter ref="A1:I40"/>
  <x:tableColumns count="9">
    <x:tableColumn id="1" name="Period"/>
    <x:tableColumn id="2" name="Local Planning Action"/>
    <x:tableColumn id="3" name="Exit Evidence"/>
    <x:tableColumn id="4" name="Owner"/>
    <x:tableColumn id="5" name="Due Date"/>
    <x:tableColumn id="6" name="Dependencies / Risks"/>
    <x:tableColumn id="7" name="Status"/>
    <x:tableColumn id="8" name="Source IDs"/>
    <x:tableColumn id="9" name="Exception / Revie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ThreatRegisterTable" displayName="ThreatRegisterTable" ref="A1:J100" headerRowCount="1" totalsRowCount="0" totalsRowShown="0">
  <x:autoFilter ref="A1:J100"/>
  <x:tableColumns count="10">
    <x:tableColumn id="1" name="Threat ID"/>
    <x:tableColumn id="2" name="Threat / Failure Mode"/>
    <x:tableColumn id="3" name="Affected Function / Scope"/>
    <x:tableColumn id="4" name="Required Assessment / Evidence"/>
    <x:tableColumn id="5" name="Suggested Treatment"/>
    <x:tableColumn id="6" name="Owner"/>
    <x:tableColumn id="7" name="Due / Review Date"/>
    <x:tableColumn id="8" name="Status"/>
    <x:tableColumn id="9" name="Source IDs"/>
    <x:tableColumn id="10" name="Asset / Exception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d17ab7b77c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526eb3c033949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846773156454f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15dbd46589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6b332b2f999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0553cea211447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f8155c33b2e4c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3" hidden="0" customWidth="1"/>
    <x:col min="3" max="3" width="78" hidden="0" customWidth="1"/>
    <x:col min="4" max="4" width="36" hidden="0" customWidth="1"/>
    <x:col min="5" max="5" width="18" hidden="0" customWidth="1"/>
    <x:col min="6" max="6" width="12" hidden="0" customWidth="1"/>
    <x:col min="7" max="7" width="55" hidden="0" customWidth="1"/>
    <x:col min="8" max="8" width="3" hidden="0" customWidth="1"/>
  </x:cols>
  <x:sheetData>
    <x:row r="1" ht="30" customHeight="1">
      <x:c r="A1" s="118" t="str">
        <x:v>SecureAzCloud PQC Inventory and Migration Pack v2.0</x:v>
      </x:c>
      <x:c r="B1" s="119"/>
      <x:c r="C1" s="119"/>
      <x:c r="D1" s="119"/>
      <x:c r="E1" s="119"/>
      <x:c r="F1" s="119"/>
      <x:c r="G1" s="119"/>
      <x:c r="H1" s="119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44" customHeight="1">
      <x:c r="A2" s="99" t="str">
        <x:v>NIST publication status checked 2026-09-29. Forward planning covers 2026, 2027 and later review cycles. Examples only; replace with evidence from your environment.</x:v>
      </x:c>
      <x:c r="B2" s="98"/>
      <x:c r="C2" s="98"/>
      <x:c r="D2" s="98"/>
      <x:c r="E2" s="98"/>
      <x:c r="F2" s="98"/>
      <x:c r="G2" s="98"/>
      <x:c r="H2" s="98"/>
    </x:row>
    <x:row r="3">
      <x:c r="A3" s="73"/>
      <x:c r="B3" s="73"/>
      <x:c r="C3" s="73"/>
      <x:c r="D3" s="73"/>
      <x:c r="E3" s="73"/>
      <x:c r="F3" s="73"/>
      <x:c r="G3" s="73"/>
      <x:c r="H3" s="73"/>
    </x:row>
    <x:row r="4">
      <x:c r="A4" s="120" t="str">
        <x:v>Use this workbook</x:v>
      </x:c>
      <x:c r="B4" s="121"/>
      <x:c r="C4" s="121"/>
      <x:c r="D4" s="121"/>
      <x:c r="E4" s="121"/>
      <x:c r="F4" s="121"/>
      <x:c r="G4" s="121"/>
      <x:c r="H4" s="121"/>
    </x:row>
    <x:row r="5" ht="54" customHeight="1">
      <x:c r="A5" s="113" t="str">
        <x:v>1</x:v>
      </x:c>
      <x:c r="B5" s="106" t="str">
        <x:v>Inventory</x:v>
      </x:c>
      <x:c r="C5" s="73" t="str">
        <x:v>Create one record per cryptographic component/function; link parent and peer IDs. Include transport, stored data, signatures, firmware, backups and plaintext boundaries.</x:v>
      </x:c>
      <x:c r="D5" s="73"/>
      <x:c r="E5" s="73"/>
      <x:c r="F5" s="73"/>
      <x:c r="G5" s="73"/>
      <x:c r="H5" s="73"/>
    </x:row>
    <x:row r="6" ht="54" customHeight="1">
      <x:c r="A6" s="113" t="str">
        <x:v>2</x:v>
      </x:c>
      <x:c r="B6" s="106" t="str">
        <x:v>Classify risk</x:v>
      </x:c>
      <x:c r="C6" s="73" t="str">
        <x:v>Record evidence, confidentiality and signature trust lifetimes, criticality and agility. Unknown inputs remain unscored. This is a local screening heuristic.</x:v>
      </x:c>
      <x:c r="D6" s="73"/>
      <x:c r="E6" s="73"/>
      <x:c r="F6" s="73"/>
      <x:c r="G6" s="73"/>
      <x:c r="H6" s="73"/>
    </x:row>
    <x:row r="7" ht="54" customHeight="1">
      <x:c r="A7" s="113" t="str">
        <x:v>3</x:v>
      </x:c>
      <x:c r="B7" s="106" t="str">
        <x:v>Plan migration</x:v>
      </x:c>
      <x:c r="C7" s="73" t="str">
        <x:v>Assign migration owners, supported versions, dependencies, product EOL, milestones and expiring exceptions. Use Roadmap and Threat Register.</x:v>
      </x:c>
      <x:c r="D7" s="73"/>
      <x:c r="E7" s="73"/>
      <x:c r="F7" s="73"/>
      <x:c r="G7" s="73"/>
      <x:c r="H7" s="73"/>
    </x:row>
    <x:row r="8" ht="54" customHeight="1">
      <x:c r="A8" s="113" t="str">
        <x:v>4</x:v>
      </x:c>
      <x:c r="B8" s="106" t="str">
        <x:v>Pilot and validate</x:v>
      </x:c>
      <x:c r="C8" s="73" t="str">
        <x:v>Verify exact parameter/profile, end-to-end compatibility, implementation security, performance and recovery before production approval.</x:v>
      </x:c>
      <x:c r="D8" s="73"/>
      <x:c r="E8" s="73"/>
      <x:c r="F8" s="73"/>
      <x:c r="G8" s="73"/>
      <x:c r="H8" s="73"/>
    </x:row>
    <x:row r="9" ht="54" customHeight="1">
      <x:c r="A9" s="113" t="str">
        <x:v>5</x:v>
      </x:c>
      <x:c r="B9" s="106" t="str">
        <x:v>Operationalize</x:v>
      </x:c>
      <x:c r="C9" s="73" t="str">
        <x:v>Review sources and suppliers quarterly and on material change. Monitor draft-to-final changes, errata and cryptanalysis. The cadence is local guidance.</x:v>
      </x:c>
      <x:c r="D9" s="73"/>
      <x:c r="E9" s="73"/>
      <x:c r="F9" s="73"/>
      <x:c r="G9" s="73"/>
      <x:c r="H9" s="73"/>
    </x:row>
    <x:row r="10">
      <x:c r="A10" s="73"/>
      <x:c r="B10" s="73"/>
      <x:c r="C10" s="73"/>
      <x:c r="D10" s="73"/>
      <x:c r="E10" s="73"/>
      <x:c r="F10" s="73"/>
      <x:c r="G10" s="73"/>
      <x:c r="H10" s="73"/>
    </x:row>
    <x:row r="11">
      <x:c r="A11" s="120" t="str">
        <x:v>Navigation and inventory summary</x:v>
      </x:c>
      <x:c r="B11" s="121"/>
      <x:c r="C11" s="121"/>
      <x:c r="D11" s="121"/>
      <x:c r="E11" s="121"/>
      <x:c r="F11" s="121"/>
      <x:c r="G11" s="121"/>
      <x:c r="H11" s="121"/>
    </x:row>
    <x:row r="12" ht="25" customHeight="1">
      <x:c r="A12" s="87" t="str">
        <x:v>Sheet</x:v>
      </x:c>
      <x:c r="B12" s="87" t="str">
        <x:v>Use</x:v>
      </x:c>
      <x:c r="C12" s="114"/>
      <x:c r="D12" s="87" t="str">
        <x:v>Inventory summary</x:v>
      </x:c>
      <x:c r="E12" s="87" t="str">
        <x:v>Scope</x:v>
      </x:c>
      <x:c r="F12" s="87" t="str">
        <x:v>Result</x:v>
      </x:c>
      <x:c r="G12" s="87" t="str">
        <x:v>Notes</x:v>
      </x:c>
      <x:c r="H12" s="72" t="str"/>
    </x:row>
    <x:row r="13" ht="44" customHeight="1">
      <x:c r="A13" s="73" t="str">
        <x:v>Crypto Inventory</x:v>
      </x:c>
      <x:c r="B13" s="73" t="str">
        <x:v>Master asset-level crypto inventory with risk scoring and migration priority.</x:v>
      </x:c>
      <x:c r="C13" s="115"/>
      <x:c r="D13" s="73" t="str">
        <x:v>Actual records</x:v>
      </x:c>
      <x:c r="E13" s="108" t="str">
        <x:v>Actual only</x:v>
      </x:c>
      <x:c r="F13" s="116" t="n">
        <x:f>COUNTIFS('Crypto Inventory'!$AI$2:$AI$1001,"Actual",'Crypto Inventory'!$A$2:$A$1001,"&lt;&gt;")</x:f>
        <x:v>0</x:v>
      </x:c>
      <x:c r="G13" s="73" t="str">
        <x:v>Zero means no actual inventory entered, not zero risk.</x:v>
      </x:c>
      <x:c r="H13" s="73"/>
    </x:row>
    <x:row r="14" ht="44" customHeight="1">
      <x:c r="A14" s="73" t="str">
        <x:v>PQC Readiness Checklist</x:v>
      </x:c>
      <x:c r="B14" s="73" t="str">
        <x:v>Program readiness checklist mapped to NIST CSF-style outcomes and NIST PQC migration concepts.</x:v>
      </x:c>
      <x:c r="C14" s="115"/>
      <x:c r="D14" s="73" t="str">
        <x:v>Example records</x:v>
      </x:c>
      <x:c r="E14" s="108" t="str">
        <x:v>Examples only</x:v>
      </x:c>
      <x:c r="F14" s="116" t="n">
        <x:f>COUNTIF('Crypto Inventory'!$AI$2:$AI$1001,"Example")</x:f>
        <x:v>5</x:v>
      </x:c>
      <x:c r="G14" s="73" t="str">
        <x:v>Illustrative records are excluded from actual totals.</x:v>
      </x:c>
      <x:c r="H14" s="73"/>
    </x:row>
    <x:row r="15" ht="44" customHeight="1">
      <x:c r="A15" s="73" t="str">
        <x:v>Cloud IAM Playbook</x:v>
      </x:c>
      <x:c r="B15" s="73" t="str">
        <x:v>Phase-based cloud/IAM migration planning checklist for identity, PKI, TLS, federation, workload identities, and cryptographic dependencies.</x:v>
      </x:c>
      <x:c r="C15" s="115"/>
      <x:c r="D15" s="73" t="str">
        <x:v>Actual vulnerable records</x:v>
      </x:c>
      <x:c r="E15" s="108" t="str">
        <x:v>Actual only</x:v>
      </x:c>
      <x:c r="F15" s="116" t="n">
        <x:f>COUNTIFS('Crypto Inventory'!$AI$2:$AI$1001,"Actual",'Crypto Inventory'!$Z$2:$Z$1001,"Y")</x:f>
        <x:v>0</x:v>
      </x:c>
      <x:c r="G15" s="73" t="str">
        <x:v>Confirmed vulnerability classification.</x:v>
      </x:c>
      <x:c r="H15" s="73"/>
    </x:row>
    <x:row r="16" ht="44" customHeight="1">
      <x:c r="A16" s="73" t="str">
        <x:v>SCADA ICS Checklist</x:v>
      </x:c>
      <x:c r="B16" s="73" t="str">
        <x:v>Safety-first OT/ICS/SCADA readiness checklist for cryptographic discovery, remote access, vendor roadmaps, and change control.</x:v>
      </x:c>
      <x:c r="C16" s="115"/>
      <x:c r="D16" s="73" t="str">
        <x:v>Actual unknown / blank vulnerability</x:v>
      </x:c>
      <x:c r="E16" s="108" t="str">
        <x:v>Actual only</x:v>
      </x:c>
      <x:c r="F16" s="116" t="n">
        <x:f>COUNTIFS('Crypto Inventory'!$AI$2:$AI$1001,"Actual",'Crypto Inventory'!$A$2:$A$1001,"&lt;&gt;")-COUNTIFS('Crypto Inventory'!$AI$2:$AI$1001,"Actual",'Crypto Inventory'!$Z$2:$Z$1001,"Y")-COUNTIFS('Crypto Inventory'!$AI$2:$AI$1001,"Actual",'Crypto Inventory'!$Z$2:$Z$1001,"N")</x:f>
        <x:v>0</x:v>
      </x:c>
      <x:c r="G16" s="73" t="str">
        <x:v>Discovery debt, not readiness credit.</x:v>
      </x:c>
      <x:c r="H16" s="73"/>
    </x:row>
    <x:row r="17" ht="44" customHeight="1">
      <x:c r="A17" s="73" t="str">
        <x:v>References</x:v>
      </x:c>
      <x:c r="B17" s="73" t="str">
        <x:v>Public source links and alignment notes.</x:v>
      </x:c>
      <x:c r="C17" s="115"/>
      <x:c r="D17" s="73" t="str">
        <x:v>Actual P0 / P1 records</x:v>
      </x:c>
      <x:c r="E17" s="73" t="str">
        <x:v>Actual only</x:v>
      </x:c>
      <x:c r="F17" s="117" t="n">
        <x:f>COUNTIFS('Crypto Inventory'!$AI$2:$AI$1001,"Actual",'Crypto Inventory'!$AC$2:$AC$1001,"P0 - Immediate")+COUNTIFS('Crypto Inventory'!$AI$2:$AI$1001,"Actual",'Crypto Inventory'!$AC$2:$AC$1001,"P1 - High")</x:f>
        <x:v>0</x:v>
      </x:c>
      <x:c r="G17" s="73" t="str">
        <x:v>Local ranking, subject to owner judgment.</x:v>
      </x:c>
      <x:c r="H17" s="73"/>
    </x:row>
    <x:row r="18" ht="44" customHeight="1">
      <x:c r="A18" s="73" t="str">
        <x:v>Lists</x:v>
      </x:c>
      <x:c r="B18" s="73" t="str">
        <x:v>Dropdown values used by the templates.</x:v>
      </x:c>
      <x:c r="C18" s="115"/>
      <x:c r="D18" s="73" t="str">
        <x:v>Actual unscored records</x:v>
      </x:c>
      <x:c r="E18" s="73" t="str">
        <x:v>Actual only</x:v>
      </x:c>
      <x:c r="F18" s="117" t="n">
        <x:f>COUNTIFS('Crypto Inventory'!$AI$2:$AI$1001,"Actual",'Crypto Inventory'!$AC$2:$AC$1001,"Review inputs")</x:f>
        <x:v>0</x:v>
      </x:c>
      <x:c r="G18" s="73" t="str">
        <x:v>Complete required risk inputs before ranking.</x:v>
      </x:c>
      <x:c r="H18" s="73"/>
    </x:row>
    <x:row r="19" ht="44" customHeight="1">
      <x:c r="A19" s="73" t="str">
        <x:v>Roadmap</x:v>
      </x:c>
      <x:c r="B19" s="73" t="str">
        <x:v>Local 2026, 2027, 2028-2030, 2031-2035 and ongoing actions.</x:v>
      </x:c>
      <x:c r="C19" s="115"/>
      <x:c r="D19" s="73" t="str">
        <x:v>Unclassified records</x:v>
      </x:c>
      <x:c r="E19" s="73" t="str">
        <x:v>All rows</x:v>
      </x:c>
      <x:c r="F19" s="117" t="n">
        <x:f>COUNTA('Crypto Inventory'!$A$2:$A$1001)-COUNTIFS('Crypto Inventory'!$AI$2:$AI$1001,"Actual",'Crypto Inventory'!$A$2:$A$1001,"&lt;&gt;")-COUNTIFS('Crypto Inventory'!$AI$2:$AI$1001,"Example",'Crypto Inventory'!$A$2:$A$1001,"&lt;&gt;")</x:f>
        <x:v>0</x:v>
      </x:c>
      <x:c r="G19" s="73" t="str">
        <x:v>Every populated row must be Actual or Example.</x:v>
      </x:c>
      <x:c r="H19" s="73"/>
    </x:row>
    <x:row r="20" ht="44" customHeight="1">
      <x:c r="A20" s="73" t="str">
        <x:v>Threat Register</x:v>
      </x:c>
      <x:c r="B20" s="73" t="str">
        <x:v>Assess threats by asset with owner, due date and evidence.</x:v>
      </x:c>
      <x:c r="C20" s="115"/>
      <x:c r="D20" s="73"/>
      <x:c r="E20" s="73"/>
      <x:c r="F20" s="73"/>
      <x:c r="G20" s="73"/>
      <x:c r="H20" s="73"/>
    </x:row>
    <x:row r="21">
      <x:c r="A21" s="73"/>
      <x:c r="B21" s="73"/>
      <x:c r="C21" s="73"/>
      <x:c r="D21" s="73"/>
      <x:c r="E21" s="73"/>
      <x:c r="F21" s="73"/>
      <x:c r="G21" s="73"/>
      <x:c r="H21" s="73"/>
    </x:row>
    <x:row r="22" ht="62" customHeight="1">
      <x:c r="A22" s="73" t="str">
        <x:v>Method / limits</x:v>
      </x:c>
      <x:c r="B22" s="73" t="str">
        <x:v>The 0-100 score and P0-P4 bands are SecureAzCloud screening choices, not a NIST score, compliance result or prediction of Q-day.</x:v>
      </x:c>
      <x:c r="C22" s="73"/>
      <x:c r="D22" s="73"/>
      <x:c r="E22" s="73"/>
      <x:c r="F22" s="73"/>
      <x:c r="G22" s="73"/>
      <x:c r="H22" s="73"/>
    </x:row>
    <x:row r="23" ht="62" customHeight="1">
      <x:c r="A23" s="73" t="str">
        <x:v>Score weights</x:v>
      </x:c>
      <x:c r="B23" s="73" t="str">
        <x:v>Vulnerable 20; criticality 1-5 × 5; HNDL 15; exposure public/partner/internal 10/7/3; hard-coded/configurable 10/3; max(confidentiality, signing life) ≥10/5/2 years 10/7/3; safety high/medium 10/5.</x:v>
      </x:c>
      <x:c r="C23" s="73"/>
      <x:c r="D23" s="73"/>
      <x:c r="E23" s="73"/>
      <x:c r="F23" s="73"/>
      <x:c r="G23" s="73"/>
      <x:c r="H23" s="73"/>
    </x:row>
    <x:row r="24" ht="62" customHeight="1">
      <x:c r="A24" s="73" t="str">
        <x:v>Score bands</x:v>
      </x:c>
      <x:c r="B24" s="73" t="str">
        <x:v>P0 ≥70; P1 ≥50; P2 ≥30; P3 ≥15; P4 &lt;15. Blank, unknown or invalid scoring inputs show Incomplete / Review inputs. Zero lifetime is a valid input.</x:v>
      </x:c>
      <x:c r="C24" s="73"/>
      <x:c r="D24" s="73"/>
      <x:c r="E24" s="73"/>
      <x:c r="F24" s="73"/>
      <x:c r="G24" s="73"/>
      <x:c r="H24" s="73"/>
    </x:row>
    <x:row r="25" ht="62" customHeight="1">
      <x:c r="A25" s="73" t="str">
        <x:v>Required evidence</x:v>
      </x:c>
      <x:c r="B25" s="73" t="str">
        <x:v>Actual rows require owners, source/date, provenance, confidence, function, dependency IDs and review date. Evidence Completeness is a data check, not security approval.</x:v>
      </x:c>
      <x:c r="C25" s="73"/>
      <x:c r="D25" s="73"/>
      <x:c r="E25" s="73"/>
      <x:c r="F25" s="73"/>
      <x:c r="G25" s="73"/>
      <x:c r="H25" s="73"/>
    </x:row>
    <x:row r="26" ht="62" customHeight="1">
      <x:c r="A26" s="73" t="str">
        <x:v>Risk override</x:v>
      </x:c>
      <x:c r="B26" s="73" t="str">
        <x:v>Use Priority Override / Rationale for justified owner decisions. High consequence or long lead time can justify earlier action regardless of score. Never store raw keys or secrets.</x:v>
      </x:c>
      <x:c r="C26" s="73"/>
      <x:c r="D26" s="73"/>
      <x:c r="E26" s="73"/>
      <x:c r="F26" s="73"/>
      <x:c r="G26" s="73"/>
      <x:c r="H26" s="73"/>
    </x:row>
    <x:row r="27" ht="62" customHeight="1">
      <x:c r="A27" s="73" t="str">
        <x:v>Final standards</x:v>
      </x:c>
      <x:c r="B27" s="73" t="str">
        <x:v>FIPS 203/204/205, SP 800-227 and CSWP 39-upd1 are final. KEM and signatures serve different functions; a PQC transport does not migrate token or certificate signatures.</x:v>
      </x:c>
      <x:c r="C27" s="73"/>
      <x:c r="D27" s="73"/>
      <x:c r="E27" s="73"/>
      <x:c r="F27" s="73"/>
      <x:c r="G27" s="73"/>
      <x:c r="H27" s="73"/>
    </x:row>
    <x:row r="28" ht="62" customHeight="1">
      <x:c r="A28" s="73" t="str">
        <x:v>Draft timing</x:v>
      </x:c>
      <x:c r="B28" s="73" t="str">
        <x:v>IR 8547 is draft. It proposes deprecation after 2030 for 112-bit uses, and disallowance after 2035 for listed quantum-vulnerable uses. It is not a blanket 2030 mandate or universal legal deadline.</x:v>
      </x:c>
      <x:c r="C28" s="73"/>
      <x:c r="D28" s="73"/>
      <x:c r="E28" s="73"/>
      <x:c r="F28" s="73"/>
      <x:c r="G28" s="73"/>
      <x:c r="H28" s="73"/>
    </x:row>
    <x:row r="29" ht="62" customHeight="1">
      <x:c r="A29" s="73" t="str">
        <x:v>2027 and later</x:v>
      </x:c>
      <x:c r="B29" s="73" t="str">
        <x:v>HQC/FN-DSA remain under standardization; new signatures are candidates. Future unpublished guidance cannot be pre-certified. Recheck final/draft status and errata before deployment.</x:v>
      </x:c>
      <x:c r="C29" s="73"/>
      <x:c r="D29" s="73"/>
      <x:c r="E29" s="73"/>
      <x:c r="F29" s="73"/>
      <x:c r="G29" s="73"/>
      <x:c r="H29" s="73"/>
    </x:row>
    <x:row r="30" ht="62" customHeight="1">
      <x:c r="A30" s="73" t="str">
        <x:v>Completion gate</x:v>
      </x:c>
      <x:c r="B30" s="73" t="str">
        <x:v>Mark Complete only after approved profile, vendor support, end-to-end tests, key recovery, observed deployment, owner acceptance and documented residual risk.</x:v>
      </x:c>
      <x:c r="C30" s="73"/>
      <x:c r="D30" s="73"/>
      <x:c r="E30" s="73"/>
      <x:c r="F30" s="73"/>
      <x:c r="G30" s="73"/>
      <x:c r="H30" s="73"/>
    </x:row>
    <x:row r="31" ht="62" customHeight="1">
      <x:c r="A31" s="73" t="str">
        <x:v>Field use</x:v>
      </x:c>
      <x:c r="B31" s="73" t="str">
        <x:v>A:AH retain the original inventory. AI:AN establish provenance and function. AO:AT capture strength, lifetimes and dependencies. AU:BN capture target profile, validation, lifecycle, exceptions and evidence.</x:v>
      </x:c>
      <x:c r="C31" s="73"/>
      <x:c r="D31" s="73"/>
      <x:c r="E31" s="73"/>
      <x:c r="F31" s="73"/>
      <x:c r="G31" s="73"/>
      <x:c r="H31" s="73"/>
    </x:row>
    <x:row r="32" ht="62" customHeight="1">
      <x:c r="A32" s="73" t="str">
        <x:v>Version / date</x:v>
      </x:c>
      <x:c r="B32" s="73" t="str">
        <x:v>v2.0 / 2026-09-29. Supersedes the unversioned v1.0 inventory pack. Keep original examples flagged Example and add Actual records for your environment.</x:v>
      </x:c>
      <x:c r="C32" s="73"/>
      <x:c r="D32" s="73"/>
      <x:c r="E32" s="73"/>
      <x:c r="F32" s="73"/>
      <x:c r="G32" s="73"/>
      <x:c r="H32" s="73"/>
    </x:row>
    <x:row r="33" ht="25" customHeight="1">
      <x:c r="A33" s="74" t="str">
        <x:v>Author / Maintainer</x:v>
      </x:c>
      <x:c r="B33" s="74" t="str">
        <x:v>Ankit Gupta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 ht="38" customHeight="1">
      <x:c r="A1" s="87" t="str">
        <x:v>Environment</x:v>
      </x:c>
      <x:c r="B1" s="87" t="str">
        <x:v>Data Classification</x:v>
      </x:c>
      <x:c r="C1" s="87" t="str">
        <x:v>Exposure</x:v>
      </x:c>
      <x:c r="D1" s="87" t="str">
        <x:v>Safety Impact</x:v>
      </x:c>
      <x:c r="E1" s="87" t="str">
        <x:v>Crypto Use Case</x:v>
      </x:c>
      <x:c r="F1" s="87" t="str">
        <x:v>Algorithm Family</x:v>
      </x:c>
      <x:c r="G1" s="87" t="str">
        <x:v>Quantum Vulnerable</x:v>
      </x:c>
      <x:c r="H1" s="87" t="str">
        <x:v>Harvest-Now Concern</x:v>
      </x:c>
      <x:c r="I1" s="87" t="str">
        <x:v>Vendor Roadmap</x:v>
      </x:c>
      <x:c r="J1" s="87" t="str">
        <x:v>Crypto Agility</x:v>
      </x:c>
      <x:c r="K1" s="87" t="str">
        <x:v>PQC Target</x:v>
      </x:c>
      <x:c r="L1" s="87" t="str">
        <x:v>Migration Pattern</x:v>
      </x:c>
      <x:c r="M1" s="87" t="str">
        <x:v>Priority</x:v>
      </x:c>
      <x:c r="N1" s="87" t="str">
        <x:v>Status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>
      <x:c r="A2" s="96" t="str">
        <x:v>Production</x:v>
      </x:c>
      <x:c r="B2" s="96" t="str">
        <x:v>Public</x:v>
      </x:c>
      <x:c r="C2" s="96" t="str">
        <x:v>None</x:v>
      </x:c>
      <x:c r="D2" s="96" t="str">
        <x:v>None</x:v>
      </x:c>
      <x:c r="E2" s="96" t="str">
        <x:v>TLS</x:v>
      </x:c>
      <x:c r="F2" s="96" t="str">
        <x:v>RSA</x:v>
      </x:c>
      <x:c r="G2" s="96" t="str">
        <x:v>Y</x:v>
      </x:c>
      <x:c r="H2" s="96" t="str">
        <x:v>Y</x:v>
      </x:c>
      <x:c r="I2" s="96" t="str">
        <x:v>Unknown</x:v>
      </x:c>
      <x:c r="J2" s="96" t="str">
        <x:v>Unknown</x:v>
      </x:c>
      <x:c r="K2" s="96" t="str">
        <x:v>ML-KEM</x:v>
      </x:c>
      <x:c r="L2" s="96" t="str">
        <x:v>Replace crypto library</x:v>
      </x:c>
      <x:c r="M2" s="96" t="str">
        <x:v>P0 - Immediate</x:v>
      </x:c>
      <x:c r="N2" s="96" t="str">
        <x:v>Not Started</x:v>
      </x:c>
    </x:row>
    <x:row r="3">
      <x:c r="A3" s="96" t="str">
        <x:v>Pre-production</x:v>
      </x:c>
      <x:c r="B3" s="96" t="str">
        <x:v>Internal</x:v>
      </x:c>
      <x:c r="C3" s="96" t="str">
        <x:v>Internal</x:v>
      </x:c>
      <x:c r="D3" s="96" t="str">
        <x:v>Low</x:v>
      </x:c>
      <x:c r="E3" s="96" t="str">
        <x:v>VPN</x:v>
      </x:c>
      <x:c r="F3" s="96" t="str">
        <x:v>ECC</x:v>
      </x:c>
      <x:c r="G3" s="96" t="str">
        <x:v>N</x:v>
      </x:c>
      <x:c r="H3" s="96" t="str">
        <x:v>N</x:v>
      </x:c>
      <x:c r="I3" s="96" t="str">
        <x:v>Requested</x:v>
      </x:c>
      <x:c r="J3" s="96" t="str">
        <x:v>Hard-coded</x:v>
      </x:c>
      <x:c r="K3" s="96" t="str">
        <x:v>ML-DSA</x:v>
      </x:c>
      <x:c r="L3" s="96" t="str">
        <x:v>Renew certificate</x:v>
      </x:c>
      <x:c r="M3" s="96" t="str">
        <x:v>P1 - High</x:v>
      </x:c>
      <x:c r="N3" s="96" t="str">
        <x:v>In Progress</x:v>
      </x:c>
    </x:row>
    <x:row r="4">
      <x:c r="A4" s="96" t="str">
        <x:v>Development</x:v>
      </x:c>
      <x:c r="B4" s="96" t="str">
        <x:v>Confidential</x:v>
      </x:c>
      <x:c r="C4" s="96" t="str">
        <x:v>Partner</x:v>
      </x:c>
      <x:c r="D4" s="96" t="str">
        <x:v>Medium</x:v>
      </x:c>
      <x:c r="E4" s="96" t="str">
        <x:v>SSH</x:v>
      </x:c>
      <x:c r="F4" s="96" t="str">
        <x:v>DH</x:v>
      </x:c>
      <x:c r="G4" s="96" t="str">
        <x:v>Unknown</x:v>
      </x:c>
      <x:c r="H4" s="96" t="str">
        <x:v>Unknown</x:v>
      </x:c>
      <x:c r="I4" s="96" t="str">
        <x:v>Planned</x:v>
      </x:c>
      <x:c r="J4" s="96" t="str">
        <x:v>Configurable</x:v>
      </x:c>
      <x:c r="K4" s="96" t="str">
        <x:v>SLH-DSA</x:v>
      </x:c>
      <x:c r="L4" s="96" t="str">
        <x:v>Protocol upgrade</x:v>
      </x:c>
      <x:c r="M4" s="96" t="str">
        <x:v>P2 - Medium</x:v>
      </x:c>
      <x:c r="N4" s="96" t="str">
        <x:v>Blocked</x:v>
      </x:c>
    </x:row>
    <x:row r="5">
      <x:c r="A5" s="96" t="str">
        <x:v>Lab</x:v>
      </x:c>
      <x:c r="B5" s="96" t="str">
        <x:v>Restricted</x:v>
      </x:c>
      <x:c r="C5" s="96" t="str">
        <x:v>Public</x:v>
      </x:c>
      <x:c r="D5" s="96" t="str">
        <x:v>High</x:v>
      </x:c>
      <x:c r="E5" s="96" t="str">
        <x:v>PKI/Certificate</x:v>
      </x:c>
      <x:c r="F5" s="96" t="str">
        <x:v>DSA</x:v>
      </x:c>
      <x:c r="G5" s="96"/>
      <x:c r="H5" s="96"/>
      <x:c r="I5" s="96" t="str">
        <x:v>Available</x:v>
      </x:c>
      <x:c r="J5" s="96" t="str">
        <x:v>Policy-managed</x:v>
      </x:c>
      <x:c r="K5" s="96" t="str">
        <x:v>Hybrid classical+PQC</x:v>
      </x:c>
      <x:c r="L5" s="96" t="str">
        <x:v>Cloud/IAM configuration</x:v>
      </x:c>
      <x:c r="M5" s="96" t="str">
        <x:v>P3 - Low</x:v>
      </x:c>
      <x:c r="N5" s="96" t="str">
        <x:v>Pending Vendor</x:v>
      </x:c>
    </x:row>
    <x:row r="6">
      <x:c r="A6" s="96" t="str">
        <x:v>OT/ICS</x:v>
      </x:c>
      <x:c r="B6" s="96" t="str">
        <x:v>Regulated</x:v>
      </x:c>
      <x:c r="C6" s="96" t="str">
        <x:v>Unknown</x:v>
      </x:c>
      <x:c r="D6" s="96" t="str">
        <x:v>Unknown</x:v>
      </x:c>
      <x:c r="E6" s="96" t="str">
        <x:v>Code Signing</x:v>
      </x:c>
      <x:c r="F6" s="96" t="str">
        <x:v>Symmetric</x:v>
      </x:c>
      <x:c r="G6" s="96"/>
      <x:c r="H6" s="96"/>
      <x:c r="I6" s="96" t="str">
        <x:v>Deployed</x:v>
      </x:c>
      <x:c r="J6" s="96" t="str">
        <x:v>API/Library abstraction</x:v>
      </x:c>
      <x:c r="K6" s="96" t="str">
        <x:v>TBD</x:v>
      </x:c>
      <x:c r="L6" s="96" t="str">
        <x:v>Hardware/HSM refresh</x:v>
      </x:c>
      <x:c r="M6" s="96" t="str">
        <x:v>P4 - Monitor</x:v>
      </x:c>
      <x:c r="N6" s="96" t="str">
        <x:v>Ready for Pilot</x:v>
      </x:c>
    </x:row>
    <x:row r="7">
      <x:c r="A7" s="96" t="str">
        <x:v>Disaster Recovery</x:v>
      </x:c>
      <x:c r="B7" s="96" t="str">
        <x:v>Safety-critical</x:v>
      </x:c>
      <x:c r="C7" s="96"/>
      <x:c r="D7" s="96"/>
      <x:c r="E7" s="96" t="str">
        <x:v>S/MIME</x:v>
      </x:c>
      <x:c r="F7" s="96" t="str">
        <x:v>Hash</x:v>
      </x:c>
      <x:c r="G7" s="96"/>
      <x:c r="H7" s="96"/>
      <x:c r="I7" s="96" t="str">
        <x:v>Not applicable</x:v>
      </x:c>
      <x:c r="J7" s="96" t="str">
        <x:v>Automated</x:v>
      </x:c>
      <x:c r="K7" s="96" t="str">
        <x:v>Not applicable</x:v>
      </x:c>
      <x:c r="L7" s="96" t="str">
        <x:v>Vendor firmware/software update</x:v>
      </x:c>
      <x:c r="M7" s="96" t="str">
        <x:v>Review inputs</x:v>
      </x:c>
      <x:c r="N7" s="96" t="str">
        <x:v>Pilot Complete</x:v>
      </x:c>
    </x:row>
    <x:row r="8">
      <x:c r="A8" s="96" t="str">
        <x:v>Unknown</x:v>
      </x:c>
      <x:c r="B8" s="96" t="str">
        <x:v>Unknown</x:v>
      </x:c>
      <x:c r="C8" s="96"/>
      <x:c r="D8" s="96"/>
      <x:c r="E8" s="96" t="str">
        <x:v>OIDC/OAuth</x:v>
      </x:c>
      <x:c r="F8" s="96" t="str">
        <x:v>PQC</x:v>
      </x:c>
      <x:c r="G8" s="96"/>
      <x:c r="H8" s="96"/>
      <x:c r="I8" s="96"/>
      <x:c r="J8" s="96"/>
      <x:c r="K8" s="96"/>
      <x:c r="L8" s="96" t="str">
        <x:v>Compensating control</x:v>
      </x:c>
      <x:c r="M8" s="96"/>
      <x:c r="N8" s="96" t="str">
        <x:v>Scheduled</x:v>
      </x:c>
    </x:row>
    <x:row r="9">
      <x:c r="A9" s="96"/>
      <x:c r="B9" s="96"/>
      <x:c r="C9" s="96"/>
      <x:c r="D9" s="96"/>
      <x:c r="E9" s="96" t="str">
        <x:v>SAML</x:v>
      </x:c>
      <x:c r="F9" s="96" t="str">
        <x:v>Hybrid</x:v>
      </x:c>
      <x:c r="G9" s="96"/>
      <x:c r="H9" s="96"/>
      <x:c r="I9" s="96"/>
      <x:c r="J9" s="96"/>
      <x:c r="K9" s="96"/>
      <x:c r="L9" s="96" t="str">
        <x:v>Monitor only</x:v>
      </x:c>
      <x:c r="M9" s="96"/>
      <x:c r="N9" s="96" t="str">
        <x:v>Complete</x:v>
      </x:c>
    </x:row>
    <x:row r="10">
      <x:c r="A10" s="96"/>
      <x:c r="B10" s="96"/>
      <x:c r="C10" s="96"/>
      <x:c r="D10" s="96"/>
      <x:c r="E10" s="96" t="str">
        <x:v>Kerberos</x:v>
      </x:c>
      <x:c r="F10" s="96" t="str">
        <x:v>Unknown</x:v>
      </x:c>
      <x:c r="G10" s="96"/>
      <x:c r="H10" s="96"/>
      <x:c r="I10" s="96"/>
      <x:c r="J10" s="96"/>
      <x:c r="K10" s="96"/>
      <x:c r="L10" s="96" t="str">
        <x:v>Retire asset</x:v>
      </x:c>
      <x:c r="M10" s="96"/>
      <x:c r="N10" s="96" t="str">
        <x:v>Accepted Risk</x:v>
      </x:c>
    </x:row>
    <x:row r="11">
      <x:c r="A11" s="96"/>
      <x:c r="B11" s="96"/>
      <x:c r="C11" s="96"/>
      <x:c r="D11" s="96"/>
      <x:c r="E11" s="96" t="str">
        <x:v>Database Encryption</x:v>
      </x:c>
      <x:c r="F11" s="96"/>
      <x:c r="G11" s="96"/>
      <x:c r="H11" s="96"/>
      <x:c r="I11" s="96"/>
      <x:c r="J11" s="96"/>
      <x:c r="K11" s="96"/>
      <x:c r="L11" s="96" t="str">
        <x:v>Unknown</x:v>
      </x:c>
      <x:c r="M11" s="96"/>
      <x:c r="N11" s="96" t="str">
        <x:v>Not Applicable</x:v>
      </x:c>
    </x:row>
    <x:row r="12">
      <x:c r="A12" s="96"/>
      <x:c r="B12" s="96"/>
      <x:c r="C12" s="96"/>
      <x:c r="D12" s="96"/>
      <x:c r="E12" s="96" t="str">
        <x:v>Storage Encryption</x:v>
      </x:c>
      <x:c r="F12" s="96"/>
      <x:c r="G12" s="96"/>
      <x:c r="H12" s="96"/>
      <x:c r="I12" s="96"/>
      <x:c r="J12" s="96"/>
      <x:c r="K12" s="96"/>
      <x:c r="L12" s="96"/>
      <x:c r="M12" s="96"/>
      <x:c r="N12" s="96" t="str">
        <x:v>Not assessed</x:v>
      </x:c>
    </x:row>
    <x:row r="13">
      <x:c r="A13" s="96"/>
      <x:c r="B13" s="96"/>
      <x:c r="C13" s="96"/>
      <x:c r="D13" s="96"/>
      <x:c r="E13" s="96" t="str">
        <x:v>API Gateway</x:v>
      </x:c>
      <x:c r="F13" s="96"/>
      <x:c r="G13" s="96"/>
      <x:c r="H13" s="96"/>
      <x:c r="I13" s="96"/>
      <x:c r="J13" s="96"/>
      <x:c r="K13" s="96"/>
      <x:c r="L13" s="96"/>
      <x:c r="M13" s="96"/>
      <x:c r="N13" s="96"/>
    </x:row>
    <x:row r="14">
      <x:c r="A14" s="96"/>
      <x:c r="B14" s="96"/>
      <x:c r="C14" s="96"/>
      <x:c r="D14" s="96"/>
      <x:c r="E14" s="96" t="str">
        <x:v>Service Mesh</x:v>
      </x:c>
      <x:c r="F14" s="96"/>
      <x:c r="G14" s="96"/>
      <x:c r="H14" s="96"/>
      <x:c r="I14" s="96"/>
      <x:c r="J14" s="96"/>
      <x:c r="K14" s="96"/>
      <x:c r="L14" s="96"/>
      <x:c r="M14" s="96"/>
      <x:c r="N14" s="96"/>
    </x:row>
    <x:row r="15">
      <x:c r="A15" s="96"/>
      <x:c r="B15" s="96"/>
      <x:c r="C15" s="96"/>
      <x:c r="D15" s="96"/>
      <x:c r="E15" s="96" t="str">
        <x:v>Firmware Signing</x:v>
      </x:c>
      <x:c r="F15" s="96"/>
      <x:c r="G15" s="96"/>
      <x:c r="H15" s="96"/>
      <x:c r="I15" s="96"/>
      <x:c r="J15" s="96"/>
      <x:c r="K15" s="96"/>
      <x:c r="L15" s="96"/>
      <x:c r="M15" s="96"/>
      <x:c r="N15" s="96"/>
    </x:row>
    <x:row r="16">
      <x:c r="A16" s="96"/>
      <x:c r="B16" s="96"/>
      <x:c r="C16" s="96"/>
      <x:c r="D16" s="96"/>
      <x:c r="E16" s="96" t="str">
        <x:v>Secure Boot</x:v>
      </x:c>
      <x:c r="F16" s="96"/>
      <x:c r="G16" s="96"/>
      <x:c r="H16" s="96"/>
      <x:c r="I16" s="96"/>
      <x:c r="J16" s="96"/>
      <x:c r="K16" s="96"/>
      <x:c r="L16" s="96"/>
      <x:c r="M16" s="96"/>
      <x:c r="N16" s="96"/>
    </x:row>
    <x:row r="17">
      <x:c r="A17" s="96"/>
      <x:c r="B17" s="96"/>
      <x:c r="C17" s="96"/>
      <x:c r="D17" s="96"/>
      <x:c r="E17" s="96" t="str">
        <x:v>Remote Access</x:v>
      </x:c>
      <x:c r="F17" s="96"/>
      <x:c r="G17" s="96"/>
      <x:c r="H17" s="96"/>
      <x:c r="I17" s="96"/>
      <x:c r="J17" s="96"/>
      <x:c r="K17" s="96"/>
      <x:c r="L17" s="96"/>
      <x:c r="M17" s="96"/>
      <x:c r="N17" s="96"/>
    </x:row>
    <x:row r="18">
      <x:c r="A18" s="96"/>
      <x:c r="B18" s="96"/>
      <x:c r="C18" s="96"/>
      <x:c r="D18" s="96"/>
      <x:c r="E18" s="96" t="str">
        <x:v>Industrial Protocol</x:v>
      </x:c>
      <x:c r="F18" s="96"/>
      <x:c r="G18" s="96"/>
      <x:c r="H18" s="96"/>
      <x:c r="I18" s="96"/>
      <x:c r="J18" s="96"/>
      <x:c r="K18" s="96"/>
      <x:c r="L18" s="96"/>
      <x:c r="M18" s="96"/>
      <x:c r="N18" s="96"/>
    </x:row>
    <x:row r="19">
      <x:c r="A19" s="96"/>
      <x:c r="B19" s="96"/>
      <x:c r="C19" s="96"/>
      <x:c r="D19" s="96"/>
      <x:c r="E19" s="96" t="str">
        <x:v>Other</x:v>
      </x:c>
      <x:c r="F19" s="96"/>
      <x:c r="G19" s="96"/>
      <x:c r="H19" s="96"/>
      <x:c r="I19" s="96"/>
      <x:c r="J19" s="96"/>
      <x:c r="K19" s="96"/>
      <x:c r="L19" s="96"/>
      <x:c r="M19" s="96"/>
      <x:c r="N19" s="96"/>
    </x:row>
    <x:row r="20">
      <x:c r="A20" s="96"/>
      <x:c r="B20" s="96"/>
      <x:c r="C20" s="96"/>
      <x:c r="D20" s="96"/>
      <x:c r="E20" s="96" t="str">
        <x:v>Unknown</x:v>
      </x:c>
      <x:c r="F20" s="96"/>
      <x:c r="G20" s="96"/>
      <x:c r="H20" s="96"/>
      <x:c r="I20" s="96"/>
      <x:c r="J20" s="96"/>
      <x:c r="K20" s="96"/>
      <x:c r="L20" s="96"/>
      <x:c r="M20" s="96"/>
      <x:c r="N20" s="96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  <x:col min="13" max="13" width="20" hidden="0" customWidth="1"/>
    <x:col min="14" max="14" width="18" hidden="0" customWidth="1"/>
    <x:col min="15" max="15" width="16" hidden="0" customWidth="1"/>
    <x:col min="16" max="16" width="24" hidden="0" customWidth="1"/>
    <x:col min="17" max="17" width="14" hidden="0" customWidth="1"/>
    <x:col min="18" max="18" width="28" hidden="0" customWidth="1"/>
    <x:col min="19" max="19" width="28" hidden="0" customWidth="1"/>
    <x:col min="20" max="20" width="18" hidden="0" customWidth="1"/>
    <x:col min="21" max="21" width="20" hidden="0" customWidth="1"/>
    <x:col min="22" max="22" width="18" hidden="0" customWidth="1"/>
    <x:col min="23" max="23" width="22" hidden="0" customWidth="1"/>
    <x:col min="24" max="24" width="22" hidden="0" customWidth="1"/>
    <x:col min="25" max="25" width="24" hidden="0" customWidth="1"/>
    <x:col min="26" max="26" width="14" hidden="0" customWidth="1"/>
    <x:col min="27" max="27" width="18" hidden="0" customWidth="1"/>
    <x:col min="28" max="28" width="25" hidden="0" customWidth="1"/>
    <x:col min="29" max="29" width="25" hidden="0" customWidth="1"/>
    <x:col min="30" max="30" width="18" hidden="0" customWidth="1"/>
    <x:col min="31" max="31" width="14" hidden="0" customWidth="1"/>
    <x:col min="32" max="32" width="30" hidden="0" customWidth="1"/>
    <x:col min="33" max="33" width="18" hidden="0" customWidth="1"/>
    <x:col min="34" max="34" width="56" hidden="0" customWidth="1"/>
    <x:col min="35" max="35" width="27" hidden="0" customWidth="1"/>
    <x:col min="36" max="36" width="27" hidden="0" customWidth="1"/>
    <x:col min="37" max="37" width="42" hidden="0" customWidth="1"/>
    <x:col min="38" max="38" width="27" hidden="0" customWidth="1"/>
    <x:col min="39" max="39" width="27" hidden="0" customWidth="1"/>
    <x:col min="40" max="40" width="24" hidden="0" customWidth="1"/>
    <x:col min="41" max="41" width="27" hidden="0" customWidth="1"/>
    <x:col min="42" max="42" width="27" hidden="0" customWidth="1"/>
    <x:col min="43" max="43" width="27" hidden="0" customWidth="1"/>
    <x:col min="44" max="44" width="38" hidden="0" customWidth="1"/>
    <x:col min="45" max="45" width="38" hidden="0" customWidth="1"/>
    <x:col min="46" max="46" width="38" hidden="0" customWidth="1"/>
    <x:col min="47" max="47" width="27" hidden="0" customWidth="1"/>
    <x:col min="48" max="48" width="27" hidden="0" customWidth="1"/>
    <x:col min="49" max="49" width="27" hidden="0" customWidth="1"/>
    <x:col min="50" max="50" width="27" hidden="0" customWidth="1"/>
    <x:col min="51" max="51" width="27" hidden="0" customWidth="1"/>
    <x:col min="52" max="52" width="27" hidden="0" customWidth="1"/>
    <x:col min="53" max="53" width="27" hidden="0" customWidth="1"/>
    <x:col min="54" max="54" width="27" hidden="0" customWidth="1"/>
    <x:col min="55" max="55" width="27" hidden="0" customWidth="1"/>
    <x:col min="56" max="56" width="27" hidden="0" customWidth="1"/>
    <x:col min="57" max="57" width="42" hidden="0" customWidth="1"/>
    <x:col min="58" max="58" width="42" hidden="0" customWidth="1"/>
    <x:col min="59" max="59" width="42" hidden="0" customWidth="1"/>
    <x:col min="60" max="60" width="42" hidden="0" customWidth="1"/>
    <x:col min="61" max="61" width="42" hidden="0" customWidth="1"/>
    <x:col min="62" max="62" width="42" hidden="0" customWidth="1"/>
    <x:col min="63" max="63" width="42" hidden="0" customWidth="1"/>
    <x:col min="64" max="64" width="42" hidden="0" customWidth="1"/>
    <x:col min="65" max="65" width="36" hidden="0" customWidth="1"/>
    <x:col min="66" max="66" width="36" hidden="0" customWidth="1"/>
  </x:cols>
  <x:sheetData>
    <x:row r="1" ht="44" customHeight="1">
      <x:c r="A1" s="89" t="str">
        <x:v>Asset ID</x:v>
      </x:c>
      <x:c r="B1" s="89" t="str">
        <x:v>Asset/System Name</x:v>
      </x:c>
      <x:c r="C1" s="89" t="str">
        <x:v>Business Process</x:v>
      </x:c>
      <x:c r="D1" s="89" t="str">
        <x:v>Business Owner</x:v>
      </x:c>
      <x:c r="E1" s="89" t="str">
        <x:v>Technical Owner</x:v>
      </x:c>
      <x:c r="F1" s="89" t="str">
        <x:v>Environment</x:v>
      </x:c>
      <x:c r="G1" s="89" t="str">
        <x:v>Location/Zone</x:v>
      </x:c>
      <x:c r="H1" s="89" t="str">
        <x:v>Data Classification</x:v>
      </x:c>
      <x:c r="I1" s="89" t="str">
        <x:v>Confidentiality Life (years)</x:v>
      </x:c>
      <x:c r="J1" s="89" t="str">
        <x:v>External Exposure</x:v>
      </x:c>
      <x:c r="K1" s="89" t="str">
        <x:v>OT/ICS Safety Impact</x:v>
      </x:c>
      <x:c r="L1" s="89" t="str">
        <x:v>Criticality (1-5)</x:v>
      </x:c>
      <x:c r="M1" s="89" t="str">
        <x:v>Crypto Use Case</x:v>
      </x:c>
      <x:c r="N1" s="89" t="str">
        <x:v>Protocol/Standard</x:v>
      </x:c>
      <x:c r="O1" s="89" t="str">
        <x:v>Algorithm Family</x:v>
      </x:c>
      <x:c r="P1" s="89" t="str">
        <x:v>Algorithm/Curve/Group</x:v>
      </x:c>
      <x:c r="Q1" s="89" t="str">
        <x:v>Key Size (bits) / Cert Bytes</x:v>
      </x:c>
      <x:c r="R1" s="89" t="str">
        <x:v>Crypto Library / HSM / CA</x:v>
      </x:c>
      <x:c r="S1" s="89" t="str">
        <x:v>Certificate/Key Location</x:v>
      </x:c>
      <x:c r="T1" s="89" t="str">
        <x:v>Identity Type</x:v>
      </x:c>
      <x:c r="U1" s="89" t="str">
        <x:v>Vendor/Supplier</x:v>
      </x:c>
      <x:c r="V1" s="89" t="str">
        <x:v>Vendor PQC Roadmap</x:v>
      </x:c>
      <x:c r="W1" s="89" t="str">
        <x:v>Crypto Agility</x:v>
      </x:c>
      <x:c r="X1" s="89" t="str">
        <x:v>PQC Target Standard</x:v>
      </x:c>
      <x:c r="Y1" s="89" t="str">
        <x:v>Migration Pattern</x:v>
      </x:c>
      <x:c r="Z1" s="89" t="str">
        <x:v>Quantum Vulnerable</x:v>
      </x:c>
      <x:c r="AA1" s="89" t="str">
        <x:v>Harvest-Now Concern</x:v>
      </x:c>
      <x:c r="AB1" s="89" t="str">
        <x:v>Local Risk Score (0-100)</x:v>
      </x:c>
      <x:c r="AC1" s="89" t="str">
        <x:v>Local Migration Priority</x:v>
      </x:c>
      <x:c r="AD1" s="89" t="str">
        <x:v>Status</x:v>
      </x:c>
      <x:c r="AE1" s="89" t="str">
        <x:v>Target Quarter</x:v>
      </x:c>
      <x:c r="AF1" s="89" t="str">
        <x:v>Evidence URL</x:v>
      </x:c>
      <x:c r="AG1" s="89" t="str">
        <x:v>Last Verified Date</x:v>
      </x:c>
      <x:c r="AH1" s="89" t="str">
        <x:v>Notes</x:v>
      </x:c>
      <x:c r="AI1" s="90" t="str">
        <x:v>Record Type</x:v>
      </x:c>
      <x:c r="AJ1" s="90" t="str">
        <x:v>Discovery Method</x:v>
      </x:c>
      <x:c r="AK1" s="90" t="str">
        <x:v>Discovery Evidence / Scope</x:v>
      </x:c>
      <x:c r="AL1" s="90" t="str">
        <x:v>Discovery Date</x:v>
      </x:c>
      <x:c r="AM1" s="90" t="str">
        <x:v>Evidence Confidence</x:v>
      </x:c>
      <x:c r="AN1" s="90" t="str">
        <x:v>Crypto Function</x:v>
      </x:c>
      <x:c r="AO1" s="90" t="str">
        <x:v>Classical Strength (bits)</x:v>
      </x:c>
      <x:c r="AP1" s="90" t="str">
        <x:v>Signature Trust Life (years)</x:v>
      </x:c>
      <x:c r="AQ1" s="90" t="str">
        <x:v>Component / Provider Version</x:v>
      </x:c>
      <x:c r="AR1" s="90" t="str">
        <x:v>CBOM / Dependency IDs</x:v>
      </x:c>
      <x:c r="AS1" s="90" t="str">
        <x:v>Parent / Peer Record IDs</x:v>
      </x:c>
      <x:c r="AT1" s="90" t="str">
        <x:v>Termination / Plaintext Legs</x:v>
      </x:c>
      <x:c r="AU1" s="90" t="str">
        <x:v>Target Parameter Set</x:v>
      </x:c>
      <x:c r="AV1" s="90" t="str">
        <x:v>Protocol Profile / Readiness</x:v>
      </x:c>
      <x:c r="AW1" s="90" t="str">
        <x:v>Interop / Performance Evidence</x:v>
      </x:c>
      <x:c r="AX1" s="90" t="str">
        <x:v>Algorithm CAVP Evidence</x:v>
      </x:c>
      <x:c r="AY1" s="90" t="str">
        <x:v>CMVP Module / Version / Scope</x:v>
      </x:c>
      <x:c r="AZ1" s="90" t="str">
        <x:v>Product End of Support</x:v>
      </x:c>
      <x:c r="BA1" s="90" t="str">
        <x:v>Migration Lead Time (months)</x:v>
      </x:c>
      <x:c r="BB1" s="90" t="str">
        <x:v>Migration Owner</x:v>
      </x:c>
      <x:c r="BC1" s="90" t="str">
        <x:v>Next Review Date</x:v>
      </x:c>
      <x:c r="BD1" s="90" t="str">
        <x:v>Target Completion Date</x:v>
      </x:c>
      <x:c r="BE1" s="90" t="str">
        <x:v>Exception ID</x:v>
      </x:c>
      <x:c r="BF1" s="90" t="str">
        <x:v>Exception Approver / Expiry</x:v>
      </x:c>
      <x:c r="BG1" s="90" t="str">
        <x:v>Residual Risk / Treatment</x:v>
      </x:c>
      <x:c r="BH1" s="90" t="str">
        <x:v>Key Lifecycle / Backup Recovery</x:v>
      </x:c>
      <x:c r="BI1" s="90" t="str">
        <x:v>RNG / Key Generation Evidence</x:v>
      </x:c>
      <x:c r="BJ1" s="90" t="str">
        <x:v>Implementation Security Evidence</x:v>
      </x:c>
      <x:c r="BK1" s="90" t="str">
        <x:v>Signing / Archive Transition</x:v>
      </x:c>
      <x:c r="BL1" s="90" t="str">
        <x:v>Downgrade / Fallback Policy</x:v>
      </x:c>
      <x:c r="BM1" s="90" t="str">
        <x:v>Evidence Completeness</x:v>
      </x:c>
      <x:c r="BN1" s="90" t="str">
        <x:v>Priority Override / Rationale</x:v>
      </x:c>
    </x:row>
    <x:row r="2" ht="76" customHeight="1">
      <x:c r="A2" s="73" t="str">
        <x:v>APP-001</x:v>
      </x:c>
      <x:c r="B2" s="73" t="str">
        <x:v>Customer-facing web portal</x:v>
      </x:c>
      <x:c r="C2" s="73" t="str">
        <x:v>Customer access</x:v>
      </x:c>
      <x:c r="D2" s="73" t="str">
        <x:v>Business Owner</x:v>
      </x:c>
      <x:c r="E2" s="73" t="str">
        <x:v>Platform Owner</x:v>
      </x:c>
      <x:c r="F2" s="73" t="str">
        <x:v>Production</x:v>
      </x:c>
      <x:c r="G2" s="73" t="str">
        <x:v>Internet DMZ</x:v>
      </x:c>
      <x:c r="H2" s="73" t="str">
        <x:v>Restricted</x:v>
      </x:c>
      <x:c r="I2" s="75" t="n">
        <x:v>10</x:v>
      </x:c>
      <x:c r="J2" s="73" t="str">
        <x:v>Public</x:v>
      </x:c>
      <x:c r="K2" s="73" t="str">
        <x:v>None</x:v>
      </x:c>
      <x:c r="L2" s="76" t="n">
        <x:v>5</x:v>
      </x:c>
      <x:c r="M2" s="73" t="str">
        <x:v>PKI/Certificate</x:v>
      </x:c>
      <x:c r="N2" s="73" t="str">
        <x:v>TLS certificate authentication</x:v>
      </x:c>
      <x:c r="O2" s="73" t="str">
        <x:v>RSA</x:v>
      </x:c>
      <x:c r="P2" s="73" t="str">
        <x:v>RSA-2048 signing</x:v>
      </x:c>
      <x:c r="Q2" s="76" t="str">
        <x:v>2048</x:v>
      </x:c>
      <x:c r="R2" s="73" t="str">
        <x:v>Open-source TLS library / enterprise CA</x:v>
      </x:c>
      <x:c r="S2" s="73" t="str">
        <x:v>Load balancer cert store</x:v>
      </x:c>
      <x:c r="T2" s="73" t="str">
        <x:v>Machine</x:v>
      </x:c>
      <x:c r="U2" s="73" t="str">
        <x:v>TBD</x:v>
      </x:c>
      <x:c r="V2" s="73" t="str">
        <x:v>Requested</x:v>
      </x:c>
      <x:c r="W2" s="73" t="str">
        <x:v>Configurable</x:v>
      </x:c>
      <x:c r="X2" s="73" t="str">
        <x:v>ML-DSA</x:v>
      </x:c>
      <x:c r="Y2" s="73" t="str">
        <x:v>Renew certificate</x:v>
      </x:c>
      <x:c r="Z2" s="73" t="str">
        <x:v>Y</x:v>
      </x:c>
      <x:c r="AA2" s="73" t="str">
        <x:v>N</x:v>
      </x:c>
      <x:c r="AB2" s="76" t="n">
        <x:f>IF(A2="","",IF(OR(NOT(ISNUMBER(I2)),I2&lt;0,NOT(ISNUMBER(AP2)),AP2&lt;0,NOT(ISNUMBER(L2)),L2&lt;1,L2&gt;5,L2&lt;&gt;INT(L2),AND(J2&lt;&gt;"Public",J2&lt;&gt;"Partner",J2&lt;&gt;"Internal",J2&lt;&gt;"None"),AND(K2&lt;&gt;"High",K2&lt;&gt;"Medium",K2&lt;&gt;"Low",K2&lt;&gt;"None"),AND(W2&lt;&gt;"Hard-coded",W2&lt;&gt;"Configurable",W2&lt;&gt;"Policy-managed",W2&lt;&gt;"API/Library abstraction",W2&lt;&gt;"Automated"),AND(Z2&lt;&gt;"Y",Z2&lt;&gt;"N"),AND(AA2&lt;&gt;"Y",AA2&lt;&gt;"N")),"Incomplete",IF(Z2="Y",20,0)+L2*5+IF(AA2="Y",15,0)+IF(J2="Public",10,IF(J2="Partner",7,IF(J2="Internal",3,0)))+IF(W2="Hard-coded",10,IF(W2="Configurable",3,0))+IF(MAX(I2,AP2)&gt;=10,10,IF(MAX(I2,AP2)&gt;=5,7,IF(MAX(I2,AP2)&gt;=2,3,0)))+IF(K2="High",10,IF(K2="Medium",5,0))))</x:f>
        <x:v>68</x:v>
      </x:c>
      <x:c r="AC2" s="73" t="str">
        <x:f>IF(A2="","",IF(NOT(ISNUMBER(AB2)),"Review inputs",IF(AB2&gt;=70,"P0 - Immediate",IF(AB2&gt;=50,"P1 - High",IF(AB2&gt;=30,"P2 - Medium",IF(AB2&gt;=15,"P3 - Low","P4 - Monitor"))))))</x:f>
        <x:v>P1 - High</x:v>
      </x:c>
      <x:c r="AD2" s="73" t="str">
        <x:v>Not Started</x:v>
      </x:c>
      <x:c r="AE2" s="73" t="str">
        <x:v>2026-Q4</x:v>
      </x:c>
      <x:c r="AF2" s="73"/>
      <x:c r="AG2" s="77"/>
      <x:c r="AH2" s="73" t="str">
        <x:v>EXAMPLE ONLY. Signing component. Transport key establishment is APP-001-KEX. Vendor/protocol support must be verified.</x:v>
      </x:c>
      <x:c r="AI2" s="91" t="str">
        <x:v>Example</x:v>
      </x:c>
      <x:c r="AJ2" s="91" t="str">
        <x:v>Illustrative configuration</x:v>
      </x:c>
      <x:c r="AK2" s="91" t="str">
        <x:v>No actual discovery performed</x:v>
      </x:c>
      <x:c r="AL2" s="92"/>
      <x:c r="AM2" s="91" t="str">
        <x:v>Unverified</x:v>
      </x:c>
      <x:c r="AN2" s="91" t="str">
        <x:v>Digital signature</x:v>
      </x:c>
      <x:c r="AO2" s="93" t="n">
        <x:v>112</x:v>
      </x:c>
      <x:c r="AP2" s="94" t="n">
        <x:v>1</x:v>
      </x:c>
      <x:c r="AQ2" s="91" t="str">
        <x:v>Unknown</x:v>
      </x:c>
      <x:c r="AR2" s="91" t="str">
        <x:v>TBD</x:v>
      </x:c>
      <x:c r="AS2" s="91" t="str">
        <x:v>APP-001-KEX</x:v>
      </x:c>
      <x:c r="AT2" s="91" t="str">
        <x:v>LB terminates TLS; backend leg must be inventoried</x:v>
      </x:c>
      <x:c r="AU2" s="91" t="str">
        <x:v>TBD after profile selection</x:v>
      </x:c>
      <x:c r="AV2" s="91" t="str">
        <x:v>Not assessed</x:v>
      </x:c>
      <x:c r="AW2" s="91" t="str">
        <x:v>Not assessed</x:v>
      </x:c>
      <x:c r="AX2" s="91" t="str">
        <x:v>Not assessed</x:v>
      </x:c>
      <x:c r="AY2" s="91" t="str">
        <x:v>Not assessed</x:v>
      </x:c>
      <x:c r="AZ2" s="92"/>
      <x:c r="BA2" s="94"/>
      <x:c r="BB2" s="91" t="str">
        <x:v>Unassigned</x:v>
      </x:c>
      <x:c r="BC2" s="92"/>
      <x:c r="BD2" s="92"/>
      <x:c r="BE2" s="91" t="str"/>
      <x:c r="BF2" s="91" t="str"/>
      <x:c r="BG2" s="91" t="str">
        <x:v>Not assessed</x:v>
      </x:c>
      <x:c r="BH2" s="91" t="str">
        <x:v>Record key ID/custodian and backup/restore evidence, never key material</x:v>
      </x:c>
      <x:c r="BI2" s="91" t="str">
        <x:v>Not assessed</x:v>
      </x:c>
      <x:c r="BJ2" s="91" t="str">
        <x:v>Not assessed</x:v>
      </x:c>
      <x:c r="BK2" s="91" t="str">
        <x:v>Trust store and certificate-chain rollout required</x:v>
      </x:c>
      <x:c r="BL2" s="91" t="str">
        <x:v>No silent algorithm downgrade</x:v>
      </x:c>
      <x:c r="BM2" s="73" t="str">
        <x:f>IF(A2="","",IF(AI2="Example","Example only",IF(AI2&lt;&gt;"Actual","Set record type",IF(COUNTIF($A$2:$A$1001,A2)&gt;1,"Duplicate record ID",IF(OR(D2="",E2="",AF2="",NOT(ISNUMBER(AG2)),AJ2="",AK2="",NOT(ISNUMBER(AL2)),AND(AM2&lt;&gt;"Observed",AM2&lt;&gt;"Corroborated",AM2&lt;&gt;"Declared"),OR(AN2="",AN2="Unknown"),OR(AQ2="",AQ2="Unknown"),OR(AR2="",AR2="Unknown",AR2="TBD"),OR(BC2="",NOT(ISNUMBER(BC2)))),"Evidence incomplete","Evidence recorded; review scope")))))</x:f>
        <x:v>Example only</x:v>
      </x:c>
      <x:c r="BN2" s="73"/>
    </x:row>
    <x:row r="3" ht="76" customHeight="1">
      <x:c r="A3" s="73" t="str">
        <x:v>IAM-001</x:v>
      </x:c>
      <x:c r="B3" s="73" t="str">
        <x:v>Enterprise SSO signing certificate</x:v>
      </x:c>
      <x:c r="C3" s="73" t="str">
        <x:v>Workforce authentication</x:v>
      </x:c>
      <x:c r="D3" s="73" t="str">
        <x:v>Identity Owner</x:v>
      </x:c>
      <x:c r="E3" s="73" t="str">
        <x:v>IAM Owner</x:v>
      </x:c>
      <x:c r="F3" s="73" t="str">
        <x:v>Production</x:v>
      </x:c>
      <x:c r="G3" s="73" t="str">
        <x:v>Identity zone</x:v>
      </x:c>
      <x:c r="H3" s="73" t="str">
        <x:v>Confidential</x:v>
      </x:c>
      <x:c r="I3" s="75" t="n">
        <x:v>5</x:v>
      </x:c>
      <x:c r="J3" s="73" t="str">
        <x:v>Partner</x:v>
      </x:c>
      <x:c r="K3" s="73" t="str">
        <x:v>None</x:v>
      </x:c>
      <x:c r="L3" s="76" t="n">
        <x:v>5</x:v>
      </x:c>
      <x:c r="M3" s="73" t="str">
        <x:v>SAML</x:v>
      </x:c>
      <x:c r="N3" s="73" t="str">
        <x:v>SAML 2.0 signing</x:v>
      </x:c>
      <x:c r="O3" s="73" t="str">
        <x:v>RSA</x:v>
      </x:c>
      <x:c r="P3" s="73" t="str">
        <x:v>RSA-3072 signing cert</x:v>
      </x:c>
      <x:c r="Q3" s="76" t="str">
        <x:v>3072</x:v>
      </x:c>
      <x:c r="R3" s="73" t="str">
        <x:v>Enterprise IdP / enterprise CA</x:v>
      </x:c>
      <x:c r="S3" s="73" t="str">
        <x:v>IdP signing key store</x:v>
      </x:c>
      <x:c r="T3" s="73" t="str">
        <x:v>Machine</x:v>
      </x:c>
      <x:c r="U3" s="73" t="str">
        <x:v>TBD</x:v>
      </x:c>
      <x:c r="V3" s="73" t="str">
        <x:v>Planned</x:v>
      </x:c>
      <x:c r="W3" s="73" t="str">
        <x:v>Policy-managed</x:v>
      </x:c>
      <x:c r="X3" s="73" t="str">
        <x:v>ML-DSA</x:v>
      </x:c>
      <x:c r="Y3" s="73" t="str">
        <x:v>Renew certificate</x:v>
      </x:c>
      <x:c r="Z3" s="73" t="str">
        <x:v>Y</x:v>
      </x:c>
      <x:c r="AA3" s="73" t="str">
        <x:v>N</x:v>
      </x:c>
      <x:c r="AB3" s="76" t="n">
        <x:f>IF(A3="","",IF(OR(NOT(ISNUMBER(I3)),I3&lt;0,NOT(ISNUMBER(AP3)),AP3&lt;0,NOT(ISNUMBER(L3)),L3&lt;1,L3&gt;5,L3&lt;&gt;INT(L3),AND(J3&lt;&gt;"Public",J3&lt;&gt;"Partner",J3&lt;&gt;"Internal",J3&lt;&gt;"None"),AND(K3&lt;&gt;"High",K3&lt;&gt;"Medium",K3&lt;&gt;"Low",K3&lt;&gt;"None"),AND(W3&lt;&gt;"Hard-coded",W3&lt;&gt;"Configurable",W3&lt;&gt;"Policy-managed",W3&lt;&gt;"API/Library abstraction",W3&lt;&gt;"Automated"),AND(Z3&lt;&gt;"Y",Z3&lt;&gt;"N"),AND(AA3&lt;&gt;"Y",AA3&lt;&gt;"N")),"Incomplete",IF(Z3="Y",20,0)+L3*5+IF(AA3="Y",15,0)+IF(J3="Public",10,IF(J3="Partner",7,IF(J3="Internal",3,0)))+IF(W3="Hard-coded",10,IF(W3="Configurable",3,0))+IF(MAX(I3,AP3)&gt;=10,10,IF(MAX(I3,AP3)&gt;=5,7,IF(MAX(I3,AP3)&gt;=2,3,0)))+IF(K3="High",10,IF(K3="Medium",5,0))))</x:f>
        <x:v>59</x:v>
      </x:c>
      <x:c r="AC3" s="73" t="str">
        <x:f>IF(A3="","",IF(NOT(ISNUMBER(AB3)),"Review inputs",IF(AB3&gt;=70,"P0 - Immediate",IF(AB3&gt;=50,"P1 - High",IF(AB3&gt;=30,"P2 - Medium",IF(AB3&gt;=15,"P3 - Low","P4 - Monitor"))))))</x:f>
        <x:v>P1 - High</x:v>
      </x:c>
      <x:c r="AD3" s="73" t="str">
        <x:v>In Progress</x:v>
      </x:c>
      <x:c r="AE3" s="73" t="str">
        <x:v>2026-Q3</x:v>
      </x:c>
      <x:c r="AF3" s="73"/>
      <x:c r="AG3" s="77"/>
      <x:c r="AH3" s="73" t="str">
        <x:v>EXAMPLE ONLY. Partner support and validator profile govern any signing change. No actual product support claimed.</x:v>
      </x:c>
      <x:c r="AI3" s="91" t="str">
        <x:v>Example</x:v>
      </x:c>
      <x:c r="AJ3" s="91" t="str">
        <x:v>Illustrative configuration</x:v>
      </x:c>
      <x:c r="AK3" s="91" t="str">
        <x:v>No actual discovery performed</x:v>
      </x:c>
      <x:c r="AL3" s="92"/>
      <x:c r="AM3" s="91" t="str">
        <x:v>Unverified</x:v>
      </x:c>
      <x:c r="AN3" s="91" t="str">
        <x:v>Digital signature</x:v>
      </x:c>
      <x:c r="AO3" s="93" t="n">
        <x:v>128</x:v>
      </x:c>
      <x:c r="AP3" s="94" t="n">
        <x:v>1</x:v>
      </x:c>
      <x:c r="AQ3" s="91" t="str">
        <x:v>Unknown</x:v>
      </x:c>
      <x:c r="AR3" s="91" t="str">
        <x:v>TBD</x:v>
      </x:c>
      <x:c r="AS3" s="91" t="str"/>
      <x:c r="AT3" s="91" t="str">
        <x:v>Issuer to all SAML validators and partner trust stores</x:v>
      </x:c>
      <x:c r="AU3" s="91" t="str">
        <x:v>TBD after profile selection</x:v>
      </x:c>
      <x:c r="AV3" s="91" t="str">
        <x:v>Not assessed</x:v>
      </x:c>
      <x:c r="AW3" s="91" t="str">
        <x:v>Not assessed</x:v>
      </x:c>
      <x:c r="AX3" s="91" t="str">
        <x:v>Not assessed</x:v>
      </x:c>
      <x:c r="AY3" s="91" t="str">
        <x:v>Not assessed</x:v>
      </x:c>
      <x:c r="AZ3" s="92"/>
      <x:c r="BA3" s="94"/>
      <x:c r="BB3" s="91" t="str">
        <x:v>Unassigned</x:v>
      </x:c>
      <x:c r="BC3" s="92"/>
      <x:c r="BD3" s="92"/>
      <x:c r="BE3" s="91" t="str"/>
      <x:c r="BF3" s="91" t="str"/>
      <x:c r="BG3" s="91" t="str">
        <x:v>Not assessed</x:v>
      </x:c>
      <x:c r="BH3" s="91" t="str">
        <x:v>Signing key rotation overlap, revocation and recovery</x:v>
      </x:c>
      <x:c r="BI3" s="91" t="str">
        <x:v>Not assessed</x:v>
      </x:c>
      <x:c r="BJ3" s="91" t="str">
        <x:v>Not assessed</x:v>
      </x:c>
      <x:c r="BK3" s="91" t="str">
        <x:v>Retain required audit/verification evidence</x:v>
      </x:c>
      <x:c r="BL3" s="91" t="str">
        <x:v>Reject unsupported token algorithms; verify key use</x:v>
      </x:c>
      <x:c r="BM3" s="73" t="str">
        <x:f>IF(A3="","",IF(AI3="Example","Example only",IF(AI3&lt;&gt;"Actual","Set record type",IF(COUNTIF($A$2:$A$1001,A3)&gt;1,"Duplicate record ID",IF(OR(D3="",E3="",AF3="",NOT(ISNUMBER(AG3)),AJ3="",AK3="",NOT(ISNUMBER(AL3)),AND(AM3&lt;&gt;"Observed",AM3&lt;&gt;"Corroborated",AM3&lt;&gt;"Declared"),OR(AN3="",AN3="Unknown"),OR(AQ3="",AQ3="Unknown"),OR(AR3="",AR3="Unknown",AR3="TBD"),OR(BC3="",NOT(ISNUMBER(BC3)))),"Evidence incomplete","Evidence recorded; review scope")))))</x:f>
        <x:v>Example only</x:v>
      </x:c>
      <x:c r="BN3" s="73"/>
    </x:row>
    <x:row r="4" ht="76" customHeight="1">
      <x:c r="A4" s="73" t="str">
        <x:v>OT-001</x:v>
      </x:c>
      <x:c r="B4" s="73" t="str">
        <x:v>Plant historian remote access path</x:v>
      </x:c>
      <x:c r="C4" s="73" t="str">
        <x:v>Operations monitoring</x:v>
      </x:c>
      <x:c r="D4" s="73" t="str">
        <x:v>Operations Owner</x:v>
      </x:c>
      <x:c r="E4" s="73" t="str">
        <x:v>OT Security Owner</x:v>
      </x:c>
      <x:c r="F4" s="73" t="str">
        <x:v>OT/ICS</x:v>
      </x:c>
      <x:c r="G4" s="73" t="str">
        <x:v>Level 3.5 DMZ</x:v>
      </x:c>
      <x:c r="H4" s="73" t="str">
        <x:v>Safety-critical</x:v>
      </x:c>
      <x:c r="I4" s="75" t="n">
        <x:v>15</x:v>
      </x:c>
      <x:c r="J4" s="73" t="str">
        <x:v>Partner</x:v>
      </x:c>
      <x:c r="K4" s="73" t="str">
        <x:v>High</x:v>
      </x:c>
      <x:c r="L4" s="76" t="n">
        <x:v>5</x:v>
      </x:c>
      <x:c r="M4" s="73" t="str">
        <x:v>PKI/Certificate</x:v>
      </x:c>
      <x:c r="N4" s="73" t="str">
        <x:v>IKEv2 certificate authentication</x:v>
      </x:c>
      <x:c r="O4" s="73" t="str">
        <x:v>ECC</x:v>
      </x:c>
      <x:c r="P4" s="73" t="str">
        <x:v>ECDSA P-256 signing</x:v>
      </x:c>
      <x:c r="Q4" s="76" t="str">
        <x:v>256</x:v>
      </x:c>
      <x:c r="R4" s="73" t="str">
        <x:v>VPN gateway / certificate authority</x:v>
      </x:c>
      <x:c r="S4" s="73" t="str">
        <x:v>OT DMZ VPN cert store</x:v>
      </x:c>
      <x:c r="T4" s="73" t="str">
        <x:v>Human/Machine</x:v>
      </x:c>
      <x:c r="U4" s="73" t="str">
        <x:v>TBD</x:v>
      </x:c>
      <x:c r="V4" s="73" t="str">
        <x:v>Unknown</x:v>
      </x:c>
      <x:c r="W4" s="73" t="str">
        <x:v>Unknown</x:v>
      </x:c>
      <x:c r="X4" s="73" t="str">
        <x:v>TBD</x:v>
      </x:c>
      <x:c r="Y4" s="73" t="str">
        <x:v>Protocol upgrade</x:v>
      </x:c>
      <x:c r="Z4" s="73" t="str">
        <x:v>Y</x:v>
      </x:c>
      <x:c r="AA4" s="73" t="str">
        <x:v>N</x:v>
      </x:c>
      <x:c r="AB4" s="76" t="str">
        <x:f>IF(A4="","",IF(OR(NOT(ISNUMBER(I4)),I4&lt;0,NOT(ISNUMBER(AP4)),AP4&lt;0,NOT(ISNUMBER(L4)),L4&lt;1,L4&gt;5,L4&lt;&gt;INT(L4),AND(J4&lt;&gt;"Public",J4&lt;&gt;"Partner",J4&lt;&gt;"Internal",J4&lt;&gt;"None"),AND(K4&lt;&gt;"High",K4&lt;&gt;"Medium",K4&lt;&gt;"Low",K4&lt;&gt;"None"),AND(W4&lt;&gt;"Hard-coded",W4&lt;&gt;"Configurable",W4&lt;&gt;"Policy-managed",W4&lt;&gt;"API/Library abstraction",W4&lt;&gt;"Automated"),AND(Z4&lt;&gt;"Y",Z4&lt;&gt;"N"),AND(AA4&lt;&gt;"Y",AA4&lt;&gt;"N")),"Incomplete",IF(Z4="Y",20,0)+L4*5+IF(AA4="Y",15,0)+IF(J4="Public",10,IF(J4="Partner",7,IF(J4="Internal",3,0)))+IF(W4="Hard-coded",10,IF(W4="Configurable",3,0))+IF(MAX(I4,AP4)&gt;=10,10,IF(MAX(I4,AP4)&gt;=5,7,IF(MAX(I4,AP4)&gt;=2,3,0)))+IF(K4="High",10,IF(K4="Medium",5,0))))</x:f>
        <x:v>Incomplete</x:v>
      </x:c>
      <x:c r="AC4" s="73" t="str">
        <x:f>IF(A4="","",IF(NOT(ISNUMBER(AB4)),"Review inputs",IF(AB4&gt;=70,"P0 - Immediate",IF(AB4&gt;=50,"P1 - High",IF(AB4&gt;=30,"P2 - Medium",IF(AB4&gt;=15,"P3 - Low","P4 - Monitor"))))))</x:f>
        <x:v>Review inputs</x:v>
      </x:c>
      <x:c r="AD4" s="73" t="str">
        <x:v>Pending Vendor</x:v>
      </x:c>
      <x:c r="AE4" s="73" t="str">
        <x:v>2027-Q2</x:v>
      </x:c>
      <x:c r="AF4" s="73"/>
      <x:c r="AG4" s="77"/>
      <x:c r="AH4" s="73" t="str">
        <x:v>EXAMPLE ONLY. Signing component. Key establishment is OT-001-KEX. Lab and MOC approval required.</x:v>
      </x:c>
      <x:c r="AI4" s="91" t="str">
        <x:v>Example</x:v>
      </x:c>
      <x:c r="AJ4" s="91" t="str">
        <x:v>Illustrative configuration</x:v>
      </x:c>
      <x:c r="AK4" s="91" t="str">
        <x:v>No actual discovery performed</x:v>
      </x:c>
      <x:c r="AL4" s="92"/>
      <x:c r="AM4" s="91" t="str">
        <x:v>Unverified</x:v>
      </x:c>
      <x:c r="AN4" s="91" t="str">
        <x:v>Digital signature</x:v>
      </x:c>
      <x:c r="AO4" s="93" t="n">
        <x:v>128</x:v>
      </x:c>
      <x:c r="AP4" s="94" t="n">
        <x:v>15</x:v>
      </x:c>
      <x:c r="AQ4" s="91" t="str">
        <x:v>Unknown</x:v>
      </x:c>
      <x:c r="AR4" s="91" t="str">
        <x:v>TBD</x:v>
      </x:c>
      <x:c r="AS4" s="91" t="str">
        <x:v>OT-001-KEX</x:v>
      </x:c>
      <x:c r="AT4" s="91" t="str">
        <x:v>OT DMZ gateway to historian; plaintext/legacy legs unknown</x:v>
      </x:c>
      <x:c r="AU4" s="91" t="str">
        <x:v>TBD after vendor review</x:v>
      </x:c>
      <x:c r="AV4" s="91" t="str">
        <x:v>Not assessed</x:v>
      </x:c>
      <x:c r="AW4" s="91" t="str">
        <x:v>Not assessed</x:v>
      </x:c>
      <x:c r="AX4" s="91" t="str">
        <x:v>Not assessed</x:v>
      </x:c>
      <x:c r="AY4" s="91" t="str">
        <x:v>Not assessed</x:v>
      </x:c>
      <x:c r="AZ4" s="92"/>
      <x:c r="BA4" s="94"/>
      <x:c r="BB4" s="91" t="str">
        <x:v>Unassigned</x:v>
      </x:c>
      <x:c r="BC4" s="92"/>
      <x:c r="BD4" s="92"/>
      <x:c r="BE4" s="91" t="str"/>
      <x:c r="BF4" s="91" t="str"/>
      <x:c r="BG4" s="91" t="str">
        <x:v>Not assessed</x:v>
      </x:c>
      <x:c r="BH4" s="91" t="str">
        <x:v>Protected configuration, trust-store and key restore test</x:v>
      </x:c>
      <x:c r="BI4" s="91" t="str">
        <x:v>Not assessed</x:v>
      </x:c>
      <x:c r="BJ4" s="91" t="str">
        <x:v>Not assessed</x:v>
      </x:c>
      <x:c r="BK4" s="91" t="str">
        <x:v>Inventory immutable firmware/boot trust anchors separately</x:v>
      </x:c>
      <x:c r="BL4" s="91" t="str">
        <x:v>Vendor-supported rollback with approved risk</x:v>
      </x:c>
      <x:c r="BM4" s="73" t="str">
        <x:f>IF(A4="","",IF(AI4="Example","Example only",IF(AI4&lt;&gt;"Actual","Set record type",IF(COUNTIF($A$2:$A$1001,A4)&gt;1,"Duplicate record ID",IF(OR(D4="",E4="",AF4="",NOT(ISNUMBER(AG4)),AJ4="",AK4="",NOT(ISNUMBER(AL4)),AND(AM4&lt;&gt;"Observed",AM4&lt;&gt;"Corroborated",AM4&lt;&gt;"Declared"),OR(AN4="",AN4="Unknown"),OR(AQ4="",AQ4="Unknown"),OR(AR4="",AR4="Unknown",AR4="TBD"),OR(BC4="",NOT(ISNUMBER(BC4)))),"Evidence incomplete","Evidence recorded; review scope")))))</x:f>
        <x:v>Example only</x:v>
      </x:c>
      <x:c r="BN4" s="73"/>
    </x:row>
    <x:row r="5" ht="76" customHeight="1">
      <x:c r="A5" s="73" t="str">
        <x:v>APP-001-KEX</x:v>
      </x:c>
      <x:c r="B5" s="73" t="str">
        <x:v>Customer portal transport key establishment</x:v>
      </x:c>
      <x:c r="C5" s="73" t="str">
        <x:v>Customer access</x:v>
      </x:c>
      <x:c r="D5" s="73" t="str">
        <x:v>Business Owner</x:v>
      </x:c>
      <x:c r="E5" s="73" t="str">
        <x:v>Platform Owner</x:v>
      </x:c>
      <x:c r="F5" s="73" t="str">
        <x:v>Production</x:v>
      </x:c>
      <x:c r="G5" s="73" t="str">
        <x:v>Internet DMZ</x:v>
      </x:c>
      <x:c r="H5" s="73" t="str">
        <x:v>Restricted</x:v>
      </x:c>
      <x:c r="I5" s="75" t="n">
        <x:v>10</x:v>
      </x:c>
      <x:c r="J5" s="73" t="str">
        <x:v>Public</x:v>
      </x:c>
      <x:c r="K5" s="73" t="str">
        <x:v>None</x:v>
      </x:c>
      <x:c r="L5" s="76" t="n">
        <x:v>5</x:v>
      </x:c>
      <x:c r="M5" s="73" t="str">
        <x:v>TLS</x:v>
      </x:c>
      <x:c r="N5" s="73" t="str">
        <x:v>TLS 1.3</x:v>
      </x:c>
      <x:c r="O5" s="73" t="str">
        <x:v>ECC</x:v>
      </x:c>
      <x:c r="P5" s="73" t="str">
        <x:v>ECDHE P-256</x:v>
      </x:c>
      <x:c r="Q5" s="76" t="n">
        <x:v>256</x:v>
      </x:c>
      <x:c r="R5" s="73" t="str">
        <x:v>Open-source TLS library / enterprise CA</x:v>
      </x:c>
      <x:c r="S5" s="73" t="str">
        <x:v>Load balancer cert store</x:v>
      </x:c>
      <x:c r="T5" s="73" t="str">
        <x:v>Machine</x:v>
      </x:c>
      <x:c r="U5" s="73" t="str">
        <x:v>TBD</x:v>
      </x:c>
      <x:c r="V5" s="73" t="str">
        <x:v>Requested</x:v>
      </x:c>
      <x:c r="W5" s="73" t="str">
        <x:v>Configurable</x:v>
      </x:c>
      <x:c r="X5" s="73" t="str">
        <x:v>ML-KEM</x:v>
      </x:c>
      <x:c r="Y5" s="73" t="str">
        <x:v>Protocol upgrade</x:v>
      </x:c>
      <x:c r="Z5" s="73" t="str">
        <x:v>Y</x:v>
      </x:c>
      <x:c r="AA5" s="73" t="str">
        <x:v>Y</x:v>
      </x:c>
      <x:c r="AB5" s="76" t="n">
        <x:f>IF(A5="","",IF(OR(NOT(ISNUMBER(I5)),I5&lt;0,NOT(ISNUMBER(AP5)),AP5&lt;0,NOT(ISNUMBER(L5)),L5&lt;1,L5&gt;5,L5&lt;&gt;INT(L5),AND(J5&lt;&gt;"Public",J5&lt;&gt;"Partner",J5&lt;&gt;"Internal",J5&lt;&gt;"None"),AND(K5&lt;&gt;"High",K5&lt;&gt;"Medium",K5&lt;&gt;"Low",K5&lt;&gt;"None"),AND(W5&lt;&gt;"Hard-coded",W5&lt;&gt;"Configurable",W5&lt;&gt;"Policy-managed",W5&lt;&gt;"API/Library abstraction",W5&lt;&gt;"Automated"),AND(Z5&lt;&gt;"Y",Z5&lt;&gt;"N"),AND(AA5&lt;&gt;"Y",AA5&lt;&gt;"N")),"Incomplete",IF(Z5="Y",20,0)+L5*5+IF(AA5="Y",15,0)+IF(J5="Public",10,IF(J5="Partner",7,IF(J5="Internal",3,0)))+IF(W5="Hard-coded",10,IF(W5="Configurable",3,0))+IF(MAX(I5,AP5)&gt;=10,10,IF(MAX(I5,AP5)&gt;=5,7,IF(MAX(I5,AP5)&gt;=2,3,0)))+IF(K5="High",10,IF(K5="Medium",5,0))))</x:f>
        <x:v>83</x:v>
      </x:c>
      <x:c r="AC5" s="73" t="str">
        <x:f>IF(A5="","",IF(NOT(ISNUMBER(AB5)),"Review inputs",IF(AB5&gt;=70,"P0 - Immediate",IF(AB5&gt;=50,"P1 - High",IF(AB5&gt;=30,"P2 - Medium",IF(AB5&gt;=15,"P3 - Low","P4 - Monitor"))))))</x:f>
        <x:v>P0 - Immediate</x:v>
      </x:c>
      <x:c r="AD5" s="73" t="str">
        <x:v>Not Started</x:v>
      </x:c>
      <x:c r="AE5" s="73" t="str">
        <x:v>2026-Q4</x:v>
      </x:c>
      <x:c r="AF5" s="73"/>
      <x:c r="AG5" s="77"/>
      <x:c r="AH5" s="73" t="str">
        <x:v>EXAMPLE ONLY. Illustrative ECDHE component. Supported standard/profile and end-to-end interoperability required; PQC TLS does not replace certificate signatures.</x:v>
      </x:c>
      <x:c r="AI5" s="91" t="str">
        <x:v>Example</x:v>
      </x:c>
      <x:c r="AJ5" s="91" t="str">
        <x:v>Illustrative configuration</x:v>
      </x:c>
      <x:c r="AK5" s="91" t="str">
        <x:v>No actual discovery performed</x:v>
      </x:c>
      <x:c r="AL5" s="92"/>
      <x:c r="AM5" s="91" t="str">
        <x:v>Unverified</x:v>
      </x:c>
      <x:c r="AN5" s="91" t="str">
        <x:v>Key establishment</x:v>
      </x:c>
      <x:c r="AO5" s="93" t="n">
        <x:v>128</x:v>
      </x:c>
      <x:c r="AP5" s="94" t="n">
        <x:v>0</x:v>
      </x:c>
      <x:c r="AQ5" s="91" t="str">
        <x:v>Unknown</x:v>
      </x:c>
      <x:c r="AR5" s="91" t="str">
        <x:v>TBD</x:v>
      </x:c>
      <x:c r="AS5" s="91" t="str">
        <x:v>APP-001</x:v>
      </x:c>
      <x:c r="AT5" s="91" t="str">
        <x:v>Client to LB; separately assess backend and data key wrapping</x:v>
      </x:c>
      <x:c r="AU5" s="91" t="str">
        <x:v>ML-KEM-768 (illustrative candidate)</x:v>
      </x:c>
      <x:c r="AV5" s="91" t="str">
        <x:v>Not assessed; identify full profile/combiner</x:v>
      </x:c>
      <x:c r="AW5" s="91" t="str">
        <x:v>Not assessed</x:v>
      </x:c>
      <x:c r="AX5" s="91" t="str">
        <x:v>Not assessed</x:v>
      </x:c>
      <x:c r="AY5" s="91" t="str">
        <x:v>Not assessed</x:v>
      </x:c>
      <x:c r="AZ5" s="92"/>
      <x:c r="BA5" s="94"/>
      <x:c r="BB5" s="91" t="str">
        <x:v>Unassigned</x:v>
      </x:c>
      <x:c r="BC5" s="92"/>
      <x:c r="BD5" s="92"/>
      <x:c r="BE5" s="91" t="str"/>
      <x:c r="BF5" s="91" t="str"/>
      <x:c r="BG5" s="91" t="str">
        <x:v>Not assessed</x:v>
      </x:c>
      <x:c r="BH5" s="91" t="str">
        <x:v>Protect keys and destroy ephemeral secrets as applicable</x:v>
      </x:c>
      <x:c r="BI5" s="91" t="str">
        <x:v>Not assessed</x:v>
      </x:c>
      <x:c r="BJ5" s="91" t="str">
        <x:v>Not assessed</x:v>
      </x:c>
      <x:c r="BK5" s="91" t="str">
        <x:v>Not applicable to this component</x:v>
      </x:c>
      <x:c r="BL5" s="91" t="str">
        <x:v>Authenticated negotiation; no custom combiner</x:v>
      </x:c>
      <x:c r="BM5" s="73" t="str">
        <x:f>IF(A5="","",IF(AI5="Example","Example only",IF(AI5&lt;&gt;"Actual","Set record type",IF(COUNTIF($A$2:$A$1001,A5)&gt;1,"Duplicate record ID",IF(OR(D5="",E5="",AF5="",NOT(ISNUMBER(AG5)),AJ5="",AK5="",NOT(ISNUMBER(AL5)),AND(AM5&lt;&gt;"Observed",AM5&lt;&gt;"Corroborated",AM5&lt;&gt;"Declared"),OR(AN5="",AN5="Unknown"),OR(AQ5="",AQ5="Unknown"),OR(AR5="",AR5="Unknown",AR5="TBD"),OR(BC5="",NOT(ISNUMBER(BC5)))),"Evidence incomplete","Evidence recorded; review scope")))))</x:f>
        <x:v>Example only</x:v>
      </x:c>
      <x:c r="BN5" s="73"/>
    </x:row>
    <x:row r="6" ht="76" customHeight="1">
      <x:c r="A6" s="73" t="str">
        <x:v>OT-001-KEX</x:v>
      </x:c>
      <x:c r="B6" s="73" t="str">
        <x:v>Plant remote access key establishment</x:v>
      </x:c>
      <x:c r="C6" s="73" t="str">
        <x:v>Operations monitoring</x:v>
      </x:c>
      <x:c r="D6" s="73" t="str">
        <x:v>Operations Owner</x:v>
      </x:c>
      <x:c r="E6" s="73" t="str">
        <x:v>OT Security Owner</x:v>
      </x:c>
      <x:c r="F6" s="73" t="str">
        <x:v>OT/ICS</x:v>
      </x:c>
      <x:c r="G6" s="73" t="str">
        <x:v>Level 3.5 DMZ</x:v>
      </x:c>
      <x:c r="H6" s="73" t="str">
        <x:v>Safety-critical</x:v>
      </x:c>
      <x:c r="I6" s="75" t="n">
        <x:v>15</x:v>
      </x:c>
      <x:c r="J6" s="73" t="str">
        <x:v>Partner</x:v>
      </x:c>
      <x:c r="K6" s="73" t="str">
        <x:v>High</x:v>
      </x:c>
      <x:c r="L6" s="76" t="n">
        <x:v>5</x:v>
      </x:c>
      <x:c r="M6" s="73" t="str">
        <x:v>VPN</x:v>
      </x:c>
      <x:c r="N6" s="73" t="str">
        <x:v>IKEv2</x:v>
      </x:c>
      <x:c r="O6" s="73" t="str">
        <x:v>ECC</x:v>
      </x:c>
      <x:c r="P6" s="73" t="str">
        <x:v>ECDH P-256</x:v>
      </x:c>
      <x:c r="Q6" s="76" t="str">
        <x:v>256</x:v>
      </x:c>
      <x:c r="R6" s="73" t="str">
        <x:v>VPN gateway / certificate authority</x:v>
      </x:c>
      <x:c r="S6" s="73" t="str">
        <x:v>OT DMZ VPN cert store</x:v>
      </x:c>
      <x:c r="T6" s="73" t="str">
        <x:v>Human/Machine</x:v>
      </x:c>
      <x:c r="U6" s="73" t="str">
        <x:v>TBD</x:v>
      </x:c>
      <x:c r="V6" s="73" t="str">
        <x:v>Unknown</x:v>
      </x:c>
      <x:c r="W6" s="73" t="str">
        <x:v>Unknown</x:v>
      </x:c>
      <x:c r="X6" s="73" t="str">
        <x:v>ML-KEM</x:v>
      </x:c>
      <x:c r="Y6" s="73" t="str">
        <x:v>Protocol upgrade</x:v>
      </x:c>
      <x:c r="Z6" s="73" t="str">
        <x:v>Y</x:v>
      </x:c>
      <x:c r="AA6" s="73" t="str">
        <x:v>Y</x:v>
      </x:c>
      <x:c r="AB6" s="76" t="str">
        <x:f>IF(A6="","",IF(OR(NOT(ISNUMBER(I6)),I6&lt;0,NOT(ISNUMBER(AP6)),AP6&lt;0,NOT(ISNUMBER(L6)),L6&lt;1,L6&gt;5,L6&lt;&gt;INT(L6),AND(J6&lt;&gt;"Public",J6&lt;&gt;"Partner",J6&lt;&gt;"Internal",J6&lt;&gt;"None"),AND(K6&lt;&gt;"High",K6&lt;&gt;"Medium",K6&lt;&gt;"Low",K6&lt;&gt;"None"),AND(W6&lt;&gt;"Hard-coded",W6&lt;&gt;"Configurable",W6&lt;&gt;"Policy-managed",W6&lt;&gt;"API/Library abstraction",W6&lt;&gt;"Automated"),AND(Z6&lt;&gt;"Y",Z6&lt;&gt;"N"),AND(AA6&lt;&gt;"Y",AA6&lt;&gt;"N")),"Incomplete",IF(Z6="Y",20,0)+L6*5+IF(AA6="Y",15,0)+IF(J6="Public",10,IF(J6="Partner",7,IF(J6="Internal",3,0)))+IF(W6="Hard-coded",10,IF(W6="Configurable",3,0))+IF(MAX(I6,AP6)&gt;=10,10,IF(MAX(I6,AP6)&gt;=5,7,IF(MAX(I6,AP6)&gt;=2,3,0)))+IF(K6="High",10,IF(K6="Medium",5,0))))</x:f>
        <x:v>Incomplete</x:v>
      </x:c>
      <x:c r="AC6" s="73" t="str">
        <x:f>IF(A6="","",IF(NOT(ISNUMBER(AB6)),"Review inputs",IF(AB6&gt;=70,"P0 - Immediate",IF(AB6&gt;=50,"P1 - High",IF(AB6&gt;=30,"P2 - Medium",IF(AB6&gt;=15,"P3 - Low","P4 - Monitor"))))))</x:f>
        <x:v>Review inputs</x:v>
      </x:c>
      <x:c r="AD6" s="73" t="str">
        <x:v>Pending Vendor</x:v>
      </x:c>
      <x:c r="AE6" s="73" t="str">
        <x:v>2027-Q2</x:v>
      </x:c>
      <x:c r="AF6" s="73"/>
      <x:c r="AG6" s="77"/>
      <x:c r="AH6" s="73" t="str">
        <x:v>EXAMPLE ONLY. VPN establishment component. Gateway protection does not make legacy downstream legs quantum resistant.</x:v>
      </x:c>
      <x:c r="AI6" s="91" t="str">
        <x:v>Example</x:v>
      </x:c>
      <x:c r="AJ6" s="91" t="str">
        <x:v>Illustrative configuration</x:v>
      </x:c>
      <x:c r="AK6" s="91" t="str">
        <x:v>No actual discovery performed</x:v>
      </x:c>
      <x:c r="AL6" s="92"/>
      <x:c r="AM6" s="91" t="str">
        <x:v>Unverified</x:v>
      </x:c>
      <x:c r="AN6" s="91" t="str">
        <x:v>Key establishment</x:v>
      </x:c>
      <x:c r="AO6" s="93" t="n">
        <x:v>128</x:v>
      </x:c>
      <x:c r="AP6" s="94" t="n">
        <x:v>0</x:v>
      </x:c>
      <x:c r="AQ6" s="91" t="str">
        <x:v>Unknown</x:v>
      </x:c>
      <x:c r="AR6" s="91" t="str">
        <x:v>TBD</x:v>
      </x:c>
      <x:c r="AS6" s="91" t="str">
        <x:v>OT-001</x:v>
      </x:c>
      <x:c r="AT6" s="91" t="str">
        <x:v>VPN terminates at OT DMZ; remaining conduits assessed separately</x:v>
      </x:c>
      <x:c r="AU6" s="91" t="str">
        <x:v>TBD after vendor review</x:v>
      </x:c>
      <x:c r="AV6" s="91" t="str">
        <x:v>Not assessed; vendor-supported profile required</x:v>
      </x:c>
      <x:c r="AW6" s="91" t="str">
        <x:v>Not assessed</x:v>
      </x:c>
      <x:c r="AX6" s="91" t="str">
        <x:v>Not assessed</x:v>
      </x:c>
      <x:c r="AY6" s="91" t="str">
        <x:v>Not assessed</x:v>
      </x:c>
      <x:c r="AZ6" s="92"/>
      <x:c r="BA6" s="94"/>
      <x:c r="BB6" s="91" t="str">
        <x:v>Unassigned</x:v>
      </x:c>
      <x:c r="BC6" s="92"/>
      <x:c r="BD6" s="92"/>
      <x:c r="BE6" s="91" t="str"/>
      <x:c r="BF6" s="91" t="str"/>
      <x:c r="BG6" s="91" t="str">
        <x:v>Not assessed</x:v>
      </x:c>
      <x:c r="BH6" s="91" t="str">
        <x:v>Vendor-supported VPN configuration and key recovery</x:v>
      </x:c>
      <x:c r="BI6" s="91" t="str">
        <x:v>Not assessed</x:v>
      </x:c>
      <x:c r="BJ6" s="91" t="str">
        <x:v>Not assessed</x:v>
      </x:c>
      <x:c r="BK6" s="91" t="str">
        <x:v>Not applicable to this component</x:v>
      </x:c>
      <x:c r="BL6" s="91" t="str">
        <x:v>No silent downgrade; approved rollback and isolation</x:v>
      </x:c>
      <x:c r="BM6" s="73" t="str">
        <x:f>IF(A6="","",IF(AI6="Example","Example only",IF(AI6&lt;&gt;"Actual","Set record type",IF(COUNTIF($A$2:$A$1001,A6)&gt;1,"Duplicate record ID",IF(OR(D6="",E6="",AF6="",NOT(ISNUMBER(AG6)),AJ6="",AK6="",NOT(ISNUMBER(AL6)),AND(AM6&lt;&gt;"Observed",AM6&lt;&gt;"Corroborated",AM6&lt;&gt;"Declared"),OR(AN6="",AN6="Unknown"),OR(AQ6="",AQ6="Unknown"),OR(AR6="",AR6="Unknown",AR6="TBD"),OR(BC6="",NOT(ISNUMBER(BC6)))),"Evidence incomplete","Evidence recorded; review scope")))))</x:f>
        <x:v>Example only</x:v>
      </x:c>
      <x:c r="BN6" s="73"/>
    </x:row>
    <x:row r="7" ht="34" customHeight="1">
      <x:c r="A7" s="73"/>
      <x:c r="B7" s="73"/>
      <x:c r="C7" s="73"/>
      <x:c r="D7" s="73"/>
      <x:c r="E7" s="73"/>
      <x:c r="F7" s="73"/>
      <x:c r="G7" s="73"/>
      <x:c r="H7" s="73"/>
      <x:c r="I7" s="75"/>
      <x:c r="J7" s="73"/>
      <x:c r="K7" s="73"/>
      <x:c r="L7" s="76"/>
      <x:c r="M7" s="73"/>
      <x:c r="N7" s="73"/>
      <x:c r="O7" s="73"/>
      <x:c r="P7" s="73"/>
      <x:c r="Q7" s="76"/>
      <x:c r="R7" s="73"/>
      <x:c r="S7" s="73"/>
      <x:c r="T7" s="73"/>
      <x:c r="U7" s="73"/>
      <x:c r="V7" s="73"/>
      <x:c r="W7" s="73"/>
      <x:c r="X7" s="73"/>
      <x:c r="Y7" s="73"/>
      <x:c r="Z7" s="73"/>
      <x:c r="AA7" s="73"/>
      <x:c r="AB7" s="76" t="str">
        <x:f>IF(A7="","",IF(OR(NOT(ISNUMBER(I7)),I7&lt;0,NOT(ISNUMBER(AP7)),AP7&lt;0,NOT(ISNUMBER(L7)),L7&lt;1,L7&gt;5,L7&lt;&gt;INT(L7),AND(J7&lt;&gt;"Public",J7&lt;&gt;"Partner",J7&lt;&gt;"Internal",J7&lt;&gt;"None"),AND(K7&lt;&gt;"High",K7&lt;&gt;"Medium",K7&lt;&gt;"Low",K7&lt;&gt;"None"),AND(W7&lt;&gt;"Hard-coded",W7&lt;&gt;"Configurable",W7&lt;&gt;"Policy-managed",W7&lt;&gt;"API/Library abstraction",W7&lt;&gt;"Automated"),AND(Z7&lt;&gt;"Y",Z7&lt;&gt;"N"),AND(AA7&lt;&gt;"Y",AA7&lt;&gt;"N")),"Incomplete",IF(Z7="Y",20,0)+L7*5+IF(AA7="Y",15,0)+IF(J7="Public",10,IF(J7="Partner",7,IF(J7="Internal",3,0)))+IF(W7="Hard-coded",10,IF(W7="Configurable",3,0))+IF(MAX(I7,AP7)&gt;=10,10,IF(MAX(I7,AP7)&gt;=5,7,IF(MAX(I7,AP7)&gt;=2,3,0)))+IF(K7="High",10,IF(K7="Medium",5,0))))</x:f>
      </x:c>
      <x:c r="AC7" s="73" t="str">
        <x:f>IF(A7="","",IF(NOT(ISNUMBER(AB7)),"Review inputs",IF(AB7&gt;=70,"P0 - Immediate",IF(AB7&gt;=50,"P1 - High",IF(AB7&gt;=30,"P2 - Medium",IF(AB7&gt;=15,"P3 - Low","P4 - Monitor"))))))</x:f>
      </x:c>
      <x:c r="AD7" s="73"/>
      <x:c r="AE7" s="73"/>
      <x:c r="AF7" s="73"/>
      <x:c r="AG7" s="77"/>
      <x:c r="AH7" s="73"/>
      <x:c r="AI7" s="91"/>
      <x:c r="AJ7" s="91"/>
      <x:c r="AK7" s="91"/>
      <x:c r="AL7" s="92"/>
      <x:c r="AM7" s="91"/>
      <x:c r="AN7" s="91"/>
      <x:c r="AO7" s="93"/>
      <x:c r="AP7" s="94"/>
      <x:c r="AQ7" s="91"/>
      <x:c r="AR7" s="91"/>
      <x:c r="AS7" s="91"/>
      <x:c r="AT7" s="91"/>
      <x:c r="AU7" s="91"/>
      <x:c r="AV7" s="91"/>
      <x:c r="AW7" s="91"/>
      <x:c r="AX7" s="91"/>
      <x:c r="AY7" s="91"/>
      <x:c r="AZ7" s="92"/>
      <x:c r="BA7" s="94"/>
      <x:c r="BB7" s="91"/>
      <x:c r="BC7" s="92"/>
      <x:c r="BD7" s="92"/>
      <x:c r="BE7" s="91"/>
      <x:c r="BF7" s="91"/>
      <x:c r="BG7" s="91"/>
      <x:c r="BH7" s="91"/>
      <x:c r="BI7" s="91"/>
      <x:c r="BJ7" s="91"/>
      <x:c r="BK7" s="91"/>
      <x:c r="BL7" s="91"/>
      <x:c r="BM7" s="73" t="str">
        <x:f>IF(A7="","",IF(AI7="Example","Example only",IF(AI7&lt;&gt;"Actual","Set record type",IF(COUNTIF($A$2:$A$1001,A7)&gt;1,"Duplicate record ID",IF(OR(D7="",E7="",AF7="",NOT(ISNUMBER(AG7)),AJ7="",AK7="",NOT(ISNUMBER(AL7)),AND(AM7&lt;&gt;"Observed",AM7&lt;&gt;"Corroborated",AM7&lt;&gt;"Declared"),OR(AN7="",AN7="Unknown"),OR(AQ7="",AQ7="Unknown"),OR(AR7="",AR7="Unknown",AR7="TBD"),OR(BC7="",NOT(ISNUMBER(BC7)))),"Evidence incomplete","Evidence recorded; review scope")))))</x:f>
      </x:c>
      <x:c r="BN7" s="73"/>
    </x:row>
    <x:row r="8" ht="34" customHeight="1">
      <x:c r="A8" s="73"/>
      <x:c r="B8" s="73"/>
      <x:c r="C8" s="73"/>
      <x:c r="D8" s="73"/>
      <x:c r="E8" s="73"/>
      <x:c r="F8" s="73"/>
      <x:c r="G8" s="73"/>
      <x:c r="H8" s="73"/>
      <x:c r="I8" s="75"/>
      <x:c r="J8" s="73"/>
      <x:c r="K8" s="73"/>
      <x:c r="L8" s="76"/>
      <x:c r="M8" s="73"/>
      <x:c r="N8" s="73"/>
      <x:c r="O8" s="73"/>
      <x:c r="P8" s="73"/>
      <x:c r="Q8" s="76"/>
      <x:c r="R8" s="73"/>
      <x:c r="S8" s="73"/>
      <x:c r="T8" s="73"/>
      <x:c r="U8" s="73"/>
      <x:c r="V8" s="73"/>
      <x:c r="W8" s="73"/>
      <x:c r="X8" s="73"/>
      <x:c r="Y8" s="73"/>
      <x:c r="Z8" s="73"/>
      <x:c r="AA8" s="73"/>
      <x:c r="AB8" s="76" t="str">
        <x:f>IF(A8="","",IF(OR(NOT(ISNUMBER(I8)),I8&lt;0,NOT(ISNUMBER(AP8)),AP8&lt;0,NOT(ISNUMBER(L8)),L8&lt;1,L8&gt;5,L8&lt;&gt;INT(L8),AND(J8&lt;&gt;"Public",J8&lt;&gt;"Partner",J8&lt;&gt;"Internal",J8&lt;&gt;"None"),AND(K8&lt;&gt;"High",K8&lt;&gt;"Medium",K8&lt;&gt;"Low",K8&lt;&gt;"None"),AND(W8&lt;&gt;"Hard-coded",W8&lt;&gt;"Configurable",W8&lt;&gt;"Policy-managed",W8&lt;&gt;"API/Library abstraction",W8&lt;&gt;"Automated"),AND(Z8&lt;&gt;"Y",Z8&lt;&gt;"N"),AND(AA8&lt;&gt;"Y",AA8&lt;&gt;"N")),"Incomplete",IF(Z8="Y",20,0)+L8*5+IF(AA8="Y",15,0)+IF(J8="Public",10,IF(J8="Partner",7,IF(J8="Internal",3,0)))+IF(W8="Hard-coded",10,IF(W8="Configurable",3,0))+IF(MAX(I8,AP8)&gt;=10,10,IF(MAX(I8,AP8)&gt;=5,7,IF(MAX(I8,AP8)&gt;=2,3,0)))+IF(K8="High",10,IF(K8="Medium",5,0))))</x:f>
      </x:c>
      <x:c r="AC8" s="73" t="str">
        <x:f>IF(A8="","",IF(NOT(ISNUMBER(AB8)),"Review inputs",IF(AB8&gt;=70,"P0 - Immediate",IF(AB8&gt;=50,"P1 - High",IF(AB8&gt;=30,"P2 - Medium",IF(AB8&gt;=15,"P3 - Low","P4 - Monitor"))))))</x:f>
      </x:c>
      <x:c r="AD8" s="73"/>
      <x:c r="AE8" s="73"/>
      <x:c r="AF8" s="73"/>
      <x:c r="AG8" s="77"/>
      <x:c r="AH8" s="73"/>
      <x:c r="AI8" s="91"/>
      <x:c r="AJ8" s="91"/>
      <x:c r="AK8" s="91"/>
      <x:c r="AL8" s="92"/>
      <x:c r="AM8" s="91"/>
      <x:c r="AN8" s="91"/>
      <x:c r="AO8" s="93"/>
      <x:c r="AP8" s="94"/>
      <x:c r="AQ8" s="91"/>
      <x:c r="AR8" s="91"/>
      <x:c r="AS8" s="91"/>
      <x:c r="AT8" s="91"/>
      <x:c r="AU8" s="91"/>
      <x:c r="AV8" s="91"/>
      <x:c r="AW8" s="91"/>
      <x:c r="AX8" s="91"/>
      <x:c r="AY8" s="91"/>
      <x:c r="AZ8" s="92"/>
      <x:c r="BA8" s="94"/>
      <x:c r="BB8" s="91"/>
      <x:c r="BC8" s="92"/>
      <x:c r="BD8" s="92"/>
      <x:c r="BE8" s="91"/>
      <x:c r="BF8" s="91"/>
      <x:c r="BG8" s="91"/>
      <x:c r="BH8" s="91"/>
      <x:c r="BI8" s="91"/>
      <x:c r="BJ8" s="91"/>
      <x:c r="BK8" s="91"/>
      <x:c r="BL8" s="91"/>
      <x:c r="BM8" s="73" t="str">
        <x:f>IF(A8="","",IF(AI8="Example","Example only",IF(AI8&lt;&gt;"Actual","Set record type",IF(COUNTIF($A$2:$A$1001,A8)&gt;1,"Duplicate record ID",IF(OR(D8="",E8="",AF8="",NOT(ISNUMBER(AG8)),AJ8="",AK8="",NOT(ISNUMBER(AL8)),AND(AM8&lt;&gt;"Observed",AM8&lt;&gt;"Corroborated",AM8&lt;&gt;"Declared"),OR(AN8="",AN8="Unknown"),OR(AQ8="",AQ8="Unknown"),OR(AR8="",AR8="Unknown",AR8="TBD"),OR(BC8="",NOT(ISNUMBER(BC8)))),"Evidence incomplete","Evidence recorded; review scope")))))</x:f>
      </x:c>
      <x:c r="BN8" s="73"/>
    </x:row>
    <x:row r="9" ht="34" customHeight="1">
      <x:c r="A9" s="73"/>
      <x:c r="B9" s="73"/>
      <x:c r="C9" s="73"/>
      <x:c r="D9" s="73"/>
      <x:c r="E9" s="73"/>
      <x:c r="F9" s="73"/>
      <x:c r="G9" s="73"/>
      <x:c r="H9" s="73"/>
      <x:c r="I9" s="75"/>
      <x:c r="J9" s="73"/>
      <x:c r="K9" s="73"/>
      <x:c r="L9" s="76"/>
      <x:c r="M9" s="73"/>
      <x:c r="N9" s="73"/>
      <x:c r="O9" s="73"/>
      <x:c r="P9" s="73"/>
      <x:c r="Q9" s="76"/>
      <x:c r="R9" s="73"/>
      <x:c r="S9" s="73"/>
      <x:c r="T9" s="73"/>
      <x:c r="U9" s="73"/>
      <x:c r="V9" s="73"/>
      <x:c r="W9" s="73"/>
      <x:c r="X9" s="73"/>
      <x:c r="Y9" s="73"/>
      <x:c r="Z9" s="73"/>
      <x:c r="AA9" s="73"/>
      <x:c r="AB9" s="76" t="str">
        <x:f>IF(A9="","",IF(OR(NOT(ISNUMBER(I9)),I9&lt;0,NOT(ISNUMBER(AP9)),AP9&lt;0,NOT(ISNUMBER(L9)),L9&lt;1,L9&gt;5,L9&lt;&gt;INT(L9),AND(J9&lt;&gt;"Public",J9&lt;&gt;"Partner",J9&lt;&gt;"Internal",J9&lt;&gt;"None"),AND(K9&lt;&gt;"High",K9&lt;&gt;"Medium",K9&lt;&gt;"Low",K9&lt;&gt;"None"),AND(W9&lt;&gt;"Hard-coded",W9&lt;&gt;"Configurable",W9&lt;&gt;"Policy-managed",W9&lt;&gt;"API/Library abstraction",W9&lt;&gt;"Automated"),AND(Z9&lt;&gt;"Y",Z9&lt;&gt;"N"),AND(AA9&lt;&gt;"Y",AA9&lt;&gt;"N")),"Incomplete",IF(Z9="Y",20,0)+L9*5+IF(AA9="Y",15,0)+IF(J9="Public",10,IF(J9="Partner",7,IF(J9="Internal",3,0)))+IF(W9="Hard-coded",10,IF(W9="Configurable",3,0))+IF(MAX(I9,AP9)&gt;=10,10,IF(MAX(I9,AP9)&gt;=5,7,IF(MAX(I9,AP9)&gt;=2,3,0)))+IF(K9="High",10,IF(K9="Medium",5,0))))</x:f>
      </x:c>
      <x:c r="AC9" s="73" t="str">
        <x:f>IF(A9="","",IF(NOT(ISNUMBER(AB9)),"Review inputs",IF(AB9&gt;=70,"P0 - Immediate",IF(AB9&gt;=50,"P1 - High",IF(AB9&gt;=30,"P2 - Medium",IF(AB9&gt;=15,"P3 - Low","P4 - Monitor"))))))</x:f>
      </x:c>
      <x:c r="AD9" s="73"/>
      <x:c r="AE9" s="73"/>
      <x:c r="AF9" s="73"/>
      <x:c r="AG9" s="77"/>
      <x:c r="AH9" s="73"/>
      <x:c r="AI9" s="91"/>
      <x:c r="AJ9" s="91"/>
      <x:c r="AK9" s="91"/>
      <x:c r="AL9" s="92"/>
      <x:c r="AM9" s="91"/>
      <x:c r="AN9" s="91"/>
      <x:c r="AO9" s="93"/>
      <x:c r="AP9" s="94"/>
      <x:c r="AQ9" s="91"/>
      <x:c r="AR9" s="91"/>
      <x:c r="AS9" s="91"/>
      <x:c r="AT9" s="91"/>
      <x:c r="AU9" s="91"/>
      <x:c r="AV9" s="91"/>
      <x:c r="AW9" s="91"/>
      <x:c r="AX9" s="91"/>
      <x:c r="AY9" s="91"/>
      <x:c r="AZ9" s="92"/>
      <x:c r="BA9" s="94"/>
      <x:c r="BB9" s="91"/>
      <x:c r="BC9" s="92"/>
      <x:c r="BD9" s="92"/>
      <x:c r="BE9" s="91"/>
      <x:c r="BF9" s="91"/>
      <x:c r="BG9" s="91"/>
      <x:c r="BH9" s="91"/>
      <x:c r="BI9" s="91"/>
      <x:c r="BJ9" s="91"/>
      <x:c r="BK9" s="91"/>
      <x:c r="BL9" s="91"/>
      <x:c r="BM9" s="73" t="str">
        <x:f>IF(A9="","",IF(AI9="Example","Example only",IF(AI9&lt;&gt;"Actual","Set record type",IF(COUNTIF($A$2:$A$1001,A9)&gt;1,"Duplicate record ID",IF(OR(D9="",E9="",AF9="",NOT(ISNUMBER(AG9)),AJ9="",AK9="",NOT(ISNUMBER(AL9)),AND(AM9&lt;&gt;"Observed",AM9&lt;&gt;"Corroborated",AM9&lt;&gt;"Declared"),OR(AN9="",AN9="Unknown"),OR(AQ9="",AQ9="Unknown"),OR(AR9="",AR9="Unknown",AR9="TBD"),OR(BC9="",NOT(ISNUMBER(BC9)))),"Evidence incomplete","Evidence recorded; review scope")))))</x:f>
      </x:c>
      <x:c r="BN9" s="73"/>
    </x:row>
    <x:row r="10" ht="34" customHeight="1">
      <x:c r="A10" s="73"/>
      <x:c r="B10" s="73"/>
      <x:c r="C10" s="73"/>
      <x:c r="D10" s="73"/>
      <x:c r="E10" s="73"/>
      <x:c r="F10" s="73"/>
      <x:c r="G10" s="73"/>
      <x:c r="H10" s="73"/>
      <x:c r="I10" s="75"/>
      <x:c r="J10" s="73"/>
      <x:c r="K10" s="73"/>
      <x:c r="L10" s="76"/>
      <x:c r="M10" s="73"/>
      <x:c r="N10" s="73"/>
      <x:c r="O10" s="73"/>
      <x:c r="P10" s="73"/>
      <x:c r="Q10" s="76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  <x:c r="AB10" s="76" t="str">
        <x:f>IF(A10="","",IF(OR(NOT(ISNUMBER(I10)),I10&lt;0,NOT(ISNUMBER(AP10)),AP10&lt;0,NOT(ISNUMBER(L10)),L10&lt;1,L10&gt;5,L10&lt;&gt;INT(L10),AND(J10&lt;&gt;"Public",J10&lt;&gt;"Partner",J10&lt;&gt;"Internal",J10&lt;&gt;"None"),AND(K10&lt;&gt;"High",K10&lt;&gt;"Medium",K10&lt;&gt;"Low",K10&lt;&gt;"None"),AND(W10&lt;&gt;"Hard-coded",W10&lt;&gt;"Configurable",W10&lt;&gt;"Policy-managed",W10&lt;&gt;"API/Library abstraction",W10&lt;&gt;"Automated"),AND(Z10&lt;&gt;"Y",Z10&lt;&gt;"N"),AND(AA10&lt;&gt;"Y",AA10&lt;&gt;"N")),"Incomplete",IF(Z10="Y",20,0)+L10*5+IF(AA10="Y",15,0)+IF(J10="Public",10,IF(J10="Partner",7,IF(J10="Internal",3,0)))+IF(W10="Hard-coded",10,IF(W10="Configurable",3,0))+IF(MAX(I10,AP10)&gt;=10,10,IF(MAX(I10,AP10)&gt;=5,7,IF(MAX(I10,AP10)&gt;=2,3,0)))+IF(K10="High",10,IF(K10="Medium",5,0))))</x:f>
      </x:c>
      <x:c r="AC10" s="73" t="str">
        <x:f>IF(A10="","",IF(NOT(ISNUMBER(AB10)),"Review inputs",IF(AB10&gt;=70,"P0 - Immediate",IF(AB10&gt;=50,"P1 - High",IF(AB10&gt;=30,"P2 - Medium",IF(AB10&gt;=15,"P3 - Low","P4 - Monitor"))))))</x:f>
      </x:c>
      <x:c r="AD10" s="73"/>
      <x:c r="AE10" s="73"/>
      <x:c r="AF10" s="73"/>
      <x:c r="AG10" s="77"/>
      <x:c r="AH10" s="73"/>
      <x:c r="AI10" s="91"/>
      <x:c r="AJ10" s="91"/>
      <x:c r="AK10" s="91"/>
      <x:c r="AL10" s="92"/>
      <x:c r="AM10" s="91"/>
      <x:c r="AN10" s="91"/>
      <x:c r="AO10" s="93"/>
      <x:c r="AP10" s="94"/>
      <x:c r="AQ10" s="91"/>
      <x:c r="AR10" s="91"/>
      <x:c r="AS10" s="91"/>
      <x:c r="AT10" s="91"/>
      <x:c r="AU10" s="91"/>
      <x:c r="AV10" s="91"/>
      <x:c r="AW10" s="91"/>
      <x:c r="AX10" s="91"/>
      <x:c r="AY10" s="91"/>
      <x:c r="AZ10" s="92"/>
      <x:c r="BA10" s="94"/>
      <x:c r="BB10" s="91"/>
      <x:c r="BC10" s="92"/>
      <x:c r="BD10" s="92"/>
      <x:c r="BE10" s="91"/>
      <x:c r="BF10" s="91"/>
      <x:c r="BG10" s="91"/>
      <x:c r="BH10" s="91"/>
      <x:c r="BI10" s="91"/>
      <x:c r="BJ10" s="91"/>
      <x:c r="BK10" s="91"/>
      <x:c r="BL10" s="91"/>
      <x:c r="BM10" s="73" t="str">
        <x:f>IF(A10="","",IF(AI10="Example","Example only",IF(AI10&lt;&gt;"Actual","Set record type",IF(COUNTIF($A$2:$A$1001,A10)&gt;1,"Duplicate record ID",IF(OR(D10="",E10="",AF10="",NOT(ISNUMBER(AG10)),AJ10="",AK10="",NOT(ISNUMBER(AL10)),AND(AM10&lt;&gt;"Observed",AM10&lt;&gt;"Corroborated",AM10&lt;&gt;"Declared"),OR(AN10="",AN10="Unknown"),OR(AQ10="",AQ10="Unknown"),OR(AR10="",AR10="Unknown",AR10="TBD"),OR(BC10="",NOT(ISNUMBER(BC10)))),"Evidence incomplete","Evidence recorded; review scope")))))</x:f>
      </x:c>
      <x:c r="BN10" s="73"/>
    </x:row>
    <x:row r="11" ht="34" customHeight="1">
      <x:c r="A11" s="73"/>
      <x:c r="B11" s="73"/>
      <x:c r="C11" s="73"/>
      <x:c r="D11" s="73"/>
      <x:c r="E11" s="73"/>
      <x:c r="F11" s="73"/>
      <x:c r="G11" s="73"/>
      <x:c r="H11" s="73"/>
      <x:c r="I11" s="75"/>
      <x:c r="J11" s="73"/>
      <x:c r="K11" s="73"/>
      <x:c r="L11" s="76"/>
      <x:c r="M11" s="73"/>
      <x:c r="N11" s="73"/>
      <x:c r="O11" s="73"/>
      <x:c r="P11" s="73"/>
      <x:c r="Q11" s="76"/>
      <x:c r="R11" s="73"/>
      <x:c r="S11" s="73"/>
      <x:c r="T11" s="73"/>
      <x:c r="U11" s="73"/>
      <x:c r="V11" s="73"/>
      <x:c r="W11" s="73"/>
      <x:c r="X11" s="73"/>
      <x:c r="Y11" s="73"/>
      <x:c r="Z11" s="73"/>
      <x:c r="AA11" s="73"/>
      <x:c r="AB11" s="76" t="str">
        <x:f>IF(A11="","",IF(OR(NOT(ISNUMBER(I11)),I11&lt;0,NOT(ISNUMBER(AP11)),AP11&lt;0,NOT(ISNUMBER(L11)),L11&lt;1,L11&gt;5,L11&lt;&gt;INT(L11),AND(J11&lt;&gt;"Public",J11&lt;&gt;"Partner",J11&lt;&gt;"Internal",J11&lt;&gt;"None"),AND(K11&lt;&gt;"High",K11&lt;&gt;"Medium",K11&lt;&gt;"Low",K11&lt;&gt;"None"),AND(W11&lt;&gt;"Hard-coded",W11&lt;&gt;"Configurable",W11&lt;&gt;"Policy-managed",W11&lt;&gt;"API/Library abstraction",W11&lt;&gt;"Automated"),AND(Z11&lt;&gt;"Y",Z11&lt;&gt;"N"),AND(AA11&lt;&gt;"Y",AA11&lt;&gt;"N")),"Incomplete",IF(Z11="Y",20,0)+L11*5+IF(AA11="Y",15,0)+IF(J11="Public",10,IF(J11="Partner",7,IF(J11="Internal",3,0)))+IF(W11="Hard-coded",10,IF(W11="Configurable",3,0))+IF(MAX(I11,AP11)&gt;=10,10,IF(MAX(I11,AP11)&gt;=5,7,IF(MAX(I11,AP11)&gt;=2,3,0)))+IF(K11="High",10,IF(K11="Medium",5,0))))</x:f>
      </x:c>
      <x:c r="AC11" s="73" t="str">
        <x:f>IF(A11="","",IF(NOT(ISNUMBER(AB11)),"Review inputs",IF(AB11&gt;=70,"P0 - Immediate",IF(AB11&gt;=50,"P1 - High",IF(AB11&gt;=30,"P2 - Medium",IF(AB11&gt;=15,"P3 - Low","P4 - Monitor"))))))</x:f>
      </x:c>
      <x:c r="AD11" s="73"/>
      <x:c r="AE11" s="73"/>
      <x:c r="AF11" s="73"/>
      <x:c r="AG11" s="77"/>
      <x:c r="AH11" s="73"/>
      <x:c r="AI11" s="91"/>
      <x:c r="AJ11" s="91"/>
      <x:c r="AK11" s="91"/>
      <x:c r="AL11" s="92"/>
      <x:c r="AM11" s="91"/>
      <x:c r="AN11" s="91"/>
      <x:c r="AO11" s="93"/>
      <x:c r="AP11" s="94"/>
      <x:c r="AQ11" s="91"/>
      <x:c r="AR11" s="91"/>
      <x:c r="AS11" s="91"/>
      <x:c r="AT11" s="91"/>
      <x:c r="AU11" s="91"/>
      <x:c r="AV11" s="91"/>
      <x:c r="AW11" s="91"/>
      <x:c r="AX11" s="91"/>
      <x:c r="AY11" s="91"/>
      <x:c r="AZ11" s="92"/>
      <x:c r="BA11" s="94"/>
      <x:c r="BB11" s="91"/>
      <x:c r="BC11" s="92"/>
      <x:c r="BD11" s="92"/>
      <x:c r="BE11" s="91"/>
      <x:c r="BF11" s="91"/>
      <x:c r="BG11" s="91"/>
      <x:c r="BH11" s="91"/>
      <x:c r="BI11" s="91"/>
      <x:c r="BJ11" s="91"/>
      <x:c r="BK11" s="91"/>
      <x:c r="BL11" s="91"/>
      <x:c r="BM11" s="73" t="str">
        <x:f>IF(A11="","",IF(AI11="Example","Example only",IF(AI11&lt;&gt;"Actual","Set record type",IF(COUNTIF($A$2:$A$1001,A11)&gt;1,"Duplicate record ID",IF(OR(D11="",E11="",AF11="",NOT(ISNUMBER(AG11)),AJ11="",AK11="",NOT(ISNUMBER(AL11)),AND(AM11&lt;&gt;"Observed",AM11&lt;&gt;"Corroborated",AM11&lt;&gt;"Declared"),OR(AN11="",AN11="Unknown"),OR(AQ11="",AQ11="Unknown"),OR(AR11="",AR11="Unknown",AR11="TBD"),OR(BC11="",NOT(ISNUMBER(BC11)))),"Evidence incomplete","Evidence recorded; review scope")))))</x:f>
      </x:c>
      <x:c r="BN11" s="73"/>
    </x:row>
    <x:row r="12" ht="34" customHeight="1">
      <x:c r="A12" s="73"/>
      <x:c r="B12" s="73"/>
      <x:c r="C12" s="73"/>
      <x:c r="D12" s="73"/>
      <x:c r="E12" s="73"/>
      <x:c r="F12" s="73"/>
      <x:c r="G12" s="73"/>
      <x:c r="H12" s="73"/>
      <x:c r="I12" s="75"/>
      <x:c r="J12" s="73"/>
      <x:c r="K12" s="73"/>
      <x:c r="L12" s="76"/>
      <x:c r="M12" s="73"/>
      <x:c r="N12" s="73"/>
      <x:c r="O12" s="73"/>
      <x:c r="P12" s="73"/>
      <x:c r="Q12" s="76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  <x:c r="AB12" s="76" t="str">
        <x:f>IF(A12="","",IF(OR(NOT(ISNUMBER(I12)),I12&lt;0,NOT(ISNUMBER(AP12)),AP12&lt;0,NOT(ISNUMBER(L12)),L12&lt;1,L12&gt;5,L12&lt;&gt;INT(L12),AND(J12&lt;&gt;"Public",J12&lt;&gt;"Partner",J12&lt;&gt;"Internal",J12&lt;&gt;"None"),AND(K12&lt;&gt;"High",K12&lt;&gt;"Medium",K12&lt;&gt;"Low",K12&lt;&gt;"None"),AND(W12&lt;&gt;"Hard-coded",W12&lt;&gt;"Configurable",W12&lt;&gt;"Policy-managed",W12&lt;&gt;"API/Library abstraction",W12&lt;&gt;"Automated"),AND(Z12&lt;&gt;"Y",Z12&lt;&gt;"N"),AND(AA12&lt;&gt;"Y",AA12&lt;&gt;"N")),"Incomplete",IF(Z12="Y",20,0)+L12*5+IF(AA12="Y",15,0)+IF(J12="Public",10,IF(J12="Partner",7,IF(J12="Internal",3,0)))+IF(W12="Hard-coded",10,IF(W12="Configurable",3,0))+IF(MAX(I12,AP12)&gt;=10,10,IF(MAX(I12,AP12)&gt;=5,7,IF(MAX(I12,AP12)&gt;=2,3,0)))+IF(K12="High",10,IF(K12="Medium",5,0))))</x:f>
      </x:c>
      <x:c r="AC12" s="73" t="str">
        <x:f>IF(A12="","",IF(NOT(ISNUMBER(AB12)),"Review inputs",IF(AB12&gt;=70,"P0 - Immediate",IF(AB12&gt;=50,"P1 - High",IF(AB12&gt;=30,"P2 - Medium",IF(AB12&gt;=15,"P3 - Low","P4 - Monitor"))))))</x:f>
      </x:c>
      <x:c r="AD12" s="73"/>
      <x:c r="AE12" s="73"/>
      <x:c r="AF12" s="73"/>
      <x:c r="AG12" s="77"/>
      <x:c r="AH12" s="73"/>
      <x:c r="AI12" s="91"/>
      <x:c r="AJ12" s="91"/>
      <x:c r="AK12" s="91"/>
      <x:c r="AL12" s="92"/>
      <x:c r="AM12" s="91"/>
      <x:c r="AN12" s="91"/>
      <x:c r="AO12" s="93"/>
      <x:c r="AP12" s="94"/>
      <x:c r="AQ12" s="91"/>
      <x:c r="AR12" s="91"/>
      <x:c r="AS12" s="91"/>
      <x:c r="AT12" s="91"/>
      <x:c r="AU12" s="91"/>
      <x:c r="AV12" s="91"/>
      <x:c r="AW12" s="91"/>
      <x:c r="AX12" s="91"/>
      <x:c r="AY12" s="91"/>
      <x:c r="AZ12" s="92"/>
      <x:c r="BA12" s="94"/>
      <x:c r="BB12" s="91"/>
      <x:c r="BC12" s="92"/>
      <x:c r="BD12" s="92"/>
      <x:c r="BE12" s="91"/>
      <x:c r="BF12" s="91"/>
      <x:c r="BG12" s="91"/>
      <x:c r="BH12" s="91"/>
      <x:c r="BI12" s="91"/>
      <x:c r="BJ12" s="91"/>
      <x:c r="BK12" s="91"/>
      <x:c r="BL12" s="91"/>
      <x:c r="BM12" s="73" t="str">
        <x:f>IF(A12="","",IF(AI12="Example","Example only",IF(AI12&lt;&gt;"Actual","Set record type",IF(COUNTIF($A$2:$A$1001,A12)&gt;1,"Duplicate record ID",IF(OR(D12="",E12="",AF12="",NOT(ISNUMBER(AG12)),AJ12="",AK12="",NOT(ISNUMBER(AL12)),AND(AM12&lt;&gt;"Observed",AM12&lt;&gt;"Corroborated",AM12&lt;&gt;"Declared"),OR(AN12="",AN12="Unknown"),OR(AQ12="",AQ12="Unknown"),OR(AR12="",AR12="Unknown",AR12="TBD"),OR(BC12="",NOT(ISNUMBER(BC12)))),"Evidence incomplete","Evidence recorded; review scope")))))</x:f>
      </x:c>
      <x:c r="BN12" s="73"/>
    </x:row>
    <x:row r="13" ht="34" customHeight="1">
      <x:c r="A13" s="73"/>
      <x:c r="B13" s="73"/>
      <x:c r="C13" s="73"/>
      <x:c r="D13" s="73"/>
      <x:c r="E13" s="73"/>
      <x:c r="F13" s="73"/>
      <x:c r="G13" s="73"/>
      <x:c r="H13" s="73"/>
      <x:c r="I13" s="75"/>
      <x:c r="J13" s="73"/>
      <x:c r="K13" s="73"/>
      <x:c r="L13" s="76"/>
      <x:c r="M13" s="73"/>
      <x:c r="N13" s="73"/>
      <x:c r="O13" s="73"/>
      <x:c r="P13" s="73"/>
      <x:c r="Q13" s="76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  <x:c r="AB13" s="76" t="str">
        <x:f>IF(A13="","",IF(OR(NOT(ISNUMBER(I13)),I13&lt;0,NOT(ISNUMBER(AP13)),AP13&lt;0,NOT(ISNUMBER(L13)),L13&lt;1,L13&gt;5,L13&lt;&gt;INT(L13),AND(J13&lt;&gt;"Public",J13&lt;&gt;"Partner",J13&lt;&gt;"Internal",J13&lt;&gt;"None"),AND(K13&lt;&gt;"High",K13&lt;&gt;"Medium",K13&lt;&gt;"Low",K13&lt;&gt;"None"),AND(W13&lt;&gt;"Hard-coded",W13&lt;&gt;"Configurable",W13&lt;&gt;"Policy-managed",W13&lt;&gt;"API/Library abstraction",W13&lt;&gt;"Automated"),AND(Z13&lt;&gt;"Y",Z13&lt;&gt;"N"),AND(AA13&lt;&gt;"Y",AA13&lt;&gt;"N")),"Incomplete",IF(Z13="Y",20,0)+L13*5+IF(AA13="Y",15,0)+IF(J13="Public",10,IF(J13="Partner",7,IF(J13="Internal",3,0)))+IF(W13="Hard-coded",10,IF(W13="Configurable",3,0))+IF(MAX(I13,AP13)&gt;=10,10,IF(MAX(I13,AP13)&gt;=5,7,IF(MAX(I13,AP13)&gt;=2,3,0)))+IF(K13="High",10,IF(K13="Medium",5,0))))</x:f>
      </x:c>
      <x:c r="AC13" s="73" t="str">
        <x:f>IF(A13="","",IF(NOT(ISNUMBER(AB13)),"Review inputs",IF(AB13&gt;=70,"P0 - Immediate",IF(AB13&gt;=50,"P1 - High",IF(AB13&gt;=30,"P2 - Medium",IF(AB13&gt;=15,"P3 - Low","P4 - Monitor"))))))</x:f>
      </x:c>
      <x:c r="AD13" s="73"/>
      <x:c r="AE13" s="73"/>
      <x:c r="AF13" s="73"/>
      <x:c r="AG13" s="77"/>
      <x:c r="AH13" s="73"/>
      <x:c r="AI13" s="91"/>
      <x:c r="AJ13" s="91"/>
      <x:c r="AK13" s="91"/>
      <x:c r="AL13" s="92"/>
      <x:c r="AM13" s="91"/>
      <x:c r="AN13" s="91"/>
      <x:c r="AO13" s="93"/>
      <x:c r="AP13" s="94"/>
      <x:c r="AQ13" s="91"/>
      <x:c r="AR13" s="91"/>
      <x:c r="AS13" s="91"/>
      <x:c r="AT13" s="91"/>
      <x:c r="AU13" s="91"/>
      <x:c r="AV13" s="91"/>
      <x:c r="AW13" s="91"/>
      <x:c r="AX13" s="91"/>
      <x:c r="AY13" s="91"/>
      <x:c r="AZ13" s="92"/>
      <x:c r="BA13" s="94"/>
      <x:c r="BB13" s="91"/>
      <x:c r="BC13" s="92"/>
      <x:c r="BD13" s="92"/>
      <x:c r="BE13" s="91"/>
      <x:c r="BF13" s="91"/>
      <x:c r="BG13" s="91"/>
      <x:c r="BH13" s="91"/>
      <x:c r="BI13" s="91"/>
      <x:c r="BJ13" s="91"/>
      <x:c r="BK13" s="91"/>
      <x:c r="BL13" s="91"/>
      <x:c r="BM13" s="73" t="str">
        <x:f>IF(A13="","",IF(AI13="Example","Example only",IF(AI13&lt;&gt;"Actual","Set record type",IF(COUNTIF($A$2:$A$1001,A13)&gt;1,"Duplicate record ID",IF(OR(D13="",E13="",AF13="",NOT(ISNUMBER(AG13)),AJ13="",AK13="",NOT(ISNUMBER(AL13)),AND(AM13&lt;&gt;"Observed",AM13&lt;&gt;"Corroborated",AM13&lt;&gt;"Declared"),OR(AN13="",AN13="Unknown"),OR(AQ13="",AQ13="Unknown"),OR(AR13="",AR13="Unknown",AR13="TBD"),OR(BC13="",NOT(ISNUMBER(BC13)))),"Evidence incomplete","Evidence recorded; review scope")))))</x:f>
      </x:c>
      <x:c r="BN13" s="73"/>
    </x:row>
    <x:row r="14" ht="34" customHeight="1">
      <x:c r="A14" s="73"/>
      <x:c r="B14" s="73"/>
      <x:c r="C14" s="73"/>
      <x:c r="D14" s="73"/>
      <x:c r="E14" s="73"/>
      <x:c r="F14" s="73"/>
      <x:c r="G14" s="73"/>
      <x:c r="H14" s="73"/>
      <x:c r="I14" s="75"/>
      <x:c r="J14" s="73"/>
      <x:c r="K14" s="73"/>
      <x:c r="L14" s="76"/>
      <x:c r="M14" s="73"/>
      <x:c r="N14" s="73"/>
      <x:c r="O14" s="73"/>
      <x:c r="P14" s="73"/>
      <x:c r="Q14" s="76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/>
      <x:c r="AB14" s="76" t="str">
        <x:f>IF(A14="","",IF(OR(NOT(ISNUMBER(I14)),I14&lt;0,NOT(ISNUMBER(AP14)),AP14&lt;0,NOT(ISNUMBER(L14)),L14&lt;1,L14&gt;5,L14&lt;&gt;INT(L14),AND(J14&lt;&gt;"Public",J14&lt;&gt;"Partner",J14&lt;&gt;"Internal",J14&lt;&gt;"None"),AND(K14&lt;&gt;"High",K14&lt;&gt;"Medium",K14&lt;&gt;"Low",K14&lt;&gt;"None"),AND(W14&lt;&gt;"Hard-coded",W14&lt;&gt;"Configurable",W14&lt;&gt;"Policy-managed",W14&lt;&gt;"API/Library abstraction",W14&lt;&gt;"Automated"),AND(Z14&lt;&gt;"Y",Z14&lt;&gt;"N"),AND(AA14&lt;&gt;"Y",AA14&lt;&gt;"N")),"Incomplete",IF(Z14="Y",20,0)+L14*5+IF(AA14="Y",15,0)+IF(J14="Public",10,IF(J14="Partner",7,IF(J14="Internal",3,0)))+IF(W14="Hard-coded",10,IF(W14="Configurable",3,0))+IF(MAX(I14,AP14)&gt;=10,10,IF(MAX(I14,AP14)&gt;=5,7,IF(MAX(I14,AP14)&gt;=2,3,0)))+IF(K14="High",10,IF(K14="Medium",5,0))))</x:f>
      </x:c>
      <x:c r="AC14" s="73" t="str">
        <x:f>IF(A14="","",IF(NOT(ISNUMBER(AB14)),"Review inputs",IF(AB14&gt;=70,"P0 - Immediate",IF(AB14&gt;=50,"P1 - High",IF(AB14&gt;=30,"P2 - Medium",IF(AB14&gt;=15,"P3 - Low","P4 - Monitor"))))))</x:f>
      </x:c>
      <x:c r="AD14" s="73"/>
      <x:c r="AE14" s="73"/>
      <x:c r="AF14" s="73"/>
      <x:c r="AG14" s="77"/>
      <x:c r="AH14" s="73"/>
      <x:c r="AI14" s="91"/>
      <x:c r="AJ14" s="91"/>
      <x:c r="AK14" s="91"/>
      <x:c r="AL14" s="92"/>
      <x:c r="AM14" s="91"/>
      <x:c r="AN14" s="91"/>
      <x:c r="AO14" s="93"/>
      <x:c r="AP14" s="94"/>
      <x:c r="AQ14" s="91"/>
      <x:c r="AR14" s="91"/>
      <x:c r="AS14" s="91"/>
      <x:c r="AT14" s="91"/>
      <x:c r="AU14" s="91"/>
      <x:c r="AV14" s="91"/>
      <x:c r="AW14" s="91"/>
      <x:c r="AX14" s="91"/>
      <x:c r="AY14" s="91"/>
      <x:c r="AZ14" s="92"/>
      <x:c r="BA14" s="94"/>
      <x:c r="BB14" s="91"/>
      <x:c r="BC14" s="92"/>
      <x:c r="BD14" s="92"/>
      <x:c r="BE14" s="91"/>
      <x:c r="BF14" s="91"/>
      <x:c r="BG14" s="91"/>
      <x:c r="BH14" s="91"/>
      <x:c r="BI14" s="91"/>
      <x:c r="BJ14" s="91"/>
      <x:c r="BK14" s="91"/>
      <x:c r="BL14" s="91"/>
      <x:c r="BM14" s="73" t="str">
        <x:f>IF(A14="","",IF(AI14="Example","Example only",IF(AI14&lt;&gt;"Actual","Set record type",IF(COUNTIF($A$2:$A$1001,A14)&gt;1,"Duplicate record ID",IF(OR(D14="",E14="",AF14="",NOT(ISNUMBER(AG14)),AJ14="",AK14="",NOT(ISNUMBER(AL14)),AND(AM14&lt;&gt;"Observed",AM14&lt;&gt;"Corroborated",AM14&lt;&gt;"Declared"),OR(AN14="",AN14="Unknown"),OR(AQ14="",AQ14="Unknown"),OR(AR14="",AR14="Unknown",AR14="TBD"),OR(BC14="",NOT(ISNUMBER(BC14)))),"Evidence incomplete","Evidence recorded; review scope")))))</x:f>
      </x:c>
      <x:c r="BN14" s="73"/>
    </x:row>
    <x:row r="15" ht="34" customHeight="1">
      <x:c r="A15" s="73"/>
      <x:c r="B15" s="73"/>
      <x:c r="C15" s="73"/>
      <x:c r="D15" s="73"/>
      <x:c r="E15" s="73"/>
      <x:c r="F15" s="73"/>
      <x:c r="G15" s="73"/>
      <x:c r="H15" s="73"/>
      <x:c r="I15" s="75"/>
      <x:c r="J15" s="73"/>
      <x:c r="K15" s="73"/>
      <x:c r="L15" s="76"/>
      <x:c r="M15" s="73"/>
      <x:c r="N15" s="73"/>
      <x:c r="O15" s="73"/>
      <x:c r="P15" s="73"/>
      <x:c r="Q15" s="76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  <x:c r="AB15" s="76" t="str">
        <x:f>IF(A15="","",IF(OR(NOT(ISNUMBER(I15)),I15&lt;0,NOT(ISNUMBER(AP15)),AP15&lt;0,NOT(ISNUMBER(L15)),L15&lt;1,L15&gt;5,L15&lt;&gt;INT(L15),AND(J15&lt;&gt;"Public",J15&lt;&gt;"Partner",J15&lt;&gt;"Internal",J15&lt;&gt;"None"),AND(K15&lt;&gt;"High",K15&lt;&gt;"Medium",K15&lt;&gt;"Low",K15&lt;&gt;"None"),AND(W15&lt;&gt;"Hard-coded",W15&lt;&gt;"Configurable",W15&lt;&gt;"Policy-managed",W15&lt;&gt;"API/Library abstraction",W15&lt;&gt;"Automated"),AND(Z15&lt;&gt;"Y",Z15&lt;&gt;"N"),AND(AA15&lt;&gt;"Y",AA15&lt;&gt;"N")),"Incomplete",IF(Z15="Y",20,0)+L15*5+IF(AA15="Y",15,0)+IF(J15="Public",10,IF(J15="Partner",7,IF(J15="Internal",3,0)))+IF(W15="Hard-coded",10,IF(W15="Configurable",3,0))+IF(MAX(I15,AP15)&gt;=10,10,IF(MAX(I15,AP15)&gt;=5,7,IF(MAX(I15,AP15)&gt;=2,3,0)))+IF(K15="High",10,IF(K15="Medium",5,0))))</x:f>
      </x:c>
      <x:c r="AC15" s="73" t="str">
        <x:f>IF(A15="","",IF(NOT(ISNUMBER(AB15)),"Review inputs",IF(AB15&gt;=70,"P0 - Immediate",IF(AB15&gt;=50,"P1 - High",IF(AB15&gt;=30,"P2 - Medium",IF(AB15&gt;=15,"P3 - Low","P4 - Monitor"))))))</x:f>
      </x:c>
      <x:c r="AD15" s="73"/>
      <x:c r="AE15" s="73"/>
      <x:c r="AF15" s="73"/>
      <x:c r="AG15" s="77"/>
      <x:c r="AH15" s="73"/>
      <x:c r="AI15" s="91"/>
      <x:c r="AJ15" s="91"/>
      <x:c r="AK15" s="91"/>
      <x:c r="AL15" s="92"/>
      <x:c r="AM15" s="91"/>
      <x:c r="AN15" s="91"/>
      <x:c r="AO15" s="93"/>
      <x:c r="AP15" s="94"/>
      <x:c r="AQ15" s="91"/>
      <x:c r="AR15" s="91"/>
      <x:c r="AS15" s="91"/>
      <x:c r="AT15" s="91"/>
      <x:c r="AU15" s="91"/>
      <x:c r="AV15" s="91"/>
      <x:c r="AW15" s="91"/>
      <x:c r="AX15" s="91"/>
      <x:c r="AY15" s="91"/>
      <x:c r="AZ15" s="92"/>
      <x:c r="BA15" s="94"/>
      <x:c r="BB15" s="91"/>
      <x:c r="BC15" s="92"/>
      <x:c r="BD15" s="92"/>
      <x:c r="BE15" s="91"/>
      <x:c r="BF15" s="91"/>
      <x:c r="BG15" s="91"/>
      <x:c r="BH15" s="91"/>
      <x:c r="BI15" s="91"/>
      <x:c r="BJ15" s="91"/>
      <x:c r="BK15" s="91"/>
      <x:c r="BL15" s="91"/>
      <x:c r="BM15" s="73" t="str">
        <x:f>IF(A15="","",IF(AI15="Example","Example only",IF(AI15&lt;&gt;"Actual","Set record type",IF(COUNTIF($A$2:$A$1001,A15)&gt;1,"Duplicate record ID",IF(OR(D15="",E15="",AF15="",NOT(ISNUMBER(AG15)),AJ15="",AK15="",NOT(ISNUMBER(AL15)),AND(AM15&lt;&gt;"Observed",AM15&lt;&gt;"Corroborated",AM15&lt;&gt;"Declared"),OR(AN15="",AN15="Unknown"),OR(AQ15="",AQ15="Unknown"),OR(AR15="",AR15="Unknown",AR15="TBD"),OR(BC15="",NOT(ISNUMBER(BC15)))),"Evidence incomplete","Evidence recorded; review scope")))))</x:f>
      </x:c>
      <x:c r="BN15" s="73"/>
    </x:row>
    <x:row r="16" ht="34" customHeight="1">
      <x:c r="A16" s="73"/>
      <x:c r="B16" s="73"/>
      <x:c r="C16" s="73"/>
      <x:c r="D16" s="73"/>
      <x:c r="E16" s="73"/>
      <x:c r="F16" s="73"/>
      <x:c r="G16" s="73"/>
      <x:c r="H16" s="73"/>
      <x:c r="I16" s="75"/>
      <x:c r="J16" s="73"/>
      <x:c r="K16" s="73"/>
      <x:c r="L16" s="76"/>
      <x:c r="M16" s="73"/>
      <x:c r="N16" s="73"/>
      <x:c r="O16" s="73"/>
      <x:c r="P16" s="73"/>
      <x:c r="Q16" s="76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  <x:c r="AB16" s="76" t="str">
        <x:f>IF(A16="","",IF(OR(NOT(ISNUMBER(I16)),I16&lt;0,NOT(ISNUMBER(AP16)),AP16&lt;0,NOT(ISNUMBER(L16)),L16&lt;1,L16&gt;5,L16&lt;&gt;INT(L16),AND(J16&lt;&gt;"Public",J16&lt;&gt;"Partner",J16&lt;&gt;"Internal",J16&lt;&gt;"None"),AND(K16&lt;&gt;"High",K16&lt;&gt;"Medium",K16&lt;&gt;"Low",K16&lt;&gt;"None"),AND(W16&lt;&gt;"Hard-coded",W16&lt;&gt;"Configurable",W16&lt;&gt;"Policy-managed",W16&lt;&gt;"API/Library abstraction",W16&lt;&gt;"Automated"),AND(Z16&lt;&gt;"Y",Z16&lt;&gt;"N"),AND(AA16&lt;&gt;"Y",AA16&lt;&gt;"N")),"Incomplete",IF(Z16="Y",20,0)+L16*5+IF(AA16="Y",15,0)+IF(J16="Public",10,IF(J16="Partner",7,IF(J16="Internal",3,0)))+IF(W16="Hard-coded",10,IF(W16="Configurable",3,0))+IF(MAX(I16,AP16)&gt;=10,10,IF(MAX(I16,AP16)&gt;=5,7,IF(MAX(I16,AP16)&gt;=2,3,0)))+IF(K16="High",10,IF(K16="Medium",5,0))))</x:f>
      </x:c>
      <x:c r="AC16" s="73" t="str">
        <x:f>IF(A16="","",IF(NOT(ISNUMBER(AB16)),"Review inputs",IF(AB16&gt;=70,"P0 - Immediate",IF(AB16&gt;=50,"P1 - High",IF(AB16&gt;=30,"P2 - Medium",IF(AB16&gt;=15,"P3 - Low","P4 - Monitor"))))))</x:f>
      </x:c>
      <x:c r="AD16" s="73"/>
      <x:c r="AE16" s="73"/>
      <x:c r="AF16" s="73"/>
      <x:c r="AG16" s="77"/>
      <x:c r="AH16" s="73"/>
      <x:c r="AI16" s="91"/>
      <x:c r="AJ16" s="91"/>
      <x:c r="AK16" s="91"/>
      <x:c r="AL16" s="92"/>
      <x:c r="AM16" s="91"/>
      <x:c r="AN16" s="91"/>
      <x:c r="AO16" s="93"/>
      <x:c r="AP16" s="94"/>
      <x:c r="AQ16" s="91"/>
      <x:c r="AR16" s="91"/>
      <x:c r="AS16" s="91"/>
      <x:c r="AT16" s="91"/>
      <x:c r="AU16" s="91"/>
      <x:c r="AV16" s="91"/>
      <x:c r="AW16" s="91"/>
      <x:c r="AX16" s="91"/>
      <x:c r="AY16" s="91"/>
      <x:c r="AZ16" s="92"/>
      <x:c r="BA16" s="94"/>
      <x:c r="BB16" s="91"/>
      <x:c r="BC16" s="92"/>
      <x:c r="BD16" s="92"/>
      <x:c r="BE16" s="91"/>
      <x:c r="BF16" s="91"/>
      <x:c r="BG16" s="91"/>
      <x:c r="BH16" s="91"/>
      <x:c r="BI16" s="91"/>
      <x:c r="BJ16" s="91"/>
      <x:c r="BK16" s="91"/>
      <x:c r="BL16" s="91"/>
      <x:c r="BM16" s="73" t="str">
        <x:f>IF(A16="","",IF(AI16="Example","Example only",IF(AI16&lt;&gt;"Actual","Set record type",IF(COUNTIF($A$2:$A$1001,A16)&gt;1,"Duplicate record ID",IF(OR(D16="",E16="",AF16="",NOT(ISNUMBER(AG16)),AJ16="",AK16="",NOT(ISNUMBER(AL16)),AND(AM16&lt;&gt;"Observed",AM16&lt;&gt;"Corroborated",AM16&lt;&gt;"Declared"),OR(AN16="",AN16="Unknown"),OR(AQ16="",AQ16="Unknown"),OR(AR16="",AR16="Unknown",AR16="TBD"),OR(BC16="",NOT(ISNUMBER(BC16)))),"Evidence incomplete","Evidence recorded; review scope")))))</x:f>
      </x:c>
      <x:c r="BN16" s="73"/>
    </x:row>
    <x:row r="17" ht="34" customHeight="1">
      <x:c r="A17" s="73"/>
      <x:c r="B17" s="73"/>
      <x:c r="C17" s="73"/>
      <x:c r="D17" s="73"/>
      <x:c r="E17" s="73"/>
      <x:c r="F17" s="73"/>
      <x:c r="G17" s="73"/>
      <x:c r="H17" s="73"/>
      <x:c r="I17" s="75"/>
      <x:c r="J17" s="73"/>
      <x:c r="K17" s="73"/>
      <x:c r="L17" s="76"/>
      <x:c r="M17" s="73"/>
      <x:c r="N17" s="73"/>
      <x:c r="O17" s="73"/>
      <x:c r="P17" s="73"/>
      <x:c r="Q17" s="76"/>
      <x:c r="R17" s="73"/>
      <x:c r="S17" s="73"/>
      <x:c r="T17" s="73"/>
      <x:c r="U17" s="73"/>
      <x:c r="V17" s="73"/>
      <x:c r="W17" s="73"/>
      <x:c r="X17" s="73"/>
      <x:c r="Y17" s="73"/>
      <x:c r="Z17" s="73"/>
      <x:c r="AA17" s="73"/>
      <x:c r="AB17" s="76" t="str">
        <x:f>IF(A17="","",IF(OR(NOT(ISNUMBER(I17)),I17&lt;0,NOT(ISNUMBER(AP17)),AP17&lt;0,NOT(ISNUMBER(L17)),L17&lt;1,L17&gt;5,L17&lt;&gt;INT(L17),AND(J17&lt;&gt;"Public",J17&lt;&gt;"Partner",J17&lt;&gt;"Internal",J17&lt;&gt;"None"),AND(K17&lt;&gt;"High",K17&lt;&gt;"Medium",K17&lt;&gt;"Low",K17&lt;&gt;"None"),AND(W17&lt;&gt;"Hard-coded",W17&lt;&gt;"Configurable",W17&lt;&gt;"Policy-managed",W17&lt;&gt;"API/Library abstraction",W17&lt;&gt;"Automated"),AND(Z17&lt;&gt;"Y",Z17&lt;&gt;"N"),AND(AA17&lt;&gt;"Y",AA17&lt;&gt;"N")),"Incomplete",IF(Z17="Y",20,0)+L17*5+IF(AA17="Y",15,0)+IF(J17="Public",10,IF(J17="Partner",7,IF(J17="Internal",3,0)))+IF(W17="Hard-coded",10,IF(W17="Configurable",3,0))+IF(MAX(I17,AP17)&gt;=10,10,IF(MAX(I17,AP17)&gt;=5,7,IF(MAX(I17,AP17)&gt;=2,3,0)))+IF(K17="High",10,IF(K17="Medium",5,0))))</x:f>
      </x:c>
      <x:c r="AC17" s="73" t="str">
        <x:f>IF(A17="","",IF(NOT(ISNUMBER(AB17)),"Review inputs",IF(AB17&gt;=70,"P0 - Immediate",IF(AB17&gt;=50,"P1 - High",IF(AB17&gt;=30,"P2 - Medium",IF(AB17&gt;=15,"P3 - Low","P4 - Monitor"))))))</x:f>
      </x:c>
      <x:c r="AD17" s="73"/>
      <x:c r="AE17" s="73"/>
      <x:c r="AF17" s="73"/>
      <x:c r="AG17" s="77"/>
      <x:c r="AH17" s="73"/>
      <x:c r="AI17" s="91"/>
      <x:c r="AJ17" s="91"/>
      <x:c r="AK17" s="91"/>
      <x:c r="AL17" s="92"/>
      <x:c r="AM17" s="91"/>
      <x:c r="AN17" s="91"/>
      <x:c r="AO17" s="93"/>
      <x:c r="AP17" s="94"/>
      <x:c r="AQ17" s="91"/>
      <x:c r="AR17" s="91"/>
      <x:c r="AS17" s="91"/>
      <x:c r="AT17" s="91"/>
      <x:c r="AU17" s="91"/>
      <x:c r="AV17" s="91"/>
      <x:c r="AW17" s="91"/>
      <x:c r="AX17" s="91"/>
      <x:c r="AY17" s="91"/>
      <x:c r="AZ17" s="92"/>
      <x:c r="BA17" s="94"/>
      <x:c r="BB17" s="91"/>
      <x:c r="BC17" s="92"/>
      <x:c r="BD17" s="92"/>
      <x:c r="BE17" s="91"/>
      <x:c r="BF17" s="91"/>
      <x:c r="BG17" s="91"/>
      <x:c r="BH17" s="91"/>
      <x:c r="BI17" s="91"/>
      <x:c r="BJ17" s="91"/>
      <x:c r="BK17" s="91"/>
      <x:c r="BL17" s="91"/>
      <x:c r="BM17" s="73" t="str">
        <x:f>IF(A17="","",IF(AI17="Example","Example only",IF(AI17&lt;&gt;"Actual","Set record type",IF(COUNTIF($A$2:$A$1001,A17)&gt;1,"Duplicate record ID",IF(OR(D17="",E17="",AF17="",NOT(ISNUMBER(AG17)),AJ17="",AK17="",NOT(ISNUMBER(AL17)),AND(AM17&lt;&gt;"Observed",AM17&lt;&gt;"Corroborated",AM17&lt;&gt;"Declared"),OR(AN17="",AN17="Unknown"),OR(AQ17="",AQ17="Unknown"),OR(AR17="",AR17="Unknown",AR17="TBD"),OR(BC17="",NOT(ISNUMBER(BC17)))),"Evidence incomplete","Evidence recorded; review scope")))))</x:f>
      </x:c>
      <x:c r="BN17" s="73"/>
    </x:row>
    <x:row r="18" ht="34" customHeight="1">
      <x:c r="A18" s="73"/>
      <x:c r="B18" s="73"/>
      <x:c r="C18" s="73"/>
      <x:c r="D18" s="73"/>
      <x:c r="E18" s="73"/>
      <x:c r="F18" s="73"/>
      <x:c r="G18" s="73"/>
      <x:c r="H18" s="73"/>
      <x:c r="I18" s="75"/>
      <x:c r="J18" s="73"/>
      <x:c r="K18" s="73"/>
      <x:c r="L18" s="76"/>
      <x:c r="M18" s="73"/>
      <x:c r="N18" s="73"/>
      <x:c r="O18" s="73"/>
      <x:c r="P18" s="73"/>
      <x:c r="Q18" s="76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  <x:c r="AB18" s="76" t="str">
        <x:f>IF(A18="","",IF(OR(NOT(ISNUMBER(I18)),I18&lt;0,NOT(ISNUMBER(AP18)),AP18&lt;0,NOT(ISNUMBER(L18)),L18&lt;1,L18&gt;5,L18&lt;&gt;INT(L18),AND(J18&lt;&gt;"Public",J18&lt;&gt;"Partner",J18&lt;&gt;"Internal",J18&lt;&gt;"None"),AND(K18&lt;&gt;"High",K18&lt;&gt;"Medium",K18&lt;&gt;"Low",K18&lt;&gt;"None"),AND(W18&lt;&gt;"Hard-coded",W18&lt;&gt;"Configurable",W18&lt;&gt;"Policy-managed",W18&lt;&gt;"API/Library abstraction",W18&lt;&gt;"Automated"),AND(Z18&lt;&gt;"Y",Z18&lt;&gt;"N"),AND(AA18&lt;&gt;"Y",AA18&lt;&gt;"N")),"Incomplete",IF(Z18="Y",20,0)+L18*5+IF(AA18="Y",15,0)+IF(J18="Public",10,IF(J18="Partner",7,IF(J18="Internal",3,0)))+IF(W18="Hard-coded",10,IF(W18="Configurable",3,0))+IF(MAX(I18,AP18)&gt;=10,10,IF(MAX(I18,AP18)&gt;=5,7,IF(MAX(I18,AP18)&gt;=2,3,0)))+IF(K18="High",10,IF(K18="Medium",5,0))))</x:f>
      </x:c>
      <x:c r="AC18" s="73" t="str">
        <x:f>IF(A18="","",IF(NOT(ISNUMBER(AB18)),"Review inputs",IF(AB18&gt;=70,"P0 - Immediate",IF(AB18&gt;=50,"P1 - High",IF(AB18&gt;=30,"P2 - Medium",IF(AB18&gt;=15,"P3 - Low","P4 - Monitor"))))))</x:f>
      </x:c>
      <x:c r="AD18" s="73"/>
      <x:c r="AE18" s="73"/>
      <x:c r="AF18" s="73"/>
      <x:c r="AG18" s="77"/>
      <x:c r="AH18" s="73"/>
      <x:c r="AI18" s="91"/>
      <x:c r="AJ18" s="91"/>
      <x:c r="AK18" s="91"/>
      <x:c r="AL18" s="92"/>
      <x:c r="AM18" s="91"/>
      <x:c r="AN18" s="91"/>
      <x:c r="AO18" s="93"/>
      <x:c r="AP18" s="94"/>
      <x:c r="AQ18" s="91"/>
      <x:c r="AR18" s="91"/>
      <x:c r="AS18" s="91"/>
      <x:c r="AT18" s="91"/>
      <x:c r="AU18" s="91"/>
      <x:c r="AV18" s="91"/>
      <x:c r="AW18" s="91"/>
      <x:c r="AX18" s="91"/>
      <x:c r="AY18" s="91"/>
      <x:c r="AZ18" s="92"/>
      <x:c r="BA18" s="94"/>
      <x:c r="BB18" s="91"/>
      <x:c r="BC18" s="92"/>
      <x:c r="BD18" s="92"/>
      <x:c r="BE18" s="91"/>
      <x:c r="BF18" s="91"/>
      <x:c r="BG18" s="91"/>
      <x:c r="BH18" s="91"/>
      <x:c r="BI18" s="91"/>
      <x:c r="BJ18" s="91"/>
      <x:c r="BK18" s="91"/>
      <x:c r="BL18" s="91"/>
      <x:c r="BM18" s="73" t="str">
        <x:f>IF(A18="","",IF(AI18="Example","Example only",IF(AI18&lt;&gt;"Actual","Set record type",IF(COUNTIF($A$2:$A$1001,A18)&gt;1,"Duplicate record ID",IF(OR(D18="",E18="",AF18="",NOT(ISNUMBER(AG18)),AJ18="",AK18="",NOT(ISNUMBER(AL18)),AND(AM18&lt;&gt;"Observed",AM18&lt;&gt;"Corroborated",AM18&lt;&gt;"Declared"),OR(AN18="",AN18="Unknown"),OR(AQ18="",AQ18="Unknown"),OR(AR18="",AR18="Unknown",AR18="TBD"),OR(BC18="",NOT(ISNUMBER(BC18)))),"Evidence incomplete","Evidence recorded; review scope")))))</x:f>
      </x:c>
      <x:c r="BN18" s="73"/>
    </x:row>
    <x:row r="19" ht="34" customHeight="1">
      <x:c r="A19" s="73"/>
      <x:c r="B19" s="73"/>
      <x:c r="C19" s="73"/>
      <x:c r="D19" s="73"/>
      <x:c r="E19" s="73"/>
      <x:c r="F19" s="73"/>
      <x:c r="G19" s="73"/>
      <x:c r="H19" s="73"/>
      <x:c r="I19" s="75"/>
      <x:c r="J19" s="73"/>
      <x:c r="K19" s="73"/>
      <x:c r="L19" s="76"/>
      <x:c r="M19" s="73"/>
      <x:c r="N19" s="73"/>
      <x:c r="O19" s="73"/>
      <x:c r="P19" s="73"/>
      <x:c r="Q19" s="76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  <x:c r="AB19" s="76" t="str">
        <x:f>IF(A19="","",IF(OR(NOT(ISNUMBER(I19)),I19&lt;0,NOT(ISNUMBER(AP19)),AP19&lt;0,NOT(ISNUMBER(L19)),L19&lt;1,L19&gt;5,L19&lt;&gt;INT(L19),AND(J19&lt;&gt;"Public",J19&lt;&gt;"Partner",J19&lt;&gt;"Internal",J19&lt;&gt;"None"),AND(K19&lt;&gt;"High",K19&lt;&gt;"Medium",K19&lt;&gt;"Low",K19&lt;&gt;"None"),AND(W19&lt;&gt;"Hard-coded",W19&lt;&gt;"Configurable",W19&lt;&gt;"Policy-managed",W19&lt;&gt;"API/Library abstraction",W19&lt;&gt;"Automated"),AND(Z19&lt;&gt;"Y",Z19&lt;&gt;"N"),AND(AA19&lt;&gt;"Y",AA19&lt;&gt;"N")),"Incomplete",IF(Z19="Y",20,0)+L19*5+IF(AA19="Y",15,0)+IF(J19="Public",10,IF(J19="Partner",7,IF(J19="Internal",3,0)))+IF(W19="Hard-coded",10,IF(W19="Configurable",3,0))+IF(MAX(I19,AP19)&gt;=10,10,IF(MAX(I19,AP19)&gt;=5,7,IF(MAX(I19,AP19)&gt;=2,3,0)))+IF(K19="High",10,IF(K19="Medium",5,0))))</x:f>
      </x:c>
      <x:c r="AC19" s="73" t="str">
        <x:f>IF(A19="","",IF(NOT(ISNUMBER(AB19)),"Review inputs",IF(AB19&gt;=70,"P0 - Immediate",IF(AB19&gt;=50,"P1 - High",IF(AB19&gt;=30,"P2 - Medium",IF(AB19&gt;=15,"P3 - Low","P4 - Monitor"))))))</x:f>
      </x:c>
      <x:c r="AD19" s="73"/>
      <x:c r="AE19" s="73"/>
      <x:c r="AF19" s="73"/>
      <x:c r="AG19" s="77"/>
      <x:c r="AH19" s="73"/>
      <x:c r="AI19" s="91"/>
      <x:c r="AJ19" s="91"/>
      <x:c r="AK19" s="91"/>
      <x:c r="AL19" s="92"/>
      <x:c r="AM19" s="91"/>
      <x:c r="AN19" s="91"/>
      <x:c r="AO19" s="93"/>
      <x:c r="AP19" s="94"/>
      <x:c r="AQ19" s="91"/>
      <x:c r="AR19" s="91"/>
      <x:c r="AS19" s="91"/>
      <x:c r="AT19" s="91"/>
      <x:c r="AU19" s="91"/>
      <x:c r="AV19" s="91"/>
      <x:c r="AW19" s="91"/>
      <x:c r="AX19" s="91"/>
      <x:c r="AY19" s="91"/>
      <x:c r="AZ19" s="92"/>
      <x:c r="BA19" s="94"/>
      <x:c r="BB19" s="91"/>
      <x:c r="BC19" s="92"/>
      <x:c r="BD19" s="92"/>
      <x:c r="BE19" s="91"/>
      <x:c r="BF19" s="91"/>
      <x:c r="BG19" s="91"/>
      <x:c r="BH19" s="91"/>
      <x:c r="BI19" s="91"/>
      <x:c r="BJ19" s="91"/>
      <x:c r="BK19" s="91"/>
      <x:c r="BL19" s="91"/>
      <x:c r="BM19" s="73" t="str">
        <x:f>IF(A19="","",IF(AI19="Example","Example only",IF(AI19&lt;&gt;"Actual","Set record type",IF(COUNTIF($A$2:$A$1001,A19)&gt;1,"Duplicate record ID",IF(OR(D19="",E19="",AF19="",NOT(ISNUMBER(AG19)),AJ19="",AK19="",NOT(ISNUMBER(AL19)),AND(AM19&lt;&gt;"Observed",AM19&lt;&gt;"Corroborated",AM19&lt;&gt;"Declared"),OR(AN19="",AN19="Unknown"),OR(AQ19="",AQ19="Unknown"),OR(AR19="",AR19="Unknown",AR19="TBD"),OR(BC19="",NOT(ISNUMBER(BC19)))),"Evidence incomplete","Evidence recorded; review scope")))))</x:f>
      </x:c>
      <x:c r="BN19" s="73"/>
    </x:row>
    <x:row r="20" ht="34" customHeight="1">
      <x:c r="A20" s="73"/>
      <x:c r="B20" s="73"/>
      <x:c r="C20" s="73"/>
      <x:c r="D20" s="73"/>
      <x:c r="E20" s="73"/>
      <x:c r="F20" s="73"/>
      <x:c r="G20" s="73"/>
      <x:c r="H20" s="73"/>
      <x:c r="I20" s="75"/>
      <x:c r="J20" s="73"/>
      <x:c r="K20" s="73"/>
      <x:c r="L20" s="76"/>
      <x:c r="M20" s="73"/>
      <x:c r="N20" s="73"/>
      <x:c r="O20" s="73"/>
      <x:c r="P20" s="73"/>
      <x:c r="Q20" s="76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6" t="str">
        <x:f>IF(A20="","",IF(OR(NOT(ISNUMBER(I20)),I20&lt;0,NOT(ISNUMBER(AP20)),AP20&lt;0,NOT(ISNUMBER(L20)),L20&lt;1,L20&gt;5,L20&lt;&gt;INT(L20),AND(J20&lt;&gt;"Public",J20&lt;&gt;"Partner",J20&lt;&gt;"Internal",J20&lt;&gt;"None"),AND(K20&lt;&gt;"High",K20&lt;&gt;"Medium",K20&lt;&gt;"Low",K20&lt;&gt;"None"),AND(W20&lt;&gt;"Hard-coded",W20&lt;&gt;"Configurable",W20&lt;&gt;"Policy-managed",W20&lt;&gt;"API/Library abstraction",W20&lt;&gt;"Automated"),AND(Z20&lt;&gt;"Y",Z20&lt;&gt;"N"),AND(AA20&lt;&gt;"Y",AA20&lt;&gt;"N")),"Incomplete",IF(Z20="Y",20,0)+L20*5+IF(AA20="Y",15,0)+IF(J20="Public",10,IF(J20="Partner",7,IF(J20="Internal",3,0)))+IF(W20="Hard-coded",10,IF(W20="Configurable",3,0))+IF(MAX(I20,AP20)&gt;=10,10,IF(MAX(I20,AP20)&gt;=5,7,IF(MAX(I20,AP20)&gt;=2,3,0)))+IF(K20="High",10,IF(K20="Medium",5,0))))</x:f>
      </x:c>
      <x:c r="AC20" s="73" t="str">
        <x:f>IF(A20="","",IF(NOT(ISNUMBER(AB20)),"Review inputs",IF(AB20&gt;=70,"P0 - Immediate",IF(AB20&gt;=50,"P1 - High",IF(AB20&gt;=30,"P2 - Medium",IF(AB20&gt;=15,"P3 - Low","P4 - Monitor"))))))</x:f>
      </x:c>
      <x:c r="AD20" s="73"/>
      <x:c r="AE20" s="73"/>
      <x:c r="AF20" s="73"/>
      <x:c r="AG20" s="77"/>
      <x:c r="AH20" s="73"/>
      <x:c r="AI20" s="91"/>
      <x:c r="AJ20" s="91"/>
      <x:c r="AK20" s="91"/>
      <x:c r="AL20" s="92"/>
      <x:c r="AM20" s="91"/>
      <x:c r="AN20" s="91"/>
      <x:c r="AO20" s="93"/>
      <x:c r="AP20" s="94"/>
      <x:c r="AQ20" s="91"/>
      <x:c r="AR20" s="91"/>
      <x:c r="AS20" s="91"/>
      <x:c r="AT20" s="91"/>
      <x:c r="AU20" s="91"/>
      <x:c r="AV20" s="91"/>
      <x:c r="AW20" s="91"/>
      <x:c r="AX20" s="91"/>
      <x:c r="AY20" s="91"/>
      <x:c r="AZ20" s="92"/>
      <x:c r="BA20" s="94"/>
      <x:c r="BB20" s="91"/>
      <x:c r="BC20" s="92"/>
      <x:c r="BD20" s="92"/>
      <x:c r="BE20" s="91"/>
      <x:c r="BF20" s="91"/>
      <x:c r="BG20" s="91"/>
      <x:c r="BH20" s="91"/>
      <x:c r="BI20" s="91"/>
      <x:c r="BJ20" s="91"/>
      <x:c r="BK20" s="91"/>
      <x:c r="BL20" s="91"/>
      <x:c r="BM20" s="73" t="str">
        <x:f>IF(A20="","",IF(AI20="Example","Example only",IF(AI20&lt;&gt;"Actual","Set record type",IF(COUNTIF($A$2:$A$1001,A20)&gt;1,"Duplicate record ID",IF(OR(D20="",E20="",AF20="",NOT(ISNUMBER(AG20)),AJ20="",AK20="",NOT(ISNUMBER(AL20)),AND(AM20&lt;&gt;"Observed",AM20&lt;&gt;"Corroborated",AM20&lt;&gt;"Declared"),OR(AN20="",AN20="Unknown"),OR(AQ20="",AQ20="Unknown"),OR(AR20="",AR20="Unknown",AR20="TBD"),OR(BC20="",NOT(ISNUMBER(BC20)))),"Evidence incomplete","Evidence recorded; review scope")))))</x:f>
      </x:c>
      <x:c r="BN20" s="73"/>
    </x:row>
    <x:row r="21" ht="34" customHeight="1">
      <x:c r="A21" s="73"/>
      <x:c r="B21" s="73"/>
      <x:c r="C21" s="73"/>
      <x:c r="D21" s="73"/>
      <x:c r="E21" s="73"/>
      <x:c r="F21" s="73"/>
      <x:c r="G21" s="73"/>
      <x:c r="H21" s="73"/>
      <x:c r="I21" s="75"/>
      <x:c r="J21" s="73"/>
      <x:c r="K21" s="73"/>
      <x:c r="L21" s="76"/>
      <x:c r="M21" s="73"/>
      <x:c r="N21" s="73"/>
      <x:c r="O21" s="73"/>
      <x:c r="P21" s="73"/>
      <x:c r="Q21" s="76"/>
      <x:c r="R21" s="73"/>
      <x:c r="S21" s="73"/>
      <x:c r="T21" s="73"/>
      <x:c r="U21" s="73"/>
      <x:c r="V21" s="73"/>
      <x:c r="W21" s="73"/>
      <x:c r="X21" s="73"/>
      <x:c r="Y21" s="73"/>
      <x:c r="Z21" s="73"/>
      <x:c r="AA21" s="73"/>
      <x:c r="AB21" s="76" t="str">
        <x:f>IF(A21="","",IF(OR(NOT(ISNUMBER(I21)),I21&lt;0,NOT(ISNUMBER(AP21)),AP21&lt;0,NOT(ISNUMBER(L21)),L21&lt;1,L21&gt;5,L21&lt;&gt;INT(L21),AND(J21&lt;&gt;"Public",J21&lt;&gt;"Partner",J21&lt;&gt;"Internal",J21&lt;&gt;"None"),AND(K21&lt;&gt;"High",K21&lt;&gt;"Medium",K21&lt;&gt;"Low",K21&lt;&gt;"None"),AND(W21&lt;&gt;"Hard-coded",W21&lt;&gt;"Configurable",W21&lt;&gt;"Policy-managed",W21&lt;&gt;"API/Library abstraction",W21&lt;&gt;"Automated"),AND(Z21&lt;&gt;"Y",Z21&lt;&gt;"N"),AND(AA21&lt;&gt;"Y",AA21&lt;&gt;"N")),"Incomplete",IF(Z21="Y",20,0)+L21*5+IF(AA21="Y",15,0)+IF(J21="Public",10,IF(J21="Partner",7,IF(J21="Internal",3,0)))+IF(W21="Hard-coded",10,IF(W21="Configurable",3,0))+IF(MAX(I21,AP21)&gt;=10,10,IF(MAX(I21,AP21)&gt;=5,7,IF(MAX(I21,AP21)&gt;=2,3,0)))+IF(K21="High",10,IF(K21="Medium",5,0))))</x:f>
      </x:c>
      <x:c r="AC21" s="73" t="str">
        <x:f>IF(A21="","",IF(NOT(ISNUMBER(AB21)),"Review inputs",IF(AB21&gt;=70,"P0 - Immediate",IF(AB21&gt;=50,"P1 - High",IF(AB21&gt;=30,"P2 - Medium",IF(AB21&gt;=15,"P3 - Low","P4 - Monitor"))))))</x:f>
      </x:c>
      <x:c r="AD21" s="73"/>
      <x:c r="AE21" s="73"/>
      <x:c r="AF21" s="73"/>
      <x:c r="AG21" s="77"/>
      <x:c r="AH21" s="73"/>
      <x:c r="AI21" s="91"/>
      <x:c r="AJ21" s="91"/>
      <x:c r="AK21" s="91"/>
      <x:c r="AL21" s="92"/>
      <x:c r="AM21" s="91"/>
      <x:c r="AN21" s="91"/>
      <x:c r="AO21" s="93"/>
      <x:c r="AP21" s="94"/>
      <x:c r="AQ21" s="91"/>
      <x:c r="AR21" s="91"/>
      <x:c r="AS21" s="91"/>
      <x:c r="AT21" s="91"/>
      <x:c r="AU21" s="91"/>
      <x:c r="AV21" s="91"/>
      <x:c r="AW21" s="91"/>
      <x:c r="AX21" s="91"/>
      <x:c r="AY21" s="91"/>
      <x:c r="AZ21" s="92"/>
      <x:c r="BA21" s="94"/>
      <x:c r="BB21" s="91"/>
      <x:c r="BC21" s="92"/>
      <x:c r="BD21" s="92"/>
      <x:c r="BE21" s="91"/>
      <x:c r="BF21" s="91"/>
      <x:c r="BG21" s="91"/>
      <x:c r="BH21" s="91"/>
      <x:c r="BI21" s="91"/>
      <x:c r="BJ21" s="91"/>
      <x:c r="BK21" s="91"/>
      <x:c r="BL21" s="91"/>
      <x:c r="BM21" s="73" t="str">
        <x:f>IF(A21="","",IF(AI21="Example","Example only",IF(AI21&lt;&gt;"Actual","Set record type",IF(COUNTIF($A$2:$A$1001,A21)&gt;1,"Duplicate record ID",IF(OR(D21="",E21="",AF21="",NOT(ISNUMBER(AG21)),AJ21="",AK21="",NOT(ISNUMBER(AL21)),AND(AM21&lt;&gt;"Observed",AM21&lt;&gt;"Corroborated",AM21&lt;&gt;"Declared"),OR(AN21="",AN21="Unknown"),OR(AQ21="",AQ21="Unknown"),OR(AR21="",AR21="Unknown",AR21="TBD"),OR(BC21="",NOT(ISNUMBER(BC21)))),"Evidence incomplete","Evidence recorded; review scope")))))</x:f>
      </x:c>
      <x:c r="BN21" s="73"/>
    </x:row>
    <x:row r="22" ht="34" customHeight="1">
      <x:c r="A22" s="73"/>
      <x:c r="B22" s="73"/>
      <x:c r="C22" s="73"/>
      <x:c r="D22" s="73"/>
      <x:c r="E22" s="73"/>
      <x:c r="F22" s="73"/>
      <x:c r="G22" s="73"/>
      <x:c r="H22" s="73"/>
      <x:c r="I22" s="75"/>
      <x:c r="J22" s="73"/>
      <x:c r="K22" s="73"/>
      <x:c r="L22" s="76"/>
      <x:c r="M22" s="73"/>
      <x:c r="N22" s="73"/>
      <x:c r="O22" s="73"/>
      <x:c r="P22" s="73"/>
      <x:c r="Q22" s="76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  <x:c r="AB22" s="76" t="str">
        <x:f>IF(A22="","",IF(OR(NOT(ISNUMBER(I22)),I22&lt;0,NOT(ISNUMBER(AP22)),AP22&lt;0,NOT(ISNUMBER(L22)),L22&lt;1,L22&gt;5,L22&lt;&gt;INT(L22),AND(J22&lt;&gt;"Public",J22&lt;&gt;"Partner",J22&lt;&gt;"Internal",J22&lt;&gt;"None"),AND(K22&lt;&gt;"High",K22&lt;&gt;"Medium",K22&lt;&gt;"Low",K22&lt;&gt;"None"),AND(W22&lt;&gt;"Hard-coded",W22&lt;&gt;"Configurable",W22&lt;&gt;"Policy-managed",W22&lt;&gt;"API/Library abstraction",W22&lt;&gt;"Automated"),AND(Z22&lt;&gt;"Y",Z22&lt;&gt;"N"),AND(AA22&lt;&gt;"Y",AA22&lt;&gt;"N")),"Incomplete",IF(Z22="Y",20,0)+L22*5+IF(AA22="Y",15,0)+IF(J22="Public",10,IF(J22="Partner",7,IF(J22="Internal",3,0)))+IF(W22="Hard-coded",10,IF(W22="Configurable",3,0))+IF(MAX(I22,AP22)&gt;=10,10,IF(MAX(I22,AP22)&gt;=5,7,IF(MAX(I22,AP22)&gt;=2,3,0)))+IF(K22="High",10,IF(K22="Medium",5,0))))</x:f>
      </x:c>
      <x:c r="AC22" s="73" t="str">
        <x:f>IF(A22="","",IF(NOT(ISNUMBER(AB22)),"Review inputs",IF(AB22&gt;=70,"P0 - Immediate",IF(AB22&gt;=50,"P1 - High",IF(AB22&gt;=30,"P2 - Medium",IF(AB22&gt;=15,"P3 - Low","P4 - Monitor"))))))</x:f>
      </x:c>
      <x:c r="AD22" s="73"/>
      <x:c r="AE22" s="73"/>
      <x:c r="AF22" s="73"/>
      <x:c r="AG22" s="77"/>
      <x:c r="AH22" s="73"/>
      <x:c r="AI22" s="91"/>
      <x:c r="AJ22" s="91"/>
      <x:c r="AK22" s="91"/>
      <x:c r="AL22" s="92"/>
      <x:c r="AM22" s="91"/>
      <x:c r="AN22" s="91"/>
      <x:c r="AO22" s="93"/>
      <x:c r="AP22" s="94"/>
      <x:c r="AQ22" s="91"/>
      <x:c r="AR22" s="91"/>
      <x:c r="AS22" s="91"/>
      <x:c r="AT22" s="91"/>
      <x:c r="AU22" s="91"/>
      <x:c r="AV22" s="91"/>
      <x:c r="AW22" s="91"/>
      <x:c r="AX22" s="91"/>
      <x:c r="AY22" s="91"/>
      <x:c r="AZ22" s="92"/>
      <x:c r="BA22" s="94"/>
      <x:c r="BB22" s="91"/>
      <x:c r="BC22" s="92"/>
      <x:c r="BD22" s="92"/>
      <x:c r="BE22" s="91"/>
      <x:c r="BF22" s="91"/>
      <x:c r="BG22" s="91"/>
      <x:c r="BH22" s="91"/>
      <x:c r="BI22" s="91"/>
      <x:c r="BJ22" s="91"/>
      <x:c r="BK22" s="91"/>
      <x:c r="BL22" s="91"/>
      <x:c r="BM22" s="73" t="str">
        <x:f>IF(A22="","",IF(AI22="Example","Example only",IF(AI22&lt;&gt;"Actual","Set record type",IF(COUNTIF($A$2:$A$1001,A22)&gt;1,"Duplicate record ID",IF(OR(D22="",E22="",AF22="",NOT(ISNUMBER(AG22)),AJ22="",AK22="",NOT(ISNUMBER(AL22)),AND(AM22&lt;&gt;"Observed",AM22&lt;&gt;"Corroborated",AM22&lt;&gt;"Declared"),OR(AN22="",AN22="Unknown"),OR(AQ22="",AQ22="Unknown"),OR(AR22="",AR22="Unknown",AR22="TBD"),OR(BC22="",NOT(ISNUMBER(BC22)))),"Evidence incomplete","Evidence recorded; review scope")))))</x:f>
      </x:c>
      <x:c r="BN22" s="73"/>
    </x:row>
    <x:row r="23" ht="34" customHeight="1">
      <x:c r="A23" s="73"/>
      <x:c r="B23" s="73"/>
      <x:c r="C23" s="73"/>
      <x:c r="D23" s="73"/>
      <x:c r="E23" s="73"/>
      <x:c r="F23" s="73"/>
      <x:c r="G23" s="73"/>
      <x:c r="H23" s="73"/>
      <x:c r="I23" s="75"/>
      <x:c r="J23" s="73"/>
      <x:c r="K23" s="73"/>
      <x:c r="L23" s="76"/>
      <x:c r="M23" s="73"/>
      <x:c r="N23" s="73"/>
      <x:c r="O23" s="73"/>
      <x:c r="P23" s="73"/>
      <x:c r="Q23" s="76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  <x:c r="AB23" s="76" t="str">
        <x:f>IF(A23="","",IF(OR(NOT(ISNUMBER(I23)),I23&lt;0,NOT(ISNUMBER(AP23)),AP23&lt;0,NOT(ISNUMBER(L23)),L23&lt;1,L23&gt;5,L23&lt;&gt;INT(L23),AND(J23&lt;&gt;"Public",J23&lt;&gt;"Partner",J23&lt;&gt;"Internal",J23&lt;&gt;"None"),AND(K23&lt;&gt;"High",K23&lt;&gt;"Medium",K23&lt;&gt;"Low",K23&lt;&gt;"None"),AND(W23&lt;&gt;"Hard-coded",W23&lt;&gt;"Configurable",W23&lt;&gt;"Policy-managed",W23&lt;&gt;"API/Library abstraction",W23&lt;&gt;"Automated"),AND(Z23&lt;&gt;"Y",Z23&lt;&gt;"N"),AND(AA23&lt;&gt;"Y",AA23&lt;&gt;"N")),"Incomplete",IF(Z23="Y",20,0)+L23*5+IF(AA23="Y",15,0)+IF(J23="Public",10,IF(J23="Partner",7,IF(J23="Internal",3,0)))+IF(W23="Hard-coded",10,IF(W23="Configurable",3,0))+IF(MAX(I23,AP23)&gt;=10,10,IF(MAX(I23,AP23)&gt;=5,7,IF(MAX(I23,AP23)&gt;=2,3,0)))+IF(K23="High",10,IF(K23="Medium",5,0))))</x:f>
      </x:c>
      <x:c r="AC23" s="73" t="str">
        <x:f>IF(A23="","",IF(NOT(ISNUMBER(AB23)),"Review inputs",IF(AB23&gt;=70,"P0 - Immediate",IF(AB23&gt;=50,"P1 - High",IF(AB23&gt;=30,"P2 - Medium",IF(AB23&gt;=15,"P3 - Low","P4 - Monitor"))))))</x:f>
      </x:c>
      <x:c r="AD23" s="73"/>
      <x:c r="AE23" s="73"/>
      <x:c r="AF23" s="73"/>
      <x:c r="AG23" s="77"/>
      <x:c r="AH23" s="73"/>
      <x:c r="AI23" s="91"/>
      <x:c r="AJ23" s="91"/>
      <x:c r="AK23" s="91"/>
      <x:c r="AL23" s="92"/>
      <x:c r="AM23" s="91"/>
      <x:c r="AN23" s="91"/>
      <x:c r="AO23" s="93"/>
      <x:c r="AP23" s="94"/>
      <x:c r="AQ23" s="91"/>
      <x:c r="AR23" s="91"/>
      <x:c r="AS23" s="91"/>
      <x:c r="AT23" s="91"/>
      <x:c r="AU23" s="91"/>
      <x:c r="AV23" s="91"/>
      <x:c r="AW23" s="91"/>
      <x:c r="AX23" s="91"/>
      <x:c r="AY23" s="91"/>
      <x:c r="AZ23" s="92"/>
      <x:c r="BA23" s="94"/>
      <x:c r="BB23" s="91"/>
      <x:c r="BC23" s="92"/>
      <x:c r="BD23" s="92"/>
      <x:c r="BE23" s="91"/>
      <x:c r="BF23" s="91"/>
      <x:c r="BG23" s="91"/>
      <x:c r="BH23" s="91"/>
      <x:c r="BI23" s="91"/>
      <x:c r="BJ23" s="91"/>
      <x:c r="BK23" s="91"/>
      <x:c r="BL23" s="91"/>
      <x:c r="BM23" s="73" t="str">
        <x:f>IF(A23="","",IF(AI23="Example","Example only",IF(AI23&lt;&gt;"Actual","Set record type",IF(COUNTIF($A$2:$A$1001,A23)&gt;1,"Duplicate record ID",IF(OR(D23="",E23="",AF23="",NOT(ISNUMBER(AG23)),AJ23="",AK23="",NOT(ISNUMBER(AL23)),AND(AM23&lt;&gt;"Observed",AM23&lt;&gt;"Corroborated",AM23&lt;&gt;"Declared"),OR(AN23="",AN23="Unknown"),OR(AQ23="",AQ23="Unknown"),OR(AR23="",AR23="Unknown",AR23="TBD"),OR(BC23="",NOT(ISNUMBER(BC23)))),"Evidence incomplete","Evidence recorded; review scope")))))</x:f>
      </x:c>
      <x:c r="BN23" s="73"/>
    </x:row>
    <x:row r="24" ht="34" customHeight="1">
      <x:c r="A24" s="73"/>
      <x:c r="B24" s="73"/>
      <x:c r="C24" s="73"/>
      <x:c r="D24" s="73"/>
      <x:c r="E24" s="73"/>
      <x:c r="F24" s="73"/>
      <x:c r="G24" s="73"/>
      <x:c r="H24" s="73"/>
      <x:c r="I24" s="75"/>
      <x:c r="J24" s="73"/>
      <x:c r="K24" s="73"/>
      <x:c r="L24" s="76"/>
      <x:c r="M24" s="73"/>
      <x:c r="N24" s="73"/>
      <x:c r="O24" s="73"/>
      <x:c r="P24" s="73"/>
      <x:c r="Q24" s="76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  <x:c r="AB24" s="76" t="str">
        <x:f>IF(A24="","",IF(OR(NOT(ISNUMBER(I24)),I24&lt;0,NOT(ISNUMBER(AP24)),AP24&lt;0,NOT(ISNUMBER(L24)),L24&lt;1,L24&gt;5,L24&lt;&gt;INT(L24),AND(J24&lt;&gt;"Public",J24&lt;&gt;"Partner",J24&lt;&gt;"Internal",J24&lt;&gt;"None"),AND(K24&lt;&gt;"High",K24&lt;&gt;"Medium",K24&lt;&gt;"Low",K24&lt;&gt;"None"),AND(W24&lt;&gt;"Hard-coded",W24&lt;&gt;"Configurable",W24&lt;&gt;"Policy-managed",W24&lt;&gt;"API/Library abstraction",W24&lt;&gt;"Automated"),AND(Z24&lt;&gt;"Y",Z24&lt;&gt;"N"),AND(AA24&lt;&gt;"Y",AA24&lt;&gt;"N")),"Incomplete",IF(Z24="Y",20,0)+L24*5+IF(AA24="Y",15,0)+IF(J24="Public",10,IF(J24="Partner",7,IF(J24="Internal",3,0)))+IF(W24="Hard-coded",10,IF(W24="Configurable",3,0))+IF(MAX(I24,AP24)&gt;=10,10,IF(MAX(I24,AP24)&gt;=5,7,IF(MAX(I24,AP24)&gt;=2,3,0)))+IF(K24="High",10,IF(K24="Medium",5,0))))</x:f>
      </x:c>
      <x:c r="AC24" s="73" t="str">
        <x:f>IF(A24="","",IF(NOT(ISNUMBER(AB24)),"Review inputs",IF(AB24&gt;=70,"P0 - Immediate",IF(AB24&gt;=50,"P1 - High",IF(AB24&gt;=30,"P2 - Medium",IF(AB24&gt;=15,"P3 - Low","P4 - Monitor"))))))</x:f>
      </x:c>
      <x:c r="AD24" s="73"/>
      <x:c r="AE24" s="73"/>
      <x:c r="AF24" s="73"/>
      <x:c r="AG24" s="77"/>
      <x:c r="AH24" s="73"/>
      <x:c r="AI24" s="91"/>
      <x:c r="AJ24" s="91"/>
      <x:c r="AK24" s="91"/>
      <x:c r="AL24" s="92"/>
      <x:c r="AM24" s="91"/>
      <x:c r="AN24" s="91"/>
      <x:c r="AO24" s="93"/>
      <x:c r="AP24" s="94"/>
      <x:c r="AQ24" s="91"/>
      <x:c r="AR24" s="91"/>
      <x:c r="AS24" s="91"/>
      <x:c r="AT24" s="91"/>
      <x:c r="AU24" s="91"/>
      <x:c r="AV24" s="91"/>
      <x:c r="AW24" s="91"/>
      <x:c r="AX24" s="91"/>
      <x:c r="AY24" s="91"/>
      <x:c r="AZ24" s="92"/>
      <x:c r="BA24" s="94"/>
      <x:c r="BB24" s="91"/>
      <x:c r="BC24" s="92"/>
      <x:c r="BD24" s="92"/>
      <x:c r="BE24" s="91"/>
      <x:c r="BF24" s="91"/>
      <x:c r="BG24" s="91"/>
      <x:c r="BH24" s="91"/>
      <x:c r="BI24" s="91"/>
      <x:c r="BJ24" s="91"/>
      <x:c r="BK24" s="91"/>
      <x:c r="BL24" s="91"/>
      <x:c r="BM24" s="73" t="str">
        <x:f>IF(A24="","",IF(AI24="Example","Example only",IF(AI24&lt;&gt;"Actual","Set record type",IF(COUNTIF($A$2:$A$1001,A24)&gt;1,"Duplicate record ID",IF(OR(D24="",E24="",AF24="",NOT(ISNUMBER(AG24)),AJ24="",AK24="",NOT(ISNUMBER(AL24)),AND(AM24&lt;&gt;"Observed",AM24&lt;&gt;"Corroborated",AM24&lt;&gt;"Declared"),OR(AN24="",AN24="Unknown"),OR(AQ24="",AQ24="Unknown"),OR(AR24="",AR24="Unknown",AR24="TBD"),OR(BC24="",NOT(ISNUMBER(BC24)))),"Evidence incomplete","Evidence recorded; review scope")))))</x:f>
      </x:c>
      <x:c r="BN24" s="73"/>
    </x:row>
    <x:row r="25" ht="34" customHeight="1">
      <x:c r="A25" s="73"/>
      <x:c r="B25" s="73"/>
      <x:c r="C25" s="73"/>
      <x:c r="D25" s="73"/>
      <x:c r="E25" s="73"/>
      <x:c r="F25" s="73"/>
      <x:c r="G25" s="73"/>
      <x:c r="H25" s="73"/>
      <x:c r="I25" s="75"/>
      <x:c r="J25" s="73"/>
      <x:c r="K25" s="73"/>
      <x:c r="L25" s="76"/>
      <x:c r="M25" s="73"/>
      <x:c r="N25" s="73"/>
      <x:c r="O25" s="73"/>
      <x:c r="P25" s="73"/>
      <x:c r="Q25" s="76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  <x:c r="AB25" s="76" t="str">
        <x:f>IF(A25="","",IF(OR(NOT(ISNUMBER(I25)),I25&lt;0,NOT(ISNUMBER(AP25)),AP25&lt;0,NOT(ISNUMBER(L25)),L25&lt;1,L25&gt;5,L25&lt;&gt;INT(L25),AND(J25&lt;&gt;"Public",J25&lt;&gt;"Partner",J25&lt;&gt;"Internal",J25&lt;&gt;"None"),AND(K25&lt;&gt;"High",K25&lt;&gt;"Medium",K25&lt;&gt;"Low",K25&lt;&gt;"None"),AND(W25&lt;&gt;"Hard-coded",W25&lt;&gt;"Configurable",W25&lt;&gt;"Policy-managed",W25&lt;&gt;"API/Library abstraction",W25&lt;&gt;"Automated"),AND(Z25&lt;&gt;"Y",Z25&lt;&gt;"N"),AND(AA25&lt;&gt;"Y",AA25&lt;&gt;"N")),"Incomplete",IF(Z25="Y",20,0)+L25*5+IF(AA25="Y",15,0)+IF(J25="Public",10,IF(J25="Partner",7,IF(J25="Internal",3,0)))+IF(W25="Hard-coded",10,IF(W25="Configurable",3,0))+IF(MAX(I25,AP25)&gt;=10,10,IF(MAX(I25,AP25)&gt;=5,7,IF(MAX(I25,AP25)&gt;=2,3,0)))+IF(K25="High",10,IF(K25="Medium",5,0))))</x:f>
      </x:c>
      <x:c r="AC25" s="73" t="str">
        <x:f>IF(A25="","",IF(NOT(ISNUMBER(AB25)),"Review inputs",IF(AB25&gt;=70,"P0 - Immediate",IF(AB25&gt;=50,"P1 - High",IF(AB25&gt;=30,"P2 - Medium",IF(AB25&gt;=15,"P3 - Low","P4 - Monitor"))))))</x:f>
      </x:c>
      <x:c r="AD25" s="73"/>
      <x:c r="AE25" s="73"/>
      <x:c r="AF25" s="73"/>
      <x:c r="AG25" s="77"/>
      <x:c r="AH25" s="73"/>
      <x:c r="AI25" s="91"/>
      <x:c r="AJ25" s="91"/>
      <x:c r="AK25" s="91"/>
      <x:c r="AL25" s="92"/>
      <x:c r="AM25" s="91"/>
      <x:c r="AN25" s="91"/>
      <x:c r="AO25" s="93"/>
      <x:c r="AP25" s="94"/>
      <x:c r="AQ25" s="91"/>
      <x:c r="AR25" s="91"/>
      <x:c r="AS25" s="91"/>
      <x:c r="AT25" s="91"/>
      <x:c r="AU25" s="91"/>
      <x:c r="AV25" s="91"/>
      <x:c r="AW25" s="91"/>
      <x:c r="AX25" s="91"/>
      <x:c r="AY25" s="91"/>
      <x:c r="AZ25" s="92"/>
      <x:c r="BA25" s="94"/>
      <x:c r="BB25" s="91"/>
      <x:c r="BC25" s="92"/>
      <x:c r="BD25" s="92"/>
      <x:c r="BE25" s="91"/>
      <x:c r="BF25" s="91"/>
      <x:c r="BG25" s="91"/>
      <x:c r="BH25" s="91"/>
      <x:c r="BI25" s="91"/>
      <x:c r="BJ25" s="91"/>
      <x:c r="BK25" s="91"/>
      <x:c r="BL25" s="91"/>
      <x:c r="BM25" s="73" t="str">
        <x:f>IF(A25="","",IF(AI25="Example","Example only",IF(AI25&lt;&gt;"Actual","Set record type",IF(COUNTIF($A$2:$A$1001,A25)&gt;1,"Duplicate record ID",IF(OR(D25="",E25="",AF25="",NOT(ISNUMBER(AG25)),AJ25="",AK25="",NOT(ISNUMBER(AL25)),AND(AM25&lt;&gt;"Observed",AM25&lt;&gt;"Corroborated",AM25&lt;&gt;"Declared"),OR(AN25="",AN25="Unknown"),OR(AQ25="",AQ25="Unknown"),OR(AR25="",AR25="Unknown",AR25="TBD"),OR(BC25="",NOT(ISNUMBER(BC25)))),"Evidence incomplete","Evidence recorded; review scope")))))</x:f>
      </x:c>
      <x:c r="BN25" s="73"/>
    </x:row>
    <x:row r="26" ht="34" customHeight="1">
      <x:c r="A26" s="73"/>
      <x:c r="B26" s="73"/>
      <x:c r="C26" s="73"/>
      <x:c r="D26" s="73"/>
      <x:c r="E26" s="73"/>
      <x:c r="F26" s="73"/>
      <x:c r="G26" s="73"/>
      <x:c r="H26" s="73"/>
      <x:c r="I26" s="75"/>
      <x:c r="J26" s="73"/>
      <x:c r="K26" s="73"/>
      <x:c r="L26" s="76"/>
      <x:c r="M26" s="73"/>
      <x:c r="N26" s="73"/>
      <x:c r="O26" s="73"/>
      <x:c r="P26" s="73"/>
      <x:c r="Q26" s="76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  <x:c r="AB26" s="76" t="str">
        <x:f>IF(A26="","",IF(OR(NOT(ISNUMBER(I26)),I26&lt;0,NOT(ISNUMBER(AP26)),AP26&lt;0,NOT(ISNUMBER(L26)),L26&lt;1,L26&gt;5,L26&lt;&gt;INT(L26),AND(J26&lt;&gt;"Public",J26&lt;&gt;"Partner",J26&lt;&gt;"Internal",J26&lt;&gt;"None"),AND(K26&lt;&gt;"High",K26&lt;&gt;"Medium",K26&lt;&gt;"Low",K26&lt;&gt;"None"),AND(W26&lt;&gt;"Hard-coded",W26&lt;&gt;"Configurable",W26&lt;&gt;"Policy-managed",W26&lt;&gt;"API/Library abstraction",W26&lt;&gt;"Automated"),AND(Z26&lt;&gt;"Y",Z26&lt;&gt;"N"),AND(AA26&lt;&gt;"Y",AA26&lt;&gt;"N")),"Incomplete",IF(Z26="Y",20,0)+L26*5+IF(AA26="Y",15,0)+IF(J26="Public",10,IF(J26="Partner",7,IF(J26="Internal",3,0)))+IF(W26="Hard-coded",10,IF(W26="Configurable",3,0))+IF(MAX(I26,AP26)&gt;=10,10,IF(MAX(I26,AP26)&gt;=5,7,IF(MAX(I26,AP26)&gt;=2,3,0)))+IF(K26="High",10,IF(K26="Medium",5,0))))</x:f>
      </x:c>
      <x:c r="AC26" s="73" t="str">
        <x:f>IF(A26="","",IF(NOT(ISNUMBER(AB26)),"Review inputs",IF(AB26&gt;=70,"P0 - Immediate",IF(AB26&gt;=50,"P1 - High",IF(AB26&gt;=30,"P2 - Medium",IF(AB26&gt;=15,"P3 - Low","P4 - Monitor"))))))</x:f>
      </x:c>
      <x:c r="AD26" s="73"/>
      <x:c r="AE26" s="73"/>
      <x:c r="AF26" s="73"/>
      <x:c r="AG26" s="77"/>
      <x:c r="AH26" s="73"/>
      <x:c r="AI26" s="91"/>
      <x:c r="AJ26" s="91"/>
      <x:c r="AK26" s="91"/>
      <x:c r="AL26" s="92"/>
      <x:c r="AM26" s="91"/>
      <x:c r="AN26" s="91"/>
      <x:c r="AO26" s="93"/>
      <x:c r="AP26" s="94"/>
      <x:c r="AQ26" s="91"/>
      <x:c r="AR26" s="91"/>
      <x:c r="AS26" s="91"/>
      <x:c r="AT26" s="91"/>
      <x:c r="AU26" s="91"/>
      <x:c r="AV26" s="91"/>
      <x:c r="AW26" s="91"/>
      <x:c r="AX26" s="91"/>
      <x:c r="AY26" s="91"/>
      <x:c r="AZ26" s="92"/>
      <x:c r="BA26" s="94"/>
      <x:c r="BB26" s="91"/>
      <x:c r="BC26" s="92"/>
      <x:c r="BD26" s="92"/>
      <x:c r="BE26" s="91"/>
      <x:c r="BF26" s="91"/>
      <x:c r="BG26" s="91"/>
      <x:c r="BH26" s="91"/>
      <x:c r="BI26" s="91"/>
      <x:c r="BJ26" s="91"/>
      <x:c r="BK26" s="91"/>
      <x:c r="BL26" s="91"/>
      <x:c r="BM26" s="73" t="str">
        <x:f>IF(A26="","",IF(AI26="Example","Example only",IF(AI26&lt;&gt;"Actual","Set record type",IF(COUNTIF($A$2:$A$1001,A26)&gt;1,"Duplicate record ID",IF(OR(D26="",E26="",AF26="",NOT(ISNUMBER(AG26)),AJ26="",AK26="",NOT(ISNUMBER(AL26)),AND(AM26&lt;&gt;"Observed",AM26&lt;&gt;"Corroborated",AM26&lt;&gt;"Declared"),OR(AN26="",AN26="Unknown"),OR(AQ26="",AQ26="Unknown"),OR(AR26="",AR26="Unknown",AR26="TBD"),OR(BC26="",NOT(ISNUMBER(BC26)))),"Evidence incomplete","Evidence recorded; review scope")))))</x:f>
      </x:c>
      <x:c r="BN26" s="73"/>
    </x:row>
    <x:row r="27" ht="34" customHeight="1">
      <x:c r="A27" s="73"/>
      <x:c r="B27" s="73"/>
      <x:c r="C27" s="73"/>
      <x:c r="D27" s="73"/>
      <x:c r="E27" s="73"/>
      <x:c r="F27" s="73"/>
      <x:c r="G27" s="73"/>
      <x:c r="H27" s="73"/>
      <x:c r="I27" s="75"/>
      <x:c r="J27" s="73"/>
      <x:c r="K27" s="73"/>
      <x:c r="L27" s="76"/>
      <x:c r="M27" s="73"/>
      <x:c r="N27" s="73"/>
      <x:c r="O27" s="73"/>
      <x:c r="P27" s="73"/>
      <x:c r="Q27" s="76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  <x:c r="AB27" s="76" t="str">
        <x:f>IF(A27="","",IF(OR(NOT(ISNUMBER(I27)),I27&lt;0,NOT(ISNUMBER(AP27)),AP27&lt;0,NOT(ISNUMBER(L27)),L27&lt;1,L27&gt;5,L27&lt;&gt;INT(L27),AND(J27&lt;&gt;"Public",J27&lt;&gt;"Partner",J27&lt;&gt;"Internal",J27&lt;&gt;"None"),AND(K27&lt;&gt;"High",K27&lt;&gt;"Medium",K27&lt;&gt;"Low",K27&lt;&gt;"None"),AND(W27&lt;&gt;"Hard-coded",W27&lt;&gt;"Configurable",W27&lt;&gt;"Policy-managed",W27&lt;&gt;"API/Library abstraction",W27&lt;&gt;"Automated"),AND(Z27&lt;&gt;"Y",Z27&lt;&gt;"N"),AND(AA27&lt;&gt;"Y",AA27&lt;&gt;"N")),"Incomplete",IF(Z27="Y",20,0)+L27*5+IF(AA27="Y",15,0)+IF(J27="Public",10,IF(J27="Partner",7,IF(J27="Internal",3,0)))+IF(W27="Hard-coded",10,IF(W27="Configurable",3,0))+IF(MAX(I27,AP27)&gt;=10,10,IF(MAX(I27,AP27)&gt;=5,7,IF(MAX(I27,AP27)&gt;=2,3,0)))+IF(K27="High",10,IF(K27="Medium",5,0))))</x:f>
      </x:c>
      <x:c r="AC27" s="73" t="str">
        <x:f>IF(A27="","",IF(NOT(ISNUMBER(AB27)),"Review inputs",IF(AB27&gt;=70,"P0 - Immediate",IF(AB27&gt;=50,"P1 - High",IF(AB27&gt;=30,"P2 - Medium",IF(AB27&gt;=15,"P3 - Low","P4 - Monitor"))))))</x:f>
      </x:c>
      <x:c r="AD27" s="73"/>
      <x:c r="AE27" s="73"/>
      <x:c r="AF27" s="73"/>
      <x:c r="AG27" s="77"/>
      <x:c r="AH27" s="73"/>
      <x:c r="AI27" s="91"/>
      <x:c r="AJ27" s="91"/>
      <x:c r="AK27" s="91"/>
      <x:c r="AL27" s="92"/>
      <x:c r="AM27" s="91"/>
      <x:c r="AN27" s="91"/>
      <x:c r="AO27" s="93"/>
      <x:c r="AP27" s="94"/>
      <x:c r="AQ27" s="91"/>
      <x:c r="AR27" s="91"/>
      <x:c r="AS27" s="91"/>
      <x:c r="AT27" s="91"/>
      <x:c r="AU27" s="91"/>
      <x:c r="AV27" s="91"/>
      <x:c r="AW27" s="91"/>
      <x:c r="AX27" s="91"/>
      <x:c r="AY27" s="91"/>
      <x:c r="AZ27" s="92"/>
      <x:c r="BA27" s="94"/>
      <x:c r="BB27" s="91"/>
      <x:c r="BC27" s="92"/>
      <x:c r="BD27" s="92"/>
      <x:c r="BE27" s="91"/>
      <x:c r="BF27" s="91"/>
      <x:c r="BG27" s="91"/>
      <x:c r="BH27" s="91"/>
      <x:c r="BI27" s="91"/>
      <x:c r="BJ27" s="91"/>
      <x:c r="BK27" s="91"/>
      <x:c r="BL27" s="91"/>
      <x:c r="BM27" s="73" t="str">
        <x:f>IF(A27="","",IF(AI27="Example","Example only",IF(AI27&lt;&gt;"Actual","Set record type",IF(COUNTIF($A$2:$A$1001,A27)&gt;1,"Duplicate record ID",IF(OR(D27="",E27="",AF27="",NOT(ISNUMBER(AG27)),AJ27="",AK27="",NOT(ISNUMBER(AL27)),AND(AM27&lt;&gt;"Observed",AM27&lt;&gt;"Corroborated",AM27&lt;&gt;"Declared"),OR(AN27="",AN27="Unknown"),OR(AQ27="",AQ27="Unknown"),OR(AR27="",AR27="Unknown",AR27="TBD"),OR(BC27="",NOT(ISNUMBER(BC27)))),"Evidence incomplete","Evidence recorded; review scope")))))</x:f>
      </x:c>
      <x:c r="BN27" s="73"/>
    </x:row>
    <x:row r="28" ht="34" customHeight="1">
      <x:c r="A28" s="73"/>
      <x:c r="B28" s="73"/>
      <x:c r="C28" s="73"/>
      <x:c r="D28" s="73"/>
      <x:c r="E28" s="73"/>
      <x:c r="F28" s="73"/>
      <x:c r="G28" s="73"/>
      <x:c r="H28" s="73"/>
      <x:c r="I28" s="75"/>
      <x:c r="J28" s="73"/>
      <x:c r="K28" s="73"/>
      <x:c r="L28" s="76"/>
      <x:c r="M28" s="73"/>
      <x:c r="N28" s="73"/>
      <x:c r="O28" s="73"/>
      <x:c r="P28" s="73"/>
      <x:c r="Q28" s="76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  <x:c r="AB28" s="76" t="str">
        <x:f>IF(A28="","",IF(OR(NOT(ISNUMBER(I28)),I28&lt;0,NOT(ISNUMBER(AP28)),AP28&lt;0,NOT(ISNUMBER(L28)),L28&lt;1,L28&gt;5,L28&lt;&gt;INT(L28),AND(J28&lt;&gt;"Public",J28&lt;&gt;"Partner",J28&lt;&gt;"Internal",J28&lt;&gt;"None"),AND(K28&lt;&gt;"High",K28&lt;&gt;"Medium",K28&lt;&gt;"Low",K28&lt;&gt;"None"),AND(W28&lt;&gt;"Hard-coded",W28&lt;&gt;"Configurable",W28&lt;&gt;"Policy-managed",W28&lt;&gt;"API/Library abstraction",W28&lt;&gt;"Automated"),AND(Z28&lt;&gt;"Y",Z28&lt;&gt;"N"),AND(AA28&lt;&gt;"Y",AA28&lt;&gt;"N")),"Incomplete",IF(Z28="Y",20,0)+L28*5+IF(AA28="Y",15,0)+IF(J28="Public",10,IF(J28="Partner",7,IF(J28="Internal",3,0)))+IF(W28="Hard-coded",10,IF(W28="Configurable",3,0))+IF(MAX(I28,AP28)&gt;=10,10,IF(MAX(I28,AP28)&gt;=5,7,IF(MAX(I28,AP28)&gt;=2,3,0)))+IF(K28="High",10,IF(K28="Medium",5,0))))</x:f>
      </x:c>
      <x:c r="AC28" s="73" t="str">
        <x:f>IF(A28="","",IF(NOT(ISNUMBER(AB28)),"Review inputs",IF(AB28&gt;=70,"P0 - Immediate",IF(AB28&gt;=50,"P1 - High",IF(AB28&gt;=30,"P2 - Medium",IF(AB28&gt;=15,"P3 - Low","P4 - Monitor"))))))</x:f>
      </x:c>
      <x:c r="AD28" s="73"/>
      <x:c r="AE28" s="73"/>
      <x:c r="AF28" s="73"/>
      <x:c r="AG28" s="77"/>
      <x:c r="AH28" s="73"/>
      <x:c r="AI28" s="91"/>
      <x:c r="AJ28" s="91"/>
      <x:c r="AK28" s="91"/>
      <x:c r="AL28" s="92"/>
      <x:c r="AM28" s="91"/>
      <x:c r="AN28" s="91"/>
      <x:c r="AO28" s="93"/>
      <x:c r="AP28" s="94"/>
      <x:c r="AQ28" s="91"/>
      <x:c r="AR28" s="91"/>
      <x:c r="AS28" s="91"/>
      <x:c r="AT28" s="91"/>
      <x:c r="AU28" s="91"/>
      <x:c r="AV28" s="91"/>
      <x:c r="AW28" s="91"/>
      <x:c r="AX28" s="91"/>
      <x:c r="AY28" s="91"/>
      <x:c r="AZ28" s="92"/>
      <x:c r="BA28" s="94"/>
      <x:c r="BB28" s="91"/>
      <x:c r="BC28" s="92"/>
      <x:c r="BD28" s="92"/>
      <x:c r="BE28" s="91"/>
      <x:c r="BF28" s="91"/>
      <x:c r="BG28" s="91"/>
      <x:c r="BH28" s="91"/>
      <x:c r="BI28" s="91"/>
      <x:c r="BJ28" s="91"/>
      <x:c r="BK28" s="91"/>
      <x:c r="BL28" s="91"/>
      <x:c r="BM28" s="73" t="str">
        <x:f>IF(A28="","",IF(AI28="Example","Example only",IF(AI28&lt;&gt;"Actual","Set record type",IF(COUNTIF($A$2:$A$1001,A28)&gt;1,"Duplicate record ID",IF(OR(D28="",E28="",AF28="",NOT(ISNUMBER(AG28)),AJ28="",AK28="",NOT(ISNUMBER(AL28)),AND(AM28&lt;&gt;"Observed",AM28&lt;&gt;"Corroborated",AM28&lt;&gt;"Declared"),OR(AN28="",AN28="Unknown"),OR(AQ28="",AQ28="Unknown"),OR(AR28="",AR28="Unknown",AR28="TBD"),OR(BC28="",NOT(ISNUMBER(BC28)))),"Evidence incomplete","Evidence recorded; review scope")))))</x:f>
      </x:c>
      <x:c r="BN28" s="73"/>
    </x:row>
    <x:row r="29" ht="34" customHeight="1">
      <x:c r="A29" s="73"/>
      <x:c r="B29" s="73"/>
      <x:c r="C29" s="73"/>
      <x:c r="D29" s="73"/>
      <x:c r="E29" s="73"/>
      <x:c r="F29" s="73"/>
      <x:c r="G29" s="73"/>
      <x:c r="H29" s="73"/>
      <x:c r="I29" s="75"/>
      <x:c r="J29" s="73"/>
      <x:c r="K29" s="73"/>
      <x:c r="L29" s="76"/>
      <x:c r="M29" s="73"/>
      <x:c r="N29" s="73"/>
      <x:c r="O29" s="73"/>
      <x:c r="P29" s="73"/>
      <x:c r="Q29" s="76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  <x:c r="AB29" s="76" t="str">
        <x:f>IF(A29="","",IF(OR(NOT(ISNUMBER(I29)),I29&lt;0,NOT(ISNUMBER(AP29)),AP29&lt;0,NOT(ISNUMBER(L29)),L29&lt;1,L29&gt;5,L29&lt;&gt;INT(L29),AND(J29&lt;&gt;"Public",J29&lt;&gt;"Partner",J29&lt;&gt;"Internal",J29&lt;&gt;"None"),AND(K29&lt;&gt;"High",K29&lt;&gt;"Medium",K29&lt;&gt;"Low",K29&lt;&gt;"None"),AND(W29&lt;&gt;"Hard-coded",W29&lt;&gt;"Configurable",W29&lt;&gt;"Policy-managed",W29&lt;&gt;"API/Library abstraction",W29&lt;&gt;"Automated"),AND(Z29&lt;&gt;"Y",Z29&lt;&gt;"N"),AND(AA29&lt;&gt;"Y",AA29&lt;&gt;"N")),"Incomplete",IF(Z29="Y",20,0)+L29*5+IF(AA29="Y",15,0)+IF(J29="Public",10,IF(J29="Partner",7,IF(J29="Internal",3,0)))+IF(W29="Hard-coded",10,IF(W29="Configurable",3,0))+IF(MAX(I29,AP29)&gt;=10,10,IF(MAX(I29,AP29)&gt;=5,7,IF(MAX(I29,AP29)&gt;=2,3,0)))+IF(K29="High",10,IF(K29="Medium",5,0))))</x:f>
      </x:c>
      <x:c r="AC29" s="73" t="str">
        <x:f>IF(A29="","",IF(NOT(ISNUMBER(AB29)),"Review inputs",IF(AB29&gt;=70,"P0 - Immediate",IF(AB29&gt;=50,"P1 - High",IF(AB29&gt;=30,"P2 - Medium",IF(AB29&gt;=15,"P3 - Low","P4 - Monitor"))))))</x:f>
      </x:c>
      <x:c r="AD29" s="73"/>
      <x:c r="AE29" s="73"/>
      <x:c r="AF29" s="73"/>
      <x:c r="AG29" s="77"/>
      <x:c r="AH29" s="73"/>
      <x:c r="AI29" s="91"/>
      <x:c r="AJ29" s="91"/>
      <x:c r="AK29" s="91"/>
      <x:c r="AL29" s="92"/>
      <x:c r="AM29" s="91"/>
      <x:c r="AN29" s="91"/>
      <x:c r="AO29" s="93"/>
      <x:c r="AP29" s="94"/>
      <x:c r="AQ29" s="91"/>
      <x:c r="AR29" s="91"/>
      <x:c r="AS29" s="91"/>
      <x:c r="AT29" s="91"/>
      <x:c r="AU29" s="91"/>
      <x:c r="AV29" s="91"/>
      <x:c r="AW29" s="91"/>
      <x:c r="AX29" s="91"/>
      <x:c r="AY29" s="91"/>
      <x:c r="AZ29" s="92"/>
      <x:c r="BA29" s="94"/>
      <x:c r="BB29" s="91"/>
      <x:c r="BC29" s="92"/>
      <x:c r="BD29" s="92"/>
      <x:c r="BE29" s="91"/>
      <x:c r="BF29" s="91"/>
      <x:c r="BG29" s="91"/>
      <x:c r="BH29" s="91"/>
      <x:c r="BI29" s="91"/>
      <x:c r="BJ29" s="91"/>
      <x:c r="BK29" s="91"/>
      <x:c r="BL29" s="91"/>
      <x:c r="BM29" s="73" t="str">
        <x:f>IF(A29="","",IF(AI29="Example","Example only",IF(AI29&lt;&gt;"Actual","Set record type",IF(COUNTIF($A$2:$A$1001,A29)&gt;1,"Duplicate record ID",IF(OR(D29="",E29="",AF29="",NOT(ISNUMBER(AG29)),AJ29="",AK29="",NOT(ISNUMBER(AL29)),AND(AM29&lt;&gt;"Observed",AM29&lt;&gt;"Corroborated",AM29&lt;&gt;"Declared"),OR(AN29="",AN29="Unknown"),OR(AQ29="",AQ29="Unknown"),OR(AR29="",AR29="Unknown",AR29="TBD"),OR(BC29="",NOT(ISNUMBER(BC29)))),"Evidence incomplete","Evidence recorded; review scope")))))</x:f>
      </x:c>
      <x:c r="BN29" s="73"/>
    </x:row>
    <x:row r="30" ht="34" customHeight="1">
      <x:c r="A30" s="73"/>
      <x:c r="B30" s="73"/>
      <x:c r="C30" s="73"/>
      <x:c r="D30" s="73"/>
      <x:c r="E30" s="73"/>
      <x:c r="F30" s="73"/>
      <x:c r="G30" s="73"/>
      <x:c r="H30" s="73"/>
      <x:c r="I30" s="75"/>
      <x:c r="J30" s="73"/>
      <x:c r="K30" s="73"/>
      <x:c r="L30" s="76"/>
      <x:c r="M30" s="73"/>
      <x:c r="N30" s="73"/>
      <x:c r="O30" s="73"/>
      <x:c r="P30" s="73"/>
      <x:c r="Q30" s="76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  <x:c r="AB30" s="76" t="str">
        <x:f>IF(A30="","",IF(OR(NOT(ISNUMBER(I30)),I30&lt;0,NOT(ISNUMBER(AP30)),AP30&lt;0,NOT(ISNUMBER(L30)),L30&lt;1,L30&gt;5,L30&lt;&gt;INT(L30),AND(J30&lt;&gt;"Public",J30&lt;&gt;"Partner",J30&lt;&gt;"Internal",J30&lt;&gt;"None"),AND(K30&lt;&gt;"High",K30&lt;&gt;"Medium",K30&lt;&gt;"Low",K30&lt;&gt;"None"),AND(W30&lt;&gt;"Hard-coded",W30&lt;&gt;"Configurable",W30&lt;&gt;"Policy-managed",W30&lt;&gt;"API/Library abstraction",W30&lt;&gt;"Automated"),AND(Z30&lt;&gt;"Y",Z30&lt;&gt;"N"),AND(AA30&lt;&gt;"Y",AA30&lt;&gt;"N")),"Incomplete",IF(Z30="Y",20,0)+L30*5+IF(AA30="Y",15,0)+IF(J30="Public",10,IF(J30="Partner",7,IF(J30="Internal",3,0)))+IF(W30="Hard-coded",10,IF(W30="Configurable",3,0))+IF(MAX(I30,AP30)&gt;=10,10,IF(MAX(I30,AP30)&gt;=5,7,IF(MAX(I30,AP30)&gt;=2,3,0)))+IF(K30="High",10,IF(K30="Medium",5,0))))</x:f>
      </x:c>
      <x:c r="AC30" s="73" t="str">
        <x:f>IF(A30="","",IF(NOT(ISNUMBER(AB30)),"Review inputs",IF(AB30&gt;=70,"P0 - Immediate",IF(AB30&gt;=50,"P1 - High",IF(AB30&gt;=30,"P2 - Medium",IF(AB30&gt;=15,"P3 - Low","P4 - Monitor"))))))</x:f>
      </x:c>
      <x:c r="AD30" s="73"/>
      <x:c r="AE30" s="73"/>
      <x:c r="AF30" s="73"/>
      <x:c r="AG30" s="77"/>
      <x:c r="AH30" s="73"/>
      <x:c r="AI30" s="91"/>
      <x:c r="AJ30" s="91"/>
      <x:c r="AK30" s="91"/>
      <x:c r="AL30" s="92"/>
      <x:c r="AM30" s="91"/>
      <x:c r="AN30" s="91"/>
      <x:c r="AO30" s="93"/>
      <x:c r="AP30" s="94"/>
      <x:c r="AQ30" s="91"/>
      <x:c r="AR30" s="91"/>
      <x:c r="AS30" s="91"/>
      <x:c r="AT30" s="91"/>
      <x:c r="AU30" s="91"/>
      <x:c r="AV30" s="91"/>
      <x:c r="AW30" s="91"/>
      <x:c r="AX30" s="91"/>
      <x:c r="AY30" s="91"/>
      <x:c r="AZ30" s="92"/>
      <x:c r="BA30" s="94"/>
      <x:c r="BB30" s="91"/>
      <x:c r="BC30" s="92"/>
      <x:c r="BD30" s="92"/>
      <x:c r="BE30" s="91"/>
      <x:c r="BF30" s="91"/>
      <x:c r="BG30" s="91"/>
      <x:c r="BH30" s="91"/>
      <x:c r="BI30" s="91"/>
      <x:c r="BJ30" s="91"/>
      <x:c r="BK30" s="91"/>
      <x:c r="BL30" s="91"/>
      <x:c r="BM30" s="73" t="str">
        <x:f>IF(A30="","",IF(AI30="Example","Example only",IF(AI30&lt;&gt;"Actual","Set record type",IF(COUNTIF($A$2:$A$1001,A30)&gt;1,"Duplicate record ID",IF(OR(D30="",E30="",AF30="",NOT(ISNUMBER(AG30)),AJ30="",AK30="",NOT(ISNUMBER(AL30)),AND(AM30&lt;&gt;"Observed",AM30&lt;&gt;"Corroborated",AM30&lt;&gt;"Declared"),OR(AN30="",AN30="Unknown"),OR(AQ30="",AQ30="Unknown"),OR(AR30="",AR30="Unknown",AR30="TBD"),OR(BC30="",NOT(ISNUMBER(BC30)))),"Evidence incomplete","Evidence recorded; review scope")))))</x:f>
      </x:c>
      <x:c r="BN30" s="73"/>
    </x:row>
    <x:row r="31" ht="34" customHeight="1">
      <x:c r="A31" s="73"/>
      <x:c r="B31" s="73"/>
      <x:c r="C31" s="73"/>
      <x:c r="D31" s="73"/>
      <x:c r="E31" s="73"/>
      <x:c r="F31" s="73"/>
      <x:c r="G31" s="73"/>
      <x:c r="H31" s="73"/>
      <x:c r="I31" s="75"/>
      <x:c r="J31" s="73"/>
      <x:c r="K31" s="73"/>
      <x:c r="L31" s="76"/>
      <x:c r="M31" s="73"/>
      <x:c r="N31" s="73"/>
      <x:c r="O31" s="73"/>
      <x:c r="P31" s="73"/>
      <x:c r="Q31" s="76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  <x:c r="AB31" s="76" t="str">
        <x:f>IF(A31="","",IF(OR(NOT(ISNUMBER(I31)),I31&lt;0,NOT(ISNUMBER(AP31)),AP31&lt;0,NOT(ISNUMBER(L31)),L31&lt;1,L31&gt;5,L31&lt;&gt;INT(L31),AND(J31&lt;&gt;"Public",J31&lt;&gt;"Partner",J31&lt;&gt;"Internal",J31&lt;&gt;"None"),AND(K31&lt;&gt;"High",K31&lt;&gt;"Medium",K31&lt;&gt;"Low",K31&lt;&gt;"None"),AND(W31&lt;&gt;"Hard-coded",W31&lt;&gt;"Configurable",W31&lt;&gt;"Policy-managed",W31&lt;&gt;"API/Library abstraction",W31&lt;&gt;"Automated"),AND(Z31&lt;&gt;"Y",Z31&lt;&gt;"N"),AND(AA31&lt;&gt;"Y",AA31&lt;&gt;"N")),"Incomplete",IF(Z31="Y",20,0)+L31*5+IF(AA31="Y",15,0)+IF(J31="Public",10,IF(J31="Partner",7,IF(J31="Internal",3,0)))+IF(W31="Hard-coded",10,IF(W31="Configurable",3,0))+IF(MAX(I31,AP31)&gt;=10,10,IF(MAX(I31,AP31)&gt;=5,7,IF(MAX(I31,AP31)&gt;=2,3,0)))+IF(K31="High",10,IF(K31="Medium",5,0))))</x:f>
      </x:c>
      <x:c r="AC31" s="73" t="str">
        <x:f>IF(A31="","",IF(NOT(ISNUMBER(AB31)),"Review inputs",IF(AB31&gt;=70,"P0 - Immediate",IF(AB31&gt;=50,"P1 - High",IF(AB31&gt;=30,"P2 - Medium",IF(AB31&gt;=15,"P3 - Low","P4 - Monitor"))))))</x:f>
      </x:c>
      <x:c r="AD31" s="73"/>
      <x:c r="AE31" s="73"/>
      <x:c r="AF31" s="73"/>
      <x:c r="AG31" s="77"/>
      <x:c r="AH31" s="73"/>
      <x:c r="AI31" s="91"/>
      <x:c r="AJ31" s="91"/>
      <x:c r="AK31" s="91"/>
      <x:c r="AL31" s="92"/>
      <x:c r="AM31" s="91"/>
      <x:c r="AN31" s="91"/>
      <x:c r="AO31" s="93"/>
      <x:c r="AP31" s="94"/>
      <x:c r="AQ31" s="91"/>
      <x:c r="AR31" s="91"/>
      <x:c r="AS31" s="91"/>
      <x:c r="AT31" s="91"/>
      <x:c r="AU31" s="91"/>
      <x:c r="AV31" s="91"/>
      <x:c r="AW31" s="91"/>
      <x:c r="AX31" s="91"/>
      <x:c r="AY31" s="91"/>
      <x:c r="AZ31" s="92"/>
      <x:c r="BA31" s="94"/>
      <x:c r="BB31" s="91"/>
      <x:c r="BC31" s="92"/>
      <x:c r="BD31" s="92"/>
      <x:c r="BE31" s="91"/>
      <x:c r="BF31" s="91"/>
      <x:c r="BG31" s="91"/>
      <x:c r="BH31" s="91"/>
      <x:c r="BI31" s="91"/>
      <x:c r="BJ31" s="91"/>
      <x:c r="BK31" s="91"/>
      <x:c r="BL31" s="91"/>
      <x:c r="BM31" s="73" t="str">
        <x:f>IF(A31="","",IF(AI31="Example","Example only",IF(AI31&lt;&gt;"Actual","Set record type",IF(COUNTIF($A$2:$A$1001,A31)&gt;1,"Duplicate record ID",IF(OR(D31="",E31="",AF31="",NOT(ISNUMBER(AG31)),AJ31="",AK31="",NOT(ISNUMBER(AL31)),AND(AM31&lt;&gt;"Observed",AM31&lt;&gt;"Corroborated",AM31&lt;&gt;"Declared"),OR(AN31="",AN31="Unknown"),OR(AQ31="",AQ31="Unknown"),OR(AR31="",AR31="Unknown",AR31="TBD"),OR(BC31="",NOT(ISNUMBER(BC31)))),"Evidence incomplete","Evidence recorded; review scope")))))</x:f>
      </x:c>
      <x:c r="BN31" s="73"/>
    </x:row>
    <x:row r="32" ht="34" customHeight="1">
      <x:c r="A32" s="73"/>
      <x:c r="B32" s="73"/>
      <x:c r="C32" s="73"/>
      <x:c r="D32" s="73"/>
      <x:c r="E32" s="73"/>
      <x:c r="F32" s="73"/>
      <x:c r="G32" s="73"/>
      <x:c r="H32" s="73"/>
      <x:c r="I32" s="75"/>
      <x:c r="J32" s="73"/>
      <x:c r="K32" s="73"/>
      <x:c r="L32" s="76"/>
      <x:c r="M32" s="73"/>
      <x:c r="N32" s="73"/>
      <x:c r="O32" s="73"/>
      <x:c r="P32" s="73"/>
      <x:c r="Q32" s="76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  <x:c r="AB32" s="76" t="str">
        <x:f>IF(A32="","",IF(OR(NOT(ISNUMBER(I32)),I32&lt;0,NOT(ISNUMBER(AP32)),AP32&lt;0,NOT(ISNUMBER(L32)),L32&lt;1,L32&gt;5,L32&lt;&gt;INT(L32),AND(J32&lt;&gt;"Public",J32&lt;&gt;"Partner",J32&lt;&gt;"Internal",J32&lt;&gt;"None"),AND(K32&lt;&gt;"High",K32&lt;&gt;"Medium",K32&lt;&gt;"Low",K32&lt;&gt;"None"),AND(W32&lt;&gt;"Hard-coded",W32&lt;&gt;"Configurable",W32&lt;&gt;"Policy-managed",W32&lt;&gt;"API/Library abstraction",W32&lt;&gt;"Automated"),AND(Z32&lt;&gt;"Y",Z32&lt;&gt;"N"),AND(AA32&lt;&gt;"Y",AA32&lt;&gt;"N")),"Incomplete",IF(Z32="Y",20,0)+L32*5+IF(AA32="Y",15,0)+IF(J32="Public",10,IF(J32="Partner",7,IF(J32="Internal",3,0)))+IF(W32="Hard-coded",10,IF(W32="Configurable",3,0))+IF(MAX(I32,AP32)&gt;=10,10,IF(MAX(I32,AP32)&gt;=5,7,IF(MAX(I32,AP32)&gt;=2,3,0)))+IF(K32="High",10,IF(K32="Medium",5,0))))</x:f>
      </x:c>
      <x:c r="AC32" s="73" t="str">
        <x:f>IF(A32="","",IF(NOT(ISNUMBER(AB32)),"Review inputs",IF(AB32&gt;=70,"P0 - Immediate",IF(AB32&gt;=50,"P1 - High",IF(AB32&gt;=30,"P2 - Medium",IF(AB32&gt;=15,"P3 - Low","P4 - Monitor"))))))</x:f>
      </x:c>
      <x:c r="AD32" s="73"/>
      <x:c r="AE32" s="73"/>
      <x:c r="AF32" s="73"/>
      <x:c r="AG32" s="77"/>
      <x:c r="AH32" s="73"/>
      <x:c r="AI32" s="91"/>
      <x:c r="AJ32" s="91"/>
      <x:c r="AK32" s="91"/>
      <x:c r="AL32" s="92"/>
      <x:c r="AM32" s="91"/>
      <x:c r="AN32" s="91"/>
      <x:c r="AO32" s="93"/>
      <x:c r="AP32" s="94"/>
      <x:c r="AQ32" s="91"/>
      <x:c r="AR32" s="91"/>
      <x:c r="AS32" s="91"/>
      <x:c r="AT32" s="91"/>
      <x:c r="AU32" s="91"/>
      <x:c r="AV32" s="91"/>
      <x:c r="AW32" s="91"/>
      <x:c r="AX32" s="91"/>
      <x:c r="AY32" s="91"/>
      <x:c r="AZ32" s="92"/>
      <x:c r="BA32" s="94"/>
      <x:c r="BB32" s="91"/>
      <x:c r="BC32" s="92"/>
      <x:c r="BD32" s="92"/>
      <x:c r="BE32" s="91"/>
      <x:c r="BF32" s="91"/>
      <x:c r="BG32" s="91"/>
      <x:c r="BH32" s="91"/>
      <x:c r="BI32" s="91"/>
      <x:c r="BJ32" s="91"/>
      <x:c r="BK32" s="91"/>
      <x:c r="BL32" s="91"/>
      <x:c r="BM32" s="73" t="str">
        <x:f>IF(A32="","",IF(AI32="Example","Example only",IF(AI32&lt;&gt;"Actual","Set record type",IF(COUNTIF($A$2:$A$1001,A32)&gt;1,"Duplicate record ID",IF(OR(D32="",E32="",AF32="",NOT(ISNUMBER(AG32)),AJ32="",AK32="",NOT(ISNUMBER(AL32)),AND(AM32&lt;&gt;"Observed",AM32&lt;&gt;"Corroborated",AM32&lt;&gt;"Declared"),OR(AN32="",AN32="Unknown"),OR(AQ32="",AQ32="Unknown"),OR(AR32="",AR32="Unknown",AR32="TBD"),OR(BC32="",NOT(ISNUMBER(BC32)))),"Evidence incomplete","Evidence recorded; review scope")))))</x:f>
      </x:c>
      <x:c r="BN32" s="73"/>
    </x:row>
    <x:row r="33" ht="34" customHeight="1">
      <x:c r="A33" s="73"/>
      <x:c r="B33" s="73"/>
      <x:c r="C33" s="73"/>
      <x:c r="D33" s="73"/>
      <x:c r="E33" s="73"/>
      <x:c r="F33" s="73"/>
      <x:c r="G33" s="73"/>
      <x:c r="H33" s="73"/>
      <x:c r="I33" s="75"/>
      <x:c r="J33" s="73"/>
      <x:c r="K33" s="73"/>
      <x:c r="L33" s="76"/>
      <x:c r="M33" s="73"/>
      <x:c r="N33" s="73"/>
      <x:c r="O33" s="73"/>
      <x:c r="P33" s="73"/>
      <x:c r="Q33" s="76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  <x:c r="AB33" s="76" t="str">
        <x:f>IF(A33="","",IF(OR(NOT(ISNUMBER(I33)),I33&lt;0,NOT(ISNUMBER(AP33)),AP33&lt;0,NOT(ISNUMBER(L33)),L33&lt;1,L33&gt;5,L33&lt;&gt;INT(L33),AND(J33&lt;&gt;"Public",J33&lt;&gt;"Partner",J33&lt;&gt;"Internal",J33&lt;&gt;"None"),AND(K33&lt;&gt;"High",K33&lt;&gt;"Medium",K33&lt;&gt;"Low",K33&lt;&gt;"None"),AND(W33&lt;&gt;"Hard-coded",W33&lt;&gt;"Configurable",W33&lt;&gt;"Policy-managed",W33&lt;&gt;"API/Library abstraction",W33&lt;&gt;"Automated"),AND(Z33&lt;&gt;"Y",Z33&lt;&gt;"N"),AND(AA33&lt;&gt;"Y",AA33&lt;&gt;"N")),"Incomplete",IF(Z33="Y",20,0)+L33*5+IF(AA33="Y",15,0)+IF(J33="Public",10,IF(J33="Partner",7,IF(J33="Internal",3,0)))+IF(W33="Hard-coded",10,IF(W33="Configurable",3,0))+IF(MAX(I33,AP33)&gt;=10,10,IF(MAX(I33,AP33)&gt;=5,7,IF(MAX(I33,AP33)&gt;=2,3,0)))+IF(K33="High",10,IF(K33="Medium",5,0))))</x:f>
      </x:c>
      <x:c r="AC33" s="73" t="str">
        <x:f>IF(A33="","",IF(NOT(ISNUMBER(AB33)),"Review inputs",IF(AB33&gt;=70,"P0 - Immediate",IF(AB33&gt;=50,"P1 - High",IF(AB33&gt;=30,"P2 - Medium",IF(AB33&gt;=15,"P3 - Low","P4 - Monitor"))))))</x:f>
      </x:c>
      <x:c r="AD33" s="73"/>
      <x:c r="AE33" s="73"/>
      <x:c r="AF33" s="73"/>
      <x:c r="AG33" s="77"/>
      <x:c r="AH33" s="73"/>
      <x:c r="AI33" s="91"/>
      <x:c r="AJ33" s="91"/>
      <x:c r="AK33" s="91"/>
      <x:c r="AL33" s="92"/>
      <x:c r="AM33" s="91"/>
      <x:c r="AN33" s="91"/>
      <x:c r="AO33" s="93"/>
      <x:c r="AP33" s="94"/>
      <x:c r="AQ33" s="91"/>
      <x:c r="AR33" s="91"/>
      <x:c r="AS33" s="91"/>
      <x:c r="AT33" s="91"/>
      <x:c r="AU33" s="91"/>
      <x:c r="AV33" s="91"/>
      <x:c r="AW33" s="91"/>
      <x:c r="AX33" s="91"/>
      <x:c r="AY33" s="91"/>
      <x:c r="AZ33" s="92"/>
      <x:c r="BA33" s="94"/>
      <x:c r="BB33" s="91"/>
      <x:c r="BC33" s="92"/>
      <x:c r="BD33" s="92"/>
      <x:c r="BE33" s="91"/>
      <x:c r="BF33" s="91"/>
      <x:c r="BG33" s="91"/>
      <x:c r="BH33" s="91"/>
      <x:c r="BI33" s="91"/>
      <x:c r="BJ33" s="91"/>
      <x:c r="BK33" s="91"/>
      <x:c r="BL33" s="91"/>
      <x:c r="BM33" s="73" t="str">
        <x:f>IF(A33="","",IF(AI33="Example","Example only",IF(AI33&lt;&gt;"Actual","Set record type",IF(COUNTIF($A$2:$A$1001,A33)&gt;1,"Duplicate record ID",IF(OR(D33="",E33="",AF33="",NOT(ISNUMBER(AG33)),AJ33="",AK33="",NOT(ISNUMBER(AL33)),AND(AM33&lt;&gt;"Observed",AM33&lt;&gt;"Corroborated",AM33&lt;&gt;"Declared"),OR(AN33="",AN33="Unknown"),OR(AQ33="",AQ33="Unknown"),OR(AR33="",AR33="Unknown",AR33="TBD"),OR(BC33="",NOT(ISNUMBER(BC33)))),"Evidence incomplete","Evidence recorded; review scope")))))</x:f>
      </x:c>
      <x:c r="BN33" s="73"/>
    </x:row>
    <x:row r="34" ht="34" customHeight="1">
      <x:c r="A34" s="73"/>
      <x:c r="B34" s="73"/>
      <x:c r="C34" s="73"/>
      <x:c r="D34" s="73"/>
      <x:c r="E34" s="73"/>
      <x:c r="F34" s="73"/>
      <x:c r="G34" s="73"/>
      <x:c r="H34" s="73"/>
      <x:c r="I34" s="75"/>
      <x:c r="J34" s="73"/>
      <x:c r="K34" s="73"/>
      <x:c r="L34" s="76"/>
      <x:c r="M34" s="73"/>
      <x:c r="N34" s="73"/>
      <x:c r="O34" s="73"/>
      <x:c r="P34" s="73"/>
      <x:c r="Q34" s="76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  <x:c r="AB34" s="76" t="str">
        <x:f>IF(A34="","",IF(OR(NOT(ISNUMBER(I34)),I34&lt;0,NOT(ISNUMBER(AP34)),AP34&lt;0,NOT(ISNUMBER(L34)),L34&lt;1,L34&gt;5,L34&lt;&gt;INT(L34),AND(J34&lt;&gt;"Public",J34&lt;&gt;"Partner",J34&lt;&gt;"Internal",J34&lt;&gt;"None"),AND(K34&lt;&gt;"High",K34&lt;&gt;"Medium",K34&lt;&gt;"Low",K34&lt;&gt;"None"),AND(W34&lt;&gt;"Hard-coded",W34&lt;&gt;"Configurable",W34&lt;&gt;"Policy-managed",W34&lt;&gt;"API/Library abstraction",W34&lt;&gt;"Automated"),AND(Z34&lt;&gt;"Y",Z34&lt;&gt;"N"),AND(AA34&lt;&gt;"Y",AA34&lt;&gt;"N")),"Incomplete",IF(Z34="Y",20,0)+L34*5+IF(AA34="Y",15,0)+IF(J34="Public",10,IF(J34="Partner",7,IF(J34="Internal",3,0)))+IF(W34="Hard-coded",10,IF(W34="Configurable",3,0))+IF(MAX(I34,AP34)&gt;=10,10,IF(MAX(I34,AP34)&gt;=5,7,IF(MAX(I34,AP34)&gt;=2,3,0)))+IF(K34="High",10,IF(K34="Medium",5,0))))</x:f>
      </x:c>
      <x:c r="AC34" s="73" t="str">
        <x:f>IF(A34="","",IF(NOT(ISNUMBER(AB34)),"Review inputs",IF(AB34&gt;=70,"P0 - Immediate",IF(AB34&gt;=50,"P1 - High",IF(AB34&gt;=30,"P2 - Medium",IF(AB34&gt;=15,"P3 - Low","P4 - Monitor"))))))</x:f>
      </x:c>
      <x:c r="AD34" s="73"/>
      <x:c r="AE34" s="73"/>
      <x:c r="AF34" s="73"/>
      <x:c r="AG34" s="77"/>
      <x:c r="AH34" s="73"/>
      <x:c r="AI34" s="91"/>
      <x:c r="AJ34" s="91"/>
      <x:c r="AK34" s="91"/>
      <x:c r="AL34" s="92"/>
      <x:c r="AM34" s="91"/>
      <x:c r="AN34" s="91"/>
      <x:c r="AO34" s="93"/>
      <x:c r="AP34" s="94"/>
      <x:c r="AQ34" s="91"/>
      <x:c r="AR34" s="91"/>
      <x:c r="AS34" s="91"/>
      <x:c r="AT34" s="91"/>
      <x:c r="AU34" s="91"/>
      <x:c r="AV34" s="91"/>
      <x:c r="AW34" s="91"/>
      <x:c r="AX34" s="91"/>
      <x:c r="AY34" s="91"/>
      <x:c r="AZ34" s="92"/>
      <x:c r="BA34" s="94"/>
      <x:c r="BB34" s="91"/>
      <x:c r="BC34" s="92"/>
      <x:c r="BD34" s="92"/>
      <x:c r="BE34" s="91"/>
      <x:c r="BF34" s="91"/>
      <x:c r="BG34" s="91"/>
      <x:c r="BH34" s="91"/>
      <x:c r="BI34" s="91"/>
      <x:c r="BJ34" s="91"/>
      <x:c r="BK34" s="91"/>
      <x:c r="BL34" s="91"/>
      <x:c r="BM34" s="73" t="str">
        <x:f>IF(A34="","",IF(AI34="Example","Example only",IF(AI34&lt;&gt;"Actual","Set record type",IF(COUNTIF($A$2:$A$1001,A34)&gt;1,"Duplicate record ID",IF(OR(D34="",E34="",AF34="",NOT(ISNUMBER(AG34)),AJ34="",AK34="",NOT(ISNUMBER(AL34)),AND(AM34&lt;&gt;"Observed",AM34&lt;&gt;"Corroborated",AM34&lt;&gt;"Declared"),OR(AN34="",AN34="Unknown"),OR(AQ34="",AQ34="Unknown"),OR(AR34="",AR34="Unknown",AR34="TBD"),OR(BC34="",NOT(ISNUMBER(BC34)))),"Evidence incomplete","Evidence recorded; review scope")))))</x:f>
      </x:c>
      <x:c r="BN34" s="73"/>
    </x:row>
    <x:row r="35" ht="34" customHeight="1">
      <x:c r="A35" s="73"/>
      <x:c r="B35" s="73"/>
      <x:c r="C35" s="73"/>
      <x:c r="D35" s="73"/>
      <x:c r="E35" s="73"/>
      <x:c r="F35" s="73"/>
      <x:c r="G35" s="73"/>
      <x:c r="H35" s="73"/>
      <x:c r="I35" s="75"/>
      <x:c r="J35" s="73"/>
      <x:c r="K35" s="73"/>
      <x:c r="L35" s="76"/>
      <x:c r="M35" s="73"/>
      <x:c r="N35" s="73"/>
      <x:c r="O35" s="73"/>
      <x:c r="P35" s="73"/>
      <x:c r="Q35" s="76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  <x:c r="AB35" s="76" t="str">
        <x:f>IF(A35="","",IF(OR(NOT(ISNUMBER(I35)),I35&lt;0,NOT(ISNUMBER(AP35)),AP35&lt;0,NOT(ISNUMBER(L35)),L35&lt;1,L35&gt;5,L35&lt;&gt;INT(L35),AND(J35&lt;&gt;"Public",J35&lt;&gt;"Partner",J35&lt;&gt;"Internal",J35&lt;&gt;"None"),AND(K35&lt;&gt;"High",K35&lt;&gt;"Medium",K35&lt;&gt;"Low",K35&lt;&gt;"None"),AND(W35&lt;&gt;"Hard-coded",W35&lt;&gt;"Configurable",W35&lt;&gt;"Policy-managed",W35&lt;&gt;"API/Library abstraction",W35&lt;&gt;"Automated"),AND(Z35&lt;&gt;"Y",Z35&lt;&gt;"N"),AND(AA35&lt;&gt;"Y",AA35&lt;&gt;"N")),"Incomplete",IF(Z35="Y",20,0)+L35*5+IF(AA35="Y",15,0)+IF(J35="Public",10,IF(J35="Partner",7,IF(J35="Internal",3,0)))+IF(W35="Hard-coded",10,IF(W35="Configurable",3,0))+IF(MAX(I35,AP35)&gt;=10,10,IF(MAX(I35,AP35)&gt;=5,7,IF(MAX(I35,AP35)&gt;=2,3,0)))+IF(K35="High",10,IF(K35="Medium",5,0))))</x:f>
      </x:c>
      <x:c r="AC35" s="73" t="str">
        <x:f>IF(A35="","",IF(NOT(ISNUMBER(AB35)),"Review inputs",IF(AB35&gt;=70,"P0 - Immediate",IF(AB35&gt;=50,"P1 - High",IF(AB35&gt;=30,"P2 - Medium",IF(AB35&gt;=15,"P3 - Low","P4 - Monitor"))))))</x:f>
      </x:c>
      <x:c r="AD35" s="73"/>
      <x:c r="AE35" s="73"/>
      <x:c r="AF35" s="73"/>
      <x:c r="AG35" s="77"/>
      <x:c r="AH35" s="73"/>
      <x:c r="AI35" s="91"/>
      <x:c r="AJ35" s="91"/>
      <x:c r="AK35" s="91"/>
      <x:c r="AL35" s="92"/>
      <x:c r="AM35" s="91"/>
      <x:c r="AN35" s="91"/>
      <x:c r="AO35" s="93"/>
      <x:c r="AP35" s="94"/>
      <x:c r="AQ35" s="91"/>
      <x:c r="AR35" s="91"/>
      <x:c r="AS35" s="91"/>
      <x:c r="AT35" s="91"/>
      <x:c r="AU35" s="91"/>
      <x:c r="AV35" s="91"/>
      <x:c r="AW35" s="91"/>
      <x:c r="AX35" s="91"/>
      <x:c r="AY35" s="91"/>
      <x:c r="AZ35" s="92"/>
      <x:c r="BA35" s="94"/>
      <x:c r="BB35" s="91"/>
      <x:c r="BC35" s="92"/>
      <x:c r="BD35" s="92"/>
      <x:c r="BE35" s="91"/>
      <x:c r="BF35" s="91"/>
      <x:c r="BG35" s="91"/>
      <x:c r="BH35" s="91"/>
      <x:c r="BI35" s="91"/>
      <x:c r="BJ35" s="91"/>
      <x:c r="BK35" s="91"/>
      <x:c r="BL35" s="91"/>
      <x:c r="BM35" s="73" t="str">
        <x:f>IF(A35="","",IF(AI35="Example","Example only",IF(AI35&lt;&gt;"Actual","Set record type",IF(COUNTIF($A$2:$A$1001,A35)&gt;1,"Duplicate record ID",IF(OR(D35="",E35="",AF35="",NOT(ISNUMBER(AG35)),AJ35="",AK35="",NOT(ISNUMBER(AL35)),AND(AM35&lt;&gt;"Observed",AM35&lt;&gt;"Corroborated",AM35&lt;&gt;"Declared"),OR(AN35="",AN35="Unknown"),OR(AQ35="",AQ35="Unknown"),OR(AR35="",AR35="Unknown",AR35="TBD"),OR(BC35="",NOT(ISNUMBER(BC35)))),"Evidence incomplete","Evidence recorded; review scope")))))</x:f>
      </x:c>
      <x:c r="BN35" s="73"/>
    </x:row>
    <x:row r="36" ht="34" customHeight="1">
      <x:c r="A36" s="73"/>
      <x:c r="B36" s="73"/>
      <x:c r="C36" s="73"/>
      <x:c r="D36" s="73"/>
      <x:c r="E36" s="73"/>
      <x:c r="F36" s="73"/>
      <x:c r="G36" s="73"/>
      <x:c r="H36" s="73"/>
      <x:c r="I36" s="75"/>
      <x:c r="J36" s="73"/>
      <x:c r="K36" s="73"/>
      <x:c r="L36" s="76"/>
      <x:c r="M36" s="73"/>
      <x:c r="N36" s="73"/>
      <x:c r="O36" s="73"/>
      <x:c r="P36" s="73"/>
      <x:c r="Q36" s="76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  <x:c r="AB36" s="76" t="str">
        <x:f>IF(A36="","",IF(OR(NOT(ISNUMBER(I36)),I36&lt;0,NOT(ISNUMBER(AP36)),AP36&lt;0,NOT(ISNUMBER(L36)),L36&lt;1,L36&gt;5,L36&lt;&gt;INT(L36),AND(J36&lt;&gt;"Public",J36&lt;&gt;"Partner",J36&lt;&gt;"Internal",J36&lt;&gt;"None"),AND(K36&lt;&gt;"High",K36&lt;&gt;"Medium",K36&lt;&gt;"Low",K36&lt;&gt;"None"),AND(W36&lt;&gt;"Hard-coded",W36&lt;&gt;"Configurable",W36&lt;&gt;"Policy-managed",W36&lt;&gt;"API/Library abstraction",W36&lt;&gt;"Automated"),AND(Z36&lt;&gt;"Y",Z36&lt;&gt;"N"),AND(AA36&lt;&gt;"Y",AA36&lt;&gt;"N")),"Incomplete",IF(Z36="Y",20,0)+L36*5+IF(AA36="Y",15,0)+IF(J36="Public",10,IF(J36="Partner",7,IF(J36="Internal",3,0)))+IF(W36="Hard-coded",10,IF(W36="Configurable",3,0))+IF(MAX(I36,AP36)&gt;=10,10,IF(MAX(I36,AP36)&gt;=5,7,IF(MAX(I36,AP36)&gt;=2,3,0)))+IF(K36="High",10,IF(K36="Medium",5,0))))</x:f>
      </x:c>
      <x:c r="AC36" s="73" t="str">
        <x:f>IF(A36="","",IF(NOT(ISNUMBER(AB36)),"Review inputs",IF(AB36&gt;=70,"P0 - Immediate",IF(AB36&gt;=50,"P1 - High",IF(AB36&gt;=30,"P2 - Medium",IF(AB36&gt;=15,"P3 - Low","P4 - Monitor"))))))</x:f>
      </x:c>
      <x:c r="AD36" s="73"/>
      <x:c r="AE36" s="73"/>
      <x:c r="AF36" s="73"/>
      <x:c r="AG36" s="77"/>
      <x:c r="AH36" s="73"/>
      <x:c r="AI36" s="91"/>
      <x:c r="AJ36" s="91"/>
      <x:c r="AK36" s="91"/>
      <x:c r="AL36" s="92"/>
      <x:c r="AM36" s="91"/>
      <x:c r="AN36" s="91"/>
      <x:c r="AO36" s="93"/>
      <x:c r="AP36" s="94"/>
      <x:c r="AQ36" s="91"/>
      <x:c r="AR36" s="91"/>
      <x:c r="AS36" s="91"/>
      <x:c r="AT36" s="91"/>
      <x:c r="AU36" s="91"/>
      <x:c r="AV36" s="91"/>
      <x:c r="AW36" s="91"/>
      <x:c r="AX36" s="91"/>
      <x:c r="AY36" s="91"/>
      <x:c r="AZ36" s="92"/>
      <x:c r="BA36" s="94"/>
      <x:c r="BB36" s="91"/>
      <x:c r="BC36" s="92"/>
      <x:c r="BD36" s="92"/>
      <x:c r="BE36" s="91"/>
      <x:c r="BF36" s="91"/>
      <x:c r="BG36" s="91"/>
      <x:c r="BH36" s="91"/>
      <x:c r="BI36" s="91"/>
      <x:c r="BJ36" s="91"/>
      <x:c r="BK36" s="91"/>
      <x:c r="BL36" s="91"/>
      <x:c r="BM36" s="73" t="str">
        <x:f>IF(A36="","",IF(AI36="Example","Example only",IF(AI36&lt;&gt;"Actual","Set record type",IF(COUNTIF($A$2:$A$1001,A36)&gt;1,"Duplicate record ID",IF(OR(D36="",E36="",AF36="",NOT(ISNUMBER(AG36)),AJ36="",AK36="",NOT(ISNUMBER(AL36)),AND(AM36&lt;&gt;"Observed",AM36&lt;&gt;"Corroborated",AM36&lt;&gt;"Declared"),OR(AN36="",AN36="Unknown"),OR(AQ36="",AQ36="Unknown"),OR(AR36="",AR36="Unknown",AR36="TBD"),OR(BC36="",NOT(ISNUMBER(BC36)))),"Evidence incomplete","Evidence recorded; review scope")))))</x:f>
      </x:c>
      <x:c r="BN36" s="73"/>
    </x:row>
    <x:row r="37" ht="34" customHeight="1">
      <x:c r="A37" s="73"/>
      <x:c r="B37" s="73"/>
      <x:c r="C37" s="73"/>
      <x:c r="D37" s="73"/>
      <x:c r="E37" s="73"/>
      <x:c r="F37" s="73"/>
      <x:c r="G37" s="73"/>
      <x:c r="H37" s="73"/>
      <x:c r="I37" s="75"/>
      <x:c r="J37" s="73"/>
      <x:c r="K37" s="73"/>
      <x:c r="L37" s="76"/>
      <x:c r="M37" s="73"/>
      <x:c r="N37" s="73"/>
      <x:c r="O37" s="73"/>
      <x:c r="P37" s="73"/>
      <x:c r="Q37" s="76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  <x:c r="AB37" s="76" t="str">
        <x:f>IF(A37="","",IF(OR(NOT(ISNUMBER(I37)),I37&lt;0,NOT(ISNUMBER(AP37)),AP37&lt;0,NOT(ISNUMBER(L37)),L37&lt;1,L37&gt;5,L37&lt;&gt;INT(L37),AND(J37&lt;&gt;"Public",J37&lt;&gt;"Partner",J37&lt;&gt;"Internal",J37&lt;&gt;"None"),AND(K37&lt;&gt;"High",K37&lt;&gt;"Medium",K37&lt;&gt;"Low",K37&lt;&gt;"None"),AND(W37&lt;&gt;"Hard-coded",W37&lt;&gt;"Configurable",W37&lt;&gt;"Policy-managed",W37&lt;&gt;"API/Library abstraction",W37&lt;&gt;"Automated"),AND(Z37&lt;&gt;"Y",Z37&lt;&gt;"N"),AND(AA37&lt;&gt;"Y",AA37&lt;&gt;"N")),"Incomplete",IF(Z37="Y",20,0)+L37*5+IF(AA37="Y",15,0)+IF(J37="Public",10,IF(J37="Partner",7,IF(J37="Internal",3,0)))+IF(W37="Hard-coded",10,IF(W37="Configurable",3,0))+IF(MAX(I37,AP37)&gt;=10,10,IF(MAX(I37,AP37)&gt;=5,7,IF(MAX(I37,AP37)&gt;=2,3,0)))+IF(K37="High",10,IF(K37="Medium",5,0))))</x:f>
      </x:c>
      <x:c r="AC37" s="73" t="str">
        <x:f>IF(A37="","",IF(NOT(ISNUMBER(AB37)),"Review inputs",IF(AB37&gt;=70,"P0 - Immediate",IF(AB37&gt;=50,"P1 - High",IF(AB37&gt;=30,"P2 - Medium",IF(AB37&gt;=15,"P3 - Low","P4 - Monitor"))))))</x:f>
      </x:c>
      <x:c r="AD37" s="73"/>
      <x:c r="AE37" s="73"/>
      <x:c r="AF37" s="73"/>
      <x:c r="AG37" s="77"/>
      <x:c r="AH37" s="73"/>
      <x:c r="AI37" s="91"/>
      <x:c r="AJ37" s="91"/>
      <x:c r="AK37" s="91"/>
      <x:c r="AL37" s="92"/>
      <x:c r="AM37" s="91"/>
      <x:c r="AN37" s="91"/>
      <x:c r="AO37" s="93"/>
      <x:c r="AP37" s="94"/>
      <x:c r="AQ37" s="91"/>
      <x:c r="AR37" s="91"/>
      <x:c r="AS37" s="91"/>
      <x:c r="AT37" s="91"/>
      <x:c r="AU37" s="91"/>
      <x:c r="AV37" s="91"/>
      <x:c r="AW37" s="91"/>
      <x:c r="AX37" s="91"/>
      <x:c r="AY37" s="91"/>
      <x:c r="AZ37" s="92"/>
      <x:c r="BA37" s="94"/>
      <x:c r="BB37" s="91"/>
      <x:c r="BC37" s="92"/>
      <x:c r="BD37" s="92"/>
      <x:c r="BE37" s="91"/>
      <x:c r="BF37" s="91"/>
      <x:c r="BG37" s="91"/>
      <x:c r="BH37" s="91"/>
      <x:c r="BI37" s="91"/>
      <x:c r="BJ37" s="91"/>
      <x:c r="BK37" s="91"/>
      <x:c r="BL37" s="91"/>
      <x:c r="BM37" s="73" t="str">
        <x:f>IF(A37="","",IF(AI37="Example","Example only",IF(AI37&lt;&gt;"Actual","Set record type",IF(COUNTIF($A$2:$A$1001,A37)&gt;1,"Duplicate record ID",IF(OR(D37="",E37="",AF37="",NOT(ISNUMBER(AG37)),AJ37="",AK37="",NOT(ISNUMBER(AL37)),AND(AM37&lt;&gt;"Observed",AM37&lt;&gt;"Corroborated",AM37&lt;&gt;"Declared"),OR(AN37="",AN37="Unknown"),OR(AQ37="",AQ37="Unknown"),OR(AR37="",AR37="Unknown",AR37="TBD"),OR(BC37="",NOT(ISNUMBER(BC37)))),"Evidence incomplete","Evidence recorded; review scope")))))</x:f>
      </x:c>
      <x:c r="BN37" s="73"/>
    </x:row>
    <x:row r="38" ht="34" customHeight="1">
      <x:c r="A38" s="73"/>
      <x:c r="B38" s="73"/>
      <x:c r="C38" s="73"/>
      <x:c r="D38" s="73"/>
      <x:c r="E38" s="73"/>
      <x:c r="F38" s="73"/>
      <x:c r="G38" s="73"/>
      <x:c r="H38" s="73"/>
      <x:c r="I38" s="75"/>
      <x:c r="J38" s="73"/>
      <x:c r="K38" s="73"/>
      <x:c r="L38" s="76"/>
      <x:c r="M38" s="73"/>
      <x:c r="N38" s="73"/>
      <x:c r="O38" s="73"/>
      <x:c r="P38" s="73"/>
      <x:c r="Q38" s="76"/>
      <x:c r="R38" s="73"/>
      <x:c r="S38" s="73"/>
      <x:c r="T38" s="73"/>
      <x:c r="U38" s="73"/>
      <x:c r="V38" s="73"/>
      <x:c r="W38" s="73"/>
      <x:c r="X38" s="73"/>
      <x:c r="Y38" s="73"/>
      <x:c r="Z38" s="73"/>
      <x:c r="AA38" s="73"/>
      <x:c r="AB38" s="76" t="str">
        <x:f>IF(A38="","",IF(OR(NOT(ISNUMBER(I38)),I38&lt;0,NOT(ISNUMBER(AP38)),AP38&lt;0,NOT(ISNUMBER(L38)),L38&lt;1,L38&gt;5,L38&lt;&gt;INT(L38),AND(J38&lt;&gt;"Public",J38&lt;&gt;"Partner",J38&lt;&gt;"Internal",J38&lt;&gt;"None"),AND(K38&lt;&gt;"High",K38&lt;&gt;"Medium",K38&lt;&gt;"Low",K38&lt;&gt;"None"),AND(W38&lt;&gt;"Hard-coded",W38&lt;&gt;"Configurable",W38&lt;&gt;"Policy-managed",W38&lt;&gt;"API/Library abstraction",W38&lt;&gt;"Automated"),AND(Z38&lt;&gt;"Y",Z38&lt;&gt;"N"),AND(AA38&lt;&gt;"Y",AA38&lt;&gt;"N")),"Incomplete",IF(Z38="Y",20,0)+L38*5+IF(AA38="Y",15,0)+IF(J38="Public",10,IF(J38="Partner",7,IF(J38="Internal",3,0)))+IF(W38="Hard-coded",10,IF(W38="Configurable",3,0))+IF(MAX(I38,AP38)&gt;=10,10,IF(MAX(I38,AP38)&gt;=5,7,IF(MAX(I38,AP38)&gt;=2,3,0)))+IF(K38="High",10,IF(K38="Medium",5,0))))</x:f>
      </x:c>
      <x:c r="AC38" s="73" t="str">
        <x:f>IF(A38="","",IF(NOT(ISNUMBER(AB38)),"Review inputs",IF(AB38&gt;=70,"P0 - Immediate",IF(AB38&gt;=50,"P1 - High",IF(AB38&gt;=30,"P2 - Medium",IF(AB38&gt;=15,"P3 - Low","P4 - Monitor"))))))</x:f>
      </x:c>
      <x:c r="AD38" s="73"/>
      <x:c r="AE38" s="73"/>
      <x:c r="AF38" s="73"/>
      <x:c r="AG38" s="77"/>
      <x:c r="AH38" s="73"/>
      <x:c r="AI38" s="91"/>
      <x:c r="AJ38" s="91"/>
      <x:c r="AK38" s="91"/>
      <x:c r="AL38" s="92"/>
      <x:c r="AM38" s="91"/>
      <x:c r="AN38" s="91"/>
      <x:c r="AO38" s="93"/>
      <x:c r="AP38" s="94"/>
      <x:c r="AQ38" s="91"/>
      <x:c r="AR38" s="91"/>
      <x:c r="AS38" s="91"/>
      <x:c r="AT38" s="91"/>
      <x:c r="AU38" s="91"/>
      <x:c r="AV38" s="91"/>
      <x:c r="AW38" s="91"/>
      <x:c r="AX38" s="91"/>
      <x:c r="AY38" s="91"/>
      <x:c r="AZ38" s="92"/>
      <x:c r="BA38" s="94"/>
      <x:c r="BB38" s="91"/>
      <x:c r="BC38" s="92"/>
      <x:c r="BD38" s="92"/>
      <x:c r="BE38" s="91"/>
      <x:c r="BF38" s="91"/>
      <x:c r="BG38" s="91"/>
      <x:c r="BH38" s="91"/>
      <x:c r="BI38" s="91"/>
      <x:c r="BJ38" s="91"/>
      <x:c r="BK38" s="91"/>
      <x:c r="BL38" s="91"/>
      <x:c r="BM38" s="73" t="str">
        <x:f>IF(A38="","",IF(AI38="Example","Example only",IF(AI38&lt;&gt;"Actual","Set record type",IF(COUNTIF($A$2:$A$1001,A38)&gt;1,"Duplicate record ID",IF(OR(D38="",E38="",AF38="",NOT(ISNUMBER(AG38)),AJ38="",AK38="",NOT(ISNUMBER(AL38)),AND(AM38&lt;&gt;"Observed",AM38&lt;&gt;"Corroborated",AM38&lt;&gt;"Declared"),OR(AN38="",AN38="Unknown"),OR(AQ38="",AQ38="Unknown"),OR(AR38="",AR38="Unknown",AR38="TBD"),OR(BC38="",NOT(ISNUMBER(BC38)))),"Evidence incomplete","Evidence recorded; review scope")))))</x:f>
      </x:c>
      <x:c r="BN38" s="73"/>
    </x:row>
    <x:row r="39" ht="34" customHeight="1">
      <x:c r="A39" s="73"/>
      <x:c r="B39" s="73"/>
      <x:c r="C39" s="73"/>
      <x:c r="D39" s="73"/>
      <x:c r="E39" s="73"/>
      <x:c r="F39" s="73"/>
      <x:c r="G39" s="73"/>
      <x:c r="H39" s="73"/>
      <x:c r="I39" s="75"/>
      <x:c r="J39" s="73"/>
      <x:c r="K39" s="73"/>
      <x:c r="L39" s="76"/>
      <x:c r="M39" s="73"/>
      <x:c r="N39" s="73"/>
      <x:c r="O39" s="73"/>
      <x:c r="P39" s="73"/>
      <x:c r="Q39" s="76"/>
      <x:c r="R39" s="73"/>
      <x:c r="S39" s="73"/>
      <x:c r="T39" s="73"/>
      <x:c r="U39" s="73"/>
      <x:c r="V39" s="73"/>
      <x:c r="W39" s="73"/>
      <x:c r="X39" s="73"/>
      <x:c r="Y39" s="73"/>
      <x:c r="Z39" s="73"/>
      <x:c r="AA39" s="73"/>
      <x:c r="AB39" s="76" t="str">
        <x:f>IF(A39="","",IF(OR(NOT(ISNUMBER(I39)),I39&lt;0,NOT(ISNUMBER(AP39)),AP39&lt;0,NOT(ISNUMBER(L39)),L39&lt;1,L39&gt;5,L39&lt;&gt;INT(L39),AND(J39&lt;&gt;"Public",J39&lt;&gt;"Partner",J39&lt;&gt;"Internal",J39&lt;&gt;"None"),AND(K39&lt;&gt;"High",K39&lt;&gt;"Medium",K39&lt;&gt;"Low",K39&lt;&gt;"None"),AND(W39&lt;&gt;"Hard-coded",W39&lt;&gt;"Configurable",W39&lt;&gt;"Policy-managed",W39&lt;&gt;"API/Library abstraction",W39&lt;&gt;"Automated"),AND(Z39&lt;&gt;"Y",Z39&lt;&gt;"N"),AND(AA39&lt;&gt;"Y",AA39&lt;&gt;"N")),"Incomplete",IF(Z39="Y",20,0)+L39*5+IF(AA39="Y",15,0)+IF(J39="Public",10,IF(J39="Partner",7,IF(J39="Internal",3,0)))+IF(W39="Hard-coded",10,IF(W39="Configurable",3,0))+IF(MAX(I39,AP39)&gt;=10,10,IF(MAX(I39,AP39)&gt;=5,7,IF(MAX(I39,AP39)&gt;=2,3,0)))+IF(K39="High",10,IF(K39="Medium",5,0))))</x:f>
      </x:c>
      <x:c r="AC39" s="73" t="str">
        <x:f>IF(A39="","",IF(NOT(ISNUMBER(AB39)),"Review inputs",IF(AB39&gt;=70,"P0 - Immediate",IF(AB39&gt;=50,"P1 - High",IF(AB39&gt;=30,"P2 - Medium",IF(AB39&gt;=15,"P3 - Low","P4 - Monitor"))))))</x:f>
      </x:c>
      <x:c r="AD39" s="73"/>
      <x:c r="AE39" s="73"/>
      <x:c r="AF39" s="73"/>
      <x:c r="AG39" s="77"/>
      <x:c r="AH39" s="73"/>
      <x:c r="AI39" s="91"/>
      <x:c r="AJ39" s="91"/>
      <x:c r="AK39" s="91"/>
      <x:c r="AL39" s="92"/>
      <x:c r="AM39" s="91"/>
      <x:c r="AN39" s="91"/>
      <x:c r="AO39" s="93"/>
      <x:c r="AP39" s="94"/>
      <x:c r="AQ39" s="91"/>
      <x:c r="AR39" s="91"/>
      <x:c r="AS39" s="91"/>
      <x:c r="AT39" s="91"/>
      <x:c r="AU39" s="91"/>
      <x:c r="AV39" s="91"/>
      <x:c r="AW39" s="91"/>
      <x:c r="AX39" s="91"/>
      <x:c r="AY39" s="91"/>
      <x:c r="AZ39" s="92"/>
      <x:c r="BA39" s="94"/>
      <x:c r="BB39" s="91"/>
      <x:c r="BC39" s="92"/>
      <x:c r="BD39" s="92"/>
      <x:c r="BE39" s="91"/>
      <x:c r="BF39" s="91"/>
      <x:c r="BG39" s="91"/>
      <x:c r="BH39" s="91"/>
      <x:c r="BI39" s="91"/>
      <x:c r="BJ39" s="91"/>
      <x:c r="BK39" s="91"/>
      <x:c r="BL39" s="91"/>
      <x:c r="BM39" s="73" t="str">
        <x:f>IF(A39="","",IF(AI39="Example","Example only",IF(AI39&lt;&gt;"Actual","Set record type",IF(COUNTIF($A$2:$A$1001,A39)&gt;1,"Duplicate record ID",IF(OR(D39="",E39="",AF39="",NOT(ISNUMBER(AG39)),AJ39="",AK39="",NOT(ISNUMBER(AL39)),AND(AM39&lt;&gt;"Observed",AM39&lt;&gt;"Corroborated",AM39&lt;&gt;"Declared"),OR(AN39="",AN39="Unknown"),OR(AQ39="",AQ39="Unknown"),OR(AR39="",AR39="Unknown",AR39="TBD"),OR(BC39="",NOT(ISNUMBER(BC39)))),"Evidence incomplete","Evidence recorded; review scope")))))</x:f>
      </x:c>
      <x:c r="BN39" s="73"/>
    </x:row>
    <x:row r="40" ht="34" customHeight="1">
      <x:c r="A40" s="73"/>
      <x:c r="B40" s="73"/>
      <x:c r="C40" s="73"/>
      <x:c r="D40" s="73"/>
      <x:c r="E40" s="73"/>
      <x:c r="F40" s="73"/>
      <x:c r="G40" s="73"/>
      <x:c r="H40" s="73"/>
      <x:c r="I40" s="75"/>
      <x:c r="J40" s="73"/>
      <x:c r="K40" s="73"/>
      <x:c r="L40" s="76"/>
      <x:c r="M40" s="73"/>
      <x:c r="N40" s="73"/>
      <x:c r="O40" s="73"/>
      <x:c r="P40" s="73"/>
      <x:c r="Q40" s="76"/>
      <x:c r="R40" s="73"/>
      <x:c r="S40" s="73"/>
      <x:c r="T40" s="73"/>
      <x:c r="U40" s="73"/>
      <x:c r="V40" s="73"/>
      <x:c r="W40" s="73"/>
      <x:c r="X40" s="73"/>
      <x:c r="Y40" s="73"/>
      <x:c r="Z40" s="73"/>
      <x:c r="AA40" s="73"/>
      <x:c r="AB40" s="76" t="str">
        <x:f>IF(A40="","",IF(OR(NOT(ISNUMBER(I40)),I40&lt;0,NOT(ISNUMBER(AP40)),AP40&lt;0,NOT(ISNUMBER(L40)),L40&lt;1,L40&gt;5,L40&lt;&gt;INT(L40),AND(J40&lt;&gt;"Public",J40&lt;&gt;"Partner",J40&lt;&gt;"Internal",J40&lt;&gt;"None"),AND(K40&lt;&gt;"High",K40&lt;&gt;"Medium",K40&lt;&gt;"Low",K40&lt;&gt;"None"),AND(W40&lt;&gt;"Hard-coded",W40&lt;&gt;"Configurable",W40&lt;&gt;"Policy-managed",W40&lt;&gt;"API/Library abstraction",W40&lt;&gt;"Automated"),AND(Z40&lt;&gt;"Y",Z40&lt;&gt;"N"),AND(AA40&lt;&gt;"Y",AA40&lt;&gt;"N")),"Incomplete",IF(Z40="Y",20,0)+L40*5+IF(AA40="Y",15,0)+IF(J40="Public",10,IF(J40="Partner",7,IF(J40="Internal",3,0)))+IF(W40="Hard-coded",10,IF(W40="Configurable",3,0))+IF(MAX(I40,AP40)&gt;=10,10,IF(MAX(I40,AP40)&gt;=5,7,IF(MAX(I40,AP40)&gt;=2,3,0)))+IF(K40="High",10,IF(K40="Medium",5,0))))</x:f>
      </x:c>
      <x:c r="AC40" s="73" t="str">
        <x:f>IF(A40="","",IF(NOT(ISNUMBER(AB40)),"Review inputs",IF(AB40&gt;=70,"P0 - Immediate",IF(AB40&gt;=50,"P1 - High",IF(AB40&gt;=30,"P2 - Medium",IF(AB40&gt;=15,"P3 - Low","P4 - Monitor"))))))</x:f>
      </x:c>
      <x:c r="AD40" s="73"/>
      <x:c r="AE40" s="73"/>
      <x:c r="AF40" s="73"/>
      <x:c r="AG40" s="77"/>
      <x:c r="AH40" s="73"/>
      <x:c r="AI40" s="91"/>
      <x:c r="AJ40" s="91"/>
      <x:c r="AK40" s="91"/>
      <x:c r="AL40" s="92"/>
      <x:c r="AM40" s="91"/>
      <x:c r="AN40" s="91"/>
      <x:c r="AO40" s="93"/>
      <x:c r="AP40" s="94"/>
      <x:c r="AQ40" s="91"/>
      <x:c r="AR40" s="91"/>
      <x:c r="AS40" s="91"/>
      <x:c r="AT40" s="91"/>
      <x:c r="AU40" s="91"/>
      <x:c r="AV40" s="91"/>
      <x:c r="AW40" s="91"/>
      <x:c r="AX40" s="91"/>
      <x:c r="AY40" s="91"/>
      <x:c r="AZ40" s="92"/>
      <x:c r="BA40" s="94"/>
      <x:c r="BB40" s="91"/>
      <x:c r="BC40" s="92"/>
      <x:c r="BD40" s="92"/>
      <x:c r="BE40" s="91"/>
      <x:c r="BF40" s="91"/>
      <x:c r="BG40" s="91"/>
      <x:c r="BH40" s="91"/>
      <x:c r="BI40" s="91"/>
      <x:c r="BJ40" s="91"/>
      <x:c r="BK40" s="91"/>
      <x:c r="BL40" s="91"/>
      <x:c r="BM40" s="73" t="str">
        <x:f>IF(A40="","",IF(AI40="Example","Example only",IF(AI40&lt;&gt;"Actual","Set record type",IF(COUNTIF($A$2:$A$1001,A40)&gt;1,"Duplicate record ID",IF(OR(D40="",E40="",AF40="",NOT(ISNUMBER(AG40)),AJ40="",AK40="",NOT(ISNUMBER(AL40)),AND(AM40&lt;&gt;"Observed",AM40&lt;&gt;"Corroborated",AM40&lt;&gt;"Declared"),OR(AN40="",AN40="Unknown"),OR(AQ40="",AQ40="Unknown"),OR(AR40="",AR40="Unknown",AR40="TBD"),OR(BC40="",NOT(ISNUMBER(BC40)))),"Evidence incomplete","Evidence recorded; review scope")))))</x:f>
      </x:c>
      <x:c r="BN40" s="73"/>
    </x:row>
    <x:row r="41" ht="34" customHeight="1">
      <x:c r="A41" s="73"/>
      <x:c r="B41" s="73"/>
      <x:c r="C41" s="73"/>
      <x:c r="D41" s="73"/>
      <x:c r="E41" s="73"/>
      <x:c r="F41" s="73"/>
      <x:c r="G41" s="73"/>
      <x:c r="H41" s="73"/>
      <x:c r="I41" s="75"/>
      <x:c r="J41" s="73"/>
      <x:c r="K41" s="73"/>
      <x:c r="L41" s="76"/>
      <x:c r="M41" s="73"/>
      <x:c r="N41" s="73"/>
      <x:c r="O41" s="73"/>
      <x:c r="P41" s="73"/>
      <x:c r="Q41" s="76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  <x:c r="AB41" s="76" t="str">
        <x:f>IF(A41="","",IF(OR(NOT(ISNUMBER(I41)),I41&lt;0,NOT(ISNUMBER(AP41)),AP41&lt;0,NOT(ISNUMBER(L41)),L41&lt;1,L41&gt;5,L41&lt;&gt;INT(L41),AND(J41&lt;&gt;"Public",J41&lt;&gt;"Partner",J41&lt;&gt;"Internal",J41&lt;&gt;"None"),AND(K41&lt;&gt;"High",K41&lt;&gt;"Medium",K41&lt;&gt;"Low",K41&lt;&gt;"None"),AND(W41&lt;&gt;"Hard-coded",W41&lt;&gt;"Configurable",W41&lt;&gt;"Policy-managed",W41&lt;&gt;"API/Library abstraction",W41&lt;&gt;"Automated"),AND(Z41&lt;&gt;"Y",Z41&lt;&gt;"N"),AND(AA41&lt;&gt;"Y",AA41&lt;&gt;"N")),"Incomplete",IF(Z41="Y",20,0)+L41*5+IF(AA41="Y",15,0)+IF(J41="Public",10,IF(J41="Partner",7,IF(J41="Internal",3,0)))+IF(W41="Hard-coded",10,IF(W41="Configurable",3,0))+IF(MAX(I41,AP41)&gt;=10,10,IF(MAX(I41,AP41)&gt;=5,7,IF(MAX(I41,AP41)&gt;=2,3,0)))+IF(K41="High",10,IF(K41="Medium",5,0))))</x:f>
      </x:c>
      <x:c r="AC41" s="73" t="str">
        <x:f>IF(A41="","",IF(NOT(ISNUMBER(AB41)),"Review inputs",IF(AB41&gt;=70,"P0 - Immediate",IF(AB41&gt;=50,"P1 - High",IF(AB41&gt;=30,"P2 - Medium",IF(AB41&gt;=15,"P3 - Low","P4 - Monitor"))))))</x:f>
      </x:c>
      <x:c r="AD41" s="73"/>
      <x:c r="AE41" s="73"/>
      <x:c r="AF41" s="73"/>
      <x:c r="AG41" s="77"/>
      <x:c r="AH41" s="73"/>
      <x:c r="AI41" s="91"/>
      <x:c r="AJ41" s="91"/>
      <x:c r="AK41" s="91"/>
      <x:c r="AL41" s="92"/>
      <x:c r="AM41" s="91"/>
      <x:c r="AN41" s="91"/>
      <x:c r="AO41" s="93"/>
      <x:c r="AP41" s="94"/>
      <x:c r="AQ41" s="91"/>
      <x:c r="AR41" s="91"/>
      <x:c r="AS41" s="91"/>
      <x:c r="AT41" s="91"/>
      <x:c r="AU41" s="91"/>
      <x:c r="AV41" s="91"/>
      <x:c r="AW41" s="91"/>
      <x:c r="AX41" s="91"/>
      <x:c r="AY41" s="91"/>
      <x:c r="AZ41" s="92"/>
      <x:c r="BA41" s="94"/>
      <x:c r="BB41" s="91"/>
      <x:c r="BC41" s="92"/>
      <x:c r="BD41" s="92"/>
      <x:c r="BE41" s="91"/>
      <x:c r="BF41" s="91"/>
      <x:c r="BG41" s="91"/>
      <x:c r="BH41" s="91"/>
      <x:c r="BI41" s="91"/>
      <x:c r="BJ41" s="91"/>
      <x:c r="BK41" s="91"/>
      <x:c r="BL41" s="91"/>
      <x:c r="BM41" s="73" t="str">
        <x:f>IF(A41="","",IF(AI41="Example","Example only",IF(AI41&lt;&gt;"Actual","Set record type",IF(COUNTIF($A$2:$A$1001,A41)&gt;1,"Duplicate record ID",IF(OR(D41="",E41="",AF41="",NOT(ISNUMBER(AG41)),AJ41="",AK41="",NOT(ISNUMBER(AL41)),AND(AM41&lt;&gt;"Observed",AM41&lt;&gt;"Corroborated",AM41&lt;&gt;"Declared"),OR(AN41="",AN41="Unknown"),OR(AQ41="",AQ41="Unknown"),OR(AR41="",AR41="Unknown",AR41="TBD"),OR(BC41="",NOT(ISNUMBER(BC41)))),"Evidence incomplete","Evidence recorded; review scope")))))</x:f>
      </x:c>
      <x:c r="BN41" s="73"/>
    </x:row>
    <x:row r="42" ht="34" customHeight="1">
      <x:c r="A42" s="73"/>
      <x:c r="B42" s="73"/>
      <x:c r="C42" s="73"/>
      <x:c r="D42" s="73"/>
      <x:c r="E42" s="73"/>
      <x:c r="F42" s="73"/>
      <x:c r="G42" s="73"/>
      <x:c r="H42" s="73"/>
      <x:c r="I42" s="75"/>
      <x:c r="J42" s="73"/>
      <x:c r="K42" s="73"/>
      <x:c r="L42" s="76"/>
      <x:c r="M42" s="73"/>
      <x:c r="N42" s="73"/>
      <x:c r="O42" s="73"/>
      <x:c r="P42" s="73"/>
      <x:c r="Q42" s="76"/>
      <x:c r="R42" s="73"/>
      <x:c r="S42" s="73"/>
      <x:c r="T42" s="73"/>
      <x:c r="U42" s="73"/>
      <x:c r="V42" s="73"/>
      <x:c r="W42" s="73"/>
      <x:c r="X42" s="73"/>
      <x:c r="Y42" s="73"/>
      <x:c r="Z42" s="73"/>
      <x:c r="AA42" s="73"/>
      <x:c r="AB42" s="76" t="str">
        <x:f>IF(A42="","",IF(OR(NOT(ISNUMBER(I42)),I42&lt;0,NOT(ISNUMBER(AP42)),AP42&lt;0,NOT(ISNUMBER(L42)),L42&lt;1,L42&gt;5,L42&lt;&gt;INT(L42),AND(J42&lt;&gt;"Public",J42&lt;&gt;"Partner",J42&lt;&gt;"Internal",J42&lt;&gt;"None"),AND(K42&lt;&gt;"High",K42&lt;&gt;"Medium",K42&lt;&gt;"Low",K42&lt;&gt;"None"),AND(W42&lt;&gt;"Hard-coded",W42&lt;&gt;"Configurable",W42&lt;&gt;"Policy-managed",W42&lt;&gt;"API/Library abstraction",W42&lt;&gt;"Automated"),AND(Z42&lt;&gt;"Y",Z42&lt;&gt;"N"),AND(AA42&lt;&gt;"Y",AA42&lt;&gt;"N")),"Incomplete",IF(Z42="Y",20,0)+L42*5+IF(AA42="Y",15,0)+IF(J42="Public",10,IF(J42="Partner",7,IF(J42="Internal",3,0)))+IF(W42="Hard-coded",10,IF(W42="Configurable",3,0))+IF(MAX(I42,AP42)&gt;=10,10,IF(MAX(I42,AP42)&gt;=5,7,IF(MAX(I42,AP42)&gt;=2,3,0)))+IF(K42="High",10,IF(K42="Medium",5,0))))</x:f>
      </x:c>
      <x:c r="AC42" s="73" t="str">
        <x:f>IF(A42="","",IF(NOT(ISNUMBER(AB42)),"Review inputs",IF(AB42&gt;=70,"P0 - Immediate",IF(AB42&gt;=50,"P1 - High",IF(AB42&gt;=30,"P2 - Medium",IF(AB42&gt;=15,"P3 - Low","P4 - Monitor"))))))</x:f>
      </x:c>
      <x:c r="AD42" s="73"/>
      <x:c r="AE42" s="73"/>
      <x:c r="AF42" s="73"/>
      <x:c r="AG42" s="77"/>
      <x:c r="AH42" s="73"/>
      <x:c r="AI42" s="91"/>
      <x:c r="AJ42" s="91"/>
      <x:c r="AK42" s="91"/>
      <x:c r="AL42" s="92"/>
      <x:c r="AM42" s="91"/>
      <x:c r="AN42" s="91"/>
      <x:c r="AO42" s="93"/>
      <x:c r="AP42" s="94"/>
      <x:c r="AQ42" s="91"/>
      <x:c r="AR42" s="91"/>
      <x:c r="AS42" s="91"/>
      <x:c r="AT42" s="91"/>
      <x:c r="AU42" s="91"/>
      <x:c r="AV42" s="91"/>
      <x:c r="AW42" s="91"/>
      <x:c r="AX42" s="91"/>
      <x:c r="AY42" s="91"/>
      <x:c r="AZ42" s="92"/>
      <x:c r="BA42" s="94"/>
      <x:c r="BB42" s="91"/>
      <x:c r="BC42" s="92"/>
      <x:c r="BD42" s="92"/>
      <x:c r="BE42" s="91"/>
      <x:c r="BF42" s="91"/>
      <x:c r="BG42" s="91"/>
      <x:c r="BH42" s="91"/>
      <x:c r="BI42" s="91"/>
      <x:c r="BJ42" s="91"/>
      <x:c r="BK42" s="91"/>
      <x:c r="BL42" s="91"/>
      <x:c r="BM42" s="73" t="str">
        <x:f>IF(A42="","",IF(AI42="Example","Example only",IF(AI42&lt;&gt;"Actual","Set record type",IF(COUNTIF($A$2:$A$1001,A42)&gt;1,"Duplicate record ID",IF(OR(D42="",E42="",AF42="",NOT(ISNUMBER(AG42)),AJ42="",AK42="",NOT(ISNUMBER(AL42)),AND(AM42&lt;&gt;"Observed",AM42&lt;&gt;"Corroborated",AM42&lt;&gt;"Declared"),OR(AN42="",AN42="Unknown"),OR(AQ42="",AQ42="Unknown"),OR(AR42="",AR42="Unknown",AR42="TBD"),OR(BC42="",NOT(ISNUMBER(BC42)))),"Evidence incomplete","Evidence recorded; review scope")))))</x:f>
      </x:c>
      <x:c r="BN42" s="73"/>
    </x:row>
    <x:row r="43" ht="34" customHeight="1">
      <x:c r="A43" s="73"/>
      <x:c r="B43" s="73"/>
      <x:c r="C43" s="73"/>
      <x:c r="D43" s="73"/>
      <x:c r="E43" s="73"/>
      <x:c r="F43" s="73"/>
      <x:c r="G43" s="73"/>
      <x:c r="H43" s="73"/>
      <x:c r="I43" s="75"/>
      <x:c r="J43" s="73"/>
      <x:c r="K43" s="73"/>
      <x:c r="L43" s="76"/>
      <x:c r="M43" s="73"/>
      <x:c r="N43" s="73"/>
      <x:c r="O43" s="73"/>
      <x:c r="P43" s="73"/>
      <x:c r="Q43" s="76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  <x:c r="AB43" s="76" t="str">
        <x:f>IF(A43="","",IF(OR(NOT(ISNUMBER(I43)),I43&lt;0,NOT(ISNUMBER(AP43)),AP43&lt;0,NOT(ISNUMBER(L43)),L43&lt;1,L43&gt;5,L43&lt;&gt;INT(L43),AND(J43&lt;&gt;"Public",J43&lt;&gt;"Partner",J43&lt;&gt;"Internal",J43&lt;&gt;"None"),AND(K43&lt;&gt;"High",K43&lt;&gt;"Medium",K43&lt;&gt;"Low",K43&lt;&gt;"None"),AND(W43&lt;&gt;"Hard-coded",W43&lt;&gt;"Configurable",W43&lt;&gt;"Policy-managed",W43&lt;&gt;"API/Library abstraction",W43&lt;&gt;"Automated"),AND(Z43&lt;&gt;"Y",Z43&lt;&gt;"N"),AND(AA43&lt;&gt;"Y",AA43&lt;&gt;"N")),"Incomplete",IF(Z43="Y",20,0)+L43*5+IF(AA43="Y",15,0)+IF(J43="Public",10,IF(J43="Partner",7,IF(J43="Internal",3,0)))+IF(W43="Hard-coded",10,IF(W43="Configurable",3,0))+IF(MAX(I43,AP43)&gt;=10,10,IF(MAX(I43,AP43)&gt;=5,7,IF(MAX(I43,AP43)&gt;=2,3,0)))+IF(K43="High",10,IF(K43="Medium",5,0))))</x:f>
      </x:c>
      <x:c r="AC43" s="73" t="str">
        <x:f>IF(A43="","",IF(NOT(ISNUMBER(AB43)),"Review inputs",IF(AB43&gt;=70,"P0 - Immediate",IF(AB43&gt;=50,"P1 - High",IF(AB43&gt;=30,"P2 - Medium",IF(AB43&gt;=15,"P3 - Low","P4 - Monitor"))))))</x:f>
      </x:c>
      <x:c r="AD43" s="73"/>
      <x:c r="AE43" s="73"/>
      <x:c r="AF43" s="73"/>
      <x:c r="AG43" s="77"/>
      <x:c r="AH43" s="73"/>
      <x:c r="AI43" s="91"/>
      <x:c r="AJ43" s="91"/>
      <x:c r="AK43" s="91"/>
      <x:c r="AL43" s="92"/>
      <x:c r="AM43" s="91"/>
      <x:c r="AN43" s="91"/>
      <x:c r="AO43" s="93"/>
      <x:c r="AP43" s="94"/>
      <x:c r="AQ43" s="91"/>
      <x:c r="AR43" s="91"/>
      <x:c r="AS43" s="91"/>
      <x:c r="AT43" s="91"/>
      <x:c r="AU43" s="91"/>
      <x:c r="AV43" s="91"/>
      <x:c r="AW43" s="91"/>
      <x:c r="AX43" s="91"/>
      <x:c r="AY43" s="91"/>
      <x:c r="AZ43" s="92"/>
      <x:c r="BA43" s="94"/>
      <x:c r="BB43" s="91"/>
      <x:c r="BC43" s="92"/>
      <x:c r="BD43" s="92"/>
      <x:c r="BE43" s="91"/>
      <x:c r="BF43" s="91"/>
      <x:c r="BG43" s="91"/>
      <x:c r="BH43" s="91"/>
      <x:c r="BI43" s="91"/>
      <x:c r="BJ43" s="91"/>
      <x:c r="BK43" s="91"/>
      <x:c r="BL43" s="91"/>
      <x:c r="BM43" s="73" t="str">
        <x:f>IF(A43="","",IF(AI43="Example","Example only",IF(AI43&lt;&gt;"Actual","Set record type",IF(COUNTIF($A$2:$A$1001,A43)&gt;1,"Duplicate record ID",IF(OR(D43="",E43="",AF43="",NOT(ISNUMBER(AG43)),AJ43="",AK43="",NOT(ISNUMBER(AL43)),AND(AM43&lt;&gt;"Observed",AM43&lt;&gt;"Corroborated",AM43&lt;&gt;"Declared"),OR(AN43="",AN43="Unknown"),OR(AQ43="",AQ43="Unknown"),OR(AR43="",AR43="Unknown",AR43="TBD"),OR(BC43="",NOT(ISNUMBER(BC43)))),"Evidence incomplete","Evidence recorded; review scope")))))</x:f>
      </x:c>
      <x:c r="BN43" s="73"/>
    </x:row>
    <x:row r="44" ht="34" customHeight="1">
      <x:c r="A44" s="73"/>
      <x:c r="B44" s="73"/>
      <x:c r="C44" s="73"/>
      <x:c r="D44" s="73"/>
      <x:c r="E44" s="73"/>
      <x:c r="F44" s="73"/>
      <x:c r="G44" s="73"/>
      <x:c r="H44" s="73"/>
      <x:c r="I44" s="75"/>
      <x:c r="J44" s="73"/>
      <x:c r="K44" s="73"/>
      <x:c r="L44" s="76"/>
      <x:c r="M44" s="73"/>
      <x:c r="N44" s="73"/>
      <x:c r="O44" s="73"/>
      <x:c r="P44" s="73"/>
      <x:c r="Q44" s="76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  <x:c r="AB44" s="76" t="str">
        <x:f>IF(A44="","",IF(OR(NOT(ISNUMBER(I44)),I44&lt;0,NOT(ISNUMBER(AP44)),AP44&lt;0,NOT(ISNUMBER(L44)),L44&lt;1,L44&gt;5,L44&lt;&gt;INT(L44),AND(J44&lt;&gt;"Public",J44&lt;&gt;"Partner",J44&lt;&gt;"Internal",J44&lt;&gt;"None"),AND(K44&lt;&gt;"High",K44&lt;&gt;"Medium",K44&lt;&gt;"Low",K44&lt;&gt;"None"),AND(W44&lt;&gt;"Hard-coded",W44&lt;&gt;"Configurable",W44&lt;&gt;"Policy-managed",W44&lt;&gt;"API/Library abstraction",W44&lt;&gt;"Automated"),AND(Z44&lt;&gt;"Y",Z44&lt;&gt;"N"),AND(AA44&lt;&gt;"Y",AA44&lt;&gt;"N")),"Incomplete",IF(Z44="Y",20,0)+L44*5+IF(AA44="Y",15,0)+IF(J44="Public",10,IF(J44="Partner",7,IF(J44="Internal",3,0)))+IF(W44="Hard-coded",10,IF(W44="Configurable",3,0))+IF(MAX(I44,AP44)&gt;=10,10,IF(MAX(I44,AP44)&gt;=5,7,IF(MAX(I44,AP44)&gt;=2,3,0)))+IF(K44="High",10,IF(K44="Medium",5,0))))</x:f>
      </x:c>
      <x:c r="AC44" s="73" t="str">
        <x:f>IF(A44="","",IF(NOT(ISNUMBER(AB44)),"Review inputs",IF(AB44&gt;=70,"P0 - Immediate",IF(AB44&gt;=50,"P1 - High",IF(AB44&gt;=30,"P2 - Medium",IF(AB44&gt;=15,"P3 - Low","P4 - Monitor"))))))</x:f>
      </x:c>
      <x:c r="AD44" s="73"/>
      <x:c r="AE44" s="73"/>
      <x:c r="AF44" s="73"/>
      <x:c r="AG44" s="77"/>
      <x:c r="AH44" s="73"/>
      <x:c r="AI44" s="91"/>
      <x:c r="AJ44" s="91"/>
      <x:c r="AK44" s="91"/>
      <x:c r="AL44" s="92"/>
      <x:c r="AM44" s="91"/>
      <x:c r="AN44" s="91"/>
      <x:c r="AO44" s="93"/>
      <x:c r="AP44" s="94"/>
      <x:c r="AQ44" s="91"/>
      <x:c r="AR44" s="91"/>
      <x:c r="AS44" s="91"/>
      <x:c r="AT44" s="91"/>
      <x:c r="AU44" s="91"/>
      <x:c r="AV44" s="91"/>
      <x:c r="AW44" s="91"/>
      <x:c r="AX44" s="91"/>
      <x:c r="AY44" s="91"/>
      <x:c r="AZ44" s="92"/>
      <x:c r="BA44" s="94"/>
      <x:c r="BB44" s="91"/>
      <x:c r="BC44" s="92"/>
      <x:c r="BD44" s="92"/>
      <x:c r="BE44" s="91"/>
      <x:c r="BF44" s="91"/>
      <x:c r="BG44" s="91"/>
      <x:c r="BH44" s="91"/>
      <x:c r="BI44" s="91"/>
      <x:c r="BJ44" s="91"/>
      <x:c r="BK44" s="91"/>
      <x:c r="BL44" s="91"/>
      <x:c r="BM44" s="73" t="str">
        <x:f>IF(A44="","",IF(AI44="Example","Example only",IF(AI44&lt;&gt;"Actual","Set record type",IF(COUNTIF($A$2:$A$1001,A44)&gt;1,"Duplicate record ID",IF(OR(D44="",E44="",AF44="",NOT(ISNUMBER(AG44)),AJ44="",AK44="",NOT(ISNUMBER(AL44)),AND(AM44&lt;&gt;"Observed",AM44&lt;&gt;"Corroborated",AM44&lt;&gt;"Declared"),OR(AN44="",AN44="Unknown"),OR(AQ44="",AQ44="Unknown"),OR(AR44="",AR44="Unknown",AR44="TBD"),OR(BC44="",NOT(ISNUMBER(BC44)))),"Evidence incomplete","Evidence recorded; review scope")))))</x:f>
      </x:c>
      <x:c r="BN44" s="73"/>
    </x:row>
    <x:row r="45" ht="34" customHeight="1">
      <x:c r="A45" s="73"/>
      <x:c r="B45" s="73"/>
      <x:c r="C45" s="73"/>
      <x:c r="D45" s="73"/>
      <x:c r="E45" s="73"/>
      <x:c r="F45" s="73"/>
      <x:c r="G45" s="73"/>
      <x:c r="H45" s="73"/>
      <x:c r="I45" s="75"/>
      <x:c r="J45" s="73"/>
      <x:c r="K45" s="73"/>
      <x:c r="L45" s="76"/>
      <x:c r="M45" s="73"/>
      <x:c r="N45" s="73"/>
      <x:c r="O45" s="73"/>
      <x:c r="P45" s="73"/>
      <x:c r="Q45" s="76"/>
      <x:c r="R45" s="73"/>
      <x:c r="S45" s="73"/>
      <x:c r="T45" s="73"/>
      <x:c r="U45" s="73"/>
      <x:c r="V45" s="73"/>
      <x:c r="W45" s="73"/>
      <x:c r="X45" s="73"/>
      <x:c r="Y45" s="73"/>
      <x:c r="Z45" s="73"/>
      <x:c r="AA45" s="73"/>
      <x:c r="AB45" s="76" t="str">
        <x:f>IF(A45="","",IF(OR(NOT(ISNUMBER(I45)),I45&lt;0,NOT(ISNUMBER(AP45)),AP45&lt;0,NOT(ISNUMBER(L45)),L45&lt;1,L45&gt;5,L45&lt;&gt;INT(L45),AND(J45&lt;&gt;"Public",J45&lt;&gt;"Partner",J45&lt;&gt;"Internal",J45&lt;&gt;"None"),AND(K45&lt;&gt;"High",K45&lt;&gt;"Medium",K45&lt;&gt;"Low",K45&lt;&gt;"None"),AND(W45&lt;&gt;"Hard-coded",W45&lt;&gt;"Configurable",W45&lt;&gt;"Policy-managed",W45&lt;&gt;"API/Library abstraction",W45&lt;&gt;"Automated"),AND(Z45&lt;&gt;"Y",Z45&lt;&gt;"N"),AND(AA45&lt;&gt;"Y",AA45&lt;&gt;"N")),"Incomplete",IF(Z45="Y",20,0)+L45*5+IF(AA45="Y",15,0)+IF(J45="Public",10,IF(J45="Partner",7,IF(J45="Internal",3,0)))+IF(W45="Hard-coded",10,IF(W45="Configurable",3,0))+IF(MAX(I45,AP45)&gt;=10,10,IF(MAX(I45,AP45)&gt;=5,7,IF(MAX(I45,AP45)&gt;=2,3,0)))+IF(K45="High",10,IF(K45="Medium",5,0))))</x:f>
      </x:c>
      <x:c r="AC45" s="73" t="str">
        <x:f>IF(A45="","",IF(NOT(ISNUMBER(AB45)),"Review inputs",IF(AB45&gt;=70,"P0 - Immediate",IF(AB45&gt;=50,"P1 - High",IF(AB45&gt;=30,"P2 - Medium",IF(AB45&gt;=15,"P3 - Low","P4 - Monitor"))))))</x:f>
      </x:c>
      <x:c r="AD45" s="73"/>
      <x:c r="AE45" s="73"/>
      <x:c r="AF45" s="73"/>
      <x:c r="AG45" s="77"/>
      <x:c r="AH45" s="73"/>
      <x:c r="AI45" s="91"/>
      <x:c r="AJ45" s="91"/>
      <x:c r="AK45" s="91"/>
      <x:c r="AL45" s="92"/>
      <x:c r="AM45" s="91"/>
      <x:c r="AN45" s="91"/>
      <x:c r="AO45" s="93"/>
      <x:c r="AP45" s="94"/>
      <x:c r="AQ45" s="91"/>
      <x:c r="AR45" s="91"/>
      <x:c r="AS45" s="91"/>
      <x:c r="AT45" s="91"/>
      <x:c r="AU45" s="91"/>
      <x:c r="AV45" s="91"/>
      <x:c r="AW45" s="91"/>
      <x:c r="AX45" s="91"/>
      <x:c r="AY45" s="91"/>
      <x:c r="AZ45" s="92"/>
      <x:c r="BA45" s="94"/>
      <x:c r="BB45" s="91"/>
      <x:c r="BC45" s="92"/>
      <x:c r="BD45" s="92"/>
      <x:c r="BE45" s="91"/>
      <x:c r="BF45" s="91"/>
      <x:c r="BG45" s="91"/>
      <x:c r="BH45" s="91"/>
      <x:c r="BI45" s="91"/>
      <x:c r="BJ45" s="91"/>
      <x:c r="BK45" s="91"/>
      <x:c r="BL45" s="91"/>
      <x:c r="BM45" s="73" t="str">
        <x:f>IF(A45="","",IF(AI45="Example","Example only",IF(AI45&lt;&gt;"Actual","Set record type",IF(COUNTIF($A$2:$A$1001,A45)&gt;1,"Duplicate record ID",IF(OR(D45="",E45="",AF45="",NOT(ISNUMBER(AG45)),AJ45="",AK45="",NOT(ISNUMBER(AL45)),AND(AM45&lt;&gt;"Observed",AM45&lt;&gt;"Corroborated",AM45&lt;&gt;"Declared"),OR(AN45="",AN45="Unknown"),OR(AQ45="",AQ45="Unknown"),OR(AR45="",AR45="Unknown",AR45="TBD"),OR(BC45="",NOT(ISNUMBER(BC45)))),"Evidence incomplete","Evidence recorded; review scope")))))</x:f>
      </x:c>
      <x:c r="BN45" s="73"/>
    </x:row>
    <x:row r="46" ht="34" customHeight="1">
      <x:c r="A46" s="73"/>
      <x:c r="B46" s="73"/>
      <x:c r="C46" s="73"/>
      <x:c r="D46" s="73"/>
      <x:c r="E46" s="73"/>
      <x:c r="F46" s="73"/>
      <x:c r="G46" s="73"/>
      <x:c r="H46" s="73"/>
      <x:c r="I46" s="75"/>
      <x:c r="J46" s="73"/>
      <x:c r="K46" s="73"/>
      <x:c r="L46" s="76"/>
      <x:c r="M46" s="73"/>
      <x:c r="N46" s="73"/>
      <x:c r="O46" s="73"/>
      <x:c r="P46" s="73"/>
      <x:c r="Q46" s="76"/>
      <x:c r="R46" s="73"/>
      <x:c r="S46" s="73"/>
      <x:c r="T46" s="73"/>
      <x:c r="U46" s="73"/>
      <x:c r="V46" s="73"/>
      <x:c r="W46" s="73"/>
      <x:c r="X46" s="73"/>
      <x:c r="Y46" s="73"/>
      <x:c r="Z46" s="73"/>
      <x:c r="AA46" s="73"/>
      <x:c r="AB46" s="76" t="str">
        <x:f>IF(A46="","",IF(OR(NOT(ISNUMBER(I46)),I46&lt;0,NOT(ISNUMBER(AP46)),AP46&lt;0,NOT(ISNUMBER(L46)),L46&lt;1,L46&gt;5,L46&lt;&gt;INT(L46),AND(J46&lt;&gt;"Public",J46&lt;&gt;"Partner",J46&lt;&gt;"Internal",J46&lt;&gt;"None"),AND(K46&lt;&gt;"High",K46&lt;&gt;"Medium",K46&lt;&gt;"Low",K46&lt;&gt;"None"),AND(W46&lt;&gt;"Hard-coded",W46&lt;&gt;"Configurable",W46&lt;&gt;"Policy-managed",W46&lt;&gt;"API/Library abstraction",W46&lt;&gt;"Automated"),AND(Z46&lt;&gt;"Y",Z46&lt;&gt;"N"),AND(AA46&lt;&gt;"Y",AA46&lt;&gt;"N")),"Incomplete",IF(Z46="Y",20,0)+L46*5+IF(AA46="Y",15,0)+IF(J46="Public",10,IF(J46="Partner",7,IF(J46="Internal",3,0)))+IF(W46="Hard-coded",10,IF(W46="Configurable",3,0))+IF(MAX(I46,AP46)&gt;=10,10,IF(MAX(I46,AP46)&gt;=5,7,IF(MAX(I46,AP46)&gt;=2,3,0)))+IF(K46="High",10,IF(K46="Medium",5,0))))</x:f>
      </x:c>
      <x:c r="AC46" s="73" t="str">
        <x:f>IF(A46="","",IF(NOT(ISNUMBER(AB46)),"Review inputs",IF(AB46&gt;=70,"P0 - Immediate",IF(AB46&gt;=50,"P1 - High",IF(AB46&gt;=30,"P2 - Medium",IF(AB46&gt;=15,"P3 - Low","P4 - Monitor"))))))</x:f>
      </x:c>
      <x:c r="AD46" s="73"/>
      <x:c r="AE46" s="73"/>
      <x:c r="AF46" s="73"/>
      <x:c r="AG46" s="77"/>
      <x:c r="AH46" s="73"/>
      <x:c r="AI46" s="91"/>
      <x:c r="AJ46" s="91"/>
      <x:c r="AK46" s="91"/>
      <x:c r="AL46" s="92"/>
      <x:c r="AM46" s="91"/>
      <x:c r="AN46" s="91"/>
      <x:c r="AO46" s="93"/>
      <x:c r="AP46" s="94"/>
      <x:c r="AQ46" s="91"/>
      <x:c r="AR46" s="91"/>
      <x:c r="AS46" s="91"/>
      <x:c r="AT46" s="91"/>
      <x:c r="AU46" s="91"/>
      <x:c r="AV46" s="91"/>
      <x:c r="AW46" s="91"/>
      <x:c r="AX46" s="91"/>
      <x:c r="AY46" s="91"/>
      <x:c r="AZ46" s="92"/>
      <x:c r="BA46" s="94"/>
      <x:c r="BB46" s="91"/>
      <x:c r="BC46" s="92"/>
      <x:c r="BD46" s="92"/>
      <x:c r="BE46" s="91"/>
      <x:c r="BF46" s="91"/>
      <x:c r="BG46" s="91"/>
      <x:c r="BH46" s="91"/>
      <x:c r="BI46" s="91"/>
      <x:c r="BJ46" s="91"/>
      <x:c r="BK46" s="91"/>
      <x:c r="BL46" s="91"/>
      <x:c r="BM46" s="73" t="str">
        <x:f>IF(A46="","",IF(AI46="Example","Example only",IF(AI46&lt;&gt;"Actual","Set record type",IF(COUNTIF($A$2:$A$1001,A46)&gt;1,"Duplicate record ID",IF(OR(D46="",E46="",AF46="",NOT(ISNUMBER(AG46)),AJ46="",AK46="",NOT(ISNUMBER(AL46)),AND(AM46&lt;&gt;"Observed",AM46&lt;&gt;"Corroborated",AM46&lt;&gt;"Declared"),OR(AN46="",AN46="Unknown"),OR(AQ46="",AQ46="Unknown"),OR(AR46="",AR46="Unknown",AR46="TBD"),OR(BC46="",NOT(ISNUMBER(BC46)))),"Evidence incomplete","Evidence recorded; review scope")))))</x:f>
      </x:c>
      <x:c r="BN46" s="73"/>
    </x:row>
    <x:row r="47" ht="34" customHeight="1">
      <x:c r="A47" s="73"/>
      <x:c r="B47" s="73"/>
      <x:c r="C47" s="73"/>
      <x:c r="D47" s="73"/>
      <x:c r="E47" s="73"/>
      <x:c r="F47" s="73"/>
      <x:c r="G47" s="73"/>
      <x:c r="H47" s="73"/>
      <x:c r="I47" s="75"/>
      <x:c r="J47" s="73"/>
      <x:c r="K47" s="73"/>
      <x:c r="L47" s="76"/>
      <x:c r="M47" s="73"/>
      <x:c r="N47" s="73"/>
      <x:c r="O47" s="73"/>
      <x:c r="P47" s="73"/>
      <x:c r="Q47" s="76"/>
      <x:c r="R47" s="73"/>
      <x:c r="S47" s="73"/>
      <x:c r="T47" s="73"/>
      <x:c r="U47" s="73"/>
      <x:c r="V47" s="73"/>
      <x:c r="W47" s="73"/>
      <x:c r="X47" s="73"/>
      <x:c r="Y47" s="73"/>
      <x:c r="Z47" s="73"/>
      <x:c r="AA47" s="73"/>
      <x:c r="AB47" s="76" t="str">
        <x:f>IF(A47="","",IF(OR(NOT(ISNUMBER(I47)),I47&lt;0,NOT(ISNUMBER(AP47)),AP47&lt;0,NOT(ISNUMBER(L47)),L47&lt;1,L47&gt;5,L47&lt;&gt;INT(L47),AND(J47&lt;&gt;"Public",J47&lt;&gt;"Partner",J47&lt;&gt;"Internal",J47&lt;&gt;"None"),AND(K47&lt;&gt;"High",K47&lt;&gt;"Medium",K47&lt;&gt;"Low",K47&lt;&gt;"None"),AND(W47&lt;&gt;"Hard-coded",W47&lt;&gt;"Configurable",W47&lt;&gt;"Policy-managed",W47&lt;&gt;"API/Library abstraction",W47&lt;&gt;"Automated"),AND(Z47&lt;&gt;"Y",Z47&lt;&gt;"N"),AND(AA47&lt;&gt;"Y",AA47&lt;&gt;"N")),"Incomplete",IF(Z47="Y",20,0)+L47*5+IF(AA47="Y",15,0)+IF(J47="Public",10,IF(J47="Partner",7,IF(J47="Internal",3,0)))+IF(W47="Hard-coded",10,IF(W47="Configurable",3,0))+IF(MAX(I47,AP47)&gt;=10,10,IF(MAX(I47,AP47)&gt;=5,7,IF(MAX(I47,AP47)&gt;=2,3,0)))+IF(K47="High",10,IF(K47="Medium",5,0))))</x:f>
      </x:c>
      <x:c r="AC47" s="73" t="str">
        <x:f>IF(A47="","",IF(NOT(ISNUMBER(AB47)),"Review inputs",IF(AB47&gt;=70,"P0 - Immediate",IF(AB47&gt;=50,"P1 - High",IF(AB47&gt;=30,"P2 - Medium",IF(AB47&gt;=15,"P3 - Low","P4 - Monitor"))))))</x:f>
      </x:c>
      <x:c r="AD47" s="73"/>
      <x:c r="AE47" s="73"/>
      <x:c r="AF47" s="73"/>
      <x:c r="AG47" s="77"/>
      <x:c r="AH47" s="73"/>
      <x:c r="AI47" s="91"/>
      <x:c r="AJ47" s="91"/>
      <x:c r="AK47" s="91"/>
      <x:c r="AL47" s="92"/>
      <x:c r="AM47" s="91"/>
      <x:c r="AN47" s="91"/>
      <x:c r="AO47" s="93"/>
      <x:c r="AP47" s="94"/>
      <x:c r="AQ47" s="91"/>
      <x:c r="AR47" s="91"/>
      <x:c r="AS47" s="91"/>
      <x:c r="AT47" s="91"/>
      <x:c r="AU47" s="91"/>
      <x:c r="AV47" s="91"/>
      <x:c r="AW47" s="91"/>
      <x:c r="AX47" s="91"/>
      <x:c r="AY47" s="91"/>
      <x:c r="AZ47" s="92"/>
      <x:c r="BA47" s="94"/>
      <x:c r="BB47" s="91"/>
      <x:c r="BC47" s="92"/>
      <x:c r="BD47" s="92"/>
      <x:c r="BE47" s="91"/>
      <x:c r="BF47" s="91"/>
      <x:c r="BG47" s="91"/>
      <x:c r="BH47" s="91"/>
      <x:c r="BI47" s="91"/>
      <x:c r="BJ47" s="91"/>
      <x:c r="BK47" s="91"/>
      <x:c r="BL47" s="91"/>
      <x:c r="BM47" s="73" t="str">
        <x:f>IF(A47="","",IF(AI47="Example","Example only",IF(AI47&lt;&gt;"Actual","Set record type",IF(COUNTIF($A$2:$A$1001,A47)&gt;1,"Duplicate record ID",IF(OR(D47="",E47="",AF47="",NOT(ISNUMBER(AG47)),AJ47="",AK47="",NOT(ISNUMBER(AL47)),AND(AM47&lt;&gt;"Observed",AM47&lt;&gt;"Corroborated",AM47&lt;&gt;"Declared"),OR(AN47="",AN47="Unknown"),OR(AQ47="",AQ47="Unknown"),OR(AR47="",AR47="Unknown",AR47="TBD"),OR(BC47="",NOT(ISNUMBER(BC47)))),"Evidence incomplete","Evidence recorded; review scope")))))</x:f>
      </x:c>
      <x:c r="BN47" s="73"/>
    </x:row>
    <x:row r="48" ht="34" customHeight="1">
      <x:c r="A48" s="73"/>
      <x:c r="B48" s="73"/>
      <x:c r="C48" s="73"/>
      <x:c r="D48" s="73"/>
      <x:c r="E48" s="73"/>
      <x:c r="F48" s="73"/>
      <x:c r="G48" s="73"/>
      <x:c r="H48" s="73"/>
      <x:c r="I48" s="75"/>
      <x:c r="J48" s="73"/>
      <x:c r="K48" s="73"/>
      <x:c r="L48" s="76"/>
      <x:c r="M48" s="73"/>
      <x:c r="N48" s="73"/>
      <x:c r="O48" s="73"/>
      <x:c r="P48" s="73"/>
      <x:c r="Q48" s="76"/>
      <x:c r="R48" s="73"/>
      <x:c r="S48" s="73"/>
      <x:c r="T48" s="73"/>
      <x:c r="U48" s="73"/>
      <x:c r="V48" s="73"/>
      <x:c r="W48" s="73"/>
      <x:c r="X48" s="73"/>
      <x:c r="Y48" s="73"/>
      <x:c r="Z48" s="73"/>
      <x:c r="AA48" s="73"/>
      <x:c r="AB48" s="76" t="str">
        <x:f>IF(A48="","",IF(OR(NOT(ISNUMBER(I48)),I48&lt;0,NOT(ISNUMBER(AP48)),AP48&lt;0,NOT(ISNUMBER(L48)),L48&lt;1,L48&gt;5,L48&lt;&gt;INT(L48),AND(J48&lt;&gt;"Public",J48&lt;&gt;"Partner",J48&lt;&gt;"Internal",J48&lt;&gt;"None"),AND(K48&lt;&gt;"High",K48&lt;&gt;"Medium",K48&lt;&gt;"Low",K48&lt;&gt;"None"),AND(W48&lt;&gt;"Hard-coded",W48&lt;&gt;"Configurable",W48&lt;&gt;"Policy-managed",W48&lt;&gt;"API/Library abstraction",W48&lt;&gt;"Automated"),AND(Z48&lt;&gt;"Y",Z48&lt;&gt;"N"),AND(AA48&lt;&gt;"Y",AA48&lt;&gt;"N")),"Incomplete",IF(Z48="Y",20,0)+L48*5+IF(AA48="Y",15,0)+IF(J48="Public",10,IF(J48="Partner",7,IF(J48="Internal",3,0)))+IF(W48="Hard-coded",10,IF(W48="Configurable",3,0))+IF(MAX(I48,AP48)&gt;=10,10,IF(MAX(I48,AP48)&gt;=5,7,IF(MAX(I48,AP48)&gt;=2,3,0)))+IF(K48="High",10,IF(K48="Medium",5,0))))</x:f>
      </x:c>
      <x:c r="AC48" s="73" t="str">
        <x:f>IF(A48="","",IF(NOT(ISNUMBER(AB48)),"Review inputs",IF(AB48&gt;=70,"P0 - Immediate",IF(AB48&gt;=50,"P1 - High",IF(AB48&gt;=30,"P2 - Medium",IF(AB48&gt;=15,"P3 - Low","P4 - Monitor"))))))</x:f>
      </x:c>
      <x:c r="AD48" s="73"/>
      <x:c r="AE48" s="73"/>
      <x:c r="AF48" s="73"/>
      <x:c r="AG48" s="77"/>
      <x:c r="AH48" s="73"/>
      <x:c r="AI48" s="91"/>
      <x:c r="AJ48" s="91"/>
      <x:c r="AK48" s="91"/>
      <x:c r="AL48" s="92"/>
      <x:c r="AM48" s="91"/>
      <x:c r="AN48" s="91"/>
      <x:c r="AO48" s="93"/>
      <x:c r="AP48" s="94"/>
      <x:c r="AQ48" s="91"/>
      <x:c r="AR48" s="91"/>
      <x:c r="AS48" s="91"/>
      <x:c r="AT48" s="91"/>
      <x:c r="AU48" s="91"/>
      <x:c r="AV48" s="91"/>
      <x:c r="AW48" s="91"/>
      <x:c r="AX48" s="91"/>
      <x:c r="AY48" s="91"/>
      <x:c r="AZ48" s="92"/>
      <x:c r="BA48" s="94"/>
      <x:c r="BB48" s="91"/>
      <x:c r="BC48" s="92"/>
      <x:c r="BD48" s="92"/>
      <x:c r="BE48" s="91"/>
      <x:c r="BF48" s="91"/>
      <x:c r="BG48" s="91"/>
      <x:c r="BH48" s="91"/>
      <x:c r="BI48" s="91"/>
      <x:c r="BJ48" s="91"/>
      <x:c r="BK48" s="91"/>
      <x:c r="BL48" s="91"/>
      <x:c r="BM48" s="73" t="str">
        <x:f>IF(A48="","",IF(AI48="Example","Example only",IF(AI48&lt;&gt;"Actual","Set record type",IF(COUNTIF($A$2:$A$1001,A48)&gt;1,"Duplicate record ID",IF(OR(D48="",E48="",AF48="",NOT(ISNUMBER(AG48)),AJ48="",AK48="",NOT(ISNUMBER(AL48)),AND(AM48&lt;&gt;"Observed",AM48&lt;&gt;"Corroborated",AM48&lt;&gt;"Declared"),OR(AN48="",AN48="Unknown"),OR(AQ48="",AQ48="Unknown"),OR(AR48="",AR48="Unknown",AR48="TBD"),OR(BC48="",NOT(ISNUMBER(BC48)))),"Evidence incomplete","Evidence recorded; review scope")))))</x:f>
      </x:c>
      <x:c r="BN48" s="73"/>
    </x:row>
    <x:row r="49" ht="34" customHeight="1">
      <x:c r="A49" s="73"/>
      <x:c r="B49" s="73"/>
      <x:c r="C49" s="73"/>
      <x:c r="D49" s="73"/>
      <x:c r="E49" s="73"/>
      <x:c r="F49" s="73"/>
      <x:c r="G49" s="73"/>
      <x:c r="H49" s="73"/>
      <x:c r="I49" s="75"/>
      <x:c r="J49" s="73"/>
      <x:c r="K49" s="73"/>
      <x:c r="L49" s="76"/>
      <x:c r="M49" s="73"/>
      <x:c r="N49" s="73"/>
      <x:c r="O49" s="73"/>
      <x:c r="P49" s="73"/>
      <x:c r="Q49" s="76"/>
      <x:c r="R49" s="73"/>
      <x:c r="S49" s="73"/>
      <x:c r="T49" s="73"/>
      <x:c r="U49" s="73"/>
      <x:c r="V49" s="73"/>
      <x:c r="W49" s="73"/>
      <x:c r="X49" s="73"/>
      <x:c r="Y49" s="73"/>
      <x:c r="Z49" s="73"/>
      <x:c r="AA49" s="73"/>
      <x:c r="AB49" s="76" t="str">
        <x:f>IF(A49="","",IF(OR(NOT(ISNUMBER(I49)),I49&lt;0,NOT(ISNUMBER(AP49)),AP49&lt;0,NOT(ISNUMBER(L49)),L49&lt;1,L49&gt;5,L49&lt;&gt;INT(L49),AND(J49&lt;&gt;"Public",J49&lt;&gt;"Partner",J49&lt;&gt;"Internal",J49&lt;&gt;"None"),AND(K49&lt;&gt;"High",K49&lt;&gt;"Medium",K49&lt;&gt;"Low",K49&lt;&gt;"None"),AND(W49&lt;&gt;"Hard-coded",W49&lt;&gt;"Configurable",W49&lt;&gt;"Policy-managed",W49&lt;&gt;"API/Library abstraction",W49&lt;&gt;"Automated"),AND(Z49&lt;&gt;"Y",Z49&lt;&gt;"N"),AND(AA49&lt;&gt;"Y",AA49&lt;&gt;"N")),"Incomplete",IF(Z49="Y",20,0)+L49*5+IF(AA49="Y",15,0)+IF(J49="Public",10,IF(J49="Partner",7,IF(J49="Internal",3,0)))+IF(W49="Hard-coded",10,IF(W49="Configurable",3,0))+IF(MAX(I49,AP49)&gt;=10,10,IF(MAX(I49,AP49)&gt;=5,7,IF(MAX(I49,AP49)&gt;=2,3,0)))+IF(K49="High",10,IF(K49="Medium",5,0))))</x:f>
      </x:c>
      <x:c r="AC49" s="73" t="str">
        <x:f>IF(A49="","",IF(NOT(ISNUMBER(AB49)),"Review inputs",IF(AB49&gt;=70,"P0 - Immediate",IF(AB49&gt;=50,"P1 - High",IF(AB49&gt;=30,"P2 - Medium",IF(AB49&gt;=15,"P3 - Low","P4 - Monitor"))))))</x:f>
      </x:c>
      <x:c r="AD49" s="73"/>
      <x:c r="AE49" s="73"/>
      <x:c r="AF49" s="73"/>
      <x:c r="AG49" s="77"/>
      <x:c r="AH49" s="73"/>
      <x:c r="AI49" s="91"/>
      <x:c r="AJ49" s="91"/>
      <x:c r="AK49" s="91"/>
      <x:c r="AL49" s="92"/>
      <x:c r="AM49" s="91"/>
      <x:c r="AN49" s="91"/>
      <x:c r="AO49" s="93"/>
      <x:c r="AP49" s="94"/>
      <x:c r="AQ49" s="91"/>
      <x:c r="AR49" s="91"/>
      <x:c r="AS49" s="91"/>
      <x:c r="AT49" s="91"/>
      <x:c r="AU49" s="91"/>
      <x:c r="AV49" s="91"/>
      <x:c r="AW49" s="91"/>
      <x:c r="AX49" s="91"/>
      <x:c r="AY49" s="91"/>
      <x:c r="AZ49" s="92"/>
      <x:c r="BA49" s="94"/>
      <x:c r="BB49" s="91"/>
      <x:c r="BC49" s="92"/>
      <x:c r="BD49" s="92"/>
      <x:c r="BE49" s="91"/>
      <x:c r="BF49" s="91"/>
      <x:c r="BG49" s="91"/>
      <x:c r="BH49" s="91"/>
      <x:c r="BI49" s="91"/>
      <x:c r="BJ49" s="91"/>
      <x:c r="BK49" s="91"/>
      <x:c r="BL49" s="91"/>
      <x:c r="BM49" s="73" t="str">
        <x:f>IF(A49="","",IF(AI49="Example","Example only",IF(AI49&lt;&gt;"Actual","Set record type",IF(COUNTIF($A$2:$A$1001,A49)&gt;1,"Duplicate record ID",IF(OR(D49="",E49="",AF49="",NOT(ISNUMBER(AG49)),AJ49="",AK49="",NOT(ISNUMBER(AL49)),AND(AM49&lt;&gt;"Observed",AM49&lt;&gt;"Corroborated",AM49&lt;&gt;"Declared"),OR(AN49="",AN49="Unknown"),OR(AQ49="",AQ49="Unknown"),OR(AR49="",AR49="Unknown",AR49="TBD"),OR(BC49="",NOT(ISNUMBER(BC49)))),"Evidence incomplete","Evidence recorded; review scope")))))</x:f>
      </x:c>
      <x:c r="BN49" s="73"/>
    </x:row>
    <x:row r="50" ht="34" customHeight="1">
      <x:c r="A50" s="73"/>
      <x:c r="B50" s="73"/>
      <x:c r="C50" s="73"/>
      <x:c r="D50" s="73"/>
      <x:c r="E50" s="73"/>
      <x:c r="F50" s="73"/>
      <x:c r="G50" s="73"/>
      <x:c r="H50" s="73"/>
      <x:c r="I50" s="75"/>
      <x:c r="J50" s="73"/>
      <x:c r="K50" s="73"/>
      <x:c r="L50" s="76"/>
      <x:c r="M50" s="73"/>
      <x:c r="N50" s="73"/>
      <x:c r="O50" s="73"/>
      <x:c r="P50" s="73"/>
      <x:c r="Q50" s="76"/>
      <x:c r="R50" s="73"/>
      <x:c r="S50" s="73"/>
      <x:c r="T50" s="73"/>
      <x:c r="U50" s="73"/>
      <x:c r="V50" s="73"/>
      <x:c r="W50" s="73"/>
      <x:c r="X50" s="73"/>
      <x:c r="Y50" s="73"/>
      <x:c r="Z50" s="73"/>
      <x:c r="AA50" s="73"/>
      <x:c r="AB50" s="76" t="str">
        <x:f>IF(A50="","",IF(OR(NOT(ISNUMBER(I50)),I50&lt;0,NOT(ISNUMBER(AP50)),AP50&lt;0,NOT(ISNUMBER(L50)),L50&lt;1,L50&gt;5,L50&lt;&gt;INT(L50),AND(J50&lt;&gt;"Public",J50&lt;&gt;"Partner",J50&lt;&gt;"Internal",J50&lt;&gt;"None"),AND(K50&lt;&gt;"High",K50&lt;&gt;"Medium",K50&lt;&gt;"Low",K50&lt;&gt;"None"),AND(W50&lt;&gt;"Hard-coded",W50&lt;&gt;"Configurable",W50&lt;&gt;"Policy-managed",W50&lt;&gt;"API/Library abstraction",W50&lt;&gt;"Automated"),AND(Z50&lt;&gt;"Y",Z50&lt;&gt;"N"),AND(AA50&lt;&gt;"Y",AA50&lt;&gt;"N")),"Incomplete",IF(Z50="Y",20,0)+L50*5+IF(AA50="Y",15,0)+IF(J50="Public",10,IF(J50="Partner",7,IF(J50="Internal",3,0)))+IF(W50="Hard-coded",10,IF(W50="Configurable",3,0))+IF(MAX(I50,AP50)&gt;=10,10,IF(MAX(I50,AP50)&gt;=5,7,IF(MAX(I50,AP50)&gt;=2,3,0)))+IF(K50="High",10,IF(K50="Medium",5,0))))</x:f>
      </x:c>
      <x:c r="AC50" s="73" t="str">
        <x:f>IF(A50="","",IF(NOT(ISNUMBER(AB50)),"Review inputs",IF(AB50&gt;=70,"P0 - Immediate",IF(AB50&gt;=50,"P1 - High",IF(AB50&gt;=30,"P2 - Medium",IF(AB50&gt;=15,"P3 - Low","P4 - Monitor"))))))</x:f>
      </x:c>
      <x:c r="AD50" s="73"/>
      <x:c r="AE50" s="73"/>
      <x:c r="AF50" s="73"/>
      <x:c r="AG50" s="77"/>
      <x:c r="AH50" s="73"/>
      <x:c r="AI50" s="91"/>
      <x:c r="AJ50" s="91"/>
      <x:c r="AK50" s="91"/>
      <x:c r="AL50" s="92"/>
      <x:c r="AM50" s="91"/>
      <x:c r="AN50" s="91"/>
      <x:c r="AO50" s="93"/>
      <x:c r="AP50" s="94"/>
      <x:c r="AQ50" s="91"/>
      <x:c r="AR50" s="91"/>
      <x:c r="AS50" s="91"/>
      <x:c r="AT50" s="91"/>
      <x:c r="AU50" s="91"/>
      <x:c r="AV50" s="91"/>
      <x:c r="AW50" s="91"/>
      <x:c r="AX50" s="91"/>
      <x:c r="AY50" s="91"/>
      <x:c r="AZ50" s="92"/>
      <x:c r="BA50" s="94"/>
      <x:c r="BB50" s="91"/>
      <x:c r="BC50" s="92"/>
      <x:c r="BD50" s="92"/>
      <x:c r="BE50" s="91"/>
      <x:c r="BF50" s="91"/>
      <x:c r="BG50" s="91"/>
      <x:c r="BH50" s="91"/>
      <x:c r="BI50" s="91"/>
      <x:c r="BJ50" s="91"/>
      <x:c r="BK50" s="91"/>
      <x:c r="BL50" s="91"/>
      <x:c r="BM50" s="73" t="str">
        <x:f>IF(A50="","",IF(AI50="Example","Example only",IF(AI50&lt;&gt;"Actual","Set record type",IF(COUNTIF($A$2:$A$1001,A50)&gt;1,"Duplicate record ID",IF(OR(D50="",E50="",AF50="",NOT(ISNUMBER(AG50)),AJ50="",AK50="",NOT(ISNUMBER(AL50)),AND(AM50&lt;&gt;"Observed",AM50&lt;&gt;"Corroborated",AM50&lt;&gt;"Declared"),OR(AN50="",AN50="Unknown"),OR(AQ50="",AQ50="Unknown"),OR(AR50="",AR50="Unknown",AR50="TBD"),OR(BC50="",NOT(ISNUMBER(BC50)))),"Evidence incomplete","Evidence recorded; review scope")))))</x:f>
      </x:c>
      <x:c r="BN50" s="73"/>
    </x:row>
    <x:row r="51" ht="34" customHeight="1">
      <x:c r="A51" s="73"/>
      <x:c r="B51" s="73"/>
      <x:c r="C51" s="73"/>
      <x:c r="D51" s="73"/>
      <x:c r="E51" s="73"/>
      <x:c r="F51" s="73"/>
      <x:c r="G51" s="73"/>
      <x:c r="H51" s="73"/>
      <x:c r="I51" s="75"/>
      <x:c r="J51" s="73"/>
      <x:c r="K51" s="73"/>
      <x:c r="L51" s="76"/>
      <x:c r="M51" s="73"/>
      <x:c r="N51" s="73"/>
      <x:c r="O51" s="73"/>
      <x:c r="P51" s="73"/>
      <x:c r="Q51" s="76"/>
      <x:c r="R51" s="73"/>
      <x:c r="S51" s="73"/>
      <x:c r="T51" s="73"/>
      <x:c r="U51" s="73"/>
      <x:c r="V51" s="73"/>
      <x:c r="W51" s="73"/>
      <x:c r="X51" s="73"/>
      <x:c r="Y51" s="73"/>
      <x:c r="Z51" s="73"/>
      <x:c r="AA51" s="73"/>
      <x:c r="AB51" s="76" t="str">
        <x:f>IF(A51="","",IF(OR(NOT(ISNUMBER(I51)),I51&lt;0,NOT(ISNUMBER(AP51)),AP51&lt;0,NOT(ISNUMBER(L51)),L51&lt;1,L51&gt;5,L51&lt;&gt;INT(L51),AND(J51&lt;&gt;"Public",J51&lt;&gt;"Partner",J51&lt;&gt;"Internal",J51&lt;&gt;"None"),AND(K51&lt;&gt;"High",K51&lt;&gt;"Medium",K51&lt;&gt;"Low",K51&lt;&gt;"None"),AND(W51&lt;&gt;"Hard-coded",W51&lt;&gt;"Configurable",W51&lt;&gt;"Policy-managed",W51&lt;&gt;"API/Library abstraction",W51&lt;&gt;"Automated"),AND(Z51&lt;&gt;"Y",Z51&lt;&gt;"N"),AND(AA51&lt;&gt;"Y",AA51&lt;&gt;"N")),"Incomplete",IF(Z51="Y",20,0)+L51*5+IF(AA51="Y",15,0)+IF(J51="Public",10,IF(J51="Partner",7,IF(J51="Internal",3,0)))+IF(W51="Hard-coded",10,IF(W51="Configurable",3,0))+IF(MAX(I51,AP51)&gt;=10,10,IF(MAX(I51,AP51)&gt;=5,7,IF(MAX(I51,AP51)&gt;=2,3,0)))+IF(K51="High",10,IF(K51="Medium",5,0))))</x:f>
      </x:c>
      <x:c r="AC51" s="73" t="str">
        <x:f>IF(A51="","",IF(NOT(ISNUMBER(AB51)),"Review inputs",IF(AB51&gt;=70,"P0 - Immediate",IF(AB51&gt;=50,"P1 - High",IF(AB51&gt;=30,"P2 - Medium",IF(AB51&gt;=15,"P3 - Low","P4 - Monitor"))))))</x:f>
      </x:c>
      <x:c r="AD51" s="73"/>
      <x:c r="AE51" s="73"/>
      <x:c r="AF51" s="73"/>
      <x:c r="AG51" s="77"/>
      <x:c r="AH51" s="73"/>
      <x:c r="AI51" s="91"/>
      <x:c r="AJ51" s="91"/>
      <x:c r="AK51" s="91"/>
      <x:c r="AL51" s="92"/>
      <x:c r="AM51" s="91"/>
      <x:c r="AN51" s="91"/>
      <x:c r="AO51" s="93"/>
      <x:c r="AP51" s="94"/>
      <x:c r="AQ51" s="91"/>
      <x:c r="AR51" s="91"/>
      <x:c r="AS51" s="91"/>
      <x:c r="AT51" s="91"/>
      <x:c r="AU51" s="91"/>
      <x:c r="AV51" s="91"/>
      <x:c r="AW51" s="91"/>
      <x:c r="AX51" s="91"/>
      <x:c r="AY51" s="91"/>
      <x:c r="AZ51" s="92"/>
      <x:c r="BA51" s="94"/>
      <x:c r="BB51" s="91"/>
      <x:c r="BC51" s="92"/>
      <x:c r="BD51" s="92"/>
      <x:c r="BE51" s="91"/>
      <x:c r="BF51" s="91"/>
      <x:c r="BG51" s="91"/>
      <x:c r="BH51" s="91"/>
      <x:c r="BI51" s="91"/>
      <x:c r="BJ51" s="91"/>
      <x:c r="BK51" s="91"/>
      <x:c r="BL51" s="91"/>
      <x:c r="BM51" s="73" t="str">
        <x:f>IF(A51="","",IF(AI51="Example","Example only",IF(AI51&lt;&gt;"Actual","Set record type",IF(COUNTIF($A$2:$A$1001,A51)&gt;1,"Duplicate record ID",IF(OR(D51="",E51="",AF51="",NOT(ISNUMBER(AG51)),AJ51="",AK51="",NOT(ISNUMBER(AL51)),AND(AM51&lt;&gt;"Observed",AM51&lt;&gt;"Corroborated",AM51&lt;&gt;"Declared"),OR(AN51="",AN51="Unknown"),OR(AQ51="",AQ51="Unknown"),OR(AR51="",AR51="Unknown",AR51="TBD"),OR(BC51="",NOT(ISNUMBER(BC51)))),"Evidence incomplete","Evidence recorded; review scope")))))</x:f>
      </x:c>
      <x:c r="BN51" s="73"/>
    </x:row>
    <x:row r="52" ht="34" customHeight="1">
      <x:c r="A52" s="73"/>
      <x:c r="B52" s="73"/>
      <x:c r="C52" s="73"/>
      <x:c r="D52" s="73"/>
      <x:c r="E52" s="73"/>
      <x:c r="F52" s="73"/>
      <x:c r="G52" s="73"/>
      <x:c r="H52" s="73"/>
      <x:c r="I52" s="75"/>
      <x:c r="J52" s="73"/>
      <x:c r="K52" s="73"/>
      <x:c r="L52" s="76"/>
      <x:c r="M52" s="73"/>
      <x:c r="N52" s="73"/>
      <x:c r="O52" s="73"/>
      <x:c r="P52" s="73"/>
      <x:c r="Q52" s="76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  <x:c r="AB52" s="76" t="str">
        <x:f>IF(A52="","",IF(OR(NOT(ISNUMBER(I52)),I52&lt;0,NOT(ISNUMBER(AP52)),AP52&lt;0,NOT(ISNUMBER(L52)),L52&lt;1,L52&gt;5,L52&lt;&gt;INT(L52),AND(J52&lt;&gt;"Public",J52&lt;&gt;"Partner",J52&lt;&gt;"Internal",J52&lt;&gt;"None"),AND(K52&lt;&gt;"High",K52&lt;&gt;"Medium",K52&lt;&gt;"Low",K52&lt;&gt;"None"),AND(W52&lt;&gt;"Hard-coded",W52&lt;&gt;"Configurable",W52&lt;&gt;"Policy-managed",W52&lt;&gt;"API/Library abstraction",W52&lt;&gt;"Automated"),AND(Z52&lt;&gt;"Y",Z52&lt;&gt;"N"),AND(AA52&lt;&gt;"Y",AA52&lt;&gt;"N")),"Incomplete",IF(Z52="Y",20,0)+L52*5+IF(AA52="Y",15,0)+IF(J52="Public",10,IF(J52="Partner",7,IF(J52="Internal",3,0)))+IF(W52="Hard-coded",10,IF(W52="Configurable",3,0))+IF(MAX(I52,AP52)&gt;=10,10,IF(MAX(I52,AP52)&gt;=5,7,IF(MAX(I52,AP52)&gt;=2,3,0)))+IF(K52="High",10,IF(K52="Medium",5,0))))</x:f>
      </x:c>
      <x:c r="AC52" s="73" t="str">
        <x:f>IF(A52="","",IF(NOT(ISNUMBER(AB52)),"Review inputs",IF(AB52&gt;=70,"P0 - Immediate",IF(AB52&gt;=50,"P1 - High",IF(AB52&gt;=30,"P2 - Medium",IF(AB52&gt;=15,"P3 - Low","P4 - Monitor"))))))</x:f>
      </x:c>
      <x:c r="AD52" s="73"/>
      <x:c r="AE52" s="73"/>
      <x:c r="AF52" s="73"/>
      <x:c r="AG52" s="77"/>
      <x:c r="AH52" s="73"/>
      <x:c r="AI52" s="91"/>
      <x:c r="AJ52" s="91"/>
      <x:c r="AK52" s="91"/>
      <x:c r="AL52" s="92"/>
      <x:c r="AM52" s="91"/>
      <x:c r="AN52" s="91"/>
      <x:c r="AO52" s="93"/>
      <x:c r="AP52" s="94"/>
      <x:c r="AQ52" s="91"/>
      <x:c r="AR52" s="91"/>
      <x:c r="AS52" s="91"/>
      <x:c r="AT52" s="91"/>
      <x:c r="AU52" s="91"/>
      <x:c r="AV52" s="91"/>
      <x:c r="AW52" s="91"/>
      <x:c r="AX52" s="91"/>
      <x:c r="AY52" s="91"/>
      <x:c r="AZ52" s="92"/>
      <x:c r="BA52" s="94"/>
      <x:c r="BB52" s="91"/>
      <x:c r="BC52" s="92"/>
      <x:c r="BD52" s="92"/>
      <x:c r="BE52" s="91"/>
      <x:c r="BF52" s="91"/>
      <x:c r="BG52" s="91"/>
      <x:c r="BH52" s="91"/>
      <x:c r="BI52" s="91"/>
      <x:c r="BJ52" s="91"/>
      <x:c r="BK52" s="91"/>
      <x:c r="BL52" s="91"/>
      <x:c r="BM52" s="73" t="str">
        <x:f>IF(A52="","",IF(AI52="Example","Example only",IF(AI52&lt;&gt;"Actual","Set record type",IF(COUNTIF($A$2:$A$1001,A52)&gt;1,"Duplicate record ID",IF(OR(D52="",E52="",AF52="",NOT(ISNUMBER(AG52)),AJ52="",AK52="",NOT(ISNUMBER(AL52)),AND(AM52&lt;&gt;"Observed",AM52&lt;&gt;"Corroborated",AM52&lt;&gt;"Declared"),OR(AN52="",AN52="Unknown"),OR(AQ52="",AQ52="Unknown"),OR(AR52="",AR52="Unknown",AR52="TBD"),OR(BC52="",NOT(ISNUMBER(BC52)))),"Evidence incomplete","Evidence recorded; review scope")))))</x:f>
      </x:c>
      <x:c r="BN52" s="73"/>
    </x:row>
    <x:row r="53" ht="34" customHeight="1">
      <x:c r="A53" s="73"/>
      <x:c r="B53" s="73"/>
      <x:c r="C53" s="73"/>
      <x:c r="D53" s="73"/>
      <x:c r="E53" s="73"/>
      <x:c r="F53" s="73"/>
      <x:c r="G53" s="73"/>
      <x:c r="H53" s="73"/>
      <x:c r="I53" s="75"/>
      <x:c r="J53" s="73"/>
      <x:c r="K53" s="73"/>
      <x:c r="L53" s="76"/>
      <x:c r="M53" s="73"/>
      <x:c r="N53" s="73"/>
      <x:c r="O53" s="73"/>
      <x:c r="P53" s="73"/>
      <x:c r="Q53" s="76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  <x:c r="AB53" s="76" t="str">
        <x:f>IF(A53="","",IF(OR(NOT(ISNUMBER(I53)),I53&lt;0,NOT(ISNUMBER(AP53)),AP53&lt;0,NOT(ISNUMBER(L53)),L53&lt;1,L53&gt;5,L53&lt;&gt;INT(L53),AND(J53&lt;&gt;"Public",J53&lt;&gt;"Partner",J53&lt;&gt;"Internal",J53&lt;&gt;"None"),AND(K53&lt;&gt;"High",K53&lt;&gt;"Medium",K53&lt;&gt;"Low",K53&lt;&gt;"None"),AND(W53&lt;&gt;"Hard-coded",W53&lt;&gt;"Configurable",W53&lt;&gt;"Policy-managed",W53&lt;&gt;"API/Library abstraction",W53&lt;&gt;"Automated"),AND(Z53&lt;&gt;"Y",Z53&lt;&gt;"N"),AND(AA53&lt;&gt;"Y",AA53&lt;&gt;"N")),"Incomplete",IF(Z53="Y",20,0)+L53*5+IF(AA53="Y",15,0)+IF(J53="Public",10,IF(J53="Partner",7,IF(J53="Internal",3,0)))+IF(W53="Hard-coded",10,IF(W53="Configurable",3,0))+IF(MAX(I53,AP53)&gt;=10,10,IF(MAX(I53,AP53)&gt;=5,7,IF(MAX(I53,AP53)&gt;=2,3,0)))+IF(K53="High",10,IF(K53="Medium",5,0))))</x:f>
      </x:c>
      <x:c r="AC53" s="73" t="str">
        <x:f>IF(A53="","",IF(NOT(ISNUMBER(AB53)),"Review inputs",IF(AB53&gt;=70,"P0 - Immediate",IF(AB53&gt;=50,"P1 - High",IF(AB53&gt;=30,"P2 - Medium",IF(AB53&gt;=15,"P3 - Low","P4 - Monitor"))))))</x:f>
      </x:c>
      <x:c r="AD53" s="73"/>
      <x:c r="AE53" s="73"/>
      <x:c r="AF53" s="73"/>
      <x:c r="AG53" s="77"/>
      <x:c r="AH53" s="73"/>
      <x:c r="AI53" s="91"/>
      <x:c r="AJ53" s="91"/>
      <x:c r="AK53" s="91"/>
      <x:c r="AL53" s="92"/>
      <x:c r="AM53" s="91"/>
      <x:c r="AN53" s="91"/>
      <x:c r="AO53" s="93"/>
      <x:c r="AP53" s="94"/>
      <x:c r="AQ53" s="91"/>
      <x:c r="AR53" s="91"/>
      <x:c r="AS53" s="91"/>
      <x:c r="AT53" s="91"/>
      <x:c r="AU53" s="91"/>
      <x:c r="AV53" s="91"/>
      <x:c r="AW53" s="91"/>
      <x:c r="AX53" s="91"/>
      <x:c r="AY53" s="91"/>
      <x:c r="AZ53" s="92"/>
      <x:c r="BA53" s="94"/>
      <x:c r="BB53" s="91"/>
      <x:c r="BC53" s="92"/>
      <x:c r="BD53" s="92"/>
      <x:c r="BE53" s="91"/>
      <x:c r="BF53" s="91"/>
      <x:c r="BG53" s="91"/>
      <x:c r="BH53" s="91"/>
      <x:c r="BI53" s="91"/>
      <x:c r="BJ53" s="91"/>
      <x:c r="BK53" s="91"/>
      <x:c r="BL53" s="91"/>
      <x:c r="BM53" s="73" t="str">
        <x:f>IF(A53="","",IF(AI53="Example","Example only",IF(AI53&lt;&gt;"Actual","Set record type",IF(COUNTIF($A$2:$A$1001,A53)&gt;1,"Duplicate record ID",IF(OR(D53="",E53="",AF53="",NOT(ISNUMBER(AG53)),AJ53="",AK53="",NOT(ISNUMBER(AL53)),AND(AM53&lt;&gt;"Observed",AM53&lt;&gt;"Corroborated",AM53&lt;&gt;"Declared"),OR(AN53="",AN53="Unknown"),OR(AQ53="",AQ53="Unknown"),OR(AR53="",AR53="Unknown",AR53="TBD"),OR(BC53="",NOT(ISNUMBER(BC53)))),"Evidence incomplete","Evidence recorded; review scope")))))</x:f>
      </x:c>
      <x:c r="BN53" s="73"/>
    </x:row>
    <x:row r="54" ht="34" customHeight="1">
      <x:c r="A54" s="73"/>
      <x:c r="B54" s="73"/>
      <x:c r="C54" s="73"/>
      <x:c r="D54" s="73"/>
      <x:c r="E54" s="73"/>
      <x:c r="F54" s="73"/>
      <x:c r="G54" s="73"/>
      <x:c r="H54" s="73"/>
      <x:c r="I54" s="75"/>
      <x:c r="J54" s="73"/>
      <x:c r="K54" s="73"/>
      <x:c r="L54" s="76"/>
      <x:c r="M54" s="73"/>
      <x:c r="N54" s="73"/>
      <x:c r="O54" s="73"/>
      <x:c r="P54" s="73"/>
      <x:c r="Q54" s="76"/>
      <x:c r="R54" s="73"/>
      <x:c r="S54" s="73"/>
      <x:c r="T54" s="73"/>
      <x:c r="U54" s="73"/>
      <x:c r="V54" s="73"/>
      <x:c r="W54" s="73"/>
      <x:c r="X54" s="73"/>
      <x:c r="Y54" s="73"/>
      <x:c r="Z54" s="73"/>
      <x:c r="AA54" s="73"/>
      <x:c r="AB54" s="76" t="str">
        <x:f>IF(A54="","",IF(OR(NOT(ISNUMBER(I54)),I54&lt;0,NOT(ISNUMBER(AP54)),AP54&lt;0,NOT(ISNUMBER(L54)),L54&lt;1,L54&gt;5,L54&lt;&gt;INT(L54),AND(J54&lt;&gt;"Public",J54&lt;&gt;"Partner",J54&lt;&gt;"Internal",J54&lt;&gt;"None"),AND(K54&lt;&gt;"High",K54&lt;&gt;"Medium",K54&lt;&gt;"Low",K54&lt;&gt;"None"),AND(W54&lt;&gt;"Hard-coded",W54&lt;&gt;"Configurable",W54&lt;&gt;"Policy-managed",W54&lt;&gt;"API/Library abstraction",W54&lt;&gt;"Automated"),AND(Z54&lt;&gt;"Y",Z54&lt;&gt;"N"),AND(AA54&lt;&gt;"Y",AA54&lt;&gt;"N")),"Incomplete",IF(Z54="Y",20,0)+L54*5+IF(AA54="Y",15,0)+IF(J54="Public",10,IF(J54="Partner",7,IF(J54="Internal",3,0)))+IF(W54="Hard-coded",10,IF(W54="Configurable",3,0))+IF(MAX(I54,AP54)&gt;=10,10,IF(MAX(I54,AP54)&gt;=5,7,IF(MAX(I54,AP54)&gt;=2,3,0)))+IF(K54="High",10,IF(K54="Medium",5,0))))</x:f>
      </x:c>
      <x:c r="AC54" s="73" t="str">
        <x:f>IF(A54="","",IF(NOT(ISNUMBER(AB54)),"Review inputs",IF(AB54&gt;=70,"P0 - Immediate",IF(AB54&gt;=50,"P1 - High",IF(AB54&gt;=30,"P2 - Medium",IF(AB54&gt;=15,"P3 - Low","P4 - Monitor"))))))</x:f>
      </x:c>
      <x:c r="AD54" s="73"/>
      <x:c r="AE54" s="73"/>
      <x:c r="AF54" s="73"/>
      <x:c r="AG54" s="77"/>
      <x:c r="AH54" s="73"/>
      <x:c r="AI54" s="91"/>
      <x:c r="AJ54" s="91"/>
      <x:c r="AK54" s="91"/>
      <x:c r="AL54" s="92"/>
      <x:c r="AM54" s="91"/>
      <x:c r="AN54" s="91"/>
      <x:c r="AO54" s="93"/>
      <x:c r="AP54" s="94"/>
      <x:c r="AQ54" s="91"/>
      <x:c r="AR54" s="91"/>
      <x:c r="AS54" s="91"/>
      <x:c r="AT54" s="91"/>
      <x:c r="AU54" s="91"/>
      <x:c r="AV54" s="91"/>
      <x:c r="AW54" s="91"/>
      <x:c r="AX54" s="91"/>
      <x:c r="AY54" s="91"/>
      <x:c r="AZ54" s="92"/>
      <x:c r="BA54" s="94"/>
      <x:c r="BB54" s="91"/>
      <x:c r="BC54" s="92"/>
      <x:c r="BD54" s="92"/>
      <x:c r="BE54" s="91"/>
      <x:c r="BF54" s="91"/>
      <x:c r="BG54" s="91"/>
      <x:c r="BH54" s="91"/>
      <x:c r="BI54" s="91"/>
      <x:c r="BJ54" s="91"/>
      <x:c r="BK54" s="91"/>
      <x:c r="BL54" s="91"/>
      <x:c r="BM54" s="73" t="str">
        <x:f>IF(A54="","",IF(AI54="Example","Example only",IF(AI54&lt;&gt;"Actual","Set record type",IF(COUNTIF($A$2:$A$1001,A54)&gt;1,"Duplicate record ID",IF(OR(D54="",E54="",AF54="",NOT(ISNUMBER(AG54)),AJ54="",AK54="",NOT(ISNUMBER(AL54)),AND(AM54&lt;&gt;"Observed",AM54&lt;&gt;"Corroborated",AM54&lt;&gt;"Declared"),OR(AN54="",AN54="Unknown"),OR(AQ54="",AQ54="Unknown"),OR(AR54="",AR54="Unknown",AR54="TBD"),OR(BC54="",NOT(ISNUMBER(BC54)))),"Evidence incomplete","Evidence recorded; review scope")))))</x:f>
      </x:c>
      <x:c r="BN54" s="73"/>
    </x:row>
    <x:row r="55" ht="34" customHeight="1">
      <x:c r="A55" s="73"/>
      <x:c r="B55" s="73"/>
      <x:c r="C55" s="73"/>
      <x:c r="D55" s="73"/>
      <x:c r="E55" s="73"/>
      <x:c r="F55" s="73"/>
      <x:c r="G55" s="73"/>
      <x:c r="H55" s="73"/>
      <x:c r="I55" s="75"/>
      <x:c r="J55" s="73"/>
      <x:c r="K55" s="73"/>
      <x:c r="L55" s="76"/>
      <x:c r="M55" s="73"/>
      <x:c r="N55" s="73"/>
      <x:c r="O55" s="73"/>
      <x:c r="P55" s="73"/>
      <x:c r="Q55" s="76"/>
      <x:c r="R55" s="73"/>
      <x:c r="S55" s="73"/>
      <x:c r="T55" s="73"/>
      <x:c r="U55" s="73"/>
      <x:c r="V55" s="73"/>
      <x:c r="W55" s="73"/>
      <x:c r="X55" s="73"/>
      <x:c r="Y55" s="73"/>
      <x:c r="Z55" s="73"/>
      <x:c r="AA55" s="73"/>
      <x:c r="AB55" s="76" t="str">
        <x:f>IF(A55="","",IF(OR(NOT(ISNUMBER(I55)),I55&lt;0,NOT(ISNUMBER(AP55)),AP55&lt;0,NOT(ISNUMBER(L55)),L55&lt;1,L55&gt;5,L55&lt;&gt;INT(L55),AND(J55&lt;&gt;"Public",J55&lt;&gt;"Partner",J55&lt;&gt;"Internal",J55&lt;&gt;"None"),AND(K55&lt;&gt;"High",K55&lt;&gt;"Medium",K55&lt;&gt;"Low",K55&lt;&gt;"None"),AND(W55&lt;&gt;"Hard-coded",W55&lt;&gt;"Configurable",W55&lt;&gt;"Policy-managed",W55&lt;&gt;"API/Library abstraction",W55&lt;&gt;"Automated"),AND(Z55&lt;&gt;"Y",Z55&lt;&gt;"N"),AND(AA55&lt;&gt;"Y",AA55&lt;&gt;"N")),"Incomplete",IF(Z55="Y",20,0)+L55*5+IF(AA55="Y",15,0)+IF(J55="Public",10,IF(J55="Partner",7,IF(J55="Internal",3,0)))+IF(W55="Hard-coded",10,IF(W55="Configurable",3,0))+IF(MAX(I55,AP55)&gt;=10,10,IF(MAX(I55,AP55)&gt;=5,7,IF(MAX(I55,AP55)&gt;=2,3,0)))+IF(K55="High",10,IF(K55="Medium",5,0))))</x:f>
      </x:c>
      <x:c r="AC55" s="73" t="str">
        <x:f>IF(A55="","",IF(NOT(ISNUMBER(AB55)),"Review inputs",IF(AB55&gt;=70,"P0 - Immediate",IF(AB55&gt;=50,"P1 - High",IF(AB55&gt;=30,"P2 - Medium",IF(AB55&gt;=15,"P3 - Low","P4 - Monitor"))))))</x:f>
      </x:c>
      <x:c r="AD55" s="73"/>
      <x:c r="AE55" s="73"/>
      <x:c r="AF55" s="73"/>
      <x:c r="AG55" s="77"/>
      <x:c r="AH55" s="73"/>
      <x:c r="AI55" s="91"/>
      <x:c r="AJ55" s="91"/>
      <x:c r="AK55" s="91"/>
      <x:c r="AL55" s="92"/>
      <x:c r="AM55" s="91"/>
      <x:c r="AN55" s="91"/>
      <x:c r="AO55" s="93"/>
      <x:c r="AP55" s="94"/>
      <x:c r="AQ55" s="91"/>
      <x:c r="AR55" s="91"/>
      <x:c r="AS55" s="91"/>
      <x:c r="AT55" s="91"/>
      <x:c r="AU55" s="91"/>
      <x:c r="AV55" s="91"/>
      <x:c r="AW55" s="91"/>
      <x:c r="AX55" s="91"/>
      <x:c r="AY55" s="91"/>
      <x:c r="AZ55" s="92"/>
      <x:c r="BA55" s="94"/>
      <x:c r="BB55" s="91"/>
      <x:c r="BC55" s="92"/>
      <x:c r="BD55" s="92"/>
      <x:c r="BE55" s="91"/>
      <x:c r="BF55" s="91"/>
      <x:c r="BG55" s="91"/>
      <x:c r="BH55" s="91"/>
      <x:c r="BI55" s="91"/>
      <x:c r="BJ55" s="91"/>
      <x:c r="BK55" s="91"/>
      <x:c r="BL55" s="91"/>
      <x:c r="BM55" s="73" t="str">
        <x:f>IF(A55="","",IF(AI55="Example","Example only",IF(AI55&lt;&gt;"Actual","Set record type",IF(COUNTIF($A$2:$A$1001,A55)&gt;1,"Duplicate record ID",IF(OR(D55="",E55="",AF55="",NOT(ISNUMBER(AG55)),AJ55="",AK55="",NOT(ISNUMBER(AL55)),AND(AM55&lt;&gt;"Observed",AM55&lt;&gt;"Corroborated",AM55&lt;&gt;"Declared"),OR(AN55="",AN55="Unknown"),OR(AQ55="",AQ55="Unknown"),OR(AR55="",AR55="Unknown",AR55="TBD"),OR(BC55="",NOT(ISNUMBER(BC55)))),"Evidence incomplete","Evidence recorded; review scope")))))</x:f>
      </x:c>
      <x:c r="BN55" s="73"/>
    </x:row>
    <x:row r="56" ht="34" customHeight="1">
      <x:c r="A56" s="73"/>
      <x:c r="B56" s="73"/>
      <x:c r="C56" s="73"/>
      <x:c r="D56" s="73"/>
      <x:c r="E56" s="73"/>
      <x:c r="F56" s="73"/>
      <x:c r="G56" s="73"/>
      <x:c r="H56" s="73"/>
      <x:c r="I56" s="75"/>
      <x:c r="J56" s="73"/>
      <x:c r="K56" s="73"/>
      <x:c r="L56" s="76"/>
      <x:c r="M56" s="73"/>
      <x:c r="N56" s="73"/>
      <x:c r="O56" s="73"/>
      <x:c r="P56" s="73"/>
      <x:c r="Q56" s="76"/>
      <x:c r="R56" s="73"/>
      <x:c r="S56" s="73"/>
      <x:c r="T56" s="73"/>
      <x:c r="U56" s="73"/>
      <x:c r="V56" s="73"/>
      <x:c r="W56" s="73"/>
      <x:c r="X56" s="73"/>
      <x:c r="Y56" s="73"/>
      <x:c r="Z56" s="73"/>
      <x:c r="AA56" s="73"/>
      <x:c r="AB56" s="76" t="str">
        <x:f>IF(A56="","",IF(OR(NOT(ISNUMBER(I56)),I56&lt;0,NOT(ISNUMBER(AP56)),AP56&lt;0,NOT(ISNUMBER(L56)),L56&lt;1,L56&gt;5,L56&lt;&gt;INT(L56),AND(J56&lt;&gt;"Public",J56&lt;&gt;"Partner",J56&lt;&gt;"Internal",J56&lt;&gt;"None"),AND(K56&lt;&gt;"High",K56&lt;&gt;"Medium",K56&lt;&gt;"Low",K56&lt;&gt;"None"),AND(W56&lt;&gt;"Hard-coded",W56&lt;&gt;"Configurable",W56&lt;&gt;"Policy-managed",W56&lt;&gt;"API/Library abstraction",W56&lt;&gt;"Automated"),AND(Z56&lt;&gt;"Y",Z56&lt;&gt;"N"),AND(AA56&lt;&gt;"Y",AA56&lt;&gt;"N")),"Incomplete",IF(Z56="Y",20,0)+L56*5+IF(AA56="Y",15,0)+IF(J56="Public",10,IF(J56="Partner",7,IF(J56="Internal",3,0)))+IF(W56="Hard-coded",10,IF(W56="Configurable",3,0))+IF(MAX(I56,AP56)&gt;=10,10,IF(MAX(I56,AP56)&gt;=5,7,IF(MAX(I56,AP56)&gt;=2,3,0)))+IF(K56="High",10,IF(K56="Medium",5,0))))</x:f>
      </x:c>
      <x:c r="AC56" s="73" t="str">
        <x:f>IF(A56="","",IF(NOT(ISNUMBER(AB56)),"Review inputs",IF(AB56&gt;=70,"P0 - Immediate",IF(AB56&gt;=50,"P1 - High",IF(AB56&gt;=30,"P2 - Medium",IF(AB56&gt;=15,"P3 - Low","P4 - Monitor"))))))</x:f>
      </x:c>
      <x:c r="AD56" s="73"/>
      <x:c r="AE56" s="73"/>
      <x:c r="AF56" s="73"/>
      <x:c r="AG56" s="77"/>
      <x:c r="AH56" s="73"/>
      <x:c r="AI56" s="91"/>
      <x:c r="AJ56" s="91"/>
      <x:c r="AK56" s="91"/>
      <x:c r="AL56" s="92"/>
      <x:c r="AM56" s="91"/>
      <x:c r="AN56" s="91"/>
      <x:c r="AO56" s="93"/>
      <x:c r="AP56" s="94"/>
      <x:c r="AQ56" s="91"/>
      <x:c r="AR56" s="91"/>
      <x:c r="AS56" s="91"/>
      <x:c r="AT56" s="91"/>
      <x:c r="AU56" s="91"/>
      <x:c r="AV56" s="91"/>
      <x:c r="AW56" s="91"/>
      <x:c r="AX56" s="91"/>
      <x:c r="AY56" s="91"/>
      <x:c r="AZ56" s="92"/>
      <x:c r="BA56" s="94"/>
      <x:c r="BB56" s="91"/>
      <x:c r="BC56" s="92"/>
      <x:c r="BD56" s="92"/>
      <x:c r="BE56" s="91"/>
      <x:c r="BF56" s="91"/>
      <x:c r="BG56" s="91"/>
      <x:c r="BH56" s="91"/>
      <x:c r="BI56" s="91"/>
      <x:c r="BJ56" s="91"/>
      <x:c r="BK56" s="91"/>
      <x:c r="BL56" s="91"/>
      <x:c r="BM56" s="73" t="str">
        <x:f>IF(A56="","",IF(AI56="Example","Example only",IF(AI56&lt;&gt;"Actual","Set record type",IF(COUNTIF($A$2:$A$1001,A56)&gt;1,"Duplicate record ID",IF(OR(D56="",E56="",AF56="",NOT(ISNUMBER(AG56)),AJ56="",AK56="",NOT(ISNUMBER(AL56)),AND(AM56&lt;&gt;"Observed",AM56&lt;&gt;"Corroborated",AM56&lt;&gt;"Declared"),OR(AN56="",AN56="Unknown"),OR(AQ56="",AQ56="Unknown"),OR(AR56="",AR56="Unknown",AR56="TBD"),OR(BC56="",NOT(ISNUMBER(BC56)))),"Evidence incomplete","Evidence recorded; review scope")))))</x:f>
      </x:c>
      <x:c r="BN56" s="73"/>
    </x:row>
    <x:row r="57" ht="34" customHeight="1">
      <x:c r="A57" s="73"/>
      <x:c r="B57" s="73"/>
      <x:c r="C57" s="73"/>
      <x:c r="D57" s="73"/>
      <x:c r="E57" s="73"/>
      <x:c r="F57" s="73"/>
      <x:c r="G57" s="73"/>
      <x:c r="H57" s="73"/>
      <x:c r="I57" s="75"/>
      <x:c r="J57" s="73"/>
      <x:c r="K57" s="73"/>
      <x:c r="L57" s="76"/>
      <x:c r="M57" s="73"/>
      <x:c r="N57" s="73"/>
      <x:c r="O57" s="73"/>
      <x:c r="P57" s="73"/>
      <x:c r="Q57" s="76"/>
      <x:c r="R57" s="73"/>
      <x:c r="S57" s="73"/>
      <x:c r="T57" s="73"/>
      <x:c r="U57" s="73"/>
      <x:c r="V57" s="73"/>
      <x:c r="W57" s="73"/>
      <x:c r="X57" s="73"/>
      <x:c r="Y57" s="73"/>
      <x:c r="Z57" s="73"/>
      <x:c r="AA57" s="73"/>
      <x:c r="AB57" s="76" t="str">
        <x:f>IF(A57="","",IF(OR(NOT(ISNUMBER(I57)),I57&lt;0,NOT(ISNUMBER(AP57)),AP57&lt;0,NOT(ISNUMBER(L57)),L57&lt;1,L57&gt;5,L57&lt;&gt;INT(L57),AND(J57&lt;&gt;"Public",J57&lt;&gt;"Partner",J57&lt;&gt;"Internal",J57&lt;&gt;"None"),AND(K57&lt;&gt;"High",K57&lt;&gt;"Medium",K57&lt;&gt;"Low",K57&lt;&gt;"None"),AND(W57&lt;&gt;"Hard-coded",W57&lt;&gt;"Configurable",W57&lt;&gt;"Policy-managed",W57&lt;&gt;"API/Library abstraction",W57&lt;&gt;"Automated"),AND(Z57&lt;&gt;"Y",Z57&lt;&gt;"N"),AND(AA57&lt;&gt;"Y",AA57&lt;&gt;"N")),"Incomplete",IF(Z57="Y",20,0)+L57*5+IF(AA57="Y",15,0)+IF(J57="Public",10,IF(J57="Partner",7,IF(J57="Internal",3,0)))+IF(W57="Hard-coded",10,IF(W57="Configurable",3,0))+IF(MAX(I57,AP57)&gt;=10,10,IF(MAX(I57,AP57)&gt;=5,7,IF(MAX(I57,AP57)&gt;=2,3,0)))+IF(K57="High",10,IF(K57="Medium",5,0))))</x:f>
      </x:c>
      <x:c r="AC57" s="73" t="str">
        <x:f>IF(A57="","",IF(NOT(ISNUMBER(AB57)),"Review inputs",IF(AB57&gt;=70,"P0 - Immediate",IF(AB57&gt;=50,"P1 - High",IF(AB57&gt;=30,"P2 - Medium",IF(AB57&gt;=15,"P3 - Low","P4 - Monitor"))))))</x:f>
      </x:c>
      <x:c r="AD57" s="73"/>
      <x:c r="AE57" s="73"/>
      <x:c r="AF57" s="73"/>
      <x:c r="AG57" s="77"/>
      <x:c r="AH57" s="73"/>
      <x:c r="AI57" s="91"/>
      <x:c r="AJ57" s="91"/>
      <x:c r="AK57" s="91"/>
      <x:c r="AL57" s="92"/>
      <x:c r="AM57" s="91"/>
      <x:c r="AN57" s="91"/>
      <x:c r="AO57" s="93"/>
      <x:c r="AP57" s="94"/>
      <x:c r="AQ57" s="91"/>
      <x:c r="AR57" s="91"/>
      <x:c r="AS57" s="91"/>
      <x:c r="AT57" s="91"/>
      <x:c r="AU57" s="91"/>
      <x:c r="AV57" s="91"/>
      <x:c r="AW57" s="91"/>
      <x:c r="AX57" s="91"/>
      <x:c r="AY57" s="91"/>
      <x:c r="AZ57" s="92"/>
      <x:c r="BA57" s="94"/>
      <x:c r="BB57" s="91"/>
      <x:c r="BC57" s="92"/>
      <x:c r="BD57" s="92"/>
      <x:c r="BE57" s="91"/>
      <x:c r="BF57" s="91"/>
      <x:c r="BG57" s="91"/>
      <x:c r="BH57" s="91"/>
      <x:c r="BI57" s="91"/>
      <x:c r="BJ57" s="91"/>
      <x:c r="BK57" s="91"/>
      <x:c r="BL57" s="91"/>
      <x:c r="BM57" s="73" t="str">
        <x:f>IF(A57="","",IF(AI57="Example","Example only",IF(AI57&lt;&gt;"Actual","Set record type",IF(COUNTIF($A$2:$A$1001,A57)&gt;1,"Duplicate record ID",IF(OR(D57="",E57="",AF57="",NOT(ISNUMBER(AG57)),AJ57="",AK57="",NOT(ISNUMBER(AL57)),AND(AM57&lt;&gt;"Observed",AM57&lt;&gt;"Corroborated",AM57&lt;&gt;"Declared"),OR(AN57="",AN57="Unknown"),OR(AQ57="",AQ57="Unknown"),OR(AR57="",AR57="Unknown",AR57="TBD"),OR(BC57="",NOT(ISNUMBER(BC57)))),"Evidence incomplete","Evidence recorded; review scope")))))</x:f>
      </x:c>
      <x:c r="BN57" s="73"/>
    </x:row>
    <x:row r="58" ht="34" customHeight="1">
      <x:c r="A58" s="73"/>
      <x:c r="B58" s="73"/>
      <x:c r="C58" s="73"/>
      <x:c r="D58" s="73"/>
      <x:c r="E58" s="73"/>
      <x:c r="F58" s="73"/>
      <x:c r="G58" s="73"/>
      <x:c r="H58" s="73"/>
      <x:c r="I58" s="75"/>
      <x:c r="J58" s="73"/>
      <x:c r="K58" s="73"/>
      <x:c r="L58" s="76"/>
      <x:c r="M58" s="73"/>
      <x:c r="N58" s="73"/>
      <x:c r="O58" s="73"/>
      <x:c r="P58" s="73"/>
      <x:c r="Q58" s="76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  <x:c r="AB58" s="76" t="str">
        <x:f>IF(A58="","",IF(OR(NOT(ISNUMBER(I58)),I58&lt;0,NOT(ISNUMBER(AP58)),AP58&lt;0,NOT(ISNUMBER(L58)),L58&lt;1,L58&gt;5,L58&lt;&gt;INT(L58),AND(J58&lt;&gt;"Public",J58&lt;&gt;"Partner",J58&lt;&gt;"Internal",J58&lt;&gt;"None"),AND(K58&lt;&gt;"High",K58&lt;&gt;"Medium",K58&lt;&gt;"Low",K58&lt;&gt;"None"),AND(W58&lt;&gt;"Hard-coded",W58&lt;&gt;"Configurable",W58&lt;&gt;"Policy-managed",W58&lt;&gt;"API/Library abstraction",W58&lt;&gt;"Automated"),AND(Z58&lt;&gt;"Y",Z58&lt;&gt;"N"),AND(AA58&lt;&gt;"Y",AA58&lt;&gt;"N")),"Incomplete",IF(Z58="Y",20,0)+L58*5+IF(AA58="Y",15,0)+IF(J58="Public",10,IF(J58="Partner",7,IF(J58="Internal",3,0)))+IF(W58="Hard-coded",10,IF(W58="Configurable",3,0))+IF(MAX(I58,AP58)&gt;=10,10,IF(MAX(I58,AP58)&gt;=5,7,IF(MAX(I58,AP58)&gt;=2,3,0)))+IF(K58="High",10,IF(K58="Medium",5,0))))</x:f>
      </x:c>
      <x:c r="AC58" s="73" t="str">
        <x:f>IF(A58="","",IF(NOT(ISNUMBER(AB58)),"Review inputs",IF(AB58&gt;=70,"P0 - Immediate",IF(AB58&gt;=50,"P1 - High",IF(AB58&gt;=30,"P2 - Medium",IF(AB58&gt;=15,"P3 - Low","P4 - Monitor"))))))</x:f>
      </x:c>
      <x:c r="AD58" s="73"/>
      <x:c r="AE58" s="73"/>
      <x:c r="AF58" s="73"/>
      <x:c r="AG58" s="77"/>
      <x:c r="AH58" s="73"/>
      <x:c r="AI58" s="91"/>
      <x:c r="AJ58" s="91"/>
      <x:c r="AK58" s="91"/>
      <x:c r="AL58" s="92"/>
      <x:c r="AM58" s="91"/>
      <x:c r="AN58" s="91"/>
      <x:c r="AO58" s="93"/>
      <x:c r="AP58" s="94"/>
      <x:c r="AQ58" s="91"/>
      <x:c r="AR58" s="91"/>
      <x:c r="AS58" s="91"/>
      <x:c r="AT58" s="91"/>
      <x:c r="AU58" s="91"/>
      <x:c r="AV58" s="91"/>
      <x:c r="AW58" s="91"/>
      <x:c r="AX58" s="91"/>
      <x:c r="AY58" s="91"/>
      <x:c r="AZ58" s="92"/>
      <x:c r="BA58" s="94"/>
      <x:c r="BB58" s="91"/>
      <x:c r="BC58" s="92"/>
      <x:c r="BD58" s="92"/>
      <x:c r="BE58" s="91"/>
      <x:c r="BF58" s="91"/>
      <x:c r="BG58" s="91"/>
      <x:c r="BH58" s="91"/>
      <x:c r="BI58" s="91"/>
      <x:c r="BJ58" s="91"/>
      <x:c r="BK58" s="91"/>
      <x:c r="BL58" s="91"/>
      <x:c r="BM58" s="73" t="str">
        <x:f>IF(A58="","",IF(AI58="Example","Example only",IF(AI58&lt;&gt;"Actual","Set record type",IF(COUNTIF($A$2:$A$1001,A58)&gt;1,"Duplicate record ID",IF(OR(D58="",E58="",AF58="",NOT(ISNUMBER(AG58)),AJ58="",AK58="",NOT(ISNUMBER(AL58)),AND(AM58&lt;&gt;"Observed",AM58&lt;&gt;"Corroborated",AM58&lt;&gt;"Declared"),OR(AN58="",AN58="Unknown"),OR(AQ58="",AQ58="Unknown"),OR(AR58="",AR58="Unknown",AR58="TBD"),OR(BC58="",NOT(ISNUMBER(BC58)))),"Evidence incomplete","Evidence recorded; review scope")))))</x:f>
      </x:c>
      <x:c r="BN58" s="73"/>
    </x:row>
    <x:row r="59" ht="34" customHeight="1">
      <x:c r="A59" s="73"/>
      <x:c r="B59" s="73"/>
      <x:c r="C59" s="73"/>
      <x:c r="D59" s="73"/>
      <x:c r="E59" s="73"/>
      <x:c r="F59" s="73"/>
      <x:c r="G59" s="73"/>
      <x:c r="H59" s="73"/>
      <x:c r="I59" s="75"/>
      <x:c r="J59" s="73"/>
      <x:c r="K59" s="73"/>
      <x:c r="L59" s="76"/>
      <x:c r="M59" s="73"/>
      <x:c r="N59" s="73"/>
      <x:c r="O59" s="73"/>
      <x:c r="P59" s="73"/>
      <x:c r="Q59" s="76"/>
      <x:c r="R59" s="73"/>
      <x:c r="S59" s="73"/>
      <x:c r="T59" s="73"/>
      <x:c r="U59" s="73"/>
      <x:c r="V59" s="73"/>
      <x:c r="W59" s="73"/>
      <x:c r="X59" s="73"/>
      <x:c r="Y59" s="73"/>
      <x:c r="Z59" s="73"/>
      <x:c r="AA59" s="73"/>
      <x:c r="AB59" s="76" t="str">
        <x:f>IF(A59="","",IF(OR(NOT(ISNUMBER(I59)),I59&lt;0,NOT(ISNUMBER(AP59)),AP59&lt;0,NOT(ISNUMBER(L59)),L59&lt;1,L59&gt;5,L59&lt;&gt;INT(L59),AND(J59&lt;&gt;"Public",J59&lt;&gt;"Partner",J59&lt;&gt;"Internal",J59&lt;&gt;"None"),AND(K59&lt;&gt;"High",K59&lt;&gt;"Medium",K59&lt;&gt;"Low",K59&lt;&gt;"None"),AND(W59&lt;&gt;"Hard-coded",W59&lt;&gt;"Configurable",W59&lt;&gt;"Policy-managed",W59&lt;&gt;"API/Library abstraction",W59&lt;&gt;"Automated"),AND(Z59&lt;&gt;"Y",Z59&lt;&gt;"N"),AND(AA59&lt;&gt;"Y",AA59&lt;&gt;"N")),"Incomplete",IF(Z59="Y",20,0)+L59*5+IF(AA59="Y",15,0)+IF(J59="Public",10,IF(J59="Partner",7,IF(J59="Internal",3,0)))+IF(W59="Hard-coded",10,IF(W59="Configurable",3,0))+IF(MAX(I59,AP59)&gt;=10,10,IF(MAX(I59,AP59)&gt;=5,7,IF(MAX(I59,AP59)&gt;=2,3,0)))+IF(K59="High",10,IF(K59="Medium",5,0))))</x:f>
      </x:c>
      <x:c r="AC59" s="73" t="str">
        <x:f>IF(A59="","",IF(NOT(ISNUMBER(AB59)),"Review inputs",IF(AB59&gt;=70,"P0 - Immediate",IF(AB59&gt;=50,"P1 - High",IF(AB59&gt;=30,"P2 - Medium",IF(AB59&gt;=15,"P3 - Low","P4 - Monitor"))))))</x:f>
      </x:c>
      <x:c r="AD59" s="73"/>
      <x:c r="AE59" s="73"/>
      <x:c r="AF59" s="73"/>
      <x:c r="AG59" s="77"/>
      <x:c r="AH59" s="73"/>
      <x:c r="AI59" s="91"/>
      <x:c r="AJ59" s="91"/>
      <x:c r="AK59" s="91"/>
      <x:c r="AL59" s="92"/>
      <x:c r="AM59" s="91"/>
      <x:c r="AN59" s="91"/>
      <x:c r="AO59" s="93"/>
      <x:c r="AP59" s="94"/>
      <x:c r="AQ59" s="91"/>
      <x:c r="AR59" s="91"/>
      <x:c r="AS59" s="91"/>
      <x:c r="AT59" s="91"/>
      <x:c r="AU59" s="91"/>
      <x:c r="AV59" s="91"/>
      <x:c r="AW59" s="91"/>
      <x:c r="AX59" s="91"/>
      <x:c r="AY59" s="91"/>
      <x:c r="AZ59" s="92"/>
      <x:c r="BA59" s="94"/>
      <x:c r="BB59" s="91"/>
      <x:c r="BC59" s="92"/>
      <x:c r="BD59" s="92"/>
      <x:c r="BE59" s="91"/>
      <x:c r="BF59" s="91"/>
      <x:c r="BG59" s="91"/>
      <x:c r="BH59" s="91"/>
      <x:c r="BI59" s="91"/>
      <x:c r="BJ59" s="91"/>
      <x:c r="BK59" s="91"/>
      <x:c r="BL59" s="91"/>
      <x:c r="BM59" s="73" t="str">
        <x:f>IF(A59="","",IF(AI59="Example","Example only",IF(AI59&lt;&gt;"Actual","Set record type",IF(COUNTIF($A$2:$A$1001,A59)&gt;1,"Duplicate record ID",IF(OR(D59="",E59="",AF59="",NOT(ISNUMBER(AG59)),AJ59="",AK59="",NOT(ISNUMBER(AL59)),AND(AM59&lt;&gt;"Observed",AM59&lt;&gt;"Corroborated",AM59&lt;&gt;"Declared"),OR(AN59="",AN59="Unknown"),OR(AQ59="",AQ59="Unknown"),OR(AR59="",AR59="Unknown",AR59="TBD"),OR(BC59="",NOT(ISNUMBER(BC59)))),"Evidence incomplete","Evidence recorded; review scope")))))</x:f>
      </x:c>
      <x:c r="BN59" s="73"/>
    </x:row>
    <x:row r="60" ht="34" customHeight="1">
      <x:c r="A60" s="73"/>
      <x:c r="B60" s="73"/>
      <x:c r="C60" s="73"/>
      <x:c r="D60" s="73"/>
      <x:c r="E60" s="73"/>
      <x:c r="F60" s="73"/>
      <x:c r="G60" s="73"/>
      <x:c r="H60" s="73"/>
      <x:c r="I60" s="75"/>
      <x:c r="J60" s="73"/>
      <x:c r="K60" s="73"/>
      <x:c r="L60" s="76"/>
      <x:c r="M60" s="73"/>
      <x:c r="N60" s="73"/>
      <x:c r="O60" s="73"/>
      <x:c r="P60" s="73"/>
      <x:c r="Q60" s="76"/>
      <x:c r="R60" s="73"/>
      <x:c r="S60" s="73"/>
      <x:c r="T60" s="73"/>
      <x:c r="U60" s="73"/>
      <x:c r="V60" s="73"/>
      <x:c r="W60" s="73"/>
      <x:c r="X60" s="73"/>
      <x:c r="Y60" s="73"/>
      <x:c r="Z60" s="73"/>
      <x:c r="AA60" s="73"/>
      <x:c r="AB60" s="76" t="str">
        <x:f>IF(A60="","",IF(OR(NOT(ISNUMBER(I60)),I60&lt;0,NOT(ISNUMBER(AP60)),AP60&lt;0,NOT(ISNUMBER(L60)),L60&lt;1,L60&gt;5,L60&lt;&gt;INT(L60),AND(J60&lt;&gt;"Public",J60&lt;&gt;"Partner",J60&lt;&gt;"Internal",J60&lt;&gt;"None"),AND(K60&lt;&gt;"High",K60&lt;&gt;"Medium",K60&lt;&gt;"Low",K60&lt;&gt;"None"),AND(W60&lt;&gt;"Hard-coded",W60&lt;&gt;"Configurable",W60&lt;&gt;"Policy-managed",W60&lt;&gt;"API/Library abstraction",W60&lt;&gt;"Automated"),AND(Z60&lt;&gt;"Y",Z60&lt;&gt;"N"),AND(AA60&lt;&gt;"Y",AA60&lt;&gt;"N")),"Incomplete",IF(Z60="Y",20,0)+L60*5+IF(AA60="Y",15,0)+IF(J60="Public",10,IF(J60="Partner",7,IF(J60="Internal",3,0)))+IF(W60="Hard-coded",10,IF(W60="Configurable",3,0))+IF(MAX(I60,AP60)&gt;=10,10,IF(MAX(I60,AP60)&gt;=5,7,IF(MAX(I60,AP60)&gt;=2,3,0)))+IF(K60="High",10,IF(K60="Medium",5,0))))</x:f>
      </x:c>
      <x:c r="AC60" s="73" t="str">
        <x:f>IF(A60="","",IF(NOT(ISNUMBER(AB60)),"Review inputs",IF(AB60&gt;=70,"P0 - Immediate",IF(AB60&gt;=50,"P1 - High",IF(AB60&gt;=30,"P2 - Medium",IF(AB60&gt;=15,"P3 - Low","P4 - Monitor"))))))</x:f>
      </x:c>
      <x:c r="AD60" s="73"/>
      <x:c r="AE60" s="73"/>
      <x:c r="AF60" s="73"/>
      <x:c r="AG60" s="77"/>
      <x:c r="AH60" s="73"/>
      <x:c r="AI60" s="91"/>
      <x:c r="AJ60" s="91"/>
      <x:c r="AK60" s="91"/>
      <x:c r="AL60" s="92"/>
      <x:c r="AM60" s="91"/>
      <x:c r="AN60" s="91"/>
      <x:c r="AO60" s="93"/>
      <x:c r="AP60" s="94"/>
      <x:c r="AQ60" s="91"/>
      <x:c r="AR60" s="91"/>
      <x:c r="AS60" s="91"/>
      <x:c r="AT60" s="91"/>
      <x:c r="AU60" s="91"/>
      <x:c r="AV60" s="91"/>
      <x:c r="AW60" s="91"/>
      <x:c r="AX60" s="91"/>
      <x:c r="AY60" s="91"/>
      <x:c r="AZ60" s="92"/>
      <x:c r="BA60" s="94"/>
      <x:c r="BB60" s="91"/>
      <x:c r="BC60" s="92"/>
      <x:c r="BD60" s="92"/>
      <x:c r="BE60" s="91"/>
      <x:c r="BF60" s="91"/>
      <x:c r="BG60" s="91"/>
      <x:c r="BH60" s="91"/>
      <x:c r="BI60" s="91"/>
      <x:c r="BJ60" s="91"/>
      <x:c r="BK60" s="91"/>
      <x:c r="BL60" s="91"/>
      <x:c r="BM60" s="73" t="str">
        <x:f>IF(A60="","",IF(AI60="Example","Example only",IF(AI60&lt;&gt;"Actual","Set record type",IF(COUNTIF($A$2:$A$1001,A60)&gt;1,"Duplicate record ID",IF(OR(D60="",E60="",AF60="",NOT(ISNUMBER(AG60)),AJ60="",AK60="",NOT(ISNUMBER(AL60)),AND(AM60&lt;&gt;"Observed",AM60&lt;&gt;"Corroborated",AM60&lt;&gt;"Declared"),OR(AN60="",AN60="Unknown"),OR(AQ60="",AQ60="Unknown"),OR(AR60="",AR60="Unknown",AR60="TBD"),OR(BC60="",NOT(ISNUMBER(BC60)))),"Evidence incomplete","Evidence recorded; review scope")))))</x:f>
      </x:c>
      <x:c r="BN60" s="73"/>
    </x:row>
    <x:row r="61" ht="34" customHeight="1">
      <x:c r="A61" s="73"/>
      <x:c r="B61" s="73"/>
      <x:c r="C61" s="73"/>
      <x:c r="D61" s="73"/>
      <x:c r="E61" s="73"/>
      <x:c r="F61" s="73"/>
      <x:c r="G61" s="73"/>
      <x:c r="H61" s="73"/>
      <x:c r="I61" s="75"/>
      <x:c r="J61" s="73"/>
      <x:c r="K61" s="73"/>
      <x:c r="L61" s="76"/>
      <x:c r="M61" s="73"/>
      <x:c r="N61" s="73"/>
      <x:c r="O61" s="73"/>
      <x:c r="P61" s="73"/>
      <x:c r="Q61" s="76"/>
      <x:c r="R61" s="73"/>
      <x:c r="S61" s="73"/>
      <x:c r="T61" s="73"/>
      <x:c r="U61" s="73"/>
      <x:c r="V61" s="73"/>
      <x:c r="W61" s="73"/>
      <x:c r="X61" s="73"/>
      <x:c r="Y61" s="73"/>
      <x:c r="Z61" s="73"/>
      <x:c r="AA61" s="73"/>
      <x:c r="AB61" s="76" t="str">
        <x:f>IF(A61="","",IF(OR(NOT(ISNUMBER(I61)),I61&lt;0,NOT(ISNUMBER(AP61)),AP61&lt;0,NOT(ISNUMBER(L61)),L61&lt;1,L61&gt;5,L61&lt;&gt;INT(L61),AND(J61&lt;&gt;"Public",J61&lt;&gt;"Partner",J61&lt;&gt;"Internal",J61&lt;&gt;"None"),AND(K61&lt;&gt;"High",K61&lt;&gt;"Medium",K61&lt;&gt;"Low",K61&lt;&gt;"None"),AND(W61&lt;&gt;"Hard-coded",W61&lt;&gt;"Configurable",W61&lt;&gt;"Policy-managed",W61&lt;&gt;"API/Library abstraction",W61&lt;&gt;"Automated"),AND(Z61&lt;&gt;"Y",Z61&lt;&gt;"N"),AND(AA61&lt;&gt;"Y",AA61&lt;&gt;"N")),"Incomplete",IF(Z61="Y",20,0)+L61*5+IF(AA61="Y",15,0)+IF(J61="Public",10,IF(J61="Partner",7,IF(J61="Internal",3,0)))+IF(W61="Hard-coded",10,IF(W61="Configurable",3,0))+IF(MAX(I61,AP61)&gt;=10,10,IF(MAX(I61,AP61)&gt;=5,7,IF(MAX(I61,AP61)&gt;=2,3,0)))+IF(K61="High",10,IF(K61="Medium",5,0))))</x:f>
      </x:c>
      <x:c r="AC61" s="73" t="str">
        <x:f>IF(A61="","",IF(NOT(ISNUMBER(AB61)),"Review inputs",IF(AB61&gt;=70,"P0 - Immediate",IF(AB61&gt;=50,"P1 - High",IF(AB61&gt;=30,"P2 - Medium",IF(AB61&gt;=15,"P3 - Low","P4 - Monitor"))))))</x:f>
      </x:c>
      <x:c r="AD61" s="73"/>
      <x:c r="AE61" s="73"/>
      <x:c r="AF61" s="73"/>
      <x:c r="AG61" s="77"/>
      <x:c r="AH61" s="73"/>
      <x:c r="AI61" s="91"/>
      <x:c r="AJ61" s="91"/>
      <x:c r="AK61" s="91"/>
      <x:c r="AL61" s="92"/>
      <x:c r="AM61" s="91"/>
      <x:c r="AN61" s="91"/>
      <x:c r="AO61" s="93"/>
      <x:c r="AP61" s="94"/>
      <x:c r="AQ61" s="91"/>
      <x:c r="AR61" s="91"/>
      <x:c r="AS61" s="91"/>
      <x:c r="AT61" s="91"/>
      <x:c r="AU61" s="91"/>
      <x:c r="AV61" s="91"/>
      <x:c r="AW61" s="91"/>
      <x:c r="AX61" s="91"/>
      <x:c r="AY61" s="91"/>
      <x:c r="AZ61" s="92"/>
      <x:c r="BA61" s="94"/>
      <x:c r="BB61" s="91"/>
      <x:c r="BC61" s="92"/>
      <x:c r="BD61" s="92"/>
      <x:c r="BE61" s="91"/>
      <x:c r="BF61" s="91"/>
      <x:c r="BG61" s="91"/>
      <x:c r="BH61" s="91"/>
      <x:c r="BI61" s="91"/>
      <x:c r="BJ61" s="91"/>
      <x:c r="BK61" s="91"/>
      <x:c r="BL61" s="91"/>
      <x:c r="BM61" s="73" t="str">
        <x:f>IF(A61="","",IF(AI61="Example","Example only",IF(AI61&lt;&gt;"Actual","Set record type",IF(COUNTIF($A$2:$A$1001,A61)&gt;1,"Duplicate record ID",IF(OR(D61="",E61="",AF61="",NOT(ISNUMBER(AG61)),AJ61="",AK61="",NOT(ISNUMBER(AL61)),AND(AM61&lt;&gt;"Observed",AM61&lt;&gt;"Corroborated",AM61&lt;&gt;"Declared"),OR(AN61="",AN61="Unknown"),OR(AQ61="",AQ61="Unknown"),OR(AR61="",AR61="Unknown",AR61="TBD"),OR(BC61="",NOT(ISNUMBER(BC61)))),"Evidence incomplete","Evidence recorded; review scope")))))</x:f>
      </x:c>
      <x:c r="BN61" s="73"/>
    </x:row>
    <x:row r="62" ht="34" customHeight="1">
      <x:c r="A62" s="73"/>
      <x:c r="B62" s="73"/>
      <x:c r="C62" s="73"/>
      <x:c r="D62" s="73"/>
      <x:c r="E62" s="73"/>
      <x:c r="F62" s="73"/>
      <x:c r="G62" s="73"/>
      <x:c r="H62" s="73"/>
      <x:c r="I62" s="75"/>
      <x:c r="J62" s="73"/>
      <x:c r="K62" s="73"/>
      <x:c r="L62" s="76"/>
      <x:c r="M62" s="73"/>
      <x:c r="N62" s="73"/>
      <x:c r="O62" s="73"/>
      <x:c r="P62" s="73"/>
      <x:c r="Q62" s="76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  <x:c r="AB62" s="76" t="str">
        <x:f>IF(A62="","",IF(OR(NOT(ISNUMBER(I62)),I62&lt;0,NOT(ISNUMBER(AP62)),AP62&lt;0,NOT(ISNUMBER(L62)),L62&lt;1,L62&gt;5,L62&lt;&gt;INT(L62),AND(J62&lt;&gt;"Public",J62&lt;&gt;"Partner",J62&lt;&gt;"Internal",J62&lt;&gt;"None"),AND(K62&lt;&gt;"High",K62&lt;&gt;"Medium",K62&lt;&gt;"Low",K62&lt;&gt;"None"),AND(W62&lt;&gt;"Hard-coded",W62&lt;&gt;"Configurable",W62&lt;&gt;"Policy-managed",W62&lt;&gt;"API/Library abstraction",W62&lt;&gt;"Automated"),AND(Z62&lt;&gt;"Y",Z62&lt;&gt;"N"),AND(AA62&lt;&gt;"Y",AA62&lt;&gt;"N")),"Incomplete",IF(Z62="Y",20,0)+L62*5+IF(AA62="Y",15,0)+IF(J62="Public",10,IF(J62="Partner",7,IF(J62="Internal",3,0)))+IF(W62="Hard-coded",10,IF(W62="Configurable",3,0))+IF(MAX(I62,AP62)&gt;=10,10,IF(MAX(I62,AP62)&gt;=5,7,IF(MAX(I62,AP62)&gt;=2,3,0)))+IF(K62="High",10,IF(K62="Medium",5,0))))</x:f>
      </x:c>
      <x:c r="AC62" s="73" t="str">
        <x:f>IF(A62="","",IF(NOT(ISNUMBER(AB62)),"Review inputs",IF(AB62&gt;=70,"P0 - Immediate",IF(AB62&gt;=50,"P1 - High",IF(AB62&gt;=30,"P2 - Medium",IF(AB62&gt;=15,"P3 - Low","P4 - Monitor"))))))</x:f>
      </x:c>
      <x:c r="AD62" s="73"/>
      <x:c r="AE62" s="73"/>
      <x:c r="AF62" s="73"/>
      <x:c r="AG62" s="77"/>
      <x:c r="AH62" s="73"/>
      <x:c r="AI62" s="91"/>
      <x:c r="AJ62" s="91"/>
      <x:c r="AK62" s="91"/>
      <x:c r="AL62" s="92"/>
      <x:c r="AM62" s="91"/>
      <x:c r="AN62" s="91"/>
      <x:c r="AO62" s="93"/>
      <x:c r="AP62" s="94"/>
      <x:c r="AQ62" s="91"/>
      <x:c r="AR62" s="91"/>
      <x:c r="AS62" s="91"/>
      <x:c r="AT62" s="91"/>
      <x:c r="AU62" s="91"/>
      <x:c r="AV62" s="91"/>
      <x:c r="AW62" s="91"/>
      <x:c r="AX62" s="91"/>
      <x:c r="AY62" s="91"/>
      <x:c r="AZ62" s="92"/>
      <x:c r="BA62" s="94"/>
      <x:c r="BB62" s="91"/>
      <x:c r="BC62" s="92"/>
      <x:c r="BD62" s="92"/>
      <x:c r="BE62" s="91"/>
      <x:c r="BF62" s="91"/>
      <x:c r="BG62" s="91"/>
      <x:c r="BH62" s="91"/>
      <x:c r="BI62" s="91"/>
      <x:c r="BJ62" s="91"/>
      <x:c r="BK62" s="91"/>
      <x:c r="BL62" s="91"/>
      <x:c r="BM62" s="73" t="str">
        <x:f>IF(A62="","",IF(AI62="Example","Example only",IF(AI62&lt;&gt;"Actual","Set record type",IF(COUNTIF($A$2:$A$1001,A62)&gt;1,"Duplicate record ID",IF(OR(D62="",E62="",AF62="",NOT(ISNUMBER(AG62)),AJ62="",AK62="",NOT(ISNUMBER(AL62)),AND(AM62&lt;&gt;"Observed",AM62&lt;&gt;"Corroborated",AM62&lt;&gt;"Declared"),OR(AN62="",AN62="Unknown"),OR(AQ62="",AQ62="Unknown"),OR(AR62="",AR62="Unknown",AR62="TBD"),OR(BC62="",NOT(ISNUMBER(BC62)))),"Evidence incomplete","Evidence recorded; review scope")))))</x:f>
      </x:c>
      <x:c r="BN62" s="73"/>
    </x:row>
    <x:row r="63" ht="34" customHeight="1">
      <x:c r="A63" s="73"/>
      <x:c r="B63" s="73"/>
      <x:c r="C63" s="73"/>
      <x:c r="D63" s="73"/>
      <x:c r="E63" s="73"/>
      <x:c r="F63" s="73"/>
      <x:c r="G63" s="73"/>
      <x:c r="H63" s="73"/>
      <x:c r="I63" s="75"/>
      <x:c r="J63" s="73"/>
      <x:c r="K63" s="73"/>
      <x:c r="L63" s="76"/>
      <x:c r="M63" s="73"/>
      <x:c r="N63" s="73"/>
      <x:c r="O63" s="73"/>
      <x:c r="P63" s="73"/>
      <x:c r="Q63" s="76"/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  <x:c r="AB63" s="76" t="str">
        <x:f>IF(A63="","",IF(OR(NOT(ISNUMBER(I63)),I63&lt;0,NOT(ISNUMBER(AP63)),AP63&lt;0,NOT(ISNUMBER(L63)),L63&lt;1,L63&gt;5,L63&lt;&gt;INT(L63),AND(J63&lt;&gt;"Public",J63&lt;&gt;"Partner",J63&lt;&gt;"Internal",J63&lt;&gt;"None"),AND(K63&lt;&gt;"High",K63&lt;&gt;"Medium",K63&lt;&gt;"Low",K63&lt;&gt;"None"),AND(W63&lt;&gt;"Hard-coded",W63&lt;&gt;"Configurable",W63&lt;&gt;"Policy-managed",W63&lt;&gt;"API/Library abstraction",W63&lt;&gt;"Automated"),AND(Z63&lt;&gt;"Y",Z63&lt;&gt;"N"),AND(AA63&lt;&gt;"Y",AA63&lt;&gt;"N")),"Incomplete",IF(Z63="Y",20,0)+L63*5+IF(AA63="Y",15,0)+IF(J63="Public",10,IF(J63="Partner",7,IF(J63="Internal",3,0)))+IF(W63="Hard-coded",10,IF(W63="Configurable",3,0))+IF(MAX(I63,AP63)&gt;=10,10,IF(MAX(I63,AP63)&gt;=5,7,IF(MAX(I63,AP63)&gt;=2,3,0)))+IF(K63="High",10,IF(K63="Medium",5,0))))</x:f>
      </x:c>
      <x:c r="AC63" s="73" t="str">
        <x:f>IF(A63="","",IF(NOT(ISNUMBER(AB63)),"Review inputs",IF(AB63&gt;=70,"P0 - Immediate",IF(AB63&gt;=50,"P1 - High",IF(AB63&gt;=30,"P2 - Medium",IF(AB63&gt;=15,"P3 - Low","P4 - Monitor"))))))</x:f>
      </x:c>
      <x:c r="AD63" s="73"/>
      <x:c r="AE63" s="73"/>
      <x:c r="AF63" s="73"/>
      <x:c r="AG63" s="77"/>
      <x:c r="AH63" s="73"/>
      <x:c r="AI63" s="91"/>
      <x:c r="AJ63" s="91"/>
      <x:c r="AK63" s="91"/>
      <x:c r="AL63" s="92"/>
      <x:c r="AM63" s="91"/>
      <x:c r="AN63" s="91"/>
      <x:c r="AO63" s="93"/>
      <x:c r="AP63" s="94"/>
      <x:c r="AQ63" s="91"/>
      <x:c r="AR63" s="91"/>
      <x:c r="AS63" s="91"/>
      <x:c r="AT63" s="91"/>
      <x:c r="AU63" s="91"/>
      <x:c r="AV63" s="91"/>
      <x:c r="AW63" s="91"/>
      <x:c r="AX63" s="91"/>
      <x:c r="AY63" s="91"/>
      <x:c r="AZ63" s="92"/>
      <x:c r="BA63" s="94"/>
      <x:c r="BB63" s="91"/>
      <x:c r="BC63" s="92"/>
      <x:c r="BD63" s="92"/>
      <x:c r="BE63" s="91"/>
      <x:c r="BF63" s="91"/>
      <x:c r="BG63" s="91"/>
      <x:c r="BH63" s="91"/>
      <x:c r="BI63" s="91"/>
      <x:c r="BJ63" s="91"/>
      <x:c r="BK63" s="91"/>
      <x:c r="BL63" s="91"/>
      <x:c r="BM63" s="73" t="str">
        <x:f>IF(A63="","",IF(AI63="Example","Example only",IF(AI63&lt;&gt;"Actual","Set record type",IF(COUNTIF($A$2:$A$1001,A63)&gt;1,"Duplicate record ID",IF(OR(D63="",E63="",AF63="",NOT(ISNUMBER(AG63)),AJ63="",AK63="",NOT(ISNUMBER(AL63)),AND(AM63&lt;&gt;"Observed",AM63&lt;&gt;"Corroborated",AM63&lt;&gt;"Declared"),OR(AN63="",AN63="Unknown"),OR(AQ63="",AQ63="Unknown"),OR(AR63="",AR63="Unknown",AR63="TBD"),OR(BC63="",NOT(ISNUMBER(BC63)))),"Evidence incomplete","Evidence recorded; review scope")))))</x:f>
      </x:c>
      <x:c r="BN63" s="73"/>
    </x:row>
    <x:row r="64" ht="34" customHeight="1">
      <x:c r="A64" s="73"/>
      <x:c r="B64" s="73"/>
      <x:c r="C64" s="73"/>
      <x:c r="D64" s="73"/>
      <x:c r="E64" s="73"/>
      <x:c r="F64" s="73"/>
      <x:c r="G64" s="73"/>
      <x:c r="H64" s="73"/>
      <x:c r="I64" s="75"/>
      <x:c r="J64" s="73"/>
      <x:c r="K64" s="73"/>
      <x:c r="L64" s="76"/>
      <x:c r="M64" s="73"/>
      <x:c r="N64" s="73"/>
      <x:c r="O64" s="73"/>
      <x:c r="P64" s="73"/>
      <x:c r="Q64" s="76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  <x:c r="AB64" s="76" t="str">
        <x:f>IF(A64="","",IF(OR(NOT(ISNUMBER(I64)),I64&lt;0,NOT(ISNUMBER(AP64)),AP64&lt;0,NOT(ISNUMBER(L64)),L64&lt;1,L64&gt;5,L64&lt;&gt;INT(L64),AND(J64&lt;&gt;"Public",J64&lt;&gt;"Partner",J64&lt;&gt;"Internal",J64&lt;&gt;"None"),AND(K64&lt;&gt;"High",K64&lt;&gt;"Medium",K64&lt;&gt;"Low",K64&lt;&gt;"None"),AND(W64&lt;&gt;"Hard-coded",W64&lt;&gt;"Configurable",W64&lt;&gt;"Policy-managed",W64&lt;&gt;"API/Library abstraction",W64&lt;&gt;"Automated"),AND(Z64&lt;&gt;"Y",Z64&lt;&gt;"N"),AND(AA64&lt;&gt;"Y",AA64&lt;&gt;"N")),"Incomplete",IF(Z64="Y",20,0)+L64*5+IF(AA64="Y",15,0)+IF(J64="Public",10,IF(J64="Partner",7,IF(J64="Internal",3,0)))+IF(W64="Hard-coded",10,IF(W64="Configurable",3,0))+IF(MAX(I64,AP64)&gt;=10,10,IF(MAX(I64,AP64)&gt;=5,7,IF(MAX(I64,AP64)&gt;=2,3,0)))+IF(K64="High",10,IF(K64="Medium",5,0))))</x:f>
      </x:c>
      <x:c r="AC64" s="73" t="str">
        <x:f>IF(A64="","",IF(NOT(ISNUMBER(AB64)),"Review inputs",IF(AB64&gt;=70,"P0 - Immediate",IF(AB64&gt;=50,"P1 - High",IF(AB64&gt;=30,"P2 - Medium",IF(AB64&gt;=15,"P3 - Low","P4 - Monitor"))))))</x:f>
      </x:c>
      <x:c r="AD64" s="73"/>
      <x:c r="AE64" s="73"/>
      <x:c r="AF64" s="73"/>
      <x:c r="AG64" s="77"/>
      <x:c r="AH64" s="73"/>
      <x:c r="AI64" s="91"/>
      <x:c r="AJ64" s="91"/>
      <x:c r="AK64" s="91"/>
      <x:c r="AL64" s="92"/>
      <x:c r="AM64" s="91"/>
      <x:c r="AN64" s="91"/>
      <x:c r="AO64" s="93"/>
      <x:c r="AP64" s="94"/>
      <x:c r="AQ64" s="91"/>
      <x:c r="AR64" s="91"/>
      <x:c r="AS64" s="91"/>
      <x:c r="AT64" s="91"/>
      <x:c r="AU64" s="91"/>
      <x:c r="AV64" s="91"/>
      <x:c r="AW64" s="91"/>
      <x:c r="AX64" s="91"/>
      <x:c r="AY64" s="91"/>
      <x:c r="AZ64" s="92"/>
      <x:c r="BA64" s="94"/>
      <x:c r="BB64" s="91"/>
      <x:c r="BC64" s="92"/>
      <x:c r="BD64" s="92"/>
      <x:c r="BE64" s="91"/>
      <x:c r="BF64" s="91"/>
      <x:c r="BG64" s="91"/>
      <x:c r="BH64" s="91"/>
      <x:c r="BI64" s="91"/>
      <x:c r="BJ64" s="91"/>
      <x:c r="BK64" s="91"/>
      <x:c r="BL64" s="91"/>
      <x:c r="BM64" s="73" t="str">
        <x:f>IF(A64="","",IF(AI64="Example","Example only",IF(AI64&lt;&gt;"Actual","Set record type",IF(COUNTIF($A$2:$A$1001,A64)&gt;1,"Duplicate record ID",IF(OR(D64="",E64="",AF64="",NOT(ISNUMBER(AG64)),AJ64="",AK64="",NOT(ISNUMBER(AL64)),AND(AM64&lt;&gt;"Observed",AM64&lt;&gt;"Corroborated",AM64&lt;&gt;"Declared"),OR(AN64="",AN64="Unknown"),OR(AQ64="",AQ64="Unknown"),OR(AR64="",AR64="Unknown",AR64="TBD"),OR(BC64="",NOT(ISNUMBER(BC64)))),"Evidence incomplete","Evidence recorded; review scope")))))</x:f>
      </x:c>
      <x:c r="BN64" s="73"/>
    </x:row>
    <x:row r="65" ht="34" customHeight="1">
      <x:c r="A65" s="73"/>
      <x:c r="B65" s="73"/>
      <x:c r="C65" s="73"/>
      <x:c r="D65" s="73"/>
      <x:c r="E65" s="73"/>
      <x:c r="F65" s="73"/>
      <x:c r="G65" s="73"/>
      <x:c r="H65" s="73"/>
      <x:c r="I65" s="75"/>
      <x:c r="J65" s="73"/>
      <x:c r="K65" s="73"/>
      <x:c r="L65" s="76"/>
      <x:c r="M65" s="73"/>
      <x:c r="N65" s="73"/>
      <x:c r="O65" s="73"/>
      <x:c r="P65" s="73"/>
      <x:c r="Q65" s="76"/>
      <x:c r="R65" s="73"/>
      <x:c r="S65" s="73"/>
      <x:c r="T65" s="73"/>
      <x:c r="U65" s="73"/>
      <x:c r="V65" s="73"/>
      <x:c r="W65" s="73"/>
      <x:c r="X65" s="73"/>
      <x:c r="Y65" s="73"/>
      <x:c r="Z65" s="73"/>
      <x:c r="AA65" s="73"/>
      <x:c r="AB65" s="76" t="str">
        <x:f>IF(A65="","",IF(OR(NOT(ISNUMBER(I65)),I65&lt;0,NOT(ISNUMBER(AP65)),AP65&lt;0,NOT(ISNUMBER(L65)),L65&lt;1,L65&gt;5,L65&lt;&gt;INT(L65),AND(J65&lt;&gt;"Public",J65&lt;&gt;"Partner",J65&lt;&gt;"Internal",J65&lt;&gt;"None"),AND(K65&lt;&gt;"High",K65&lt;&gt;"Medium",K65&lt;&gt;"Low",K65&lt;&gt;"None"),AND(W65&lt;&gt;"Hard-coded",W65&lt;&gt;"Configurable",W65&lt;&gt;"Policy-managed",W65&lt;&gt;"API/Library abstraction",W65&lt;&gt;"Automated"),AND(Z65&lt;&gt;"Y",Z65&lt;&gt;"N"),AND(AA65&lt;&gt;"Y",AA65&lt;&gt;"N")),"Incomplete",IF(Z65="Y",20,0)+L65*5+IF(AA65="Y",15,0)+IF(J65="Public",10,IF(J65="Partner",7,IF(J65="Internal",3,0)))+IF(W65="Hard-coded",10,IF(W65="Configurable",3,0))+IF(MAX(I65,AP65)&gt;=10,10,IF(MAX(I65,AP65)&gt;=5,7,IF(MAX(I65,AP65)&gt;=2,3,0)))+IF(K65="High",10,IF(K65="Medium",5,0))))</x:f>
      </x:c>
      <x:c r="AC65" s="73" t="str">
        <x:f>IF(A65="","",IF(NOT(ISNUMBER(AB65)),"Review inputs",IF(AB65&gt;=70,"P0 - Immediate",IF(AB65&gt;=50,"P1 - High",IF(AB65&gt;=30,"P2 - Medium",IF(AB65&gt;=15,"P3 - Low","P4 - Monitor"))))))</x:f>
      </x:c>
      <x:c r="AD65" s="73"/>
      <x:c r="AE65" s="73"/>
      <x:c r="AF65" s="73"/>
      <x:c r="AG65" s="77"/>
      <x:c r="AH65" s="73"/>
      <x:c r="AI65" s="91"/>
      <x:c r="AJ65" s="91"/>
      <x:c r="AK65" s="91"/>
      <x:c r="AL65" s="92"/>
      <x:c r="AM65" s="91"/>
      <x:c r="AN65" s="91"/>
      <x:c r="AO65" s="93"/>
      <x:c r="AP65" s="94"/>
      <x:c r="AQ65" s="91"/>
      <x:c r="AR65" s="91"/>
      <x:c r="AS65" s="91"/>
      <x:c r="AT65" s="91"/>
      <x:c r="AU65" s="91"/>
      <x:c r="AV65" s="91"/>
      <x:c r="AW65" s="91"/>
      <x:c r="AX65" s="91"/>
      <x:c r="AY65" s="91"/>
      <x:c r="AZ65" s="92"/>
      <x:c r="BA65" s="94"/>
      <x:c r="BB65" s="91"/>
      <x:c r="BC65" s="92"/>
      <x:c r="BD65" s="92"/>
      <x:c r="BE65" s="91"/>
      <x:c r="BF65" s="91"/>
      <x:c r="BG65" s="91"/>
      <x:c r="BH65" s="91"/>
      <x:c r="BI65" s="91"/>
      <x:c r="BJ65" s="91"/>
      <x:c r="BK65" s="91"/>
      <x:c r="BL65" s="91"/>
      <x:c r="BM65" s="73" t="str">
        <x:f>IF(A65="","",IF(AI65="Example","Example only",IF(AI65&lt;&gt;"Actual","Set record type",IF(COUNTIF($A$2:$A$1001,A65)&gt;1,"Duplicate record ID",IF(OR(D65="",E65="",AF65="",NOT(ISNUMBER(AG65)),AJ65="",AK65="",NOT(ISNUMBER(AL65)),AND(AM65&lt;&gt;"Observed",AM65&lt;&gt;"Corroborated",AM65&lt;&gt;"Declared"),OR(AN65="",AN65="Unknown"),OR(AQ65="",AQ65="Unknown"),OR(AR65="",AR65="Unknown",AR65="TBD"),OR(BC65="",NOT(ISNUMBER(BC65)))),"Evidence incomplete","Evidence recorded; review scope")))))</x:f>
      </x:c>
      <x:c r="BN65" s="73"/>
    </x:row>
    <x:row r="66" ht="34" customHeight="1">
      <x:c r="A66" s="73"/>
      <x:c r="B66" s="73"/>
      <x:c r="C66" s="73"/>
      <x:c r="D66" s="73"/>
      <x:c r="E66" s="73"/>
      <x:c r="F66" s="73"/>
      <x:c r="G66" s="73"/>
      <x:c r="H66" s="73"/>
      <x:c r="I66" s="75"/>
      <x:c r="J66" s="73"/>
      <x:c r="K66" s="73"/>
      <x:c r="L66" s="76"/>
      <x:c r="M66" s="73"/>
      <x:c r="N66" s="73"/>
      <x:c r="O66" s="73"/>
      <x:c r="P66" s="73"/>
      <x:c r="Q66" s="76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  <x:c r="AB66" s="76" t="str">
        <x:f>IF(A66="","",IF(OR(NOT(ISNUMBER(I66)),I66&lt;0,NOT(ISNUMBER(AP66)),AP66&lt;0,NOT(ISNUMBER(L66)),L66&lt;1,L66&gt;5,L66&lt;&gt;INT(L66),AND(J66&lt;&gt;"Public",J66&lt;&gt;"Partner",J66&lt;&gt;"Internal",J66&lt;&gt;"None"),AND(K66&lt;&gt;"High",K66&lt;&gt;"Medium",K66&lt;&gt;"Low",K66&lt;&gt;"None"),AND(W66&lt;&gt;"Hard-coded",W66&lt;&gt;"Configurable",W66&lt;&gt;"Policy-managed",W66&lt;&gt;"API/Library abstraction",W66&lt;&gt;"Automated"),AND(Z66&lt;&gt;"Y",Z66&lt;&gt;"N"),AND(AA66&lt;&gt;"Y",AA66&lt;&gt;"N")),"Incomplete",IF(Z66="Y",20,0)+L66*5+IF(AA66="Y",15,0)+IF(J66="Public",10,IF(J66="Partner",7,IF(J66="Internal",3,0)))+IF(W66="Hard-coded",10,IF(W66="Configurable",3,0))+IF(MAX(I66,AP66)&gt;=10,10,IF(MAX(I66,AP66)&gt;=5,7,IF(MAX(I66,AP66)&gt;=2,3,0)))+IF(K66="High",10,IF(K66="Medium",5,0))))</x:f>
      </x:c>
      <x:c r="AC66" s="73" t="str">
        <x:f>IF(A66="","",IF(NOT(ISNUMBER(AB66)),"Review inputs",IF(AB66&gt;=70,"P0 - Immediate",IF(AB66&gt;=50,"P1 - High",IF(AB66&gt;=30,"P2 - Medium",IF(AB66&gt;=15,"P3 - Low","P4 - Monitor"))))))</x:f>
      </x:c>
      <x:c r="AD66" s="73"/>
      <x:c r="AE66" s="73"/>
      <x:c r="AF66" s="73"/>
      <x:c r="AG66" s="77"/>
      <x:c r="AH66" s="73"/>
      <x:c r="AI66" s="91"/>
      <x:c r="AJ66" s="91"/>
      <x:c r="AK66" s="91"/>
      <x:c r="AL66" s="92"/>
      <x:c r="AM66" s="91"/>
      <x:c r="AN66" s="91"/>
      <x:c r="AO66" s="93"/>
      <x:c r="AP66" s="94"/>
      <x:c r="AQ66" s="91"/>
      <x:c r="AR66" s="91"/>
      <x:c r="AS66" s="91"/>
      <x:c r="AT66" s="91"/>
      <x:c r="AU66" s="91"/>
      <x:c r="AV66" s="91"/>
      <x:c r="AW66" s="91"/>
      <x:c r="AX66" s="91"/>
      <x:c r="AY66" s="91"/>
      <x:c r="AZ66" s="92"/>
      <x:c r="BA66" s="94"/>
      <x:c r="BB66" s="91"/>
      <x:c r="BC66" s="92"/>
      <x:c r="BD66" s="92"/>
      <x:c r="BE66" s="91"/>
      <x:c r="BF66" s="91"/>
      <x:c r="BG66" s="91"/>
      <x:c r="BH66" s="91"/>
      <x:c r="BI66" s="91"/>
      <x:c r="BJ66" s="91"/>
      <x:c r="BK66" s="91"/>
      <x:c r="BL66" s="91"/>
      <x:c r="BM66" s="73" t="str">
        <x:f>IF(A66="","",IF(AI66="Example","Example only",IF(AI66&lt;&gt;"Actual","Set record type",IF(COUNTIF($A$2:$A$1001,A66)&gt;1,"Duplicate record ID",IF(OR(D66="",E66="",AF66="",NOT(ISNUMBER(AG66)),AJ66="",AK66="",NOT(ISNUMBER(AL66)),AND(AM66&lt;&gt;"Observed",AM66&lt;&gt;"Corroborated",AM66&lt;&gt;"Declared"),OR(AN66="",AN66="Unknown"),OR(AQ66="",AQ66="Unknown"),OR(AR66="",AR66="Unknown",AR66="TBD"),OR(BC66="",NOT(ISNUMBER(BC66)))),"Evidence incomplete","Evidence recorded; review scope")))))</x:f>
      </x:c>
      <x:c r="BN66" s="73"/>
    </x:row>
    <x:row r="67" ht="34" customHeight="1">
      <x:c r="A67" s="73"/>
      <x:c r="B67" s="73"/>
      <x:c r="C67" s="73"/>
      <x:c r="D67" s="73"/>
      <x:c r="E67" s="73"/>
      <x:c r="F67" s="73"/>
      <x:c r="G67" s="73"/>
      <x:c r="H67" s="73"/>
      <x:c r="I67" s="75"/>
      <x:c r="J67" s="73"/>
      <x:c r="K67" s="73"/>
      <x:c r="L67" s="76"/>
      <x:c r="M67" s="73"/>
      <x:c r="N67" s="73"/>
      <x:c r="O67" s="73"/>
      <x:c r="P67" s="73"/>
      <x:c r="Q67" s="76"/>
      <x:c r="R67" s="73"/>
      <x:c r="S67" s="73"/>
      <x:c r="T67" s="73"/>
      <x:c r="U67" s="73"/>
      <x:c r="V67" s="73"/>
      <x:c r="W67" s="73"/>
      <x:c r="X67" s="73"/>
      <x:c r="Y67" s="73"/>
      <x:c r="Z67" s="73"/>
      <x:c r="AA67" s="73"/>
      <x:c r="AB67" s="76" t="str">
        <x:f>IF(A67="","",IF(OR(NOT(ISNUMBER(I67)),I67&lt;0,NOT(ISNUMBER(AP67)),AP67&lt;0,NOT(ISNUMBER(L67)),L67&lt;1,L67&gt;5,L67&lt;&gt;INT(L67),AND(J67&lt;&gt;"Public",J67&lt;&gt;"Partner",J67&lt;&gt;"Internal",J67&lt;&gt;"None"),AND(K67&lt;&gt;"High",K67&lt;&gt;"Medium",K67&lt;&gt;"Low",K67&lt;&gt;"None"),AND(W67&lt;&gt;"Hard-coded",W67&lt;&gt;"Configurable",W67&lt;&gt;"Policy-managed",W67&lt;&gt;"API/Library abstraction",W67&lt;&gt;"Automated"),AND(Z67&lt;&gt;"Y",Z67&lt;&gt;"N"),AND(AA67&lt;&gt;"Y",AA67&lt;&gt;"N")),"Incomplete",IF(Z67="Y",20,0)+L67*5+IF(AA67="Y",15,0)+IF(J67="Public",10,IF(J67="Partner",7,IF(J67="Internal",3,0)))+IF(W67="Hard-coded",10,IF(W67="Configurable",3,0))+IF(MAX(I67,AP67)&gt;=10,10,IF(MAX(I67,AP67)&gt;=5,7,IF(MAX(I67,AP67)&gt;=2,3,0)))+IF(K67="High",10,IF(K67="Medium",5,0))))</x:f>
      </x:c>
      <x:c r="AC67" s="73" t="str">
        <x:f>IF(A67="","",IF(NOT(ISNUMBER(AB67)),"Review inputs",IF(AB67&gt;=70,"P0 - Immediate",IF(AB67&gt;=50,"P1 - High",IF(AB67&gt;=30,"P2 - Medium",IF(AB67&gt;=15,"P3 - Low","P4 - Monitor"))))))</x:f>
      </x:c>
      <x:c r="AD67" s="73"/>
      <x:c r="AE67" s="73"/>
      <x:c r="AF67" s="73"/>
      <x:c r="AG67" s="77"/>
      <x:c r="AH67" s="73"/>
      <x:c r="AI67" s="91"/>
      <x:c r="AJ67" s="91"/>
      <x:c r="AK67" s="91"/>
      <x:c r="AL67" s="92"/>
      <x:c r="AM67" s="91"/>
      <x:c r="AN67" s="91"/>
      <x:c r="AO67" s="93"/>
      <x:c r="AP67" s="94"/>
      <x:c r="AQ67" s="91"/>
      <x:c r="AR67" s="91"/>
      <x:c r="AS67" s="91"/>
      <x:c r="AT67" s="91"/>
      <x:c r="AU67" s="91"/>
      <x:c r="AV67" s="91"/>
      <x:c r="AW67" s="91"/>
      <x:c r="AX67" s="91"/>
      <x:c r="AY67" s="91"/>
      <x:c r="AZ67" s="92"/>
      <x:c r="BA67" s="94"/>
      <x:c r="BB67" s="91"/>
      <x:c r="BC67" s="92"/>
      <x:c r="BD67" s="92"/>
      <x:c r="BE67" s="91"/>
      <x:c r="BF67" s="91"/>
      <x:c r="BG67" s="91"/>
      <x:c r="BH67" s="91"/>
      <x:c r="BI67" s="91"/>
      <x:c r="BJ67" s="91"/>
      <x:c r="BK67" s="91"/>
      <x:c r="BL67" s="91"/>
      <x:c r="BM67" s="73" t="str">
        <x:f>IF(A67="","",IF(AI67="Example","Example only",IF(AI67&lt;&gt;"Actual","Set record type",IF(COUNTIF($A$2:$A$1001,A67)&gt;1,"Duplicate record ID",IF(OR(D67="",E67="",AF67="",NOT(ISNUMBER(AG67)),AJ67="",AK67="",NOT(ISNUMBER(AL67)),AND(AM67&lt;&gt;"Observed",AM67&lt;&gt;"Corroborated",AM67&lt;&gt;"Declared"),OR(AN67="",AN67="Unknown"),OR(AQ67="",AQ67="Unknown"),OR(AR67="",AR67="Unknown",AR67="TBD"),OR(BC67="",NOT(ISNUMBER(BC67)))),"Evidence incomplete","Evidence recorded; review scope")))))</x:f>
      </x:c>
      <x:c r="BN67" s="73"/>
    </x:row>
    <x:row r="68" ht="34" customHeight="1">
      <x:c r="A68" s="73"/>
      <x:c r="B68" s="73"/>
      <x:c r="C68" s="73"/>
      <x:c r="D68" s="73"/>
      <x:c r="E68" s="73"/>
      <x:c r="F68" s="73"/>
      <x:c r="G68" s="73"/>
      <x:c r="H68" s="73"/>
      <x:c r="I68" s="75"/>
      <x:c r="J68" s="73"/>
      <x:c r="K68" s="73"/>
      <x:c r="L68" s="76"/>
      <x:c r="M68" s="73"/>
      <x:c r="N68" s="73"/>
      <x:c r="O68" s="73"/>
      <x:c r="P68" s="73"/>
      <x:c r="Q68" s="76"/>
      <x:c r="R68" s="73"/>
      <x:c r="S68" s="73"/>
      <x:c r="T68" s="73"/>
      <x:c r="U68" s="73"/>
      <x:c r="V68" s="73"/>
      <x:c r="W68" s="73"/>
      <x:c r="X68" s="73"/>
      <x:c r="Y68" s="73"/>
      <x:c r="Z68" s="73"/>
      <x:c r="AA68" s="73"/>
      <x:c r="AB68" s="76" t="str">
        <x:f>IF(A68="","",IF(OR(NOT(ISNUMBER(I68)),I68&lt;0,NOT(ISNUMBER(AP68)),AP68&lt;0,NOT(ISNUMBER(L68)),L68&lt;1,L68&gt;5,L68&lt;&gt;INT(L68),AND(J68&lt;&gt;"Public",J68&lt;&gt;"Partner",J68&lt;&gt;"Internal",J68&lt;&gt;"None"),AND(K68&lt;&gt;"High",K68&lt;&gt;"Medium",K68&lt;&gt;"Low",K68&lt;&gt;"None"),AND(W68&lt;&gt;"Hard-coded",W68&lt;&gt;"Configurable",W68&lt;&gt;"Policy-managed",W68&lt;&gt;"API/Library abstraction",W68&lt;&gt;"Automated"),AND(Z68&lt;&gt;"Y",Z68&lt;&gt;"N"),AND(AA68&lt;&gt;"Y",AA68&lt;&gt;"N")),"Incomplete",IF(Z68="Y",20,0)+L68*5+IF(AA68="Y",15,0)+IF(J68="Public",10,IF(J68="Partner",7,IF(J68="Internal",3,0)))+IF(W68="Hard-coded",10,IF(W68="Configurable",3,0))+IF(MAX(I68,AP68)&gt;=10,10,IF(MAX(I68,AP68)&gt;=5,7,IF(MAX(I68,AP68)&gt;=2,3,0)))+IF(K68="High",10,IF(K68="Medium",5,0))))</x:f>
      </x:c>
      <x:c r="AC68" s="73" t="str">
        <x:f>IF(A68="","",IF(NOT(ISNUMBER(AB68)),"Review inputs",IF(AB68&gt;=70,"P0 - Immediate",IF(AB68&gt;=50,"P1 - High",IF(AB68&gt;=30,"P2 - Medium",IF(AB68&gt;=15,"P3 - Low","P4 - Monitor"))))))</x:f>
      </x:c>
      <x:c r="AD68" s="73"/>
      <x:c r="AE68" s="73"/>
      <x:c r="AF68" s="73"/>
      <x:c r="AG68" s="77"/>
      <x:c r="AH68" s="73"/>
      <x:c r="AI68" s="91"/>
      <x:c r="AJ68" s="91"/>
      <x:c r="AK68" s="91"/>
      <x:c r="AL68" s="92"/>
      <x:c r="AM68" s="91"/>
      <x:c r="AN68" s="91"/>
      <x:c r="AO68" s="93"/>
      <x:c r="AP68" s="94"/>
      <x:c r="AQ68" s="91"/>
      <x:c r="AR68" s="91"/>
      <x:c r="AS68" s="91"/>
      <x:c r="AT68" s="91"/>
      <x:c r="AU68" s="91"/>
      <x:c r="AV68" s="91"/>
      <x:c r="AW68" s="91"/>
      <x:c r="AX68" s="91"/>
      <x:c r="AY68" s="91"/>
      <x:c r="AZ68" s="92"/>
      <x:c r="BA68" s="94"/>
      <x:c r="BB68" s="91"/>
      <x:c r="BC68" s="92"/>
      <x:c r="BD68" s="92"/>
      <x:c r="BE68" s="91"/>
      <x:c r="BF68" s="91"/>
      <x:c r="BG68" s="91"/>
      <x:c r="BH68" s="91"/>
      <x:c r="BI68" s="91"/>
      <x:c r="BJ68" s="91"/>
      <x:c r="BK68" s="91"/>
      <x:c r="BL68" s="91"/>
      <x:c r="BM68" s="73" t="str">
        <x:f>IF(A68="","",IF(AI68="Example","Example only",IF(AI68&lt;&gt;"Actual","Set record type",IF(COUNTIF($A$2:$A$1001,A68)&gt;1,"Duplicate record ID",IF(OR(D68="",E68="",AF68="",NOT(ISNUMBER(AG68)),AJ68="",AK68="",NOT(ISNUMBER(AL68)),AND(AM68&lt;&gt;"Observed",AM68&lt;&gt;"Corroborated",AM68&lt;&gt;"Declared"),OR(AN68="",AN68="Unknown"),OR(AQ68="",AQ68="Unknown"),OR(AR68="",AR68="Unknown",AR68="TBD"),OR(BC68="",NOT(ISNUMBER(BC68)))),"Evidence incomplete","Evidence recorded; review scope")))))</x:f>
      </x:c>
      <x:c r="BN68" s="73"/>
    </x:row>
    <x:row r="69" ht="34" customHeight="1">
      <x:c r="A69" s="73"/>
      <x:c r="B69" s="73"/>
      <x:c r="C69" s="73"/>
      <x:c r="D69" s="73"/>
      <x:c r="E69" s="73"/>
      <x:c r="F69" s="73"/>
      <x:c r="G69" s="73"/>
      <x:c r="H69" s="73"/>
      <x:c r="I69" s="75"/>
      <x:c r="J69" s="73"/>
      <x:c r="K69" s="73"/>
      <x:c r="L69" s="76"/>
      <x:c r="M69" s="73"/>
      <x:c r="N69" s="73"/>
      <x:c r="O69" s="73"/>
      <x:c r="P69" s="73"/>
      <x:c r="Q69" s="76"/>
      <x:c r="R69" s="73"/>
      <x:c r="S69" s="73"/>
      <x:c r="T69" s="73"/>
      <x:c r="U69" s="73"/>
      <x:c r="V69" s="73"/>
      <x:c r="W69" s="73"/>
      <x:c r="X69" s="73"/>
      <x:c r="Y69" s="73"/>
      <x:c r="Z69" s="73"/>
      <x:c r="AA69" s="73"/>
      <x:c r="AB69" s="76" t="str">
        <x:f>IF(A69="","",IF(OR(NOT(ISNUMBER(I69)),I69&lt;0,NOT(ISNUMBER(AP69)),AP69&lt;0,NOT(ISNUMBER(L69)),L69&lt;1,L69&gt;5,L69&lt;&gt;INT(L69),AND(J69&lt;&gt;"Public",J69&lt;&gt;"Partner",J69&lt;&gt;"Internal",J69&lt;&gt;"None"),AND(K69&lt;&gt;"High",K69&lt;&gt;"Medium",K69&lt;&gt;"Low",K69&lt;&gt;"None"),AND(W69&lt;&gt;"Hard-coded",W69&lt;&gt;"Configurable",W69&lt;&gt;"Policy-managed",W69&lt;&gt;"API/Library abstraction",W69&lt;&gt;"Automated"),AND(Z69&lt;&gt;"Y",Z69&lt;&gt;"N"),AND(AA69&lt;&gt;"Y",AA69&lt;&gt;"N")),"Incomplete",IF(Z69="Y",20,0)+L69*5+IF(AA69="Y",15,0)+IF(J69="Public",10,IF(J69="Partner",7,IF(J69="Internal",3,0)))+IF(W69="Hard-coded",10,IF(W69="Configurable",3,0))+IF(MAX(I69,AP69)&gt;=10,10,IF(MAX(I69,AP69)&gt;=5,7,IF(MAX(I69,AP69)&gt;=2,3,0)))+IF(K69="High",10,IF(K69="Medium",5,0))))</x:f>
      </x:c>
      <x:c r="AC69" s="73" t="str">
        <x:f>IF(A69="","",IF(NOT(ISNUMBER(AB69)),"Review inputs",IF(AB69&gt;=70,"P0 - Immediate",IF(AB69&gt;=50,"P1 - High",IF(AB69&gt;=30,"P2 - Medium",IF(AB69&gt;=15,"P3 - Low","P4 - Monitor"))))))</x:f>
      </x:c>
      <x:c r="AD69" s="73"/>
      <x:c r="AE69" s="73"/>
      <x:c r="AF69" s="73"/>
      <x:c r="AG69" s="77"/>
      <x:c r="AH69" s="73"/>
      <x:c r="AI69" s="91"/>
      <x:c r="AJ69" s="91"/>
      <x:c r="AK69" s="91"/>
      <x:c r="AL69" s="92"/>
      <x:c r="AM69" s="91"/>
      <x:c r="AN69" s="91"/>
      <x:c r="AO69" s="93"/>
      <x:c r="AP69" s="94"/>
      <x:c r="AQ69" s="91"/>
      <x:c r="AR69" s="91"/>
      <x:c r="AS69" s="91"/>
      <x:c r="AT69" s="91"/>
      <x:c r="AU69" s="91"/>
      <x:c r="AV69" s="91"/>
      <x:c r="AW69" s="91"/>
      <x:c r="AX69" s="91"/>
      <x:c r="AY69" s="91"/>
      <x:c r="AZ69" s="92"/>
      <x:c r="BA69" s="94"/>
      <x:c r="BB69" s="91"/>
      <x:c r="BC69" s="92"/>
      <x:c r="BD69" s="92"/>
      <x:c r="BE69" s="91"/>
      <x:c r="BF69" s="91"/>
      <x:c r="BG69" s="91"/>
      <x:c r="BH69" s="91"/>
      <x:c r="BI69" s="91"/>
      <x:c r="BJ69" s="91"/>
      <x:c r="BK69" s="91"/>
      <x:c r="BL69" s="91"/>
      <x:c r="BM69" s="73" t="str">
        <x:f>IF(A69="","",IF(AI69="Example","Example only",IF(AI69&lt;&gt;"Actual","Set record type",IF(COUNTIF($A$2:$A$1001,A69)&gt;1,"Duplicate record ID",IF(OR(D69="",E69="",AF69="",NOT(ISNUMBER(AG69)),AJ69="",AK69="",NOT(ISNUMBER(AL69)),AND(AM69&lt;&gt;"Observed",AM69&lt;&gt;"Corroborated",AM69&lt;&gt;"Declared"),OR(AN69="",AN69="Unknown"),OR(AQ69="",AQ69="Unknown"),OR(AR69="",AR69="Unknown",AR69="TBD"),OR(BC69="",NOT(ISNUMBER(BC69)))),"Evidence incomplete","Evidence recorded; review scope")))))</x:f>
      </x:c>
      <x:c r="BN69" s="73"/>
    </x:row>
    <x:row r="70" ht="34" customHeight="1">
      <x:c r="A70" s="73"/>
      <x:c r="B70" s="73"/>
      <x:c r="C70" s="73"/>
      <x:c r="D70" s="73"/>
      <x:c r="E70" s="73"/>
      <x:c r="F70" s="73"/>
      <x:c r="G70" s="73"/>
      <x:c r="H70" s="73"/>
      <x:c r="I70" s="75"/>
      <x:c r="J70" s="73"/>
      <x:c r="K70" s="73"/>
      <x:c r="L70" s="76"/>
      <x:c r="M70" s="73"/>
      <x:c r="N70" s="73"/>
      <x:c r="O70" s="73"/>
      <x:c r="P70" s="73"/>
      <x:c r="Q70" s="76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  <x:c r="AB70" s="76" t="str">
        <x:f>IF(A70="","",IF(OR(NOT(ISNUMBER(I70)),I70&lt;0,NOT(ISNUMBER(AP70)),AP70&lt;0,NOT(ISNUMBER(L70)),L70&lt;1,L70&gt;5,L70&lt;&gt;INT(L70),AND(J70&lt;&gt;"Public",J70&lt;&gt;"Partner",J70&lt;&gt;"Internal",J70&lt;&gt;"None"),AND(K70&lt;&gt;"High",K70&lt;&gt;"Medium",K70&lt;&gt;"Low",K70&lt;&gt;"None"),AND(W70&lt;&gt;"Hard-coded",W70&lt;&gt;"Configurable",W70&lt;&gt;"Policy-managed",W70&lt;&gt;"API/Library abstraction",W70&lt;&gt;"Automated"),AND(Z70&lt;&gt;"Y",Z70&lt;&gt;"N"),AND(AA70&lt;&gt;"Y",AA70&lt;&gt;"N")),"Incomplete",IF(Z70="Y",20,0)+L70*5+IF(AA70="Y",15,0)+IF(J70="Public",10,IF(J70="Partner",7,IF(J70="Internal",3,0)))+IF(W70="Hard-coded",10,IF(W70="Configurable",3,0))+IF(MAX(I70,AP70)&gt;=10,10,IF(MAX(I70,AP70)&gt;=5,7,IF(MAX(I70,AP70)&gt;=2,3,0)))+IF(K70="High",10,IF(K70="Medium",5,0))))</x:f>
      </x:c>
      <x:c r="AC70" s="73" t="str">
        <x:f>IF(A70="","",IF(NOT(ISNUMBER(AB70)),"Review inputs",IF(AB70&gt;=70,"P0 - Immediate",IF(AB70&gt;=50,"P1 - High",IF(AB70&gt;=30,"P2 - Medium",IF(AB70&gt;=15,"P3 - Low","P4 - Monitor"))))))</x:f>
      </x:c>
      <x:c r="AD70" s="73"/>
      <x:c r="AE70" s="73"/>
      <x:c r="AF70" s="73"/>
      <x:c r="AG70" s="77"/>
      <x:c r="AH70" s="73"/>
      <x:c r="AI70" s="91"/>
      <x:c r="AJ70" s="91"/>
      <x:c r="AK70" s="91"/>
      <x:c r="AL70" s="92"/>
      <x:c r="AM70" s="91"/>
      <x:c r="AN70" s="91"/>
      <x:c r="AO70" s="93"/>
      <x:c r="AP70" s="94"/>
      <x:c r="AQ70" s="91"/>
      <x:c r="AR70" s="91"/>
      <x:c r="AS70" s="91"/>
      <x:c r="AT70" s="91"/>
      <x:c r="AU70" s="91"/>
      <x:c r="AV70" s="91"/>
      <x:c r="AW70" s="91"/>
      <x:c r="AX70" s="91"/>
      <x:c r="AY70" s="91"/>
      <x:c r="AZ70" s="92"/>
      <x:c r="BA70" s="94"/>
      <x:c r="BB70" s="91"/>
      <x:c r="BC70" s="92"/>
      <x:c r="BD70" s="92"/>
      <x:c r="BE70" s="91"/>
      <x:c r="BF70" s="91"/>
      <x:c r="BG70" s="91"/>
      <x:c r="BH70" s="91"/>
      <x:c r="BI70" s="91"/>
      <x:c r="BJ70" s="91"/>
      <x:c r="BK70" s="91"/>
      <x:c r="BL70" s="91"/>
      <x:c r="BM70" s="73" t="str">
        <x:f>IF(A70="","",IF(AI70="Example","Example only",IF(AI70&lt;&gt;"Actual","Set record type",IF(COUNTIF($A$2:$A$1001,A70)&gt;1,"Duplicate record ID",IF(OR(D70="",E70="",AF70="",NOT(ISNUMBER(AG70)),AJ70="",AK70="",NOT(ISNUMBER(AL70)),AND(AM70&lt;&gt;"Observed",AM70&lt;&gt;"Corroborated",AM70&lt;&gt;"Declared"),OR(AN70="",AN70="Unknown"),OR(AQ70="",AQ70="Unknown"),OR(AR70="",AR70="Unknown",AR70="TBD"),OR(BC70="",NOT(ISNUMBER(BC70)))),"Evidence incomplete","Evidence recorded; review scope")))))</x:f>
      </x:c>
      <x:c r="BN70" s="73"/>
    </x:row>
    <x:row r="71" ht="34" customHeight="1">
      <x:c r="A71" s="73"/>
      <x:c r="B71" s="73"/>
      <x:c r="C71" s="73"/>
      <x:c r="D71" s="73"/>
      <x:c r="E71" s="73"/>
      <x:c r="F71" s="73"/>
      <x:c r="G71" s="73"/>
      <x:c r="H71" s="73"/>
      <x:c r="I71" s="75"/>
      <x:c r="J71" s="73"/>
      <x:c r="K71" s="73"/>
      <x:c r="L71" s="76"/>
      <x:c r="M71" s="73"/>
      <x:c r="N71" s="73"/>
      <x:c r="O71" s="73"/>
      <x:c r="P71" s="73"/>
      <x:c r="Q71" s="76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  <x:c r="AB71" s="76" t="str">
        <x:f>IF(A71="","",IF(OR(NOT(ISNUMBER(I71)),I71&lt;0,NOT(ISNUMBER(AP71)),AP71&lt;0,NOT(ISNUMBER(L71)),L71&lt;1,L71&gt;5,L71&lt;&gt;INT(L71),AND(J71&lt;&gt;"Public",J71&lt;&gt;"Partner",J71&lt;&gt;"Internal",J71&lt;&gt;"None"),AND(K71&lt;&gt;"High",K71&lt;&gt;"Medium",K71&lt;&gt;"Low",K71&lt;&gt;"None"),AND(W71&lt;&gt;"Hard-coded",W71&lt;&gt;"Configurable",W71&lt;&gt;"Policy-managed",W71&lt;&gt;"API/Library abstraction",W71&lt;&gt;"Automated"),AND(Z71&lt;&gt;"Y",Z71&lt;&gt;"N"),AND(AA71&lt;&gt;"Y",AA71&lt;&gt;"N")),"Incomplete",IF(Z71="Y",20,0)+L71*5+IF(AA71="Y",15,0)+IF(J71="Public",10,IF(J71="Partner",7,IF(J71="Internal",3,0)))+IF(W71="Hard-coded",10,IF(W71="Configurable",3,0))+IF(MAX(I71,AP71)&gt;=10,10,IF(MAX(I71,AP71)&gt;=5,7,IF(MAX(I71,AP71)&gt;=2,3,0)))+IF(K71="High",10,IF(K71="Medium",5,0))))</x:f>
      </x:c>
      <x:c r="AC71" s="73" t="str">
        <x:f>IF(A71="","",IF(NOT(ISNUMBER(AB71)),"Review inputs",IF(AB71&gt;=70,"P0 - Immediate",IF(AB71&gt;=50,"P1 - High",IF(AB71&gt;=30,"P2 - Medium",IF(AB71&gt;=15,"P3 - Low","P4 - Monitor"))))))</x:f>
      </x:c>
      <x:c r="AD71" s="73"/>
      <x:c r="AE71" s="73"/>
      <x:c r="AF71" s="73"/>
      <x:c r="AG71" s="77"/>
      <x:c r="AH71" s="73"/>
      <x:c r="AI71" s="91"/>
      <x:c r="AJ71" s="91"/>
      <x:c r="AK71" s="91"/>
      <x:c r="AL71" s="92"/>
      <x:c r="AM71" s="91"/>
      <x:c r="AN71" s="91"/>
      <x:c r="AO71" s="93"/>
      <x:c r="AP71" s="94"/>
      <x:c r="AQ71" s="91"/>
      <x:c r="AR71" s="91"/>
      <x:c r="AS71" s="91"/>
      <x:c r="AT71" s="91"/>
      <x:c r="AU71" s="91"/>
      <x:c r="AV71" s="91"/>
      <x:c r="AW71" s="91"/>
      <x:c r="AX71" s="91"/>
      <x:c r="AY71" s="91"/>
      <x:c r="AZ71" s="92"/>
      <x:c r="BA71" s="94"/>
      <x:c r="BB71" s="91"/>
      <x:c r="BC71" s="92"/>
      <x:c r="BD71" s="92"/>
      <x:c r="BE71" s="91"/>
      <x:c r="BF71" s="91"/>
      <x:c r="BG71" s="91"/>
      <x:c r="BH71" s="91"/>
      <x:c r="BI71" s="91"/>
      <x:c r="BJ71" s="91"/>
      <x:c r="BK71" s="91"/>
      <x:c r="BL71" s="91"/>
      <x:c r="BM71" s="73" t="str">
        <x:f>IF(A71="","",IF(AI71="Example","Example only",IF(AI71&lt;&gt;"Actual","Set record type",IF(COUNTIF($A$2:$A$1001,A71)&gt;1,"Duplicate record ID",IF(OR(D71="",E71="",AF71="",NOT(ISNUMBER(AG71)),AJ71="",AK71="",NOT(ISNUMBER(AL71)),AND(AM71&lt;&gt;"Observed",AM71&lt;&gt;"Corroborated",AM71&lt;&gt;"Declared"),OR(AN71="",AN71="Unknown"),OR(AQ71="",AQ71="Unknown"),OR(AR71="",AR71="Unknown",AR71="TBD"),OR(BC71="",NOT(ISNUMBER(BC71)))),"Evidence incomplete","Evidence recorded; review scope")))))</x:f>
      </x:c>
      <x:c r="BN71" s="73"/>
    </x:row>
    <x:row r="72" ht="34" customHeight="1">
      <x:c r="A72" s="73"/>
      <x:c r="B72" s="73"/>
      <x:c r="C72" s="73"/>
      <x:c r="D72" s="73"/>
      <x:c r="E72" s="73"/>
      <x:c r="F72" s="73"/>
      <x:c r="G72" s="73"/>
      <x:c r="H72" s="73"/>
      <x:c r="I72" s="75"/>
      <x:c r="J72" s="73"/>
      <x:c r="K72" s="73"/>
      <x:c r="L72" s="76"/>
      <x:c r="M72" s="73"/>
      <x:c r="N72" s="73"/>
      <x:c r="O72" s="73"/>
      <x:c r="P72" s="73"/>
      <x:c r="Q72" s="76"/>
      <x:c r="R72" s="73"/>
      <x:c r="S72" s="73"/>
      <x:c r="T72" s="73"/>
      <x:c r="U72" s="73"/>
      <x:c r="V72" s="73"/>
      <x:c r="W72" s="73"/>
      <x:c r="X72" s="73"/>
      <x:c r="Y72" s="73"/>
      <x:c r="Z72" s="73"/>
      <x:c r="AA72" s="73"/>
      <x:c r="AB72" s="76" t="str">
        <x:f>IF(A72="","",IF(OR(NOT(ISNUMBER(I72)),I72&lt;0,NOT(ISNUMBER(AP72)),AP72&lt;0,NOT(ISNUMBER(L72)),L72&lt;1,L72&gt;5,L72&lt;&gt;INT(L72),AND(J72&lt;&gt;"Public",J72&lt;&gt;"Partner",J72&lt;&gt;"Internal",J72&lt;&gt;"None"),AND(K72&lt;&gt;"High",K72&lt;&gt;"Medium",K72&lt;&gt;"Low",K72&lt;&gt;"None"),AND(W72&lt;&gt;"Hard-coded",W72&lt;&gt;"Configurable",W72&lt;&gt;"Policy-managed",W72&lt;&gt;"API/Library abstraction",W72&lt;&gt;"Automated"),AND(Z72&lt;&gt;"Y",Z72&lt;&gt;"N"),AND(AA72&lt;&gt;"Y",AA72&lt;&gt;"N")),"Incomplete",IF(Z72="Y",20,0)+L72*5+IF(AA72="Y",15,0)+IF(J72="Public",10,IF(J72="Partner",7,IF(J72="Internal",3,0)))+IF(W72="Hard-coded",10,IF(W72="Configurable",3,0))+IF(MAX(I72,AP72)&gt;=10,10,IF(MAX(I72,AP72)&gt;=5,7,IF(MAX(I72,AP72)&gt;=2,3,0)))+IF(K72="High",10,IF(K72="Medium",5,0))))</x:f>
      </x:c>
      <x:c r="AC72" s="73" t="str">
        <x:f>IF(A72="","",IF(NOT(ISNUMBER(AB72)),"Review inputs",IF(AB72&gt;=70,"P0 - Immediate",IF(AB72&gt;=50,"P1 - High",IF(AB72&gt;=30,"P2 - Medium",IF(AB72&gt;=15,"P3 - Low","P4 - Monitor"))))))</x:f>
      </x:c>
      <x:c r="AD72" s="73"/>
      <x:c r="AE72" s="73"/>
      <x:c r="AF72" s="73"/>
      <x:c r="AG72" s="77"/>
      <x:c r="AH72" s="73"/>
      <x:c r="AI72" s="91"/>
      <x:c r="AJ72" s="91"/>
      <x:c r="AK72" s="91"/>
      <x:c r="AL72" s="92"/>
      <x:c r="AM72" s="91"/>
      <x:c r="AN72" s="91"/>
      <x:c r="AO72" s="93"/>
      <x:c r="AP72" s="94"/>
      <x:c r="AQ72" s="91"/>
      <x:c r="AR72" s="91"/>
      <x:c r="AS72" s="91"/>
      <x:c r="AT72" s="91"/>
      <x:c r="AU72" s="91"/>
      <x:c r="AV72" s="91"/>
      <x:c r="AW72" s="91"/>
      <x:c r="AX72" s="91"/>
      <x:c r="AY72" s="91"/>
      <x:c r="AZ72" s="92"/>
      <x:c r="BA72" s="94"/>
      <x:c r="BB72" s="91"/>
      <x:c r="BC72" s="92"/>
      <x:c r="BD72" s="92"/>
      <x:c r="BE72" s="91"/>
      <x:c r="BF72" s="91"/>
      <x:c r="BG72" s="91"/>
      <x:c r="BH72" s="91"/>
      <x:c r="BI72" s="91"/>
      <x:c r="BJ72" s="91"/>
      <x:c r="BK72" s="91"/>
      <x:c r="BL72" s="91"/>
      <x:c r="BM72" s="73" t="str">
        <x:f>IF(A72="","",IF(AI72="Example","Example only",IF(AI72&lt;&gt;"Actual","Set record type",IF(COUNTIF($A$2:$A$1001,A72)&gt;1,"Duplicate record ID",IF(OR(D72="",E72="",AF72="",NOT(ISNUMBER(AG72)),AJ72="",AK72="",NOT(ISNUMBER(AL72)),AND(AM72&lt;&gt;"Observed",AM72&lt;&gt;"Corroborated",AM72&lt;&gt;"Declared"),OR(AN72="",AN72="Unknown"),OR(AQ72="",AQ72="Unknown"),OR(AR72="",AR72="Unknown",AR72="TBD"),OR(BC72="",NOT(ISNUMBER(BC72)))),"Evidence incomplete","Evidence recorded; review scope")))))</x:f>
      </x:c>
      <x:c r="BN72" s="73"/>
    </x:row>
    <x:row r="73" ht="34" customHeight="1">
      <x:c r="A73" s="73"/>
      <x:c r="B73" s="73"/>
      <x:c r="C73" s="73"/>
      <x:c r="D73" s="73"/>
      <x:c r="E73" s="73"/>
      <x:c r="F73" s="73"/>
      <x:c r="G73" s="73"/>
      <x:c r="H73" s="73"/>
      <x:c r="I73" s="75"/>
      <x:c r="J73" s="73"/>
      <x:c r="K73" s="73"/>
      <x:c r="L73" s="76"/>
      <x:c r="M73" s="73"/>
      <x:c r="N73" s="73"/>
      <x:c r="O73" s="73"/>
      <x:c r="P73" s="73"/>
      <x:c r="Q73" s="76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  <x:c r="AB73" s="76" t="str">
        <x:f>IF(A73="","",IF(OR(NOT(ISNUMBER(I73)),I73&lt;0,NOT(ISNUMBER(AP73)),AP73&lt;0,NOT(ISNUMBER(L73)),L73&lt;1,L73&gt;5,L73&lt;&gt;INT(L73),AND(J73&lt;&gt;"Public",J73&lt;&gt;"Partner",J73&lt;&gt;"Internal",J73&lt;&gt;"None"),AND(K73&lt;&gt;"High",K73&lt;&gt;"Medium",K73&lt;&gt;"Low",K73&lt;&gt;"None"),AND(W73&lt;&gt;"Hard-coded",W73&lt;&gt;"Configurable",W73&lt;&gt;"Policy-managed",W73&lt;&gt;"API/Library abstraction",W73&lt;&gt;"Automated"),AND(Z73&lt;&gt;"Y",Z73&lt;&gt;"N"),AND(AA73&lt;&gt;"Y",AA73&lt;&gt;"N")),"Incomplete",IF(Z73="Y",20,0)+L73*5+IF(AA73="Y",15,0)+IF(J73="Public",10,IF(J73="Partner",7,IF(J73="Internal",3,0)))+IF(W73="Hard-coded",10,IF(W73="Configurable",3,0))+IF(MAX(I73,AP73)&gt;=10,10,IF(MAX(I73,AP73)&gt;=5,7,IF(MAX(I73,AP73)&gt;=2,3,0)))+IF(K73="High",10,IF(K73="Medium",5,0))))</x:f>
      </x:c>
      <x:c r="AC73" s="73" t="str">
        <x:f>IF(A73="","",IF(NOT(ISNUMBER(AB73)),"Review inputs",IF(AB73&gt;=70,"P0 - Immediate",IF(AB73&gt;=50,"P1 - High",IF(AB73&gt;=30,"P2 - Medium",IF(AB73&gt;=15,"P3 - Low","P4 - Monitor"))))))</x:f>
      </x:c>
      <x:c r="AD73" s="73"/>
      <x:c r="AE73" s="73"/>
      <x:c r="AF73" s="73"/>
      <x:c r="AG73" s="77"/>
      <x:c r="AH73" s="73"/>
      <x:c r="AI73" s="91"/>
      <x:c r="AJ73" s="91"/>
      <x:c r="AK73" s="91"/>
      <x:c r="AL73" s="92"/>
      <x:c r="AM73" s="91"/>
      <x:c r="AN73" s="91"/>
      <x:c r="AO73" s="93"/>
      <x:c r="AP73" s="94"/>
      <x:c r="AQ73" s="91"/>
      <x:c r="AR73" s="91"/>
      <x:c r="AS73" s="91"/>
      <x:c r="AT73" s="91"/>
      <x:c r="AU73" s="91"/>
      <x:c r="AV73" s="91"/>
      <x:c r="AW73" s="91"/>
      <x:c r="AX73" s="91"/>
      <x:c r="AY73" s="91"/>
      <x:c r="AZ73" s="92"/>
      <x:c r="BA73" s="94"/>
      <x:c r="BB73" s="91"/>
      <x:c r="BC73" s="92"/>
      <x:c r="BD73" s="92"/>
      <x:c r="BE73" s="91"/>
      <x:c r="BF73" s="91"/>
      <x:c r="BG73" s="91"/>
      <x:c r="BH73" s="91"/>
      <x:c r="BI73" s="91"/>
      <x:c r="BJ73" s="91"/>
      <x:c r="BK73" s="91"/>
      <x:c r="BL73" s="91"/>
      <x:c r="BM73" s="73" t="str">
        <x:f>IF(A73="","",IF(AI73="Example","Example only",IF(AI73&lt;&gt;"Actual","Set record type",IF(COUNTIF($A$2:$A$1001,A73)&gt;1,"Duplicate record ID",IF(OR(D73="",E73="",AF73="",NOT(ISNUMBER(AG73)),AJ73="",AK73="",NOT(ISNUMBER(AL73)),AND(AM73&lt;&gt;"Observed",AM73&lt;&gt;"Corroborated",AM73&lt;&gt;"Declared"),OR(AN73="",AN73="Unknown"),OR(AQ73="",AQ73="Unknown"),OR(AR73="",AR73="Unknown",AR73="TBD"),OR(BC73="",NOT(ISNUMBER(BC73)))),"Evidence incomplete","Evidence recorded; review scope")))))</x:f>
      </x:c>
      <x:c r="BN73" s="73"/>
    </x:row>
    <x:row r="74" ht="34" customHeight="1">
      <x:c r="A74" s="73"/>
      <x:c r="B74" s="73"/>
      <x:c r="C74" s="73"/>
      <x:c r="D74" s="73"/>
      <x:c r="E74" s="73"/>
      <x:c r="F74" s="73"/>
      <x:c r="G74" s="73"/>
      <x:c r="H74" s="73"/>
      <x:c r="I74" s="75"/>
      <x:c r="J74" s="73"/>
      <x:c r="K74" s="73"/>
      <x:c r="L74" s="76"/>
      <x:c r="M74" s="73"/>
      <x:c r="N74" s="73"/>
      <x:c r="O74" s="73"/>
      <x:c r="P74" s="73"/>
      <x:c r="Q74" s="76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  <x:c r="AB74" s="76" t="str">
        <x:f>IF(A74="","",IF(OR(NOT(ISNUMBER(I74)),I74&lt;0,NOT(ISNUMBER(AP74)),AP74&lt;0,NOT(ISNUMBER(L74)),L74&lt;1,L74&gt;5,L74&lt;&gt;INT(L74),AND(J74&lt;&gt;"Public",J74&lt;&gt;"Partner",J74&lt;&gt;"Internal",J74&lt;&gt;"None"),AND(K74&lt;&gt;"High",K74&lt;&gt;"Medium",K74&lt;&gt;"Low",K74&lt;&gt;"None"),AND(W74&lt;&gt;"Hard-coded",W74&lt;&gt;"Configurable",W74&lt;&gt;"Policy-managed",W74&lt;&gt;"API/Library abstraction",W74&lt;&gt;"Automated"),AND(Z74&lt;&gt;"Y",Z74&lt;&gt;"N"),AND(AA74&lt;&gt;"Y",AA74&lt;&gt;"N")),"Incomplete",IF(Z74="Y",20,0)+L74*5+IF(AA74="Y",15,0)+IF(J74="Public",10,IF(J74="Partner",7,IF(J74="Internal",3,0)))+IF(W74="Hard-coded",10,IF(W74="Configurable",3,0))+IF(MAX(I74,AP74)&gt;=10,10,IF(MAX(I74,AP74)&gt;=5,7,IF(MAX(I74,AP74)&gt;=2,3,0)))+IF(K74="High",10,IF(K74="Medium",5,0))))</x:f>
      </x:c>
      <x:c r="AC74" s="73" t="str">
        <x:f>IF(A74="","",IF(NOT(ISNUMBER(AB74)),"Review inputs",IF(AB74&gt;=70,"P0 - Immediate",IF(AB74&gt;=50,"P1 - High",IF(AB74&gt;=30,"P2 - Medium",IF(AB74&gt;=15,"P3 - Low","P4 - Monitor"))))))</x:f>
      </x:c>
      <x:c r="AD74" s="73"/>
      <x:c r="AE74" s="73"/>
      <x:c r="AF74" s="73"/>
      <x:c r="AG74" s="77"/>
      <x:c r="AH74" s="73"/>
      <x:c r="AI74" s="91"/>
      <x:c r="AJ74" s="91"/>
      <x:c r="AK74" s="91"/>
      <x:c r="AL74" s="92"/>
      <x:c r="AM74" s="91"/>
      <x:c r="AN74" s="91"/>
      <x:c r="AO74" s="93"/>
      <x:c r="AP74" s="94"/>
      <x:c r="AQ74" s="91"/>
      <x:c r="AR74" s="91"/>
      <x:c r="AS74" s="91"/>
      <x:c r="AT74" s="91"/>
      <x:c r="AU74" s="91"/>
      <x:c r="AV74" s="91"/>
      <x:c r="AW74" s="91"/>
      <x:c r="AX74" s="91"/>
      <x:c r="AY74" s="91"/>
      <x:c r="AZ74" s="92"/>
      <x:c r="BA74" s="94"/>
      <x:c r="BB74" s="91"/>
      <x:c r="BC74" s="92"/>
      <x:c r="BD74" s="92"/>
      <x:c r="BE74" s="91"/>
      <x:c r="BF74" s="91"/>
      <x:c r="BG74" s="91"/>
      <x:c r="BH74" s="91"/>
      <x:c r="BI74" s="91"/>
      <x:c r="BJ74" s="91"/>
      <x:c r="BK74" s="91"/>
      <x:c r="BL74" s="91"/>
      <x:c r="BM74" s="73" t="str">
        <x:f>IF(A74="","",IF(AI74="Example","Example only",IF(AI74&lt;&gt;"Actual","Set record type",IF(COUNTIF($A$2:$A$1001,A74)&gt;1,"Duplicate record ID",IF(OR(D74="",E74="",AF74="",NOT(ISNUMBER(AG74)),AJ74="",AK74="",NOT(ISNUMBER(AL74)),AND(AM74&lt;&gt;"Observed",AM74&lt;&gt;"Corroborated",AM74&lt;&gt;"Declared"),OR(AN74="",AN74="Unknown"),OR(AQ74="",AQ74="Unknown"),OR(AR74="",AR74="Unknown",AR74="TBD"),OR(BC74="",NOT(ISNUMBER(BC74)))),"Evidence incomplete","Evidence recorded; review scope")))))</x:f>
      </x:c>
      <x:c r="BN74" s="73"/>
    </x:row>
    <x:row r="75" ht="34" customHeight="1">
      <x:c r="A75" s="73"/>
      <x:c r="B75" s="73"/>
      <x:c r="C75" s="73"/>
      <x:c r="D75" s="73"/>
      <x:c r="E75" s="73"/>
      <x:c r="F75" s="73"/>
      <x:c r="G75" s="73"/>
      <x:c r="H75" s="73"/>
      <x:c r="I75" s="75"/>
      <x:c r="J75" s="73"/>
      <x:c r="K75" s="73"/>
      <x:c r="L75" s="76"/>
      <x:c r="M75" s="73"/>
      <x:c r="N75" s="73"/>
      <x:c r="O75" s="73"/>
      <x:c r="P75" s="73"/>
      <x:c r="Q75" s="76"/>
      <x:c r="R75" s="73"/>
      <x:c r="S75" s="73"/>
      <x:c r="T75" s="73"/>
      <x:c r="U75" s="73"/>
      <x:c r="V75" s="73"/>
      <x:c r="W75" s="73"/>
      <x:c r="X75" s="73"/>
      <x:c r="Y75" s="73"/>
      <x:c r="Z75" s="73"/>
      <x:c r="AA75" s="73"/>
      <x:c r="AB75" s="76" t="str">
        <x:f>IF(A75="","",IF(OR(NOT(ISNUMBER(I75)),I75&lt;0,NOT(ISNUMBER(AP75)),AP75&lt;0,NOT(ISNUMBER(L75)),L75&lt;1,L75&gt;5,L75&lt;&gt;INT(L75),AND(J75&lt;&gt;"Public",J75&lt;&gt;"Partner",J75&lt;&gt;"Internal",J75&lt;&gt;"None"),AND(K75&lt;&gt;"High",K75&lt;&gt;"Medium",K75&lt;&gt;"Low",K75&lt;&gt;"None"),AND(W75&lt;&gt;"Hard-coded",W75&lt;&gt;"Configurable",W75&lt;&gt;"Policy-managed",W75&lt;&gt;"API/Library abstraction",W75&lt;&gt;"Automated"),AND(Z75&lt;&gt;"Y",Z75&lt;&gt;"N"),AND(AA75&lt;&gt;"Y",AA75&lt;&gt;"N")),"Incomplete",IF(Z75="Y",20,0)+L75*5+IF(AA75="Y",15,0)+IF(J75="Public",10,IF(J75="Partner",7,IF(J75="Internal",3,0)))+IF(W75="Hard-coded",10,IF(W75="Configurable",3,0))+IF(MAX(I75,AP75)&gt;=10,10,IF(MAX(I75,AP75)&gt;=5,7,IF(MAX(I75,AP75)&gt;=2,3,0)))+IF(K75="High",10,IF(K75="Medium",5,0))))</x:f>
      </x:c>
      <x:c r="AC75" s="73" t="str">
        <x:f>IF(A75="","",IF(NOT(ISNUMBER(AB75)),"Review inputs",IF(AB75&gt;=70,"P0 - Immediate",IF(AB75&gt;=50,"P1 - High",IF(AB75&gt;=30,"P2 - Medium",IF(AB75&gt;=15,"P3 - Low","P4 - Monitor"))))))</x:f>
      </x:c>
      <x:c r="AD75" s="73"/>
      <x:c r="AE75" s="73"/>
      <x:c r="AF75" s="73"/>
      <x:c r="AG75" s="77"/>
      <x:c r="AH75" s="73"/>
      <x:c r="AI75" s="91"/>
      <x:c r="AJ75" s="91"/>
      <x:c r="AK75" s="91"/>
      <x:c r="AL75" s="92"/>
      <x:c r="AM75" s="91"/>
      <x:c r="AN75" s="91"/>
      <x:c r="AO75" s="93"/>
      <x:c r="AP75" s="94"/>
      <x:c r="AQ75" s="91"/>
      <x:c r="AR75" s="91"/>
      <x:c r="AS75" s="91"/>
      <x:c r="AT75" s="91"/>
      <x:c r="AU75" s="91"/>
      <x:c r="AV75" s="91"/>
      <x:c r="AW75" s="91"/>
      <x:c r="AX75" s="91"/>
      <x:c r="AY75" s="91"/>
      <x:c r="AZ75" s="92"/>
      <x:c r="BA75" s="94"/>
      <x:c r="BB75" s="91"/>
      <x:c r="BC75" s="92"/>
      <x:c r="BD75" s="92"/>
      <x:c r="BE75" s="91"/>
      <x:c r="BF75" s="91"/>
      <x:c r="BG75" s="91"/>
      <x:c r="BH75" s="91"/>
      <x:c r="BI75" s="91"/>
      <x:c r="BJ75" s="91"/>
      <x:c r="BK75" s="91"/>
      <x:c r="BL75" s="91"/>
      <x:c r="BM75" s="73" t="str">
        <x:f>IF(A75="","",IF(AI75="Example","Example only",IF(AI75&lt;&gt;"Actual","Set record type",IF(COUNTIF($A$2:$A$1001,A75)&gt;1,"Duplicate record ID",IF(OR(D75="",E75="",AF75="",NOT(ISNUMBER(AG75)),AJ75="",AK75="",NOT(ISNUMBER(AL75)),AND(AM75&lt;&gt;"Observed",AM75&lt;&gt;"Corroborated",AM75&lt;&gt;"Declared"),OR(AN75="",AN75="Unknown"),OR(AQ75="",AQ75="Unknown"),OR(AR75="",AR75="Unknown",AR75="TBD"),OR(BC75="",NOT(ISNUMBER(BC75)))),"Evidence incomplete","Evidence recorded; review scope")))))</x:f>
      </x:c>
      <x:c r="BN75" s="73"/>
    </x:row>
    <x:row r="76" ht="34" customHeight="1">
      <x:c r="A76" s="73"/>
      <x:c r="B76" s="73"/>
      <x:c r="C76" s="73"/>
      <x:c r="D76" s="73"/>
      <x:c r="E76" s="73"/>
      <x:c r="F76" s="73"/>
      <x:c r="G76" s="73"/>
      <x:c r="H76" s="73"/>
      <x:c r="I76" s="75"/>
      <x:c r="J76" s="73"/>
      <x:c r="K76" s="73"/>
      <x:c r="L76" s="76"/>
      <x:c r="M76" s="73"/>
      <x:c r="N76" s="73"/>
      <x:c r="O76" s="73"/>
      <x:c r="P76" s="73"/>
      <x:c r="Q76" s="76"/>
      <x:c r="R76" s="73"/>
      <x:c r="S76" s="73"/>
      <x:c r="T76" s="73"/>
      <x:c r="U76" s="73"/>
      <x:c r="V76" s="73"/>
      <x:c r="W76" s="73"/>
      <x:c r="X76" s="73"/>
      <x:c r="Y76" s="73"/>
      <x:c r="Z76" s="73"/>
      <x:c r="AA76" s="73"/>
      <x:c r="AB76" s="76" t="str">
        <x:f>IF(A76="","",IF(OR(NOT(ISNUMBER(I76)),I76&lt;0,NOT(ISNUMBER(AP76)),AP76&lt;0,NOT(ISNUMBER(L76)),L76&lt;1,L76&gt;5,L76&lt;&gt;INT(L76),AND(J76&lt;&gt;"Public",J76&lt;&gt;"Partner",J76&lt;&gt;"Internal",J76&lt;&gt;"None"),AND(K76&lt;&gt;"High",K76&lt;&gt;"Medium",K76&lt;&gt;"Low",K76&lt;&gt;"None"),AND(W76&lt;&gt;"Hard-coded",W76&lt;&gt;"Configurable",W76&lt;&gt;"Policy-managed",W76&lt;&gt;"API/Library abstraction",W76&lt;&gt;"Automated"),AND(Z76&lt;&gt;"Y",Z76&lt;&gt;"N"),AND(AA76&lt;&gt;"Y",AA76&lt;&gt;"N")),"Incomplete",IF(Z76="Y",20,0)+L76*5+IF(AA76="Y",15,0)+IF(J76="Public",10,IF(J76="Partner",7,IF(J76="Internal",3,0)))+IF(W76="Hard-coded",10,IF(W76="Configurable",3,0))+IF(MAX(I76,AP76)&gt;=10,10,IF(MAX(I76,AP76)&gt;=5,7,IF(MAX(I76,AP76)&gt;=2,3,0)))+IF(K76="High",10,IF(K76="Medium",5,0))))</x:f>
      </x:c>
      <x:c r="AC76" s="73" t="str">
        <x:f>IF(A76="","",IF(NOT(ISNUMBER(AB76)),"Review inputs",IF(AB76&gt;=70,"P0 - Immediate",IF(AB76&gt;=50,"P1 - High",IF(AB76&gt;=30,"P2 - Medium",IF(AB76&gt;=15,"P3 - Low","P4 - Monitor"))))))</x:f>
      </x:c>
      <x:c r="AD76" s="73"/>
      <x:c r="AE76" s="73"/>
      <x:c r="AF76" s="73"/>
      <x:c r="AG76" s="77"/>
      <x:c r="AH76" s="73"/>
      <x:c r="AI76" s="91"/>
      <x:c r="AJ76" s="91"/>
      <x:c r="AK76" s="91"/>
      <x:c r="AL76" s="92"/>
      <x:c r="AM76" s="91"/>
      <x:c r="AN76" s="91"/>
      <x:c r="AO76" s="93"/>
      <x:c r="AP76" s="94"/>
      <x:c r="AQ76" s="91"/>
      <x:c r="AR76" s="91"/>
      <x:c r="AS76" s="91"/>
      <x:c r="AT76" s="91"/>
      <x:c r="AU76" s="91"/>
      <x:c r="AV76" s="91"/>
      <x:c r="AW76" s="91"/>
      <x:c r="AX76" s="91"/>
      <x:c r="AY76" s="91"/>
      <x:c r="AZ76" s="92"/>
      <x:c r="BA76" s="94"/>
      <x:c r="BB76" s="91"/>
      <x:c r="BC76" s="92"/>
      <x:c r="BD76" s="92"/>
      <x:c r="BE76" s="91"/>
      <x:c r="BF76" s="91"/>
      <x:c r="BG76" s="91"/>
      <x:c r="BH76" s="91"/>
      <x:c r="BI76" s="91"/>
      <x:c r="BJ76" s="91"/>
      <x:c r="BK76" s="91"/>
      <x:c r="BL76" s="91"/>
      <x:c r="BM76" s="73" t="str">
        <x:f>IF(A76="","",IF(AI76="Example","Example only",IF(AI76&lt;&gt;"Actual","Set record type",IF(COUNTIF($A$2:$A$1001,A76)&gt;1,"Duplicate record ID",IF(OR(D76="",E76="",AF76="",NOT(ISNUMBER(AG76)),AJ76="",AK76="",NOT(ISNUMBER(AL76)),AND(AM76&lt;&gt;"Observed",AM76&lt;&gt;"Corroborated",AM76&lt;&gt;"Declared"),OR(AN76="",AN76="Unknown"),OR(AQ76="",AQ76="Unknown"),OR(AR76="",AR76="Unknown",AR76="TBD"),OR(BC76="",NOT(ISNUMBER(BC76)))),"Evidence incomplete","Evidence recorded; review scope")))))</x:f>
      </x:c>
      <x:c r="BN76" s="73"/>
    </x:row>
    <x:row r="77" ht="34" customHeight="1">
      <x:c r="A77" s="73"/>
      <x:c r="B77" s="73"/>
      <x:c r="C77" s="73"/>
      <x:c r="D77" s="73"/>
      <x:c r="E77" s="73"/>
      <x:c r="F77" s="73"/>
      <x:c r="G77" s="73"/>
      <x:c r="H77" s="73"/>
      <x:c r="I77" s="75"/>
      <x:c r="J77" s="73"/>
      <x:c r="K77" s="73"/>
      <x:c r="L77" s="76"/>
      <x:c r="M77" s="73"/>
      <x:c r="N77" s="73"/>
      <x:c r="O77" s="73"/>
      <x:c r="P77" s="73"/>
      <x:c r="Q77" s="76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  <x:c r="AB77" s="76" t="str">
        <x:f>IF(A77="","",IF(OR(NOT(ISNUMBER(I77)),I77&lt;0,NOT(ISNUMBER(AP77)),AP77&lt;0,NOT(ISNUMBER(L77)),L77&lt;1,L77&gt;5,L77&lt;&gt;INT(L77),AND(J77&lt;&gt;"Public",J77&lt;&gt;"Partner",J77&lt;&gt;"Internal",J77&lt;&gt;"None"),AND(K77&lt;&gt;"High",K77&lt;&gt;"Medium",K77&lt;&gt;"Low",K77&lt;&gt;"None"),AND(W77&lt;&gt;"Hard-coded",W77&lt;&gt;"Configurable",W77&lt;&gt;"Policy-managed",W77&lt;&gt;"API/Library abstraction",W77&lt;&gt;"Automated"),AND(Z77&lt;&gt;"Y",Z77&lt;&gt;"N"),AND(AA77&lt;&gt;"Y",AA77&lt;&gt;"N")),"Incomplete",IF(Z77="Y",20,0)+L77*5+IF(AA77="Y",15,0)+IF(J77="Public",10,IF(J77="Partner",7,IF(J77="Internal",3,0)))+IF(W77="Hard-coded",10,IF(W77="Configurable",3,0))+IF(MAX(I77,AP77)&gt;=10,10,IF(MAX(I77,AP77)&gt;=5,7,IF(MAX(I77,AP77)&gt;=2,3,0)))+IF(K77="High",10,IF(K77="Medium",5,0))))</x:f>
      </x:c>
      <x:c r="AC77" s="73" t="str">
        <x:f>IF(A77="","",IF(NOT(ISNUMBER(AB77)),"Review inputs",IF(AB77&gt;=70,"P0 - Immediate",IF(AB77&gt;=50,"P1 - High",IF(AB77&gt;=30,"P2 - Medium",IF(AB77&gt;=15,"P3 - Low","P4 - Monitor"))))))</x:f>
      </x:c>
      <x:c r="AD77" s="73"/>
      <x:c r="AE77" s="73"/>
      <x:c r="AF77" s="73"/>
      <x:c r="AG77" s="77"/>
      <x:c r="AH77" s="73"/>
      <x:c r="AI77" s="91"/>
      <x:c r="AJ77" s="91"/>
      <x:c r="AK77" s="91"/>
      <x:c r="AL77" s="92"/>
      <x:c r="AM77" s="91"/>
      <x:c r="AN77" s="91"/>
      <x:c r="AO77" s="93"/>
      <x:c r="AP77" s="94"/>
      <x:c r="AQ77" s="91"/>
      <x:c r="AR77" s="91"/>
      <x:c r="AS77" s="91"/>
      <x:c r="AT77" s="91"/>
      <x:c r="AU77" s="91"/>
      <x:c r="AV77" s="91"/>
      <x:c r="AW77" s="91"/>
      <x:c r="AX77" s="91"/>
      <x:c r="AY77" s="91"/>
      <x:c r="AZ77" s="92"/>
      <x:c r="BA77" s="94"/>
      <x:c r="BB77" s="91"/>
      <x:c r="BC77" s="92"/>
      <x:c r="BD77" s="92"/>
      <x:c r="BE77" s="91"/>
      <x:c r="BF77" s="91"/>
      <x:c r="BG77" s="91"/>
      <x:c r="BH77" s="91"/>
      <x:c r="BI77" s="91"/>
      <x:c r="BJ77" s="91"/>
      <x:c r="BK77" s="91"/>
      <x:c r="BL77" s="91"/>
      <x:c r="BM77" s="73" t="str">
        <x:f>IF(A77="","",IF(AI77="Example","Example only",IF(AI77&lt;&gt;"Actual","Set record type",IF(COUNTIF($A$2:$A$1001,A77)&gt;1,"Duplicate record ID",IF(OR(D77="",E77="",AF77="",NOT(ISNUMBER(AG77)),AJ77="",AK77="",NOT(ISNUMBER(AL77)),AND(AM77&lt;&gt;"Observed",AM77&lt;&gt;"Corroborated",AM77&lt;&gt;"Declared"),OR(AN77="",AN77="Unknown"),OR(AQ77="",AQ77="Unknown"),OR(AR77="",AR77="Unknown",AR77="TBD"),OR(BC77="",NOT(ISNUMBER(BC77)))),"Evidence incomplete","Evidence recorded; review scope")))))</x:f>
      </x:c>
      <x:c r="BN77" s="73"/>
    </x:row>
    <x:row r="78" ht="34" customHeight="1">
      <x:c r="A78" s="73"/>
      <x:c r="B78" s="73"/>
      <x:c r="C78" s="73"/>
      <x:c r="D78" s="73"/>
      <x:c r="E78" s="73"/>
      <x:c r="F78" s="73"/>
      <x:c r="G78" s="73"/>
      <x:c r="H78" s="73"/>
      <x:c r="I78" s="75"/>
      <x:c r="J78" s="73"/>
      <x:c r="K78" s="73"/>
      <x:c r="L78" s="76"/>
      <x:c r="M78" s="73"/>
      <x:c r="N78" s="73"/>
      <x:c r="O78" s="73"/>
      <x:c r="P78" s="73"/>
      <x:c r="Q78" s="76"/>
      <x:c r="R78" s="73"/>
      <x:c r="S78" s="73"/>
      <x:c r="T78" s="73"/>
      <x:c r="U78" s="73"/>
      <x:c r="V78" s="73"/>
      <x:c r="W78" s="73"/>
      <x:c r="X78" s="73"/>
      <x:c r="Y78" s="73"/>
      <x:c r="Z78" s="73"/>
      <x:c r="AA78" s="73"/>
      <x:c r="AB78" s="76" t="str">
        <x:f>IF(A78="","",IF(OR(NOT(ISNUMBER(I78)),I78&lt;0,NOT(ISNUMBER(AP78)),AP78&lt;0,NOT(ISNUMBER(L78)),L78&lt;1,L78&gt;5,L78&lt;&gt;INT(L78),AND(J78&lt;&gt;"Public",J78&lt;&gt;"Partner",J78&lt;&gt;"Internal",J78&lt;&gt;"None"),AND(K78&lt;&gt;"High",K78&lt;&gt;"Medium",K78&lt;&gt;"Low",K78&lt;&gt;"None"),AND(W78&lt;&gt;"Hard-coded",W78&lt;&gt;"Configurable",W78&lt;&gt;"Policy-managed",W78&lt;&gt;"API/Library abstraction",W78&lt;&gt;"Automated"),AND(Z78&lt;&gt;"Y",Z78&lt;&gt;"N"),AND(AA78&lt;&gt;"Y",AA78&lt;&gt;"N")),"Incomplete",IF(Z78="Y",20,0)+L78*5+IF(AA78="Y",15,0)+IF(J78="Public",10,IF(J78="Partner",7,IF(J78="Internal",3,0)))+IF(W78="Hard-coded",10,IF(W78="Configurable",3,0))+IF(MAX(I78,AP78)&gt;=10,10,IF(MAX(I78,AP78)&gt;=5,7,IF(MAX(I78,AP78)&gt;=2,3,0)))+IF(K78="High",10,IF(K78="Medium",5,0))))</x:f>
      </x:c>
      <x:c r="AC78" s="73" t="str">
        <x:f>IF(A78="","",IF(NOT(ISNUMBER(AB78)),"Review inputs",IF(AB78&gt;=70,"P0 - Immediate",IF(AB78&gt;=50,"P1 - High",IF(AB78&gt;=30,"P2 - Medium",IF(AB78&gt;=15,"P3 - Low","P4 - Monitor"))))))</x:f>
      </x:c>
      <x:c r="AD78" s="73"/>
      <x:c r="AE78" s="73"/>
      <x:c r="AF78" s="73"/>
      <x:c r="AG78" s="77"/>
      <x:c r="AH78" s="73"/>
      <x:c r="AI78" s="91"/>
      <x:c r="AJ78" s="91"/>
      <x:c r="AK78" s="91"/>
      <x:c r="AL78" s="92"/>
      <x:c r="AM78" s="91"/>
      <x:c r="AN78" s="91"/>
      <x:c r="AO78" s="93"/>
      <x:c r="AP78" s="94"/>
      <x:c r="AQ78" s="91"/>
      <x:c r="AR78" s="91"/>
      <x:c r="AS78" s="91"/>
      <x:c r="AT78" s="91"/>
      <x:c r="AU78" s="91"/>
      <x:c r="AV78" s="91"/>
      <x:c r="AW78" s="91"/>
      <x:c r="AX78" s="91"/>
      <x:c r="AY78" s="91"/>
      <x:c r="AZ78" s="92"/>
      <x:c r="BA78" s="94"/>
      <x:c r="BB78" s="91"/>
      <x:c r="BC78" s="92"/>
      <x:c r="BD78" s="92"/>
      <x:c r="BE78" s="91"/>
      <x:c r="BF78" s="91"/>
      <x:c r="BG78" s="91"/>
      <x:c r="BH78" s="91"/>
      <x:c r="BI78" s="91"/>
      <x:c r="BJ78" s="91"/>
      <x:c r="BK78" s="91"/>
      <x:c r="BL78" s="91"/>
      <x:c r="BM78" s="73" t="str">
        <x:f>IF(A78="","",IF(AI78="Example","Example only",IF(AI78&lt;&gt;"Actual","Set record type",IF(COUNTIF($A$2:$A$1001,A78)&gt;1,"Duplicate record ID",IF(OR(D78="",E78="",AF78="",NOT(ISNUMBER(AG78)),AJ78="",AK78="",NOT(ISNUMBER(AL78)),AND(AM78&lt;&gt;"Observed",AM78&lt;&gt;"Corroborated",AM78&lt;&gt;"Declared"),OR(AN78="",AN78="Unknown"),OR(AQ78="",AQ78="Unknown"),OR(AR78="",AR78="Unknown",AR78="TBD"),OR(BC78="",NOT(ISNUMBER(BC78)))),"Evidence incomplete","Evidence recorded; review scope")))))</x:f>
      </x:c>
      <x:c r="BN78" s="73"/>
    </x:row>
    <x:row r="79" ht="34" customHeight="1">
      <x:c r="A79" s="73"/>
      <x:c r="B79" s="73"/>
      <x:c r="C79" s="73"/>
      <x:c r="D79" s="73"/>
      <x:c r="E79" s="73"/>
      <x:c r="F79" s="73"/>
      <x:c r="G79" s="73"/>
      <x:c r="H79" s="73"/>
      <x:c r="I79" s="75"/>
      <x:c r="J79" s="73"/>
      <x:c r="K79" s="73"/>
      <x:c r="L79" s="76"/>
      <x:c r="M79" s="73"/>
      <x:c r="N79" s="73"/>
      <x:c r="O79" s="73"/>
      <x:c r="P79" s="73"/>
      <x:c r="Q79" s="76"/>
      <x:c r="R79" s="73"/>
      <x:c r="S79" s="73"/>
      <x:c r="T79" s="73"/>
      <x:c r="U79" s="73"/>
      <x:c r="V79" s="73"/>
      <x:c r="W79" s="73"/>
      <x:c r="X79" s="73"/>
      <x:c r="Y79" s="73"/>
      <x:c r="Z79" s="73"/>
      <x:c r="AA79" s="73"/>
      <x:c r="AB79" s="76" t="str">
        <x:f>IF(A79="","",IF(OR(NOT(ISNUMBER(I79)),I79&lt;0,NOT(ISNUMBER(AP79)),AP79&lt;0,NOT(ISNUMBER(L79)),L79&lt;1,L79&gt;5,L79&lt;&gt;INT(L79),AND(J79&lt;&gt;"Public",J79&lt;&gt;"Partner",J79&lt;&gt;"Internal",J79&lt;&gt;"None"),AND(K79&lt;&gt;"High",K79&lt;&gt;"Medium",K79&lt;&gt;"Low",K79&lt;&gt;"None"),AND(W79&lt;&gt;"Hard-coded",W79&lt;&gt;"Configurable",W79&lt;&gt;"Policy-managed",W79&lt;&gt;"API/Library abstraction",W79&lt;&gt;"Automated"),AND(Z79&lt;&gt;"Y",Z79&lt;&gt;"N"),AND(AA79&lt;&gt;"Y",AA79&lt;&gt;"N")),"Incomplete",IF(Z79="Y",20,0)+L79*5+IF(AA79="Y",15,0)+IF(J79="Public",10,IF(J79="Partner",7,IF(J79="Internal",3,0)))+IF(W79="Hard-coded",10,IF(W79="Configurable",3,0))+IF(MAX(I79,AP79)&gt;=10,10,IF(MAX(I79,AP79)&gt;=5,7,IF(MAX(I79,AP79)&gt;=2,3,0)))+IF(K79="High",10,IF(K79="Medium",5,0))))</x:f>
      </x:c>
      <x:c r="AC79" s="73" t="str">
        <x:f>IF(A79="","",IF(NOT(ISNUMBER(AB79)),"Review inputs",IF(AB79&gt;=70,"P0 - Immediate",IF(AB79&gt;=50,"P1 - High",IF(AB79&gt;=30,"P2 - Medium",IF(AB79&gt;=15,"P3 - Low","P4 - Monitor"))))))</x:f>
      </x:c>
      <x:c r="AD79" s="73"/>
      <x:c r="AE79" s="73"/>
      <x:c r="AF79" s="73"/>
      <x:c r="AG79" s="77"/>
      <x:c r="AH79" s="73"/>
      <x:c r="AI79" s="91"/>
      <x:c r="AJ79" s="91"/>
      <x:c r="AK79" s="91"/>
      <x:c r="AL79" s="92"/>
      <x:c r="AM79" s="91"/>
      <x:c r="AN79" s="91"/>
      <x:c r="AO79" s="93"/>
      <x:c r="AP79" s="94"/>
      <x:c r="AQ79" s="91"/>
      <x:c r="AR79" s="91"/>
      <x:c r="AS79" s="91"/>
      <x:c r="AT79" s="91"/>
      <x:c r="AU79" s="91"/>
      <x:c r="AV79" s="91"/>
      <x:c r="AW79" s="91"/>
      <x:c r="AX79" s="91"/>
      <x:c r="AY79" s="91"/>
      <x:c r="AZ79" s="92"/>
      <x:c r="BA79" s="94"/>
      <x:c r="BB79" s="91"/>
      <x:c r="BC79" s="92"/>
      <x:c r="BD79" s="92"/>
      <x:c r="BE79" s="91"/>
      <x:c r="BF79" s="91"/>
      <x:c r="BG79" s="91"/>
      <x:c r="BH79" s="91"/>
      <x:c r="BI79" s="91"/>
      <x:c r="BJ79" s="91"/>
      <x:c r="BK79" s="91"/>
      <x:c r="BL79" s="91"/>
      <x:c r="BM79" s="73" t="str">
        <x:f>IF(A79="","",IF(AI79="Example","Example only",IF(AI79&lt;&gt;"Actual","Set record type",IF(COUNTIF($A$2:$A$1001,A79)&gt;1,"Duplicate record ID",IF(OR(D79="",E79="",AF79="",NOT(ISNUMBER(AG79)),AJ79="",AK79="",NOT(ISNUMBER(AL79)),AND(AM79&lt;&gt;"Observed",AM79&lt;&gt;"Corroborated",AM79&lt;&gt;"Declared"),OR(AN79="",AN79="Unknown"),OR(AQ79="",AQ79="Unknown"),OR(AR79="",AR79="Unknown",AR79="TBD"),OR(BC79="",NOT(ISNUMBER(BC79)))),"Evidence incomplete","Evidence recorded; review scope")))))</x:f>
      </x:c>
      <x:c r="BN79" s="73"/>
    </x:row>
    <x:row r="80" ht="34" customHeight="1">
      <x:c r="A80" s="73"/>
      <x:c r="B80" s="73"/>
      <x:c r="C80" s="73"/>
      <x:c r="D80" s="73"/>
      <x:c r="E80" s="73"/>
      <x:c r="F80" s="73"/>
      <x:c r="G80" s="73"/>
      <x:c r="H80" s="73"/>
      <x:c r="I80" s="75"/>
      <x:c r="J80" s="73"/>
      <x:c r="K80" s="73"/>
      <x:c r="L80" s="76"/>
      <x:c r="M80" s="73"/>
      <x:c r="N80" s="73"/>
      <x:c r="O80" s="73"/>
      <x:c r="P80" s="73"/>
      <x:c r="Q80" s="76"/>
      <x:c r="R80" s="73"/>
      <x:c r="S80" s="73"/>
      <x:c r="T80" s="73"/>
      <x:c r="U80" s="73"/>
      <x:c r="V80" s="73"/>
      <x:c r="W80" s="73"/>
      <x:c r="X80" s="73"/>
      <x:c r="Y80" s="73"/>
      <x:c r="Z80" s="73"/>
      <x:c r="AA80" s="73"/>
      <x:c r="AB80" s="76" t="str">
        <x:f>IF(A80="","",IF(OR(NOT(ISNUMBER(I80)),I80&lt;0,NOT(ISNUMBER(AP80)),AP80&lt;0,NOT(ISNUMBER(L80)),L80&lt;1,L80&gt;5,L80&lt;&gt;INT(L80),AND(J80&lt;&gt;"Public",J80&lt;&gt;"Partner",J80&lt;&gt;"Internal",J80&lt;&gt;"None"),AND(K80&lt;&gt;"High",K80&lt;&gt;"Medium",K80&lt;&gt;"Low",K80&lt;&gt;"None"),AND(W80&lt;&gt;"Hard-coded",W80&lt;&gt;"Configurable",W80&lt;&gt;"Policy-managed",W80&lt;&gt;"API/Library abstraction",W80&lt;&gt;"Automated"),AND(Z80&lt;&gt;"Y",Z80&lt;&gt;"N"),AND(AA80&lt;&gt;"Y",AA80&lt;&gt;"N")),"Incomplete",IF(Z80="Y",20,0)+L80*5+IF(AA80="Y",15,0)+IF(J80="Public",10,IF(J80="Partner",7,IF(J80="Internal",3,0)))+IF(W80="Hard-coded",10,IF(W80="Configurable",3,0))+IF(MAX(I80,AP80)&gt;=10,10,IF(MAX(I80,AP80)&gt;=5,7,IF(MAX(I80,AP80)&gt;=2,3,0)))+IF(K80="High",10,IF(K80="Medium",5,0))))</x:f>
      </x:c>
      <x:c r="AC80" s="73" t="str">
        <x:f>IF(A80="","",IF(NOT(ISNUMBER(AB80)),"Review inputs",IF(AB80&gt;=70,"P0 - Immediate",IF(AB80&gt;=50,"P1 - High",IF(AB80&gt;=30,"P2 - Medium",IF(AB80&gt;=15,"P3 - Low","P4 - Monitor"))))))</x:f>
      </x:c>
      <x:c r="AD80" s="73"/>
      <x:c r="AE80" s="73"/>
      <x:c r="AF80" s="73"/>
      <x:c r="AG80" s="77"/>
      <x:c r="AH80" s="73"/>
      <x:c r="AI80" s="91"/>
      <x:c r="AJ80" s="91"/>
      <x:c r="AK80" s="91"/>
      <x:c r="AL80" s="92"/>
      <x:c r="AM80" s="91"/>
      <x:c r="AN80" s="91"/>
      <x:c r="AO80" s="93"/>
      <x:c r="AP80" s="94"/>
      <x:c r="AQ80" s="91"/>
      <x:c r="AR80" s="91"/>
      <x:c r="AS80" s="91"/>
      <x:c r="AT80" s="91"/>
      <x:c r="AU80" s="91"/>
      <x:c r="AV80" s="91"/>
      <x:c r="AW80" s="91"/>
      <x:c r="AX80" s="91"/>
      <x:c r="AY80" s="91"/>
      <x:c r="AZ80" s="92"/>
      <x:c r="BA80" s="94"/>
      <x:c r="BB80" s="91"/>
      <x:c r="BC80" s="92"/>
      <x:c r="BD80" s="92"/>
      <x:c r="BE80" s="91"/>
      <x:c r="BF80" s="91"/>
      <x:c r="BG80" s="91"/>
      <x:c r="BH80" s="91"/>
      <x:c r="BI80" s="91"/>
      <x:c r="BJ80" s="91"/>
      <x:c r="BK80" s="91"/>
      <x:c r="BL80" s="91"/>
      <x:c r="BM80" s="73" t="str">
        <x:f>IF(A80="","",IF(AI80="Example","Example only",IF(AI80&lt;&gt;"Actual","Set record type",IF(COUNTIF($A$2:$A$1001,A80)&gt;1,"Duplicate record ID",IF(OR(D80="",E80="",AF80="",NOT(ISNUMBER(AG80)),AJ80="",AK80="",NOT(ISNUMBER(AL80)),AND(AM80&lt;&gt;"Observed",AM80&lt;&gt;"Corroborated",AM80&lt;&gt;"Declared"),OR(AN80="",AN80="Unknown"),OR(AQ80="",AQ80="Unknown"),OR(AR80="",AR80="Unknown",AR80="TBD"),OR(BC80="",NOT(ISNUMBER(BC80)))),"Evidence incomplete","Evidence recorded; review scope")))))</x:f>
      </x:c>
      <x:c r="BN80" s="73"/>
    </x:row>
    <x:row r="81" ht="34" customHeight="1">
      <x:c r="A81" s="73"/>
      <x:c r="B81" s="73"/>
      <x:c r="C81" s="73"/>
      <x:c r="D81" s="73"/>
      <x:c r="E81" s="73"/>
      <x:c r="F81" s="73"/>
      <x:c r="G81" s="73"/>
      <x:c r="H81" s="73"/>
      <x:c r="I81" s="75"/>
      <x:c r="J81" s="73"/>
      <x:c r="K81" s="73"/>
      <x:c r="L81" s="76"/>
      <x:c r="M81" s="73"/>
      <x:c r="N81" s="73"/>
      <x:c r="O81" s="73"/>
      <x:c r="P81" s="73"/>
      <x:c r="Q81" s="76"/>
      <x:c r="R81" s="73"/>
      <x:c r="S81" s="73"/>
      <x:c r="T81" s="73"/>
      <x:c r="U81" s="73"/>
      <x:c r="V81" s="73"/>
      <x:c r="W81" s="73"/>
      <x:c r="X81" s="73"/>
      <x:c r="Y81" s="73"/>
      <x:c r="Z81" s="73"/>
      <x:c r="AA81" s="73"/>
      <x:c r="AB81" s="76" t="str">
        <x:f>IF(A81="","",IF(OR(NOT(ISNUMBER(I81)),I81&lt;0,NOT(ISNUMBER(AP81)),AP81&lt;0,NOT(ISNUMBER(L81)),L81&lt;1,L81&gt;5,L81&lt;&gt;INT(L81),AND(J81&lt;&gt;"Public",J81&lt;&gt;"Partner",J81&lt;&gt;"Internal",J81&lt;&gt;"None"),AND(K81&lt;&gt;"High",K81&lt;&gt;"Medium",K81&lt;&gt;"Low",K81&lt;&gt;"None"),AND(W81&lt;&gt;"Hard-coded",W81&lt;&gt;"Configurable",W81&lt;&gt;"Policy-managed",W81&lt;&gt;"API/Library abstraction",W81&lt;&gt;"Automated"),AND(Z81&lt;&gt;"Y",Z81&lt;&gt;"N"),AND(AA81&lt;&gt;"Y",AA81&lt;&gt;"N")),"Incomplete",IF(Z81="Y",20,0)+L81*5+IF(AA81="Y",15,0)+IF(J81="Public",10,IF(J81="Partner",7,IF(J81="Internal",3,0)))+IF(W81="Hard-coded",10,IF(W81="Configurable",3,0))+IF(MAX(I81,AP81)&gt;=10,10,IF(MAX(I81,AP81)&gt;=5,7,IF(MAX(I81,AP81)&gt;=2,3,0)))+IF(K81="High",10,IF(K81="Medium",5,0))))</x:f>
      </x:c>
      <x:c r="AC81" s="73" t="str">
        <x:f>IF(A81="","",IF(NOT(ISNUMBER(AB81)),"Review inputs",IF(AB81&gt;=70,"P0 - Immediate",IF(AB81&gt;=50,"P1 - High",IF(AB81&gt;=30,"P2 - Medium",IF(AB81&gt;=15,"P3 - Low","P4 - Monitor"))))))</x:f>
      </x:c>
      <x:c r="AD81" s="73"/>
      <x:c r="AE81" s="73"/>
      <x:c r="AF81" s="73"/>
      <x:c r="AG81" s="77"/>
      <x:c r="AH81" s="73"/>
      <x:c r="AI81" s="91"/>
      <x:c r="AJ81" s="91"/>
      <x:c r="AK81" s="91"/>
      <x:c r="AL81" s="92"/>
      <x:c r="AM81" s="91"/>
      <x:c r="AN81" s="91"/>
      <x:c r="AO81" s="93"/>
      <x:c r="AP81" s="94"/>
      <x:c r="AQ81" s="91"/>
      <x:c r="AR81" s="91"/>
      <x:c r="AS81" s="91"/>
      <x:c r="AT81" s="91"/>
      <x:c r="AU81" s="91"/>
      <x:c r="AV81" s="91"/>
      <x:c r="AW81" s="91"/>
      <x:c r="AX81" s="91"/>
      <x:c r="AY81" s="91"/>
      <x:c r="AZ81" s="92"/>
      <x:c r="BA81" s="94"/>
      <x:c r="BB81" s="91"/>
      <x:c r="BC81" s="92"/>
      <x:c r="BD81" s="92"/>
      <x:c r="BE81" s="91"/>
      <x:c r="BF81" s="91"/>
      <x:c r="BG81" s="91"/>
      <x:c r="BH81" s="91"/>
      <x:c r="BI81" s="91"/>
      <x:c r="BJ81" s="91"/>
      <x:c r="BK81" s="91"/>
      <x:c r="BL81" s="91"/>
      <x:c r="BM81" s="73" t="str">
        <x:f>IF(A81="","",IF(AI81="Example","Example only",IF(AI81&lt;&gt;"Actual","Set record type",IF(COUNTIF($A$2:$A$1001,A81)&gt;1,"Duplicate record ID",IF(OR(D81="",E81="",AF81="",NOT(ISNUMBER(AG81)),AJ81="",AK81="",NOT(ISNUMBER(AL81)),AND(AM81&lt;&gt;"Observed",AM81&lt;&gt;"Corroborated",AM81&lt;&gt;"Declared"),OR(AN81="",AN81="Unknown"),OR(AQ81="",AQ81="Unknown"),OR(AR81="",AR81="Unknown",AR81="TBD"),OR(BC81="",NOT(ISNUMBER(BC81)))),"Evidence incomplete","Evidence recorded; review scope")))))</x:f>
      </x:c>
      <x:c r="BN81" s="73"/>
    </x:row>
    <x:row r="82" ht="34" customHeight="1">
      <x:c r="A82" s="73"/>
      <x:c r="B82" s="73"/>
      <x:c r="C82" s="73"/>
      <x:c r="D82" s="73"/>
      <x:c r="E82" s="73"/>
      <x:c r="F82" s="73"/>
      <x:c r="G82" s="73"/>
      <x:c r="H82" s="73"/>
      <x:c r="I82" s="75"/>
      <x:c r="J82" s="73"/>
      <x:c r="K82" s="73"/>
      <x:c r="L82" s="76"/>
      <x:c r="M82" s="73"/>
      <x:c r="N82" s="73"/>
      <x:c r="O82" s="73"/>
      <x:c r="P82" s="73"/>
      <x:c r="Q82" s="76"/>
      <x:c r="R82" s="73"/>
      <x:c r="S82" s="73"/>
      <x:c r="T82" s="73"/>
      <x:c r="U82" s="73"/>
      <x:c r="V82" s="73"/>
      <x:c r="W82" s="73"/>
      <x:c r="X82" s="73"/>
      <x:c r="Y82" s="73"/>
      <x:c r="Z82" s="73"/>
      <x:c r="AA82" s="73"/>
      <x:c r="AB82" s="76" t="str">
        <x:f>IF(A82="","",IF(OR(NOT(ISNUMBER(I82)),I82&lt;0,NOT(ISNUMBER(AP82)),AP82&lt;0,NOT(ISNUMBER(L82)),L82&lt;1,L82&gt;5,L82&lt;&gt;INT(L82),AND(J82&lt;&gt;"Public",J82&lt;&gt;"Partner",J82&lt;&gt;"Internal",J82&lt;&gt;"None"),AND(K82&lt;&gt;"High",K82&lt;&gt;"Medium",K82&lt;&gt;"Low",K82&lt;&gt;"None"),AND(W82&lt;&gt;"Hard-coded",W82&lt;&gt;"Configurable",W82&lt;&gt;"Policy-managed",W82&lt;&gt;"API/Library abstraction",W82&lt;&gt;"Automated"),AND(Z82&lt;&gt;"Y",Z82&lt;&gt;"N"),AND(AA82&lt;&gt;"Y",AA82&lt;&gt;"N")),"Incomplete",IF(Z82="Y",20,0)+L82*5+IF(AA82="Y",15,0)+IF(J82="Public",10,IF(J82="Partner",7,IF(J82="Internal",3,0)))+IF(W82="Hard-coded",10,IF(W82="Configurable",3,0))+IF(MAX(I82,AP82)&gt;=10,10,IF(MAX(I82,AP82)&gt;=5,7,IF(MAX(I82,AP82)&gt;=2,3,0)))+IF(K82="High",10,IF(K82="Medium",5,0))))</x:f>
      </x:c>
      <x:c r="AC82" s="73" t="str">
        <x:f>IF(A82="","",IF(NOT(ISNUMBER(AB82)),"Review inputs",IF(AB82&gt;=70,"P0 - Immediate",IF(AB82&gt;=50,"P1 - High",IF(AB82&gt;=30,"P2 - Medium",IF(AB82&gt;=15,"P3 - Low","P4 - Monitor"))))))</x:f>
      </x:c>
      <x:c r="AD82" s="73"/>
      <x:c r="AE82" s="73"/>
      <x:c r="AF82" s="73"/>
      <x:c r="AG82" s="77"/>
      <x:c r="AH82" s="73"/>
      <x:c r="AI82" s="91"/>
      <x:c r="AJ82" s="91"/>
      <x:c r="AK82" s="91"/>
      <x:c r="AL82" s="92"/>
      <x:c r="AM82" s="91"/>
      <x:c r="AN82" s="91"/>
      <x:c r="AO82" s="93"/>
      <x:c r="AP82" s="94"/>
      <x:c r="AQ82" s="91"/>
      <x:c r="AR82" s="91"/>
      <x:c r="AS82" s="91"/>
      <x:c r="AT82" s="91"/>
      <x:c r="AU82" s="91"/>
      <x:c r="AV82" s="91"/>
      <x:c r="AW82" s="91"/>
      <x:c r="AX82" s="91"/>
      <x:c r="AY82" s="91"/>
      <x:c r="AZ82" s="92"/>
      <x:c r="BA82" s="94"/>
      <x:c r="BB82" s="91"/>
      <x:c r="BC82" s="92"/>
      <x:c r="BD82" s="92"/>
      <x:c r="BE82" s="91"/>
      <x:c r="BF82" s="91"/>
      <x:c r="BG82" s="91"/>
      <x:c r="BH82" s="91"/>
      <x:c r="BI82" s="91"/>
      <x:c r="BJ82" s="91"/>
      <x:c r="BK82" s="91"/>
      <x:c r="BL82" s="91"/>
      <x:c r="BM82" s="73" t="str">
        <x:f>IF(A82="","",IF(AI82="Example","Example only",IF(AI82&lt;&gt;"Actual","Set record type",IF(COUNTIF($A$2:$A$1001,A82)&gt;1,"Duplicate record ID",IF(OR(D82="",E82="",AF82="",NOT(ISNUMBER(AG82)),AJ82="",AK82="",NOT(ISNUMBER(AL82)),AND(AM82&lt;&gt;"Observed",AM82&lt;&gt;"Corroborated",AM82&lt;&gt;"Declared"),OR(AN82="",AN82="Unknown"),OR(AQ82="",AQ82="Unknown"),OR(AR82="",AR82="Unknown",AR82="TBD"),OR(BC82="",NOT(ISNUMBER(BC82)))),"Evidence incomplete","Evidence recorded; review scope")))))</x:f>
      </x:c>
      <x:c r="BN82" s="73"/>
    </x:row>
    <x:row r="83" ht="34" customHeight="1">
      <x:c r="A83" s="73"/>
      <x:c r="B83" s="73"/>
      <x:c r="C83" s="73"/>
      <x:c r="D83" s="73"/>
      <x:c r="E83" s="73"/>
      <x:c r="F83" s="73"/>
      <x:c r="G83" s="73"/>
      <x:c r="H83" s="73"/>
      <x:c r="I83" s="75"/>
      <x:c r="J83" s="73"/>
      <x:c r="K83" s="73"/>
      <x:c r="L83" s="76"/>
      <x:c r="M83" s="73"/>
      <x:c r="N83" s="73"/>
      <x:c r="O83" s="73"/>
      <x:c r="P83" s="73"/>
      <x:c r="Q83" s="76"/>
      <x:c r="R83" s="73"/>
      <x:c r="S83" s="73"/>
      <x:c r="T83" s="73"/>
      <x:c r="U83" s="73"/>
      <x:c r="V83" s="73"/>
      <x:c r="W83" s="73"/>
      <x:c r="X83" s="73"/>
      <x:c r="Y83" s="73"/>
      <x:c r="Z83" s="73"/>
      <x:c r="AA83" s="73"/>
      <x:c r="AB83" s="76" t="str">
        <x:f>IF(A83="","",IF(OR(NOT(ISNUMBER(I83)),I83&lt;0,NOT(ISNUMBER(AP83)),AP83&lt;0,NOT(ISNUMBER(L83)),L83&lt;1,L83&gt;5,L83&lt;&gt;INT(L83),AND(J83&lt;&gt;"Public",J83&lt;&gt;"Partner",J83&lt;&gt;"Internal",J83&lt;&gt;"None"),AND(K83&lt;&gt;"High",K83&lt;&gt;"Medium",K83&lt;&gt;"Low",K83&lt;&gt;"None"),AND(W83&lt;&gt;"Hard-coded",W83&lt;&gt;"Configurable",W83&lt;&gt;"Policy-managed",W83&lt;&gt;"API/Library abstraction",W83&lt;&gt;"Automated"),AND(Z83&lt;&gt;"Y",Z83&lt;&gt;"N"),AND(AA83&lt;&gt;"Y",AA83&lt;&gt;"N")),"Incomplete",IF(Z83="Y",20,0)+L83*5+IF(AA83="Y",15,0)+IF(J83="Public",10,IF(J83="Partner",7,IF(J83="Internal",3,0)))+IF(W83="Hard-coded",10,IF(W83="Configurable",3,0))+IF(MAX(I83,AP83)&gt;=10,10,IF(MAX(I83,AP83)&gt;=5,7,IF(MAX(I83,AP83)&gt;=2,3,0)))+IF(K83="High",10,IF(K83="Medium",5,0))))</x:f>
      </x:c>
      <x:c r="AC83" s="73" t="str">
        <x:f>IF(A83="","",IF(NOT(ISNUMBER(AB83)),"Review inputs",IF(AB83&gt;=70,"P0 - Immediate",IF(AB83&gt;=50,"P1 - High",IF(AB83&gt;=30,"P2 - Medium",IF(AB83&gt;=15,"P3 - Low","P4 - Monitor"))))))</x:f>
      </x:c>
      <x:c r="AD83" s="73"/>
      <x:c r="AE83" s="73"/>
      <x:c r="AF83" s="73"/>
      <x:c r="AG83" s="77"/>
      <x:c r="AH83" s="73"/>
      <x:c r="AI83" s="91"/>
      <x:c r="AJ83" s="91"/>
      <x:c r="AK83" s="91"/>
      <x:c r="AL83" s="92"/>
      <x:c r="AM83" s="91"/>
      <x:c r="AN83" s="91"/>
      <x:c r="AO83" s="93"/>
      <x:c r="AP83" s="94"/>
      <x:c r="AQ83" s="91"/>
      <x:c r="AR83" s="91"/>
      <x:c r="AS83" s="91"/>
      <x:c r="AT83" s="91"/>
      <x:c r="AU83" s="91"/>
      <x:c r="AV83" s="91"/>
      <x:c r="AW83" s="91"/>
      <x:c r="AX83" s="91"/>
      <x:c r="AY83" s="91"/>
      <x:c r="AZ83" s="92"/>
      <x:c r="BA83" s="94"/>
      <x:c r="BB83" s="91"/>
      <x:c r="BC83" s="92"/>
      <x:c r="BD83" s="92"/>
      <x:c r="BE83" s="91"/>
      <x:c r="BF83" s="91"/>
      <x:c r="BG83" s="91"/>
      <x:c r="BH83" s="91"/>
      <x:c r="BI83" s="91"/>
      <x:c r="BJ83" s="91"/>
      <x:c r="BK83" s="91"/>
      <x:c r="BL83" s="91"/>
      <x:c r="BM83" s="73" t="str">
        <x:f>IF(A83="","",IF(AI83="Example","Example only",IF(AI83&lt;&gt;"Actual","Set record type",IF(COUNTIF($A$2:$A$1001,A83)&gt;1,"Duplicate record ID",IF(OR(D83="",E83="",AF83="",NOT(ISNUMBER(AG83)),AJ83="",AK83="",NOT(ISNUMBER(AL83)),AND(AM83&lt;&gt;"Observed",AM83&lt;&gt;"Corroborated",AM83&lt;&gt;"Declared"),OR(AN83="",AN83="Unknown"),OR(AQ83="",AQ83="Unknown"),OR(AR83="",AR83="Unknown",AR83="TBD"),OR(BC83="",NOT(ISNUMBER(BC83)))),"Evidence incomplete","Evidence recorded; review scope")))))</x:f>
      </x:c>
      <x:c r="BN83" s="73"/>
    </x:row>
    <x:row r="84" ht="34" customHeight="1">
      <x:c r="A84" s="73"/>
      <x:c r="B84" s="73"/>
      <x:c r="C84" s="73"/>
      <x:c r="D84" s="73"/>
      <x:c r="E84" s="73"/>
      <x:c r="F84" s="73"/>
      <x:c r="G84" s="73"/>
      <x:c r="H84" s="73"/>
      <x:c r="I84" s="75"/>
      <x:c r="J84" s="73"/>
      <x:c r="K84" s="73"/>
      <x:c r="L84" s="76"/>
      <x:c r="M84" s="73"/>
      <x:c r="N84" s="73"/>
      <x:c r="O84" s="73"/>
      <x:c r="P84" s="73"/>
      <x:c r="Q84" s="76"/>
      <x:c r="R84" s="73"/>
      <x:c r="S84" s="73"/>
      <x:c r="T84" s="73"/>
      <x:c r="U84" s="73"/>
      <x:c r="V84" s="73"/>
      <x:c r="W84" s="73"/>
      <x:c r="X84" s="73"/>
      <x:c r="Y84" s="73"/>
      <x:c r="Z84" s="73"/>
      <x:c r="AA84" s="73"/>
      <x:c r="AB84" s="76" t="str">
        <x:f>IF(A84="","",IF(OR(NOT(ISNUMBER(I84)),I84&lt;0,NOT(ISNUMBER(AP84)),AP84&lt;0,NOT(ISNUMBER(L84)),L84&lt;1,L84&gt;5,L84&lt;&gt;INT(L84),AND(J84&lt;&gt;"Public",J84&lt;&gt;"Partner",J84&lt;&gt;"Internal",J84&lt;&gt;"None"),AND(K84&lt;&gt;"High",K84&lt;&gt;"Medium",K84&lt;&gt;"Low",K84&lt;&gt;"None"),AND(W84&lt;&gt;"Hard-coded",W84&lt;&gt;"Configurable",W84&lt;&gt;"Policy-managed",W84&lt;&gt;"API/Library abstraction",W84&lt;&gt;"Automated"),AND(Z84&lt;&gt;"Y",Z84&lt;&gt;"N"),AND(AA84&lt;&gt;"Y",AA84&lt;&gt;"N")),"Incomplete",IF(Z84="Y",20,0)+L84*5+IF(AA84="Y",15,0)+IF(J84="Public",10,IF(J84="Partner",7,IF(J84="Internal",3,0)))+IF(W84="Hard-coded",10,IF(W84="Configurable",3,0))+IF(MAX(I84,AP84)&gt;=10,10,IF(MAX(I84,AP84)&gt;=5,7,IF(MAX(I84,AP84)&gt;=2,3,0)))+IF(K84="High",10,IF(K84="Medium",5,0))))</x:f>
      </x:c>
      <x:c r="AC84" s="73" t="str">
        <x:f>IF(A84="","",IF(NOT(ISNUMBER(AB84)),"Review inputs",IF(AB84&gt;=70,"P0 - Immediate",IF(AB84&gt;=50,"P1 - High",IF(AB84&gt;=30,"P2 - Medium",IF(AB84&gt;=15,"P3 - Low","P4 - Monitor"))))))</x:f>
      </x:c>
      <x:c r="AD84" s="73"/>
      <x:c r="AE84" s="73"/>
      <x:c r="AF84" s="73"/>
      <x:c r="AG84" s="77"/>
      <x:c r="AH84" s="73"/>
      <x:c r="AI84" s="91"/>
      <x:c r="AJ84" s="91"/>
      <x:c r="AK84" s="91"/>
      <x:c r="AL84" s="92"/>
      <x:c r="AM84" s="91"/>
      <x:c r="AN84" s="91"/>
      <x:c r="AO84" s="93"/>
      <x:c r="AP84" s="94"/>
      <x:c r="AQ84" s="91"/>
      <x:c r="AR84" s="91"/>
      <x:c r="AS84" s="91"/>
      <x:c r="AT84" s="91"/>
      <x:c r="AU84" s="91"/>
      <x:c r="AV84" s="91"/>
      <x:c r="AW84" s="91"/>
      <x:c r="AX84" s="91"/>
      <x:c r="AY84" s="91"/>
      <x:c r="AZ84" s="92"/>
      <x:c r="BA84" s="94"/>
      <x:c r="BB84" s="91"/>
      <x:c r="BC84" s="92"/>
      <x:c r="BD84" s="92"/>
      <x:c r="BE84" s="91"/>
      <x:c r="BF84" s="91"/>
      <x:c r="BG84" s="91"/>
      <x:c r="BH84" s="91"/>
      <x:c r="BI84" s="91"/>
      <x:c r="BJ84" s="91"/>
      <x:c r="BK84" s="91"/>
      <x:c r="BL84" s="91"/>
      <x:c r="BM84" s="73" t="str">
        <x:f>IF(A84="","",IF(AI84="Example","Example only",IF(AI84&lt;&gt;"Actual","Set record type",IF(COUNTIF($A$2:$A$1001,A84)&gt;1,"Duplicate record ID",IF(OR(D84="",E84="",AF84="",NOT(ISNUMBER(AG84)),AJ84="",AK84="",NOT(ISNUMBER(AL84)),AND(AM84&lt;&gt;"Observed",AM84&lt;&gt;"Corroborated",AM84&lt;&gt;"Declared"),OR(AN84="",AN84="Unknown"),OR(AQ84="",AQ84="Unknown"),OR(AR84="",AR84="Unknown",AR84="TBD"),OR(BC84="",NOT(ISNUMBER(BC84)))),"Evidence incomplete","Evidence recorded; review scope")))))</x:f>
      </x:c>
      <x:c r="BN84" s="73"/>
    </x:row>
    <x:row r="85" ht="34" customHeight="1">
      <x:c r="A85" s="73"/>
      <x:c r="B85" s="73"/>
      <x:c r="C85" s="73"/>
      <x:c r="D85" s="73"/>
      <x:c r="E85" s="73"/>
      <x:c r="F85" s="73"/>
      <x:c r="G85" s="73"/>
      <x:c r="H85" s="73"/>
      <x:c r="I85" s="75"/>
      <x:c r="J85" s="73"/>
      <x:c r="K85" s="73"/>
      <x:c r="L85" s="76"/>
      <x:c r="M85" s="73"/>
      <x:c r="N85" s="73"/>
      <x:c r="O85" s="73"/>
      <x:c r="P85" s="73"/>
      <x:c r="Q85" s="76"/>
      <x:c r="R85" s="73"/>
      <x:c r="S85" s="73"/>
      <x:c r="T85" s="73"/>
      <x:c r="U85" s="73"/>
      <x:c r="V85" s="73"/>
      <x:c r="W85" s="73"/>
      <x:c r="X85" s="73"/>
      <x:c r="Y85" s="73"/>
      <x:c r="Z85" s="73"/>
      <x:c r="AA85" s="73"/>
      <x:c r="AB85" s="76" t="str">
        <x:f>IF(A85="","",IF(OR(NOT(ISNUMBER(I85)),I85&lt;0,NOT(ISNUMBER(AP85)),AP85&lt;0,NOT(ISNUMBER(L85)),L85&lt;1,L85&gt;5,L85&lt;&gt;INT(L85),AND(J85&lt;&gt;"Public",J85&lt;&gt;"Partner",J85&lt;&gt;"Internal",J85&lt;&gt;"None"),AND(K85&lt;&gt;"High",K85&lt;&gt;"Medium",K85&lt;&gt;"Low",K85&lt;&gt;"None"),AND(W85&lt;&gt;"Hard-coded",W85&lt;&gt;"Configurable",W85&lt;&gt;"Policy-managed",W85&lt;&gt;"API/Library abstraction",W85&lt;&gt;"Automated"),AND(Z85&lt;&gt;"Y",Z85&lt;&gt;"N"),AND(AA85&lt;&gt;"Y",AA85&lt;&gt;"N")),"Incomplete",IF(Z85="Y",20,0)+L85*5+IF(AA85="Y",15,0)+IF(J85="Public",10,IF(J85="Partner",7,IF(J85="Internal",3,0)))+IF(W85="Hard-coded",10,IF(W85="Configurable",3,0))+IF(MAX(I85,AP85)&gt;=10,10,IF(MAX(I85,AP85)&gt;=5,7,IF(MAX(I85,AP85)&gt;=2,3,0)))+IF(K85="High",10,IF(K85="Medium",5,0))))</x:f>
      </x:c>
      <x:c r="AC85" s="73" t="str">
        <x:f>IF(A85="","",IF(NOT(ISNUMBER(AB85)),"Review inputs",IF(AB85&gt;=70,"P0 - Immediate",IF(AB85&gt;=50,"P1 - High",IF(AB85&gt;=30,"P2 - Medium",IF(AB85&gt;=15,"P3 - Low","P4 - Monitor"))))))</x:f>
      </x:c>
      <x:c r="AD85" s="73"/>
      <x:c r="AE85" s="73"/>
      <x:c r="AF85" s="73"/>
      <x:c r="AG85" s="77"/>
      <x:c r="AH85" s="73"/>
      <x:c r="AI85" s="91"/>
      <x:c r="AJ85" s="91"/>
      <x:c r="AK85" s="91"/>
      <x:c r="AL85" s="92"/>
      <x:c r="AM85" s="91"/>
      <x:c r="AN85" s="91"/>
      <x:c r="AO85" s="93"/>
      <x:c r="AP85" s="94"/>
      <x:c r="AQ85" s="91"/>
      <x:c r="AR85" s="91"/>
      <x:c r="AS85" s="91"/>
      <x:c r="AT85" s="91"/>
      <x:c r="AU85" s="91"/>
      <x:c r="AV85" s="91"/>
      <x:c r="AW85" s="91"/>
      <x:c r="AX85" s="91"/>
      <x:c r="AY85" s="91"/>
      <x:c r="AZ85" s="92"/>
      <x:c r="BA85" s="94"/>
      <x:c r="BB85" s="91"/>
      <x:c r="BC85" s="92"/>
      <x:c r="BD85" s="92"/>
      <x:c r="BE85" s="91"/>
      <x:c r="BF85" s="91"/>
      <x:c r="BG85" s="91"/>
      <x:c r="BH85" s="91"/>
      <x:c r="BI85" s="91"/>
      <x:c r="BJ85" s="91"/>
      <x:c r="BK85" s="91"/>
      <x:c r="BL85" s="91"/>
      <x:c r="BM85" s="73" t="str">
        <x:f>IF(A85="","",IF(AI85="Example","Example only",IF(AI85&lt;&gt;"Actual","Set record type",IF(COUNTIF($A$2:$A$1001,A85)&gt;1,"Duplicate record ID",IF(OR(D85="",E85="",AF85="",NOT(ISNUMBER(AG85)),AJ85="",AK85="",NOT(ISNUMBER(AL85)),AND(AM85&lt;&gt;"Observed",AM85&lt;&gt;"Corroborated",AM85&lt;&gt;"Declared"),OR(AN85="",AN85="Unknown"),OR(AQ85="",AQ85="Unknown"),OR(AR85="",AR85="Unknown",AR85="TBD"),OR(BC85="",NOT(ISNUMBER(BC85)))),"Evidence incomplete","Evidence recorded; review scope")))))</x:f>
      </x:c>
      <x:c r="BN85" s="73"/>
    </x:row>
    <x:row r="86" ht="34" customHeight="1">
      <x:c r="A86" s="73"/>
      <x:c r="B86" s="73"/>
      <x:c r="C86" s="73"/>
      <x:c r="D86" s="73"/>
      <x:c r="E86" s="73"/>
      <x:c r="F86" s="73"/>
      <x:c r="G86" s="73"/>
      <x:c r="H86" s="73"/>
      <x:c r="I86" s="75"/>
      <x:c r="J86" s="73"/>
      <x:c r="K86" s="73"/>
      <x:c r="L86" s="76"/>
      <x:c r="M86" s="73"/>
      <x:c r="N86" s="73"/>
      <x:c r="O86" s="73"/>
      <x:c r="P86" s="73"/>
      <x:c r="Q86" s="76"/>
      <x:c r="R86" s="73"/>
      <x:c r="S86" s="73"/>
      <x:c r="T86" s="73"/>
      <x:c r="U86" s="73"/>
      <x:c r="V86" s="73"/>
      <x:c r="W86" s="73"/>
      <x:c r="X86" s="73"/>
      <x:c r="Y86" s="73"/>
      <x:c r="Z86" s="73"/>
      <x:c r="AA86" s="73"/>
      <x:c r="AB86" s="76" t="str">
        <x:f>IF(A86="","",IF(OR(NOT(ISNUMBER(I86)),I86&lt;0,NOT(ISNUMBER(AP86)),AP86&lt;0,NOT(ISNUMBER(L86)),L86&lt;1,L86&gt;5,L86&lt;&gt;INT(L86),AND(J86&lt;&gt;"Public",J86&lt;&gt;"Partner",J86&lt;&gt;"Internal",J86&lt;&gt;"None"),AND(K86&lt;&gt;"High",K86&lt;&gt;"Medium",K86&lt;&gt;"Low",K86&lt;&gt;"None"),AND(W86&lt;&gt;"Hard-coded",W86&lt;&gt;"Configurable",W86&lt;&gt;"Policy-managed",W86&lt;&gt;"API/Library abstraction",W86&lt;&gt;"Automated"),AND(Z86&lt;&gt;"Y",Z86&lt;&gt;"N"),AND(AA86&lt;&gt;"Y",AA86&lt;&gt;"N")),"Incomplete",IF(Z86="Y",20,0)+L86*5+IF(AA86="Y",15,0)+IF(J86="Public",10,IF(J86="Partner",7,IF(J86="Internal",3,0)))+IF(W86="Hard-coded",10,IF(W86="Configurable",3,0))+IF(MAX(I86,AP86)&gt;=10,10,IF(MAX(I86,AP86)&gt;=5,7,IF(MAX(I86,AP86)&gt;=2,3,0)))+IF(K86="High",10,IF(K86="Medium",5,0))))</x:f>
      </x:c>
      <x:c r="AC86" s="73" t="str">
        <x:f>IF(A86="","",IF(NOT(ISNUMBER(AB86)),"Review inputs",IF(AB86&gt;=70,"P0 - Immediate",IF(AB86&gt;=50,"P1 - High",IF(AB86&gt;=30,"P2 - Medium",IF(AB86&gt;=15,"P3 - Low","P4 - Monitor"))))))</x:f>
      </x:c>
      <x:c r="AD86" s="73"/>
      <x:c r="AE86" s="73"/>
      <x:c r="AF86" s="73"/>
      <x:c r="AG86" s="77"/>
      <x:c r="AH86" s="73"/>
      <x:c r="AI86" s="91"/>
      <x:c r="AJ86" s="91"/>
      <x:c r="AK86" s="91"/>
      <x:c r="AL86" s="92"/>
      <x:c r="AM86" s="91"/>
      <x:c r="AN86" s="91"/>
      <x:c r="AO86" s="93"/>
      <x:c r="AP86" s="94"/>
      <x:c r="AQ86" s="91"/>
      <x:c r="AR86" s="91"/>
      <x:c r="AS86" s="91"/>
      <x:c r="AT86" s="91"/>
      <x:c r="AU86" s="91"/>
      <x:c r="AV86" s="91"/>
      <x:c r="AW86" s="91"/>
      <x:c r="AX86" s="91"/>
      <x:c r="AY86" s="91"/>
      <x:c r="AZ86" s="92"/>
      <x:c r="BA86" s="94"/>
      <x:c r="BB86" s="91"/>
      <x:c r="BC86" s="92"/>
      <x:c r="BD86" s="92"/>
      <x:c r="BE86" s="91"/>
      <x:c r="BF86" s="91"/>
      <x:c r="BG86" s="91"/>
      <x:c r="BH86" s="91"/>
      <x:c r="BI86" s="91"/>
      <x:c r="BJ86" s="91"/>
      <x:c r="BK86" s="91"/>
      <x:c r="BL86" s="91"/>
      <x:c r="BM86" s="73" t="str">
        <x:f>IF(A86="","",IF(AI86="Example","Example only",IF(AI86&lt;&gt;"Actual","Set record type",IF(COUNTIF($A$2:$A$1001,A86)&gt;1,"Duplicate record ID",IF(OR(D86="",E86="",AF86="",NOT(ISNUMBER(AG86)),AJ86="",AK86="",NOT(ISNUMBER(AL86)),AND(AM86&lt;&gt;"Observed",AM86&lt;&gt;"Corroborated",AM86&lt;&gt;"Declared"),OR(AN86="",AN86="Unknown"),OR(AQ86="",AQ86="Unknown"),OR(AR86="",AR86="Unknown",AR86="TBD"),OR(BC86="",NOT(ISNUMBER(BC86)))),"Evidence incomplete","Evidence recorded; review scope")))))</x:f>
      </x:c>
      <x:c r="BN86" s="73"/>
    </x:row>
    <x:row r="87" ht="34" customHeight="1">
      <x:c r="A87" s="73"/>
      <x:c r="B87" s="73"/>
      <x:c r="C87" s="73"/>
      <x:c r="D87" s="73"/>
      <x:c r="E87" s="73"/>
      <x:c r="F87" s="73"/>
      <x:c r="G87" s="73"/>
      <x:c r="H87" s="73"/>
      <x:c r="I87" s="75"/>
      <x:c r="J87" s="73"/>
      <x:c r="K87" s="73"/>
      <x:c r="L87" s="76"/>
      <x:c r="M87" s="73"/>
      <x:c r="N87" s="73"/>
      <x:c r="O87" s="73"/>
      <x:c r="P87" s="73"/>
      <x:c r="Q87" s="76"/>
      <x:c r="R87" s="73"/>
      <x:c r="S87" s="73"/>
      <x:c r="T87" s="73"/>
      <x:c r="U87" s="73"/>
      <x:c r="V87" s="73"/>
      <x:c r="W87" s="73"/>
      <x:c r="X87" s="73"/>
      <x:c r="Y87" s="73"/>
      <x:c r="Z87" s="73"/>
      <x:c r="AA87" s="73"/>
      <x:c r="AB87" s="76" t="str">
        <x:f>IF(A87="","",IF(OR(NOT(ISNUMBER(I87)),I87&lt;0,NOT(ISNUMBER(AP87)),AP87&lt;0,NOT(ISNUMBER(L87)),L87&lt;1,L87&gt;5,L87&lt;&gt;INT(L87),AND(J87&lt;&gt;"Public",J87&lt;&gt;"Partner",J87&lt;&gt;"Internal",J87&lt;&gt;"None"),AND(K87&lt;&gt;"High",K87&lt;&gt;"Medium",K87&lt;&gt;"Low",K87&lt;&gt;"None"),AND(W87&lt;&gt;"Hard-coded",W87&lt;&gt;"Configurable",W87&lt;&gt;"Policy-managed",W87&lt;&gt;"API/Library abstraction",W87&lt;&gt;"Automated"),AND(Z87&lt;&gt;"Y",Z87&lt;&gt;"N"),AND(AA87&lt;&gt;"Y",AA87&lt;&gt;"N")),"Incomplete",IF(Z87="Y",20,0)+L87*5+IF(AA87="Y",15,0)+IF(J87="Public",10,IF(J87="Partner",7,IF(J87="Internal",3,0)))+IF(W87="Hard-coded",10,IF(W87="Configurable",3,0))+IF(MAX(I87,AP87)&gt;=10,10,IF(MAX(I87,AP87)&gt;=5,7,IF(MAX(I87,AP87)&gt;=2,3,0)))+IF(K87="High",10,IF(K87="Medium",5,0))))</x:f>
      </x:c>
      <x:c r="AC87" s="73" t="str">
        <x:f>IF(A87="","",IF(NOT(ISNUMBER(AB87)),"Review inputs",IF(AB87&gt;=70,"P0 - Immediate",IF(AB87&gt;=50,"P1 - High",IF(AB87&gt;=30,"P2 - Medium",IF(AB87&gt;=15,"P3 - Low","P4 - Monitor"))))))</x:f>
      </x:c>
      <x:c r="AD87" s="73"/>
      <x:c r="AE87" s="73"/>
      <x:c r="AF87" s="73"/>
      <x:c r="AG87" s="77"/>
      <x:c r="AH87" s="73"/>
      <x:c r="AI87" s="91"/>
      <x:c r="AJ87" s="91"/>
      <x:c r="AK87" s="91"/>
      <x:c r="AL87" s="92"/>
      <x:c r="AM87" s="91"/>
      <x:c r="AN87" s="91"/>
      <x:c r="AO87" s="93"/>
      <x:c r="AP87" s="94"/>
      <x:c r="AQ87" s="91"/>
      <x:c r="AR87" s="91"/>
      <x:c r="AS87" s="91"/>
      <x:c r="AT87" s="91"/>
      <x:c r="AU87" s="91"/>
      <x:c r="AV87" s="91"/>
      <x:c r="AW87" s="91"/>
      <x:c r="AX87" s="91"/>
      <x:c r="AY87" s="91"/>
      <x:c r="AZ87" s="92"/>
      <x:c r="BA87" s="94"/>
      <x:c r="BB87" s="91"/>
      <x:c r="BC87" s="92"/>
      <x:c r="BD87" s="92"/>
      <x:c r="BE87" s="91"/>
      <x:c r="BF87" s="91"/>
      <x:c r="BG87" s="91"/>
      <x:c r="BH87" s="91"/>
      <x:c r="BI87" s="91"/>
      <x:c r="BJ87" s="91"/>
      <x:c r="BK87" s="91"/>
      <x:c r="BL87" s="91"/>
      <x:c r="BM87" s="73" t="str">
        <x:f>IF(A87="","",IF(AI87="Example","Example only",IF(AI87&lt;&gt;"Actual","Set record type",IF(COUNTIF($A$2:$A$1001,A87)&gt;1,"Duplicate record ID",IF(OR(D87="",E87="",AF87="",NOT(ISNUMBER(AG87)),AJ87="",AK87="",NOT(ISNUMBER(AL87)),AND(AM87&lt;&gt;"Observed",AM87&lt;&gt;"Corroborated",AM87&lt;&gt;"Declared"),OR(AN87="",AN87="Unknown"),OR(AQ87="",AQ87="Unknown"),OR(AR87="",AR87="Unknown",AR87="TBD"),OR(BC87="",NOT(ISNUMBER(BC87)))),"Evidence incomplete","Evidence recorded; review scope")))))</x:f>
      </x:c>
      <x:c r="BN87" s="73"/>
    </x:row>
    <x:row r="88" ht="34" customHeight="1">
      <x:c r="A88" s="73"/>
      <x:c r="B88" s="73"/>
      <x:c r="C88" s="73"/>
      <x:c r="D88" s="73"/>
      <x:c r="E88" s="73"/>
      <x:c r="F88" s="73"/>
      <x:c r="G88" s="73"/>
      <x:c r="H88" s="73"/>
      <x:c r="I88" s="75"/>
      <x:c r="J88" s="73"/>
      <x:c r="K88" s="73"/>
      <x:c r="L88" s="76"/>
      <x:c r="M88" s="73"/>
      <x:c r="N88" s="73"/>
      <x:c r="O88" s="73"/>
      <x:c r="P88" s="73"/>
      <x:c r="Q88" s="76"/>
      <x:c r="R88" s="73"/>
      <x:c r="S88" s="73"/>
      <x:c r="T88" s="73"/>
      <x:c r="U88" s="73"/>
      <x:c r="V88" s="73"/>
      <x:c r="W88" s="73"/>
      <x:c r="X88" s="73"/>
      <x:c r="Y88" s="73"/>
      <x:c r="Z88" s="73"/>
      <x:c r="AA88" s="73"/>
      <x:c r="AB88" s="76" t="str">
        <x:f>IF(A88="","",IF(OR(NOT(ISNUMBER(I88)),I88&lt;0,NOT(ISNUMBER(AP88)),AP88&lt;0,NOT(ISNUMBER(L88)),L88&lt;1,L88&gt;5,L88&lt;&gt;INT(L88),AND(J88&lt;&gt;"Public",J88&lt;&gt;"Partner",J88&lt;&gt;"Internal",J88&lt;&gt;"None"),AND(K88&lt;&gt;"High",K88&lt;&gt;"Medium",K88&lt;&gt;"Low",K88&lt;&gt;"None"),AND(W88&lt;&gt;"Hard-coded",W88&lt;&gt;"Configurable",W88&lt;&gt;"Policy-managed",W88&lt;&gt;"API/Library abstraction",W88&lt;&gt;"Automated"),AND(Z88&lt;&gt;"Y",Z88&lt;&gt;"N"),AND(AA88&lt;&gt;"Y",AA88&lt;&gt;"N")),"Incomplete",IF(Z88="Y",20,0)+L88*5+IF(AA88="Y",15,0)+IF(J88="Public",10,IF(J88="Partner",7,IF(J88="Internal",3,0)))+IF(W88="Hard-coded",10,IF(W88="Configurable",3,0))+IF(MAX(I88,AP88)&gt;=10,10,IF(MAX(I88,AP88)&gt;=5,7,IF(MAX(I88,AP88)&gt;=2,3,0)))+IF(K88="High",10,IF(K88="Medium",5,0))))</x:f>
      </x:c>
      <x:c r="AC88" s="73" t="str">
        <x:f>IF(A88="","",IF(NOT(ISNUMBER(AB88)),"Review inputs",IF(AB88&gt;=70,"P0 - Immediate",IF(AB88&gt;=50,"P1 - High",IF(AB88&gt;=30,"P2 - Medium",IF(AB88&gt;=15,"P3 - Low","P4 - Monitor"))))))</x:f>
      </x:c>
      <x:c r="AD88" s="73"/>
      <x:c r="AE88" s="73"/>
      <x:c r="AF88" s="73"/>
      <x:c r="AG88" s="77"/>
      <x:c r="AH88" s="73"/>
      <x:c r="AI88" s="91"/>
      <x:c r="AJ88" s="91"/>
      <x:c r="AK88" s="91"/>
      <x:c r="AL88" s="92"/>
      <x:c r="AM88" s="91"/>
      <x:c r="AN88" s="91"/>
      <x:c r="AO88" s="93"/>
      <x:c r="AP88" s="94"/>
      <x:c r="AQ88" s="91"/>
      <x:c r="AR88" s="91"/>
      <x:c r="AS88" s="91"/>
      <x:c r="AT88" s="91"/>
      <x:c r="AU88" s="91"/>
      <x:c r="AV88" s="91"/>
      <x:c r="AW88" s="91"/>
      <x:c r="AX88" s="91"/>
      <x:c r="AY88" s="91"/>
      <x:c r="AZ88" s="92"/>
      <x:c r="BA88" s="94"/>
      <x:c r="BB88" s="91"/>
      <x:c r="BC88" s="92"/>
      <x:c r="BD88" s="92"/>
      <x:c r="BE88" s="91"/>
      <x:c r="BF88" s="91"/>
      <x:c r="BG88" s="91"/>
      <x:c r="BH88" s="91"/>
      <x:c r="BI88" s="91"/>
      <x:c r="BJ88" s="91"/>
      <x:c r="BK88" s="91"/>
      <x:c r="BL88" s="91"/>
      <x:c r="BM88" s="73" t="str">
        <x:f>IF(A88="","",IF(AI88="Example","Example only",IF(AI88&lt;&gt;"Actual","Set record type",IF(COUNTIF($A$2:$A$1001,A88)&gt;1,"Duplicate record ID",IF(OR(D88="",E88="",AF88="",NOT(ISNUMBER(AG88)),AJ88="",AK88="",NOT(ISNUMBER(AL88)),AND(AM88&lt;&gt;"Observed",AM88&lt;&gt;"Corroborated",AM88&lt;&gt;"Declared"),OR(AN88="",AN88="Unknown"),OR(AQ88="",AQ88="Unknown"),OR(AR88="",AR88="Unknown",AR88="TBD"),OR(BC88="",NOT(ISNUMBER(BC88)))),"Evidence incomplete","Evidence recorded; review scope")))))</x:f>
      </x:c>
      <x:c r="BN88" s="73"/>
    </x:row>
    <x:row r="89" ht="34" customHeight="1">
      <x:c r="A89" s="73"/>
      <x:c r="B89" s="73"/>
      <x:c r="C89" s="73"/>
      <x:c r="D89" s="73"/>
      <x:c r="E89" s="73"/>
      <x:c r="F89" s="73"/>
      <x:c r="G89" s="73"/>
      <x:c r="H89" s="73"/>
      <x:c r="I89" s="75"/>
      <x:c r="J89" s="73"/>
      <x:c r="K89" s="73"/>
      <x:c r="L89" s="76"/>
      <x:c r="M89" s="73"/>
      <x:c r="N89" s="73"/>
      <x:c r="O89" s="73"/>
      <x:c r="P89" s="73"/>
      <x:c r="Q89" s="76"/>
      <x:c r="R89" s="73"/>
      <x:c r="S89" s="73"/>
      <x:c r="T89" s="73"/>
      <x:c r="U89" s="73"/>
      <x:c r="V89" s="73"/>
      <x:c r="W89" s="73"/>
      <x:c r="X89" s="73"/>
      <x:c r="Y89" s="73"/>
      <x:c r="Z89" s="73"/>
      <x:c r="AA89" s="73"/>
      <x:c r="AB89" s="76" t="str">
        <x:f>IF(A89="","",IF(OR(NOT(ISNUMBER(I89)),I89&lt;0,NOT(ISNUMBER(AP89)),AP89&lt;0,NOT(ISNUMBER(L89)),L89&lt;1,L89&gt;5,L89&lt;&gt;INT(L89),AND(J89&lt;&gt;"Public",J89&lt;&gt;"Partner",J89&lt;&gt;"Internal",J89&lt;&gt;"None"),AND(K89&lt;&gt;"High",K89&lt;&gt;"Medium",K89&lt;&gt;"Low",K89&lt;&gt;"None"),AND(W89&lt;&gt;"Hard-coded",W89&lt;&gt;"Configurable",W89&lt;&gt;"Policy-managed",W89&lt;&gt;"API/Library abstraction",W89&lt;&gt;"Automated"),AND(Z89&lt;&gt;"Y",Z89&lt;&gt;"N"),AND(AA89&lt;&gt;"Y",AA89&lt;&gt;"N")),"Incomplete",IF(Z89="Y",20,0)+L89*5+IF(AA89="Y",15,0)+IF(J89="Public",10,IF(J89="Partner",7,IF(J89="Internal",3,0)))+IF(W89="Hard-coded",10,IF(W89="Configurable",3,0))+IF(MAX(I89,AP89)&gt;=10,10,IF(MAX(I89,AP89)&gt;=5,7,IF(MAX(I89,AP89)&gt;=2,3,0)))+IF(K89="High",10,IF(K89="Medium",5,0))))</x:f>
      </x:c>
      <x:c r="AC89" s="73" t="str">
        <x:f>IF(A89="","",IF(NOT(ISNUMBER(AB89)),"Review inputs",IF(AB89&gt;=70,"P0 - Immediate",IF(AB89&gt;=50,"P1 - High",IF(AB89&gt;=30,"P2 - Medium",IF(AB89&gt;=15,"P3 - Low","P4 - Monitor"))))))</x:f>
      </x:c>
      <x:c r="AD89" s="73"/>
      <x:c r="AE89" s="73"/>
      <x:c r="AF89" s="73"/>
      <x:c r="AG89" s="77"/>
      <x:c r="AH89" s="73"/>
      <x:c r="AI89" s="91"/>
      <x:c r="AJ89" s="91"/>
      <x:c r="AK89" s="91"/>
      <x:c r="AL89" s="92"/>
      <x:c r="AM89" s="91"/>
      <x:c r="AN89" s="91"/>
      <x:c r="AO89" s="93"/>
      <x:c r="AP89" s="94"/>
      <x:c r="AQ89" s="91"/>
      <x:c r="AR89" s="91"/>
      <x:c r="AS89" s="91"/>
      <x:c r="AT89" s="91"/>
      <x:c r="AU89" s="91"/>
      <x:c r="AV89" s="91"/>
      <x:c r="AW89" s="91"/>
      <x:c r="AX89" s="91"/>
      <x:c r="AY89" s="91"/>
      <x:c r="AZ89" s="92"/>
      <x:c r="BA89" s="94"/>
      <x:c r="BB89" s="91"/>
      <x:c r="BC89" s="92"/>
      <x:c r="BD89" s="92"/>
      <x:c r="BE89" s="91"/>
      <x:c r="BF89" s="91"/>
      <x:c r="BG89" s="91"/>
      <x:c r="BH89" s="91"/>
      <x:c r="BI89" s="91"/>
      <x:c r="BJ89" s="91"/>
      <x:c r="BK89" s="91"/>
      <x:c r="BL89" s="91"/>
      <x:c r="BM89" s="73" t="str">
        <x:f>IF(A89="","",IF(AI89="Example","Example only",IF(AI89&lt;&gt;"Actual","Set record type",IF(COUNTIF($A$2:$A$1001,A89)&gt;1,"Duplicate record ID",IF(OR(D89="",E89="",AF89="",NOT(ISNUMBER(AG89)),AJ89="",AK89="",NOT(ISNUMBER(AL89)),AND(AM89&lt;&gt;"Observed",AM89&lt;&gt;"Corroborated",AM89&lt;&gt;"Declared"),OR(AN89="",AN89="Unknown"),OR(AQ89="",AQ89="Unknown"),OR(AR89="",AR89="Unknown",AR89="TBD"),OR(BC89="",NOT(ISNUMBER(BC89)))),"Evidence incomplete","Evidence recorded; review scope")))))</x:f>
      </x:c>
      <x:c r="BN89" s="73"/>
    </x:row>
    <x:row r="90" ht="34" customHeight="1">
      <x:c r="A90" s="73"/>
      <x:c r="B90" s="73"/>
      <x:c r="C90" s="73"/>
      <x:c r="D90" s="73"/>
      <x:c r="E90" s="73"/>
      <x:c r="F90" s="73"/>
      <x:c r="G90" s="73"/>
      <x:c r="H90" s="73"/>
      <x:c r="I90" s="75"/>
      <x:c r="J90" s="73"/>
      <x:c r="K90" s="73"/>
      <x:c r="L90" s="76"/>
      <x:c r="M90" s="73"/>
      <x:c r="N90" s="73"/>
      <x:c r="O90" s="73"/>
      <x:c r="P90" s="73"/>
      <x:c r="Q90" s="76"/>
      <x:c r="R90" s="73"/>
      <x:c r="S90" s="73"/>
      <x:c r="T90" s="73"/>
      <x:c r="U90" s="73"/>
      <x:c r="V90" s="73"/>
      <x:c r="W90" s="73"/>
      <x:c r="X90" s="73"/>
      <x:c r="Y90" s="73"/>
      <x:c r="Z90" s="73"/>
      <x:c r="AA90" s="73"/>
      <x:c r="AB90" s="76" t="str">
        <x:f>IF(A90="","",IF(OR(NOT(ISNUMBER(I90)),I90&lt;0,NOT(ISNUMBER(AP90)),AP90&lt;0,NOT(ISNUMBER(L90)),L90&lt;1,L90&gt;5,L90&lt;&gt;INT(L90),AND(J90&lt;&gt;"Public",J90&lt;&gt;"Partner",J90&lt;&gt;"Internal",J90&lt;&gt;"None"),AND(K90&lt;&gt;"High",K90&lt;&gt;"Medium",K90&lt;&gt;"Low",K90&lt;&gt;"None"),AND(W90&lt;&gt;"Hard-coded",W90&lt;&gt;"Configurable",W90&lt;&gt;"Policy-managed",W90&lt;&gt;"API/Library abstraction",W90&lt;&gt;"Automated"),AND(Z90&lt;&gt;"Y",Z90&lt;&gt;"N"),AND(AA90&lt;&gt;"Y",AA90&lt;&gt;"N")),"Incomplete",IF(Z90="Y",20,0)+L90*5+IF(AA90="Y",15,0)+IF(J90="Public",10,IF(J90="Partner",7,IF(J90="Internal",3,0)))+IF(W90="Hard-coded",10,IF(W90="Configurable",3,0))+IF(MAX(I90,AP90)&gt;=10,10,IF(MAX(I90,AP90)&gt;=5,7,IF(MAX(I90,AP90)&gt;=2,3,0)))+IF(K90="High",10,IF(K90="Medium",5,0))))</x:f>
      </x:c>
      <x:c r="AC90" s="73" t="str">
        <x:f>IF(A90="","",IF(NOT(ISNUMBER(AB90)),"Review inputs",IF(AB90&gt;=70,"P0 - Immediate",IF(AB90&gt;=50,"P1 - High",IF(AB90&gt;=30,"P2 - Medium",IF(AB90&gt;=15,"P3 - Low","P4 - Monitor"))))))</x:f>
      </x:c>
      <x:c r="AD90" s="73"/>
      <x:c r="AE90" s="73"/>
      <x:c r="AF90" s="73"/>
      <x:c r="AG90" s="77"/>
      <x:c r="AH90" s="73"/>
      <x:c r="AI90" s="91"/>
      <x:c r="AJ90" s="91"/>
      <x:c r="AK90" s="91"/>
      <x:c r="AL90" s="92"/>
      <x:c r="AM90" s="91"/>
      <x:c r="AN90" s="91"/>
      <x:c r="AO90" s="93"/>
      <x:c r="AP90" s="94"/>
      <x:c r="AQ90" s="91"/>
      <x:c r="AR90" s="91"/>
      <x:c r="AS90" s="91"/>
      <x:c r="AT90" s="91"/>
      <x:c r="AU90" s="91"/>
      <x:c r="AV90" s="91"/>
      <x:c r="AW90" s="91"/>
      <x:c r="AX90" s="91"/>
      <x:c r="AY90" s="91"/>
      <x:c r="AZ90" s="92"/>
      <x:c r="BA90" s="94"/>
      <x:c r="BB90" s="91"/>
      <x:c r="BC90" s="92"/>
      <x:c r="BD90" s="92"/>
      <x:c r="BE90" s="91"/>
      <x:c r="BF90" s="91"/>
      <x:c r="BG90" s="91"/>
      <x:c r="BH90" s="91"/>
      <x:c r="BI90" s="91"/>
      <x:c r="BJ90" s="91"/>
      <x:c r="BK90" s="91"/>
      <x:c r="BL90" s="91"/>
      <x:c r="BM90" s="73" t="str">
        <x:f>IF(A90="","",IF(AI90="Example","Example only",IF(AI90&lt;&gt;"Actual","Set record type",IF(COUNTIF($A$2:$A$1001,A90)&gt;1,"Duplicate record ID",IF(OR(D90="",E90="",AF90="",NOT(ISNUMBER(AG90)),AJ90="",AK90="",NOT(ISNUMBER(AL90)),AND(AM90&lt;&gt;"Observed",AM90&lt;&gt;"Corroborated",AM90&lt;&gt;"Declared"),OR(AN90="",AN90="Unknown"),OR(AQ90="",AQ90="Unknown"),OR(AR90="",AR90="Unknown",AR90="TBD"),OR(BC90="",NOT(ISNUMBER(BC90)))),"Evidence incomplete","Evidence recorded; review scope")))))</x:f>
      </x:c>
      <x:c r="BN90" s="73"/>
    </x:row>
    <x:row r="91" ht="34" customHeight="1">
      <x:c r="A91" s="73"/>
      <x:c r="B91" s="73"/>
      <x:c r="C91" s="73"/>
      <x:c r="D91" s="73"/>
      <x:c r="E91" s="73"/>
      <x:c r="F91" s="73"/>
      <x:c r="G91" s="73"/>
      <x:c r="H91" s="73"/>
      <x:c r="I91" s="75"/>
      <x:c r="J91" s="73"/>
      <x:c r="K91" s="73"/>
      <x:c r="L91" s="76"/>
      <x:c r="M91" s="73"/>
      <x:c r="N91" s="73"/>
      <x:c r="O91" s="73"/>
      <x:c r="P91" s="73"/>
      <x:c r="Q91" s="76"/>
      <x:c r="R91" s="73"/>
      <x:c r="S91" s="73"/>
      <x:c r="T91" s="73"/>
      <x:c r="U91" s="73"/>
      <x:c r="V91" s="73"/>
      <x:c r="W91" s="73"/>
      <x:c r="X91" s="73"/>
      <x:c r="Y91" s="73"/>
      <x:c r="Z91" s="73"/>
      <x:c r="AA91" s="73"/>
      <x:c r="AB91" s="76" t="str">
        <x:f>IF(A91="","",IF(OR(NOT(ISNUMBER(I91)),I91&lt;0,NOT(ISNUMBER(AP91)),AP91&lt;0,NOT(ISNUMBER(L91)),L91&lt;1,L91&gt;5,L91&lt;&gt;INT(L91),AND(J91&lt;&gt;"Public",J91&lt;&gt;"Partner",J91&lt;&gt;"Internal",J91&lt;&gt;"None"),AND(K91&lt;&gt;"High",K91&lt;&gt;"Medium",K91&lt;&gt;"Low",K91&lt;&gt;"None"),AND(W91&lt;&gt;"Hard-coded",W91&lt;&gt;"Configurable",W91&lt;&gt;"Policy-managed",W91&lt;&gt;"API/Library abstraction",W91&lt;&gt;"Automated"),AND(Z91&lt;&gt;"Y",Z91&lt;&gt;"N"),AND(AA91&lt;&gt;"Y",AA91&lt;&gt;"N")),"Incomplete",IF(Z91="Y",20,0)+L91*5+IF(AA91="Y",15,0)+IF(J91="Public",10,IF(J91="Partner",7,IF(J91="Internal",3,0)))+IF(W91="Hard-coded",10,IF(W91="Configurable",3,0))+IF(MAX(I91,AP91)&gt;=10,10,IF(MAX(I91,AP91)&gt;=5,7,IF(MAX(I91,AP91)&gt;=2,3,0)))+IF(K91="High",10,IF(K91="Medium",5,0))))</x:f>
      </x:c>
      <x:c r="AC91" s="73" t="str">
        <x:f>IF(A91="","",IF(NOT(ISNUMBER(AB91)),"Review inputs",IF(AB91&gt;=70,"P0 - Immediate",IF(AB91&gt;=50,"P1 - High",IF(AB91&gt;=30,"P2 - Medium",IF(AB91&gt;=15,"P3 - Low","P4 - Monitor"))))))</x:f>
      </x:c>
      <x:c r="AD91" s="73"/>
      <x:c r="AE91" s="73"/>
      <x:c r="AF91" s="73"/>
      <x:c r="AG91" s="77"/>
      <x:c r="AH91" s="73"/>
      <x:c r="AI91" s="91"/>
      <x:c r="AJ91" s="91"/>
      <x:c r="AK91" s="91"/>
      <x:c r="AL91" s="92"/>
      <x:c r="AM91" s="91"/>
      <x:c r="AN91" s="91"/>
      <x:c r="AO91" s="93"/>
      <x:c r="AP91" s="94"/>
      <x:c r="AQ91" s="91"/>
      <x:c r="AR91" s="91"/>
      <x:c r="AS91" s="91"/>
      <x:c r="AT91" s="91"/>
      <x:c r="AU91" s="91"/>
      <x:c r="AV91" s="91"/>
      <x:c r="AW91" s="91"/>
      <x:c r="AX91" s="91"/>
      <x:c r="AY91" s="91"/>
      <x:c r="AZ91" s="92"/>
      <x:c r="BA91" s="94"/>
      <x:c r="BB91" s="91"/>
      <x:c r="BC91" s="92"/>
      <x:c r="BD91" s="92"/>
      <x:c r="BE91" s="91"/>
      <x:c r="BF91" s="91"/>
      <x:c r="BG91" s="91"/>
      <x:c r="BH91" s="91"/>
      <x:c r="BI91" s="91"/>
      <x:c r="BJ91" s="91"/>
      <x:c r="BK91" s="91"/>
      <x:c r="BL91" s="91"/>
      <x:c r="BM91" s="73" t="str">
        <x:f>IF(A91="","",IF(AI91="Example","Example only",IF(AI91&lt;&gt;"Actual","Set record type",IF(COUNTIF($A$2:$A$1001,A91)&gt;1,"Duplicate record ID",IF(OR(D91="",E91="",AF91="",NOT(ISNUMBER(AG91)),AJ91="",AK91="",NOT(ISNUMBER(AL91)),AND(AM91&lt;&gt;"Observed",AM91&lt;&gt;"Corroborated",AM91&lt;&gt;"Declared"),OR(AN91="",AN91="Unknown"),OR(AQ91="",AQ91="Unknown"),OR(AR91="",AR91="Unknown",AR91="TBD"),OR(BC91="",NOT(ISNUMBER(BC91)))),"Evidence incomplete","Evidence recorded; review scope")))))</x:f>
      </x:c>
      <x:c r="BN91" s="73"/>
    </x:row>
    <x:row r="92" ht="34" customHeight="1">
      <x:c r="A92" s="73"/>
      <x:c r="B92" s="73"/>
      <x:c r="C92" s="73"/>
      <x:c r="D92" s="73"/>
      <x:c r="E92" s="73"/>
      <x:c r="F92" s="73"/>
      <x:c r="G92" s="73"/>
      <x:c r="H92" s="73"/>
      <x:c r="I92" s="75"/>
      <x:c r="J92" s="73"/>
      <x:c r="K92" s="73"/>
      <x:c r="L92" s="76"/>
      <x:c r="M92" s="73"/>
      <x:c r="N92" s="73"/>
      <x:c r="O92" s="73"/>
      <x:c r="P92" s="73"/>
      <x:c r="Q92" s="76"/>
      <x:c r="R92" s="73"/>
      <x:c r="S92" s="73"/>
      <x:c r="T92" s="73"/>
      <x:c r="U92" s="73"/>
      <x:c r="V92" s="73"/>
      <x:c r="W92" s="73"/>
      <x:c r="X92" s="73"/>
      <x:c r="Y92" s="73"/>
      <x:c r="Z92" s="73"/>
      <x:c r="AA92" s="73"/>
      <x:c r="AB92" s="76" t="str">
        <x:f>IF(A92="","",IF(OR(NOT(ISNUMBER(I92)),I92&lt;0,NOT(ISNUMBER(AP92)),AP92&lt;0,NOT(ISNUMBER(L92)),L92&lt;1,L92&gt;5,L92&lt;&gt;INT(L92),AND(J92&lt;&gt;"Public",J92&lt;&gt;"Partner",J92&lt;&gt;"Internal",J92&lt;&gt;"None"),AND(K92&lt;&gt;"High",K92&lt;&gt;"Medium",K92&lt;&gt;"Low",K92&lt;&gt;"None"),AND(W92&lt;&gt;"Hard-coded",W92&lt;&gt;"Configurable",W92&lt;&gt;"Policy-managed",W92&lt;&gt;"API/Library abstraction",W92&lt;&gt;"Automated"),AND(Z92&lt;&gt;"Y",Z92&lt;&gt;"N"),AND(AA92&lt;&gt;"Y",AA92&lt;&gt;"N")),"Incomplete",IF(Z92="Y",20,0)+L92*5+IF(AA92="Y",15,0)+IF(J92="Public",10,IF(J92="Partner",7,IF(J92="Internal",3,0)))+IF(W92="Hard-coded",10,IF(W92="Configurable",3,0))+IF(MAX(I92,AP92)&gt;=10,10,IF(MAX(I92,AP92)&gt;=5,7,IF(MAX(I92,AP92)&gt;=2,3,0)))+IF(K92="High",10,IF(K92="Medium",5,0))))</x:f>
      </x:c>
      <x:c r="AC92" s="73" t="str">
        <x:f>IF(A92="","",IF(NOT(ISNUMBER(AB92)),"Review inputs",IF(AB92&gt;=70,"P0 - Immediate",IF(AB92&gt;=50,"P1 - High",IF(AB92&gt;=30,"P2 - Medium",IF(AB92&gt;=15,"P3 - Low","P4 - Monitor"))))))</x:f>
      </x:c>
      <x:c r="AD92" s="73"/>
      <x:c r="AE92" s="73"/>
      <x:c r="AF92" s="73"/>
      <x:c r="AG92" s="77"/>
      <x:c r="AH92" s="73"/>
      <x:c r="AI92" s="91"/>
      <x:c r="AJ92" s="91"/>
      <x:c r="AK92" s="91"/>
      <x:c r="AL92" s="92"/>
      <x:c r="AM92" s="91"/>
      <x:c r="AN92" s="91"/>
      <x:c r="AO92" s="93"/>
      <x:c r="AP92" s="94"/>
      <x:c r="AQ92" s="91"/>
      <x:c r="AR92" s="91"/>
      <x:c r="AS92" s="91"/>
      <x:c r="AT92" s="91"/>
      <x:c r="AU92" s="91"/>
      <x:c r="AV92" s="91"/>
      <x:c r="AW92" s="91"/>
      <x:c r="AX92" s="91"/>
      <x:c r="AY92" s="91"/>
      <x:c r="AZ92" s="92"/>
      <x:c r="BA92" s="94"/>
      <x:c r="BB92" s="91"/>
      <x:c r="BC92" s="92"/>
      <x:c r="BD92" s="92"/>
      <x:c r="BE92" s="91"/>
      <x:c r="BF92" s="91"/>
      <x:c r="BG92" s="91"/>
      <x:c r="BH92" s="91"/>
      <x:c r="BI92" s="91"/>
      <x:c r="BJ92" s="91"/>
      <x:c r="BK92" s="91"/>
      <x:c r="BL92" s="91"/>
      <x:c r="BM92" s="73" t="str">
        <x:f>IF(A92="","",IF(AI92="Example","Example only",IF(AI92&lt;&gt;"Actual","Set record type",IF(COUNTIF($A$2:$A$1001,A92)&gt;1,"Duplicate record ID",IF(OR(D92="",E92="",AF92="",NOT(ISNUMBER(AG92)),AJ92="",AK92="",NOT(ISNUMBER(AL92)),AND(AM92&lt;&gt;"Observed",AM92&lt;&gt;"Corroborated",AM92&lt;&gt;"Declared"),OR(AN92="",AN92="Unknown"),OR(AQ92="",AQ92="Unknown"),OR(AR92="",AR92="Unknown",AR92="TBD"),OR(BC92="",NOT(ISNUMBER(BC92)))),"Evidence incomplete","Evidence recorded; review scope")))))</x:f>
      </x:c>
      <x:c r="BN92" s="73"/>
    </x:row>
    <x:row r="93" ht="34" customHeight="1">
      <x:c r="A93" s="73"/>
      <x:c r="B93" s="73"/>
      <x:c r="C93" s="73"/>
      <x:c r="D93" s="73"/>
      <x:c r="E93" s="73"/>
      <x:c r="F93" s="73"/>
      <x:c r="G93" s="73"/>
      <x:c r="H93" s="73"/>
      <x:c r="I93" s="75"/>
      <x:c r="J93" s="73"/>
      <x:c r="K93" s="73"/>
      <x:c r="L93" s="76"/>
      <x:c r="M93" s="73"/>
      <x:c r="N93" s="73"/>
      <x:c r="O93" s="73"/>
      <x:c r="P93" s="73"/>
      <x:c r="Q93" s="76"/>
      <x:c r="R93" s="73"/>
      <x:c r="S93" s="73"/>
      <x:c r="T93" s="73"/>
      <x:c r="U93" s="73"/>
      <x:c r="V93" s="73"/>
      <x:c r="W93" s="73"/>
      <x:c r="X93" s="73"/>
      <x:c r="Y93" s="73"/>
      <x:c r="Z93" s="73"/>
      <x:c r="AA93" s="73"/>
      <x:c r="AB93" s="76" t="str">
        <x:f>IF(A93="","",IF(OR(NOT(ISNUMBER(I93)),I93&lt;0,NOT(ISNUMBER(AP93)),AP93&lt;0,NOT(ISNUMBER(L93)),L93&lt;1,L93&gt;5,L93&lt;&gt;INT(L93),AND(J93&lt;&gt;"Public",J93&lt;&gt;"Partner",J93&lt;&gt;"Internal",J93&lt;&gt;"None"),AND(K93&lt;&gt;"High",K93&lt;&gt;"Medium",K93&lt;&gt;"Low",K93&lt;&gt;"None"),AND(W93&lt;&gt;"Hard-coded",W93&lt;&gt;"Configurable",W93&lt;&gt;"Policy-managed",W93&lt;&gt;"API/Library abstraction",W93&lt;&gt;"Automated"),AND(Z93&lt;&gt;"Y",Z93&lt;&gt;"N"),AND(AA93&lt;&gt;"Y",AA93&lt;&gt;"N")),"Incomplete",IF(Z93="Y",20,0)+L93*5+IF(AA93="Y",15,0)+IF(J93="Public",10,IF(J93="Partner",7,IF(J93="Internal",3,0)))+IF(W93="Hard-coded",10,IF(W93="Configurable",3,0))+IF(MAX(I93,AP93)&gt;=10,10,IF(MAX(I93,AP93)&gt;=5,7,IF(MAX(I93,AP93)&gt;=2,3,0)))+IF(K93="High",10,IF(K93="Medium",5,0))))</x:f>
      </x:c>
      <x:c r="AC93" s="73" t="str">
        <x:f>IF(A93="","",IF(NOT(ISNUMBER(AB93)),"Review inputs",IF(AB93&gt;=70,"P0 - Immediate",IF(AB93&gt;=50,"P1 - High",IF(AB93&gt;=30,"P2 - Medium",IF(AB93&gt;=15,"P3 - Low","P4 - Monitor"))))))</x:f>
      </x:c>
      <x:c r="AD93" s="73"/>
      <x:c r="AE93" s="73"/>
      <x:c r="AF93" s="73"/>
      <x:c r="AG93" s="77"/>
      <x:c r="AH93" s="73"/>
      <x:c r="AI93" s="91"/>
      <x:c r="AJ93" s="91"/>
      <x:c r="AK93" s="91"/>
      <x:c r="AL93" s="92"/>
      <x:c r="AM93" s="91"/>
      <x:c r="AN93" s="91"/>
      <x:c r="AO93" s="93"/>
      <x:c r="AP93" s="94"/>
      <x:c r="AQ93" s="91"/>
      <x:c r="AR93" s="91"/>
      <x:c r="AS93" s="91"/>
      <x:c r="AT93" s="91"/>
      <x:c r="AU93" s="91"/>
      <x:c r="AV93" s="91"/>
      <x:c r="AW93" s="91"/>
      <x:c r="AX93" s="91"/>
      <x:c r="AY93" s="91"/>
      <x:c r="AZ93" s="92"/>
      <x:c r="BA93" s="94"/>
      <x:c r="BB93" s="91"/>
      <x:c r="BC93" s="92"/>
      <x:c r="BD93" s="92"/>
      <x:c r="BE93" s="91"/>
      <x:c r="BF93" s="91"/>
      <x:c r="BG93" s="91"/>
      <x:c r="BH93" s="91"/>
      <x:c r="BI93" s="91"/>
      <x:c r="BJ93" s="91"/>
      <x:c r="BK93" s="91"/>
      <x:c r="BL93" s="91"/>
      <x:c r="BM93" s="73" t="str">
        <x:f>IF(A93="","",IF(AI93="Example","Example only",IF(AI93&lt;&gt;"Actual","Set record type",IF(COUNTIF($A$2:$A$1001,A93)&gt;1,"Duplicate record ID",IF(OR(D93="",E93="",AF93="",NOT(ISNUMBER(AG93)),AJ93="",AK93="",NOT(ISNUMBER(AL93)),AND(AM93&lt;&gt;"Observed",AM93&lt;&gt;"Corroborated",AM93&lt;&gt;"Declared"),OR(AN93="",AN93="Unknown"),OR(AQ93="",AQ93="Unknown"),OR(AR93="",AR93="Unknown",AR93="TBD"),OR(BC93="",NOT(ISNUMBER(BC93)))),"Evidence incomplete","Evidence recorded; review scope")))))</x:f>
      </x:c>
      <x:c r="BN93" s="73"/>
    </x:row>
    <x:row r="94" ht="34" customHeight="1">
      <x:c r="A94" s="73"/>
      <x:c r="B94" s="73"/>
      <x:c r="C94" s="73"/>
      <x:c r="D94" s="73"/>
      <x:c r="E94" s="73"/>
      <x:c r="F94" s="73"/>
      <x:c r="G94" s="73"/>
      <x:c r="H94" s="73"/>
      <x:c r="I94" s="75"/>
      <x:c r="J94" s="73"/>
      <x:c r="K94" s="73"/>
      <x:c r="L94" s="76"/>
      <x:c r="M94" s="73"/>
      <x:c r="N94" s="73"/>
      <x:c r="O94" s="73"/>
      <x:c r="P94" s="73"/>
      <x:c r="Q94" s="76"/>
      <x:c r="R94" s="73"/>
      <x:c r="S94" s="73"/>
      <x:c r="T94" s="73"/>
      <x:c r="U94" s="73"/>
      <x:c r="V94" s="73"/>
      <x:c r="W94" s="73"/>
      <x:c r="X94" s="73"/>
      <x:c r="Y94" s="73"/>
      <x:c r="Z94" s="73"/>
      <x:c r="AA94" s="73"/>
      <x:c r="AB94" s="76" t="str">
        <x:f>IF(A94="","",IF(OR(NOT(ISNUMBER(I94)),I94&lt;0,NOT(ISNUMBER(AP94)),AP94&lt;0,NOT(ISNUMBER(L94)),L94&lt;1,L94&gt;5,L94&lt;&gt;INT(L94),AND(J94&lt;&gt;"Public",J94&lt;&gt;"Partner",J94&lt;&gt;"Internal",J94&lt;&gt;"None"),AND(K94&lt;&gt;"High",K94&lt;&gt;"Medium",K94&lt;&gt;"Low",K94&lt;&gt;"None"),AND(W94&lt;&gt;"Hard-coded",W94&lt;&gt;"Configurable",W94&lt;&gt;"Policy-managed",W94&lt;&gt;"API/Library abstraction",W94&lt;&gt;"Automated"),AND(Z94&lt;&gt;"Y",Z94&lt;&gt;"N"),AND(AA94&lt;&gt;"Y",AA94&lt;&gt;"N")),"Incomplete",IF(Z94="Y",20,0)+L94*5+IF(AA94="Y",15,0)+IF(J94="Public",10,IF(J94="Partner",7,IF(J94="Internal",3,0)))+IF(W94="Hard-coded",10,IF(W94="Configurable",3,0))+IF(MAX(I94,AP94)&gt;=10,10,IF(MAX(I94,AP94)&gt;=5,7,IF(MAX(I94,AP94)&gt;=2,3,0)))+IF(K94="High",10,IF(K94="Medium",5,0))))</x:f>
      </x:c>
      <x:c r="AC94" s="73" t="str">
        <x:f>IF(A94="","",IF(NOT(ISNUMBER(AB94)),"Review inputs",IF(AB94&gt;=70,"P0 - Immediate",IF(AB94&gt;=50,"P1 - High",IF(AB94&gt;=30,"P2 - Medium",IF(AB94&gt;=15,"P3 - Low","P4 - Monitor"))))))</x:f>
      </x:c>
      <x:c r="AD94" s="73"/>
      <x:c r="AE94" s="73"/>
      <x:c r="AF94" s="73"/>
      <x:c r="AG94" s="77"/>
      <x:c r="AH94" s="73"/>
      <x:c r="AI94" s="91"/>
      <x:c r="AJ94" s="91"/>
      <x:c r="AK94" s="91"/>
      <x:c r="AL94" s="92"/>
      <x:c r="AM94" s="91"/>
      <x:c r="AN94" s="91"/>
      <x:c r="AO94" s="93"/>
      <x:c r="AP94" s="94"/>
      <x:c r="AQ94" s="91"/>
      <x:c r="AR94" s="91"/>
      <x:c r="AS94" s="91"/>
      <x:c r="AT94" s="91"/>
      <x:c r="AU94" s="91"/>
      <x:c r="AV94" s="91"/>
      <x:c r="AW94" s="91"/>
      <x:c r="AX94" s="91"/>
      <x:c r="AY94" s="91"/>
      <x:c r="AZ94" s="92"/>
      <x:c r="BA94" s="94"/>
      <x:c r="BB94" s="91"/>
      <x:c r="BC94" s="92"/>
      <x:c r="BD94" s="92"/>
      <x:c r="BE94" s="91"/>
      <x:c r="BF94" s="91"/>
      <x:c r="BG94" s="91"/>
      <x:c r="BH94" s="91"/>
      <x:c r="BI94" s="91"/>
      <x:c r="BJ94" s="91"/>
      <x:c r="BK94" s="91"/>
      <x:c r="BL94" s="91"/>
      <x:c r="BM94" s="73" t="str">
        <x:f>IF(A94="","",IF(AI94="Example","Example only",IF(AI94&lt;&gt;"Actual","Set record type",IF(COUNTIF($A$2:$A$1001,A94)&gt;1,"Duplicate record ID",IF(OR(D94="",E94="",AF94="",NOT(ISNUMBER(AG94)),AJ94="",AK94="",NOT(ISNUMBER(AL94)),AND(AM94&lt;&gt;"Observed",AM94&lt;&gt;"Corroborated",AM94&lt;&gt;"Declared"),OR(AN94="",AN94="Unknown"),OR(AQ94="",AQ94="Unknown"),OR(AR94="",AR94="Unknown",AR94="TBD"),OR(BC94="",NOT(ISNUMBER(BC94)))),"Evidence incomplete","Evidence recorded; review scope")))))</x:f>
      </x:c>
      <x:c r="BN94" s="73"/>
    </x:row>
    <x:row r="95" ht="34" customHeight="1">
      <x:c r="A95" s="73"/>
      <x:c r="B95" s="73"/>
      <x:c r="C95" s="73"/>
      <x:c r="D95" s="73"/>
      <x:c r="E95" s="73"/>
      <x:c r="F95" s="73"/>
      <x:c r="G95" s="73"/>
      <x:c r="H95" s="73"/>
      <x:c r="I95" s="75"/>
      <x:c r="J95" s="73"/>
      <x:c r="K95" s="73"/>
      <x:c r="L95" s="76"/>
      <x:c r="M95" s="73"/>
      <x:c r="N95" s="73"/>
      <x:c r="O95" s="73"/>
      <x:c r="P95" s="73"/>
      <x:c r="Q95" s="76"/>
      <x:c r="R95" s="73"/>
      <x:c r="S95" s="73"/>
      <x:c r="T95" s="73"/>
      <x:c r="U95" s="73"/>
      <x:c r="V95" s="73"/>
      <x:c r="W95" s="73"/>
      <x:c r="X95" s="73"/>
      <x:c r="Y95" s="73"/>
      <x:c r="Z95" s="73"/>
      <x:c r="AA95" s="73"/>
      <x:c r="AB95" s="76" t="str">
        <x:f>IF(A95="","",IF(OR(NOT(ISNUMBER(I95)),I95&lt;0,NOT(ISNUMBER(AP95)),AP95&lt;0,NOT(ISNUMBER(L95)),L95&lt;1,L95&gt;5,L95&lt;&gt;INT(L95),AND(J95&lt;&gt;"Public",J95&lt;&gt;"Partner",J95&lt;&gt;"Internal",J95&lt;&gt;"None"),AND(K95&lt;&gt;"High",K95&lt;&gt;"Medium",K95&lt;&gt;"Low",K95&lt;&gt;"None"),AND(W95&lt;&gt;"Hard-coded",W95&lt;&gt;"Configurable",W95&lt;&gt;"Policy-managed",W95&lt;&gt;"API/Library abstraction",W95&lt;&gt;"Automated"),AND(Z95&lt;&gt;"Y",Z95&lt;&gt;"N"),AND(AA95&lt;&gt;"Y",AA95&lt;&gt;"N")),"Incomplete",IF(Z95="Y",20,0)+L95*5+IF(AA95="Y",15,0)+IF(J95="Public",10,IF(J95="Partner",7,IF(J95="Internal",3,0)))+IF(W95="Hard-coded",10,IF(W95="Configurable",3,0))+IF(MAX(I95,AP95)&gt;=10,10,IF(MAX(I95,AP95)&gt;=5,7,IF(MAX(I95,AP95)&gt;=2,3,0)))+IF(K95="High",10,IF(K95="Medium",5,0))))</x:f>
      </x:c>
      <x:c r="AC95" s="73" t="str">
        <x:f>IF(A95="","",IF(NOT(ISNUMBER(AB95)),"Review inputs",IF(AB95&gt;=70,"P0 - Immediate",IF(AB95&gt;=50,"P1 - High",IF(AB95&gt;=30,"P2 - Medium",IF(AB95&gt;=15,"P3 - Low","P4 - Monitor"))))))</x:f>
      </x:c>
      <x:c r="AD95" s="73"/>
      <x:c r="AE95" s="73"/>
      <x:c r="AF95" s="73"/>
      <x:c r="AG95" s="77"/>
      <x:c r="AH95" s="73"/>
      <x:c r="AI95" s="91"/>
      <x:c r="AJ95" s="91"/>
      <x:c r="AK95" s="91"/>
      <x:c r="AL95" s="92"/>
      <x:c r="AM95" s="91"/>
      <x:c r="AN95" s="91"/>
      <x:c r="AO95" s="93"/>
      <x:c r="AP95" s="94"/>
      <x:c r="AQ95" s="91"/>
      <x:c r="AR95" s="91"/>
      <x:c r="AS95" s="91"/>
      <x:c r="AT95" s="91"/>
      <x:c r="AU95" s="91"/>
      <x:c r="AV95" s="91"/>
      <x:c r="AW95" s="91"/>
      <x:c r="AX95" s="91"/>
      <x:c r="AY95" s="91"/>
      <x:c r="AZ95" s="92"/>
      <x:c r="BA95" s="94"/>
      <x:c r="BB95" s="91"/>
      <x:c r="BC95" s="92"/>
      <x:c r="BD95" s="92"/>
      <x:c r="BE95" s="91"/>
      <x:c r="BF95" s="91"/>
      <x:c r="BG95" s="91"/>
      <x:c r="BH95" s="91"/>
      <x:c r="BI95" s="91"/>
      <x:c r="BJ95" s="91"/>
      <x:c r="BK95" s="91"/>
      <x:c r="BL95" s="91"/>
      <x:c r="BM95" s="73" t="str">
        <x:f>IF(A95="","",IF(AI95="Example","Example only",IF(AI95&lt;&gt;"Actual","Set record type",IF(COUNTIF($A$2:$A$1001,A95)&gt;1,"Duplicate record ID",IF(OR(D95="",E95="",AF95="",NOT(ISNUMBER(AG95)),AJ95="",AK95="",NOT(ISNUMBER(AL95)),AND(AM95&lt;&gt;"Observed",AM95&lt;&gt;"Corroborated",AM95&lt;&gt;"Declared"),OR(AN95="",AN95="Unknown"),OR(AQ95="",AQ95="Unknown"),OR(AR95="",AR95="Unknown",AR95="TBD"),OR(BC95="",NOT(ISNUMBER(BC95)))),"Evidence incomplete","Evidence recorded; review scope")))))</x:f>
      </x:c>
      <x:c r="BN95" s="73"/>
    </x:row>
    <x:row r="96" ht="34" customHeight="1">
      <x:c r="A96" s="73"/>
      <x:c r="B96" s="73"/>
      <x:c r="C96" s="73"/>
      <x:c r="D96" s="73"/>
      <x:c r="E96" s="73"/>
      <x:c r="F96" s="73"/>
      <x:c r="G96" s="73"/>
      <x:c r="H96" s="73"/>
      <x:c r="I96" s="75"/>
      <x:c r="J96" s="73"/>
      <x:c r="K96" s="73"/>
      <x:c r="L96" s="76"/>
      <x:c r="M96" s="73"/>
      <x:c r="N96" s="73"/>
      <x:c r="O96" s="73"/>
      <x:c r="P96" s="73"/>
      <x:c r="Q96" s="76"/>
      <x:c r="R96" s="73"/>
      <x:c r="S96" s="73"/>
      <x:c r="T96" s="73"/>
      <x:c r="U96" s="73"/>
      <x:c r="V96" s="73"/>
      <x:c r="W96" s="73"/>
      <x:c r="X96" s="73"/>
      <x:c r="Y96" s="73"/>
      <x:c r="Z96" s="73"/>
      <x:c r="AA96" s="73"/>
      <x:c r="AB96" s="76" t="str">
        <x:f>IF(A96="","",IF(OR(NOT(ISNUMBER(I96)),I96&lt;0,NOT(ISNUMBER(AP96)),AP96&lt;0,NOT(ISNUMBER(L96)),L96&lt;1,L96&gt;5,L96&lt;&gt;INT(L96),AND(J96&lt;&gt;"Public",J96&lt;&gt;"Partner",J96&lt;&gt;"Internal",J96&lt;&gt;"None"),AND(K96&lt;&gt;"High",K96&lt;&gt;"Medium",K96&lt;&gt;"Low",K96&lt;&gt;"None"),AND(W96&lt;&gt;"Hard-coded",W96&lt;&gt;"Configurable",W96&lt;&gt;"Policy-managed",W96&lt;&gt;"API/Library abstraction",W96&lt;&gt;"Automated"),AND(Z96&lt;&gt;"Y",Z96&lt;&gt;"N"),AND(AA96&lt;&gt;"Y",AA96&lt;&gt;"N")),"Incomplete",IF(Z96="Y",20,0)+L96*5+IF(AA96="Y",15,0)+IF(J96="Public",10,IF(J96="Partner",7,IF(J96="Internal",3,0)))+IF(W96="Hard-coded",10,IF(W96="Configurable",3,0))+IF(MAX(I96,AP96)&gt;=10,10,IF(MAX(I96,AP96)&gt;=5,7,IF(MAX(I96,AP96)&gt;=2,3,0)))+IF(K96="High",10,IF(K96="Medium",5,0))))</x:f>
      </x:c>
      <x:c r="AC96" s="73" t="str">
        <x:f>IF(A96="","",IF(NOT(ISNUMBER(AB96)),"Review inputs",IF(AB96&gt;=70,"P0 - Immediate",IF(AB96&gt;=50,"P1 - High",IF(AB96&gt;=30,"P2 - Medium",IF(AB96&gt;=15,"P3 - Low","P4 - Monitor"))))))</x:f>
      </x:c>
      <x:c r="AD96" s="73"/>
      <x:c r="AE96" s="73"/>
      <x:c r="AF96" s="73"/>
      <x:c r="AG96" s="77"/>
      <x:c r="AH96" s="73"/>
      <x:c r="AI96" s="91"/>
      <x:c r="AJ96" s="91"/>
      <x:c r="AK96" s="91"/>
      <x:c r="AL96" s="92"/>
      <x:c r="AM96" s="91"/>
      <x:c r="AN96" s="91"/>
      <x:c r="AO96" s="93"/>
      <x:c r="AP96" s="94"/>
      <x:c r="AQ96" s="91"/>
      <x:c r="AR96" s="91"/>
      <x:c r="AS96" s="91"/>
      <x:c r="AT96" s="91"/>
      <x:c r="AU96" s="91"/>
      <x:c r="AV96" s="91"/>
      <x:c r="AW96" s="91"/>
      <x:c r="AX96" s="91"/>
      <x:c r="AY96" s="91"/>
      <x:c r="AZ96" s="92"/>
      <x:c r="BA96" s="94"/>
      <x:c r="BB96" s="91"/>
      <x:c r="BC96" s="92"/>
      <x:c r="BD96" s="92"/>
      <x:c r="BE96" s="91"/>
      <x:c r="BF96" s="91"/>
      <x:c r="BG96" s="91"/>
      <x:c r="BH96" s="91"/>
      <x:c r="BI96" s="91"/>
      <x:c r="BJ96" s="91"/>
      <x:c r="BK96" s="91"/>
      <x:c r="BL96" s="91"/>
      <x:c r="BM96" s="73" t="str">
        <x:f>IF(A96="","",IF(AI96="Example","Example only",IF(AI96&lt;&gt;"Actual","Set record type",IF(COUNTIF($A$2:$A$1001,A96)&gt;1,"Duplicate record ID",IF(OR(D96="",E96="",AF96="",NOT(ISNUMBER(AG96)),AJ96="",AK96="",NOT(ISNUMBER(AL96)),AND(AM96&lt;&gt;"Observed",AM96&lt;&gt;"Corroborated",AM96&lt;&gt;"Declared"),OR(AN96="",AN96="Unknown"),OR(AQ96="",AQ96="Unknown"),OR(AR96="",AR96="Unknown",AR96="TBD"),OR(BC96="",NOT(ISNUMBER(BC96)))),"Evidence incomplete","Evidence recorded; review scope")))))</x:f>
      </x:c>
      <x:c r="BN96" s="73"/>
    </x:row>
    <x:row r="97" ht="34" customHeight="1">
      <x:c r="A97" s="73"/>
      <x:c r="B97" s="73"/>
      <x:c r="C97" s="73"/>
      <x:c r="D97" s="73"/>
      <x:c r="E97" s="73"/>
      <x:c r="F97" s="73"/>
      <x:c r="G97" s="73"/>
      <x:c r="H97" s="73"/>
      <x:c r="I97" s="75"/>
      <x:c r="J97" s="73"/>
      <x:c r="K97" s="73"/>
      <x:c r="L97" s="76"/>
      <x:c r="M97" s="73"/>
      <x:c r="N97" s="73"/>
      <x:c r="O97" s="73"/>
      <x:c r="P97" s="73"/>
      <x:c r="Q97" s="76"/>
      <x:c r="R97" s="73"/>
      <x:c r="S97" s="73"/>
      <x:c r="T97" s="73"/>
      <x:c r="U97" s="73"/>
      <x:c r="V97" s="73"/>
      <x:c r="W97" s="73"/>
      <x:c r="X97" s="73"/>
      <x:c r="Y97" s="73"/>
      <x:c r="Z97" s="73"/>
      <x:c r="AA97" s="73"/>
      <x:c r="AB97" s="76" t="str">
        <x:f>IF(A97="","",IF(OR(NOT(ISNUMBER(I97)),I97&lt;0,NOT(ISNUMBER(AP97)),AP97&lt;0,NOT(ISNUMBER(L97)),L97&lt;1,L97&gt;5,L97&lt;&gt;INT(L97),AND(J97&lt;&gt;"Public",J97&lt;&gt;"Partner",J97&lt;&gt;"Internal",J97&lt;&gt;"None"),AND(K97&lt;&gt;"High",K97&lt;&gt;"Medium",K97&lt;&gt;"Low",K97&lt;&gt;"None"),AND(W97&lt;&gt;"Hard-coded",W97&lt;&gt;"Configurable",W97&lt;&gt;"Policy-managed",W97&lt;&gt;"API/Library abstraction",W97&lt;&gt;"Automated"),AND(Z97&lt;&gt;"Y",Z97&lt;&gt;"N"),AND(AA97&lt;&gt;"Y",AA97&lt;&gt;"N")),"Incomplete",IF(Z97="Y",20,0)+L97*5+IF(AA97="Y",15,0)+IF(J97="Public",10,IF(J97="Partner",7,IF(J97="Internal",3,0)))+IF(W97="Hard-coded",10,IF(W97="Configurable",3,0))+IF(MAX(I97,AP97)&gt;=10,10,IF(MAX(I97,AP97)&gt;=5,7,IF(MAX(I97,AP97)&gt;=2,3,0)))+IF(K97="High",10,IF(K97="Medium",5,0))))</x:f>
      </x:c>
      <x:c r="AC97" s="73" t="str">
        <x:f>IF(A97="","",IF(NOT(ISNUMBER(AB97)),"Review inputs",IF(AB97&gt;=70,"P0 - Immediate",IF(AB97&gt;=50,"P1 - High",IF(AB97&gt;=30,"P2 - Medium",IF(AB97&gt;=15,"P3 - Low","P4 - Monitor"))))))</x:f>
      </x:c>
      <x:c r="AD97" s="73"/>
      <x:c r="AE97" s="73"/>
      <x:c r="AF97" s="73"/>
      <x:c r="AG97" s="77"/>
      <x:c r="AH97" s="73"/>
      <x:c r="AI97" s="91"/>
      <x:c r="AJ97" s="91"/>
      <x:c r="AK97" s="91"/>
      <x:c r="AL97" s="92"/>
      <x:c r="AM97" s="91"/>
      <x:c r="AN97" s="91"/>
      <x:c r="AO97" s="93"/>
      <x:c r="AP97" s="94"/>
      <x:c r="AQ97" s="91"/>
      <x:c r="AR97" s="91"/>
      <x:c r="AS97" s="91"/>
      <x:c r="AT97" s="91"/>
      <x:c r="AU97" s="91"/>
      <x:c r="AV97" s="91"/>
      <x:c r="AW97" s="91"/>
      <x:c r="AX97" s="91"/>
      <x:c r="AY97" s="91"/>
      <x:c r="AZ97" s="92"/>
      <x:c r="BA97" s="94"/>
      <x:c r="BB97" s="91"/>
      <x:c r="BC97" s="92"/>
      <x:c r="BD97" s="92"/>
      <x:c r="BE97" s="91"/>
      <x:c r="BF97" s="91"/>
      <x:c r="BG97" s="91"/>
      <x:c r="BH97" s="91"/>
      <x:c r="BI97" s="91"/>
      <x:c r="BJ97" s="91"/>
      <x:c r="BK97" s="91"/>
      <x:c r="BL97" s="91"/>
      <x:c r="BM97" s="73" t="str">
        <x:f>IF(A97="","",IF(AI97="Example","Example only",IF(AI97&lt;&gt;"Actual","Set record type",IF(COUNTIF($A$2:$A$1001,A97)&gt;1,"Duplicate record ID",IF(OR(D97="",E97="",AF97="",NOT(ISNUMBER(AG97)),AJ97="",AK97="",NOT(ISNUMBER(AL97)),AND(AM97&lt;&gt;"Observed",AM97&lt;&gt;"Corroborated",AM97&lt;&gt;"Declared"),OR(AN97="",AN97="Unknown"),OR(AQ97="",AQ97="Unknown"),OR(AR97="",AR97="Unknown",AR97="TBD"),OR(BC97="",NOT(ISNUMBER(BC97)))),"Evidence incomplete","Evidence recorded; review scope")))))</x:f>
      </x:c>
      <x:c r="BN97" s="73"/>
    </x:row>
    <x:row r="98" ht="34" customHeight="1">
      <x:c r="A98" s="73"/>
      <x:c r="B98" s="73"/>
      <x:c r="C98" s="73"/>
      <x:c r="D98" s="73"/>
      <x:c r="E98" s="73"/>
      <x:c r="F98" s="73"/>
      <x:c r="G98" s="73"/>
      <x:c r="H98" s="73"/>
      <x:c r="I98" s="75"/>
      <x:c r="J98" s="73"/>
      <x:c r="K98" s="73"/>
      <x:c r="L98" s="76"/>
      <x:c r="M98" s="73"/>
      <x:c r="N98" s="73"/>
      <x:c r="O98" s="73"/>
      <x:c r="P98" s="73"/>
      <x:c r="Q98" s="76"/>
      <x:c r="R98" s="73"/>
      <x:c r="S98" s="73"/>
      <x:c r="T98" s="73"/>
      <x:c r="U98" s="73"/>
      <x:c r="V98" s="73"/>
      <x:c r="W98" s="73"/>
      <x:c r="X98" s="73"/>
      <x:c r="Y98" s="73"/>
      <x:c r="Z98" s="73"/>
      <x:c r="AA98" s="73"/>
      <x:c r="AB98" s="76" t="str">
        <x:f>IF(A98="","",IF(OR(NOT(ISNUMBER(I98)),I98&lt;0,NOT(ISNUMBER(AP98)),AP98&lt;0,NOT(ISNUMBER(L98)),L98&lt;1,L98&gt;5,L98&lt;&gt;INT(L98),AND(J98&lt;&gt;"Public",J98&lt;&gt;"Partner",J98&lt;&gt;"Internal",J98&lt;&gt;"None"),AND(K98&lt;&gt;"High",K98&lt;&gt;"Medium",K98&lt;&gt;"Low",K98&lt;&gt;"None"),AND(W98&lt;&gt;"Hard-coded",W98&lt;&gt;"Configurable",W98&lt;&gt;"Policy-managed",W98&lt;&gt;"API/Library abstraction",W98&lt;&gt;"Automated"),AND(Z98&lt;&gt;"Y",Z98&lt;&gt;"N"),AND(AA98&lt;&gt;"Y",AA98&lt;&gt;"N")),"Incomplete",IF(Z98="Y",20,0)+L98*5+IF(AA98="Y",15,0)+IF(J98="Public",10,IF(J98="Partner",7,IF(J98="Internal",3,0)))+IF(W98="Hard-coded",10,IF(W98="Configurable",3,0))+IF(MAX(I98,AP98)&gt;=10,10,IF(MAX(I98,AP98)&gt;=5,7,IF(MAX(I98,AP98)&gt;=2,3,0)))+IF(K98="High",10,IF(K98="Medium",5,0))))</x:f>
      </x:c>
      <x:c r="AC98" s="73" t="str">
        <x:f>IF(A98="","",IF(NOT(ISNUMBER(AB98)),"Review inputs",IF(AB98&gt;=70,"P0 - Immediate",IF(AB98&gt;=50,"P1 - High",IF(AB98&gt;=30,"P2 - Medium",IF(AB98&gt;=15,"P3 - Low","P4 - Monitor"))))))</x:f>
      </x:c>
      <x:c r="AD98" s="73"/>
      <x:c r="AE98" s="73"/>
      <x:c r="AF98" s="73"/>
      <x:c r="AG98" s="77"/>
      <x:c r="AH98" s="73"/>
      <x:c r="AI98" s="91"/>
      <x:c r="AJ98" s="91"/>
      <x:c r="AK98" s="91"/>
      <x:c r="AL98" s="92"/>
      <x:c r="AM98" s="91"/>
      <x:c r="AN98" s="91"/>
      <x:c r="AO98" s="93"/>
      <x:c r="AP98" s="94"/>
      <x:c r="AQ98" s="91"/>
      <x:c r="AR98" s="91"/>
      <x:c r="AS98" s="91"/>
      <x:c r="AT98" s="91"/>
      <x:c r="AU98" s="91"/>
      <x:c r="AV98" s="91"/>
      <x:c r="AW98" s="91"/>
      <x:c r="AX98" s="91"/>
      <x:c r="AY98" s="91"/>
      <x:c r="AZ98" s="92"/>
      <x:c r="BA98" s="94"/>
      <x:c r="BB98" s="91"/>
      <x:c r="BC98" s="92"/>
      <x:c r="BD98" s="92"/>
      <x:c r="BE98" s="91"/>
      <x:c r="BF98" s="91"/>
      <x:c r="BG98" s="91"/>
      <x:c r="BH98" s="91"/>
      <x:c r="BI98" s="91"/>
      <x:c r="BJ98" s="91"/>
      <x:c r="BK98" s="91"/>
      <x:c r="BL98" s="91"/>
      <x:c r="BM98" s="73" t="str">
        <x:f>IF(A98="","",IF(AI98="Example","Example only",IF(AI98&lt;&gt;"Actual","Set record type",IF(COUNTIF($A$2:$A$1001,A98)&gt;1,"Duplicate record ID",IF(OR(D98="",E98="",AF98="",NOT(ISNUMBER(AG98)),AJ98="",AK98="",NOT(ISNUMBER(AL98)),AND(AM98&lt;&gt;"Observed",AM98&lt;&gt;"Corroborated",AM98&lt;&gt;"Declared"),OR(AN98="",AN98="Unknown"),OR(AQ98="",AQ98="Unknown"),OR(AR98="",AR98="Unknown",AR98="TBD"),OR(BC98="",NOT(ISNUMBER(BC98)))),"Evidence incomplete","Evidence recorded; review scope")))))</x:f>
      </x:c>
      <x:c r="BN98" s="73"/>
    </x:row>
    <x:row r="99" ht="34" customHeight="1">
      <x:c r="A99" s="73"/>
      <x:c r="B99" s="73"/>
      <x:c r="C99" s="73"/>
      <x:c r="D99" s="73"/>
      <x:c r="E99" s="73"/>
      <x:c r="F99" s="73"/>
      <x:c r="G99" s="73"/>
      <x:c r="H99" s="73"/>
      <x:c r="I99" s="75"/>
      <x:c r="J99" s="73"/>
      <x:c r="K99" s="73"/>
      <x:c r="L99" s="76"/>
      <x:c r="M99" s="73"/>
      <x:c r="N99" s="73"/>
      <x:c r="O99" s="73"/>
      <x:c r="P99" s="73"/>
      <x:c r="Q99" s="76"/>
      <x:c r="R99" s="73"/>
      <x:c r="S99" s="73"/>
      <x:c r="T99" s="73"/>
      <x:c r="U99" s="73"/>
      <x:c r="V99" s="73"/>
      <x:c r="W99" s="73"/>
      <x:c r="X99" s="73"/>
      <x:c r="Y99" s="73"/>
      <x:c r="Z99" s="73"/>
      <x:c r="AA99" s="73"/>
      <x:c r="AB99" s="76" t="str">
        <x:f>IF(A99="","",IF(OR(NOT(ISNUMBER(I99)),I99&lt;0,NOT(ISNUMBER(AP99)),AP99&lt;0,NOT(ISNUMBER(L99)),L99&lt;1,L99&gt;5,L99&lt;&gt;INT(L99),AND(J99&lt;&gt;"Public",J99&lt;&gt;"Partner",J99&lt;&gt;"Internal",J99&lt;&gt;"None"),AND(K99&lt;&gt;"High",K99&lt;&gt;"Medium",K99&lt;&gt;"Low",K99&lt;&gt;"None"),AND(W99&lt;&gt;"Hard-coded",W99&lt;&gt;"Configurable",W99&lt;&gt;"Policy-managed",W99&lt;&gt;"API/Library abstraction",W99&lt;&gt;"Automated"),AND(Z99&lt;&gt;"Y",Z99&lt;&gt;"N"),AND(AA99&lt;&gt;"Y",AA99&lt;&gt;"N")),"Incomplete",IF(Z99="Y",20,0)+L99*5+IF(AA99="Y",15,0)+IF(J99="Public",10,IF(J99="Partner",7,IF(J99="Internal",3,0)))+IF(W99="Hard-coded",10,IF(W99="Configurable",3,0))+IF(MAX(I99,AP99)&gt;=10,10,IF(MAX(I99,AP99)&gt;=5,7,IF(MAX(I99,AP99)&gt;=2,3,0)))+IF(K99="High",10,IF(K99="Medium",5,0))))</x:f>
      </x:c>
      <x:c r="AC99" s="73" t="str">
        <x:f>IF(A99="","",IF(NOT(ISNUMBER(AB99)),"Review inputs",IF(AB99&gt;=70,"P0 - Immediate",IF(AB99&gt;=50,"P1 - High",IF(AB99&gt;=30,"P2 - Medium",IF(AB99&gt;=15,"P3 - Low","P4 - Monitor"))))))</x:f>
      </x:c>
      <x:c r="AD99" s="73"/>
      <x:c r="AE99" s="73"/>
      <x:c r="AF99" s="73"/>
      <x:c r="AG99" s="77"/>
      <x:c r="AH99" s="73"/>
      <x:c r="AI99" s="91"/>
      <x:c r="AJ99" s="91"/>
      <x:c r="AK99" s="91"/>
      <x:c r="AL99" s="92"/>
      <x:c r="AM99" s="91"/>
      <x:c r="AN99" s="91"/>
      <x:c r="AO99" s="93"/>
      <x:c r="AP99" s="94"/>
      <x:c r="AQ99" s="91"/>
      <x:c r="AR99" s="91"/>
      <x:c r="AS99" s="91"/>
      <x:c r="AT99" s="91"/>
      <x:c r="AU99" s="91"/>
      <x:c r="AV99" s="91"/>
      <x:c r="AW99" s="91"/>
      <x:c r="AX99" s="91"/>
      <x:c r="AY99" s="91"/>
      <x:c r="AZ99" s="92"/>
      <x:c r="BA99" s="94"/>
      <x:c r="BB99" s="91"/>
      <x:c r="BC99" s="92"/>
      <x:c r="BD99" s="92"/>
      <x:c r="BE99" s="91"/>
      <x:c r="BF99" s="91"/>
      <x:c r="BG99" s="91"/>
      <x:c r="BH99" s="91"/>
      <x:c r="BI99" s="91"/>
      <x:c r="BJ99" s="91"/>
      <x:c r="BK99" s="91"/>
      <x:c r="BL99" s="91"/>
      <x:c r="BM99" s="73" t="str">
        <x:f>IF(A99="","",IF(AI99="Example","Example only",IF(AI99&lt;&gt;"Actual","Set record type",IF(COUNTIF($A$2:$A$1001,A99)&gt;1,"Duplicate record ID",IF(OR(D99="",E99="",AF99="",NOT(ISNUMBER(AG99)),AJ99="",AK99="",NOT(ISNUMBER(AL99)),AND(AM99&lt;&gt;"Observed",AM99&lt;&gt;"Corroborated",AM99&lt;&gt;"Declared"),OR(AN99="",AN99="Unknown"),OR(AQ99="",AQ99="Unknown"),OR(AR99="",AR99="Unknown",AR99="TBD"),OR(BC99="",NOT(ISNUMBER(BC99)))),"Evidence incomplete","Evidence recorded; review scope")))))</x:f>
      </x:c>
      <x:c r="BN99" s="73"/>
    </x:row>
    <x:row r="100" ht="34" customHeight="1">
      <x:c r="A100" s="73"/>
      <x:c r="B100" s="73"/>
      <x:c r="C100" s="73"/>
      <x:c r="D100" s="73"/>
      <x:c r="E100" s="73"/>
      <x:c r="F100" s="73"/>
      <x:c r="G100" s="73"/>
      <x:c r="H100" s="73"/>
      <x:c r="I100" s="75"/>
      <x:c r="J100" s="73"/>
      <x:c r="K100" s="73"/>
      <x:c r="L100" s="76"/>
      <x:c r="M100" s="73"/>
      <x:c r="N100" s="73"/>
      <x:c r="O100" s="73"/>
      <x:c r="P100" s="73"/>
      <x:c r="Q100" s="76"/>
      <x:c r="R100" s="73"/>
      <x:c r="S100" s="73"/>
      <x:c r="T100" s="73"/>
      <x:c r="U100" s="73"/>
      <x:c r="V100" s="73"/>
      <x:c r="W100" s="73"/>
      <x:c r="X100" s="73"/>
      <x:c r="Y100" s="73"/>
      <x:c r="Z100" s="73"/>
      <x:c r="AA100" s="73"/>
      <x:c r="AB100" s="76" t="str">
        <x:f>IF(A100="","",IF(OR(NOT(ISNUMBER(I100)),I100&lt;0,NOT(ISNUMBER(AP100)),AP100&lt;0,NOT(ISNUMBER(L100)),L100&lt;1,L100&gt;5,L100&lt;&gt;INT(L100),AND(J100&lt;&gt;"Public",J100&lt;&gt;"Partner",J100&lt;&gt;"Internal",J100&lt;&gt;"None"),AND(K100&lt;&gt;"High",K100&lt;&gt;"Medium",K100&lt;&gt;"Low",K100&lt;&gt;"None"),AND(W100&lt;&gt;"Hard-coded",W100&lt;&gt;"Configurable",W100&lt;&gt;"Policy-managed",W100&lt;&gt;"API/Library abstraction",W100&lt;&gt;"Automated"),AND(Z100&lt;&gt;"Y",Z100&lt;&gt;"N"),AND(AA100&lt;&gt;"Y",AA100&lt;&gt;"N")),"Incomplete",IF(Z100="Y",20,0)+L100*5+IF(AA100="Y",15,0)+IF(J100="Public",10,IF(J100="Partner",7,IF(J100="Internal",3,0)))+IF(W100="Hard-coded",10,IF(W100="Configurable",3,0))+IF(MAX(I100,AP100)&gt;=10,10,IF(MAX(I100,AP100)&gt;=5,7,IF(MAX(I100,AP100)&gt;=2,3,0)))+IF(K100="High",10,IF(K100="Medium",5,0))))</x:f>
      </x:c>
      <x:c r="AC100" s="73" t="str">
        <x:f>IF(A100="","",IF(NOT(ISNUMBER(AB100)),"Review inputs",IF(AB100&gt;=70,"P0 - Immediate",IF(AB100&gt;=50,"P1 - High",IF(AB100&gt;=30,"P2 - Medium",IF(AB100&gt;=15,"P3 - Low","P4 - Monitor"))))))</x:f>
      </x:c>
      <x:c r="AD100" s="73"/>
      <x:c r="AE100" s="73"/>
      <x:c r="AF100" s="73"/>
      <x:c r="AG100" s="77"/>
      <x:c r="AH100" s="73"/>
      <x:c r="AI100" s="91"/>
      <x:c r="AJ100" s="91"/>
      <x:c r="AK100" s="91"/>
      <x:c r="AL100" s="92"/>
      <x:c r="AM100" s="91"/>
      <x:c r="AN100" s="91"/>
      <x:c r="AO100" s="93"/>
      <x:c r="AP100" s="94"/>
      <x:c r="AQ100" s="91"/>
      <x:c r="AR100" s="91"/>
      <x:c r="AS100" s="91"/>
      <x:c r="AT100" s="91"/>
      <x:c r="AU100" s="91"/>
      <x:c r="AV100" s="91"/>
      <x:c r="AW100" s="91"/>
      <x:c r="AX100" s="91"/>
      <x:c r="AY100" s="91"/>
      <x:c r="AZ100" s="92"/>
      <x:c r="BA100" s="94"/>
      <x:c r="BB100" s="91"/>
      <x:c r="BC100" s="92"/>
      <x:c r="BD100" s="92"/>
      <x:c r="BE100" s="91"/>
      <x:c r="BF100" s="91"/>
      <x:c r="BG100" s="91"/>
      <x:c r="BH100" s="91"/>
      <x:c r="BI100" s="91"/>
      <x:c r="BJ100" s="91"/>
      <x:c r="BK100" s="91"/>
      <x:c r="BL100" s="91"/>
      <x:c r="BM100" s="73" t="str">
        <x:f>IF(A100="","",IF(AI100="Example","Example only",IF(AI100&lt;&gt;"Actual","Set record type",IF(COUNTIF($A$2:$A$1001,A100)&gt;1,"Duplicate record ID",IF(OR(D100="",E100="",AF100="",NOT(ISNUMBER(AG100)),AJ100="",AK100="",NOT(ISNUMBER(AL100)),AND(AM100&lt;&gt;"Observed",AM100&lt;&gt;"Corroborated",AM100&lt;&gt;"Declared"),OR(AN100="",AN100="Unknown"),OR(AQ100="",AQ100="Unknown"),OR(AR100="",AR100="Unknown",AR100="TBD"),OR(BC100="",NOT(ISNUMBER(BC100)))),"Evidence incomplete","Evidence recorded; review scope")))))</x:f>
      </x:c>
      <x:c r="BN100" s="73"/>
    </x:row>
    <x:row r="101" ht="34" customHeight="1">
      <x:c r="A101" s="73"/>
      <x:c r="B101" s="73"/>
      <x:c r="C101" s="73"/>
      <x:c r="D101" s="73"/>
      <x:c r="E101" s="73"/>
      <x:c r="F101" s="73"/>
      <x:c r="G101" s="73"/>
      <x:c r="H101" s="73"/>
      <x:c r="I101" s="75"/>
      <x:c r="J101" s="73"/>
      <x:c r="K101" s="73"/>
      <x:c r="L101" s="76"/>
      <x:c r="M101" s="73"/>
      <x:c r="N101" s="73"/>
      <x:c r="O101" s="73"/>
      <x:c r="P101" s="73"/>
      <x:c r="Q101" s="76"/>
      <x:c r="R101" s="73"/>
      <x:c r="S101" s="73"/>
      <x:c r="T101" s="73"/>
      <x:c r="U101" s="73"/>
      <x:c r="V101" s="73"/>
      <x:c r="W101" s="73"/>
      <x:c r="X101" s="73"/>
      <x:c r="Y101" s="73"/>
      <x:c r="Z101" s="73"/>
      <x:c r="AA101" s="73"/>
      <x:c r="AB101" s="76" t="str">
        <x:f>IF(A101="","",IF(OR(NOT(ISNUMBER(I101)),I101&lt;0,NOT(ISNUMBER(AP101)),AP101&lt;0,NOT(ISNUMBER(L101)),L101&lt;1,L101&gt;5,L101&lt;&gt;INT(L101),AND(J101&lt;&gt;"Public",J101&lt;&gt;"Partner",J101&lt;&gt;"Internal",J101&lt;&gt;"None"),AND(K101&lt;&gt;"High",K101&lt;&gt;"Medium",K101&lt;&gt;"Low",K101&lt;&gt;"None"),AND(W101&lt;&gt;"Hard-coded",W101&lt;&gt;"Configurable",W101&lt;&gt;"Policy-managed",W101&lt;&gt;"API/Library abstraction",W101&lt;&gt;"Automated"),AND(Z101&lt;&gt;"Y",Z101&lt;&gt;"N"),AND(AA101&lt;&gt;"Y",AA101&lt;&gt;"N")),"Incomplete",IF(Z101="Y",20,0)+L101*5+IF(AA101="Y",15,0)+IF(J101="Public",10,IF(J101="Partner",7,IF(J101="Internal",3,0)))+IF(W101="Hard-coded",10,IF(W101="Configurable",3,0))+IF(MAX(I101,AP101)&gt;=10,10,IF(MAX(I101,AP101)&gt;=5,7,IF(MAX(I101,AP101)&gt;=2,3,0)))+IF(K101="High",10,IF(K101="Medium",5,0))))</x:f>
      </x:c>
      <x:c r="AC101" s="73" t="str">
        <x:f>IF(A101="","",IF(NOT(ISNUMBER(AB101)),"Review inputs",IF(AB101&gt;=70,"P0 - Immediate",IF(AB101&gt;=50,"P1 - High",IF(AB101&gt;=30,"P2 - Medium",IF(AB101&gt;=15,"P3 - Low","P4 - Monitor"))))))</x:f>
      </x:c>
      <x:c r="AD101" s="73"/>
      <x:c r="AE101" s="73"/>
      <x:c r="AF101" s="73"/>
      <x:c r="AG101" s="77"/>
      <x:c r="AH101" s="73"/>
      <x:c r="AI101" s="91"/>
      <x:c r="AJ101" s="91"/>
      <x:c r="AK101" s="91"/>
      <x:c r="AL101" s="92"/>
      <x:c r="AM101" s="91"/>
      <x:c r="AN101" s="91"/>
      <x:c r="AO101" s="93"/>
      <x:c r="AP101" s="94"/>
      <x:c r="AQ101" s="91"/>
      <x:c r="AR101" s="91"/>
      <x:c r="AS101" s="91"/>
      <x:c r="AT101" s="91"/>
      <x:c r="AU101" s="91"/>
      <x:c r="AV101" s="91"/>
      <x:c r="AW101" s="91"/>
      <x:c r="AX101" s="91"/>
      <x:c r="AY101" s="91"/>
      <x:c r="AZ101" s="92"/>
      <x:c r="BA101" s="94"/>
      <x:c r="BB101" s="91"/>
      <x:c r="BC101" s="92"/>
      <x:c r="BD101" s="92"/>
      <x:c r="BE101" s="91"/>
      <x:c r="BF101" s="91"/>
      <x:c r="BG101" s="91"/>
      <x:c r="BH101" s="91"/>
      <x:c r="BI101" s="91"/>
      <x:c r="BJ101" s="91"/>
      <x:c r="BK101" s="91"/>
      <x:c r="BL101" s="91"/>
      <x:c r="BM101" s="73" t="str">
        <x:f>IF(A101="","",IF(AI101="Example","Example only",IF(AI101&lt;&gt;"Actual","Set record type",IF(COUNTIF($A$2:$A$1001,A101)&gt;1,"Duplicate record ID",IF(OR(D101="",E101="",AF101="",NOT(ISNUMBER(AG101)),AJ101="",AK101="",NOT(ISNUMBER(AL101)),AND(AM101&lt;&gt;"Observed",AM101&lt;&gt;"Corroborated",AM101&lt;&gt;"Declared"),OR(AN101="",AN101="Unknown"),OR(AQ101="",AQ101="Unknown"),OR(AR101="",AR101="Unknown",AR101="TBD"),OR(BC101="",NOT(ISNUMBER(BC101)))),"Evidence incomplete","Evidence recorded; review scope")))))</x:f>
      </x:c>
      <x:c r="BN101" s="73"/>
    </x:row>
    <x:row r="102" ht="34" customHeight="1">
      <x:c r="A102" s="73"/>
      <x:c r="B102" s="73"/>
      <x:c r="C102" s="73"/>
      <x:c r="D102" s="73"/>
      <x:c r="E102" s="73"/>
      <x:c r="F102" s="73"/>
      <x:c r="G102" s="73"/>
      <x:c r="H102" s="73"/>
      <x:c r="I102" s="75"/>
      <x:c r="J102" s="73"/>
      <x:c r="K102" s="73"/>
      <x:c r="L102" s="76"/>
      <x:c r="M102" s="73"/>
      <x:c r="N102" s="73"/>
      <x:c r="O102" s="73"/>
      <x:c r="P102" s="73"/>
      <x:c r="Q102" s="76"/>
      <x:c r="R102" s="73"/>
      <x:c r="S102" s="73"/>
      <x:c r="T102" s="73"/>
      <x:c r="U102" s="73"/>
      <x:c r="V102" s="73"/>
      <x:c r="W102" s="73"/>
      <x:c r="X102" s="73"/>
      <x:c r="Y102" s="73"/>
      <x:c r="Z102" s="73"/>
      <x:c r="AA102" s="73"/>
      <x:c r="AB102" s="76" t="str">
        <x:f>IF(A102="","",IF(OR(NOT(ISNUMBER(I102)),I102&lt;0,NOT(ISNUMBER(AP102)),AP102&lt;0,NOT(ISNUMBER(L102)),L102&lt;1,L102&gt;5,L102&lt;&gt;INT(L102),AND(J102&lt;&gt;"Public",J102&lt;&gt;"Partner",J102&lt;&gt;"Internal",J102&lt;&gt;"None"),AND(K102&lt;&gt;"High",K102&lt;&gt;"Medium",K102&lt;&gt;"Low",K102&lt;&gt;"None"),AND(W102&lt;&gt;"Hard-coded",W102&lt;&gt;"Configurable",W102&lt;&gt;"Policy-managed",W102&lt;&gt;"API/Library abstraction",W102&lt;&gt;"Automated"),AND(Z102&lt;&gt;"Y",Z102&lt;&gt;"N"),AND(AA102&lt;&gt;"Y",AA102&lt;&gt;"N")),"Incomplete",IF(Z102="Y",20,0)+L102*5+IF(AA102="Y",15,0)+IF(J102="Public",10,IF(J102="Partner",7,IF(J102="Internal",3,0)))+IF(W102="Hard-coded",10,IF(W102="Configurable",3,0))+IF(MAX(I102,AP102)&gt;=10,10,IF(MAX(I102,AP102)&gt;=5,7,IF(MAX(I102,AP102)&gt;=2,3,0)))+IF(K102="High",10,IF(K102="Medium",5,0))))</x:f>
      </x:c>
      <x:c r="AC102" s="73" t="str">
        <x:f>IF(A102="","",IF(NOT(ISNUMBER(AB102)),"Review inputs",IF(AB102&gt;=70,"P0 - Immediate",IF(AB102&gt;=50,"P1 - High",IF(AB102&gt;=30,"P2 - Medium",IF(AB102&gt;=15,"P3 - Low","P4 - Monitor"))))))</x:f>
      </x:c>
      <x:c r="AD102" s="73"/>
      <x:c r="AE102" s="73"/>
      <x:c r="AF102" s="73"/>
      <x:c r="AG102" s="77"/>
      <x:c r="AH102" s="73"/>
      <x:c r="AI102" s="91"/>
      <x:c r="AJ102" s="91"/>
      <x:c r="AK102" s="91"/>
      <x:c r="AL102" s="92"/>
      <x:c r="AM102" s="91"/>
      <x:c r="AN102" s="91"/>
      <x:c r="AO102" s="93"/>
      <x:c r="AP102" s="94"/>
      <x:c r="AQ102" s="91"/>
      <x:c r="AR102" s="91"/>
      <x:c r="AS102" s="91"/>
      <x:c r="AT102" s="91"/>
      <x:c r="AU102" s="91"/>
      <x:c r="AV102" s="91"/>
      <x:c r="AW102" s="91"/>
      <x:c r="AX102" s="91"/>
      <x:c r="AY102" s="91"/>
      <x:c r="AZ102" s="92"/>
      <x:c r="BA102" s="94"/>
      <x:c r="BB102" s="91"/>
      <x:c r="BC102" s="92"/>
      <x:c r="BD102" s="92"/>
      <x:c r="BE102" s="91"/>
      <x:c r="BF102" s="91"/>
      <x:c r="BG102" s="91"/>
      <x:c r="BH102" s="91"/>
      <x:c r="BI102" s="91"/>
      <x:c r="BJ102" s="91"/>
      <x:c r="BK102" s="91"/>
      <x:c r="BL102" s="91"/>
      <x:c r="BM102" s="73" t="str">
        <x:f>IF(A102="","",IF(AI102="Example","Example only",IF(AI102&lt;&gt;"Actual","Set record type",IF(COUNTIF($A$2:$A$1001,A102)&gt;1,"Duplicate record ID",IF(OR(D102="",E102="",AF102="",NOT(ISNUMBER(AG102)),AJ102="",AK102="",NOT(ISNUMBER(AL102)),AND(AM102&lt;&gt;"Observed",AM102&lt;&gt;"Corroborated",AM102&lt;&gt;"Declared"),OR(AN102="",AN102="Unknown"),OR(AQ102="",AQ102="Unknown"),OR(AR102="",AR102="Unknown",AR102="TBD"),OR(BC102="",NOT(ISNUMBER(BC102)))),"Evidence incomplete","Evidence recorded; review scope")))))</x:f>
      </x:c>
      <x:c r="BN102" s="73"/>
    </x:row>
    <x:row r="103" ht="34" customHeight="1">
      <x:c r="A103" s="73"/>
      <x:c r="B103" s="73"/>
      <x:c r="C103" s="73"/>
      <x:c r="D103" s="73"/>
      <x:c r="E103" s="73"/>
      <x:c r="F103" s="73"/>
      <x:c r="G103" s="73"/>
      <x:c r="H103" s="73"/>
      <x:c r="I103" s="75"/>
      <x:c r="J103" s="73"/>
      <x:c r="K103" s="73"/>
      <x:c r="L103" s="76"/>
      <x:c r="M103" s="73"/>
      <x:c r="N103" s="73"/>
      <x:c r="O103" s="73"/>
      <x:c r="P103" s="73"/>
      <x:c r="Q103" s="76"/>
      <x:c r="R103" s="73"/>
      <x:c r="S103" s="73"/>
      <x:c r="T103" s="73"/>
      <x:c r="U103" s="73"/>
      <x:c r="V103" s="73"/>
      <x:c r="W103" s="73"/>
      <x:c r="X103" s="73"/>
      <x:c r="Y103" s="73"/>
      <x:c r="Z103" s="73"/>
      <x:c r="AA103" s="73"/>
      <x:c r="AB103" s="76" t="str">
        <x:f>IF(A103="","",IF(OR(NOT(ISNUMBER(I103)),I103&lt;0,NOT(ISNUMBER(AP103)),AP103&lt;0,NOT(ISNUMBER(L103)),L103&lt;1,L103&gt;5,L103&lt;&gt;INT(L103),AND(J103&lt;&gt;"Public",J103&lt;&gt;"Partner",J103&lt;&gt;"Internal",J103&lt;&gt;"None"),AND(K103&lt;&gt;"High",K103&lt;&gt;"Medium",K103&lt;&gt;"Low",K103&lt;&gt;"None"),AND(W103&lt;&gt;"Hard-coded",W103&lt;&gt;"Configurable",W103&lt;&gt;"Policy-managed",W103&lt;&gt;"API/Library abstraction",W103&lt;&gt;"Automated"),AND(Z103&lt;&gt;"Y",Z103&lt;&gt;"N"),AND(AA103&lt;&gt;"Y",AA103&lt;&gt;"N")),"Incomplete",IF(Z103="Y",20,0)+L103*5+IF(AA103="Y",15,0)+IF(J103="Public",10,IF(J103="Partner",7,IF(J103="Internal",3,0)))+IF(W103="Hard-coded",10,IF(W103="Configurable",3,0))+IF(MAX(I103,AP103)&gt;=10,10,IF(MAX(I103,AP103)&gt;=5,7,IF(MAX(I103,AP103)&gt;=2,3,0)))+IF(K103="High",10,IF(K103="Medium",5,0))))</x:f>
      </x:c>
      <x:c r="AC103" s="73" t="str">
        <x:f>IF(A103="","",IF(NOT(ISNUMBER(AB103)),"Review inputs",IF(AB103&gt;=70,"P0 - Immediate",IF(AB103&gt;=50,"P1 - High",IF(AB103&gt;=30,"P2 - Medium",IF(AB103&gt;=15,"P3 - Low","P4 - Monitor"))))))</x:f>
      </x:c>
      <x:c r="AD103" s="73"/>
      <x:c r="AE103" s="73"/>
      <x:c r="AF103" s="73"/>
      <x:c r="AG103" s="77"/>
      <x:c r="AH103" s="73"/>
      <x:c r="AI103" s="91"/>
      <x:c r="AJ103" s="91"/>
      <x:c r="AK103" s="91"/>
      <x:c r="AL103" s="92"/>
      <x:c r="AM103" s="91"/>
      <x:c r="AN103" s="91"/>
      <x:c r="AO103" s="93"/>
      <x:c r="AP103" s="94"/>
      <x:c r="AQ103" s="91"/>
      <x:c r="AR103" s="91"/>
      <x:c r="AS103" s="91"/>
      <x:c r="AT103" s="91"/>
      <x:c r="AU103" s="91"/>
      <x:c r="AV103" s="91"/>
      <x:c r="AW103" s="91"/>
      <x:c r="AX103" s="91"/>
      <x:c r="AY103" s="91"/>
      <x:c r="AZ103" s="92"/>
      <x:c r="BA103" s="94"/>
      <x:c r="BB103" s="91"/>
      <x:c r="BC103" s="92"/>
      <x:c r="BD103" s="92"/>
      <x:c r="BE103" s="91"/>
      <x:c r="BF103" s="91"/>
      <x:c r="BG103" s="91"/>
      <x:c r="BH103" s="91"/>
      <x:c r="BI103" s="91"/>
      <x:c r="BJ103" s="91"/>
      <x:c r="BK103" s="91"/>
      <x:c r="BL103" s="91"/>
      <x:c r="BM103" s="73" t="str">
        <x:f>IF(A103="","",IF(AI103="Example","Example only",IF(AI103&lt;&gt;"Actual","Set record type",IF(COUNTIF($A$2:$A$1001,A103)&gt;1,"Duplicate record ID",IF(OR(D103="",E103="",AF103="",NOT(ISNUMBER(AG103)),AJ103="",AK103="",NOT(ISNUMBER(AL103)),AND(AM103&lt;&gt;"Observed",AM103&lt;&gt;"Corroborated",AM103&lt;&gt;"Declared"),OR(AN103="",AN103="Unknown"),OR(AQ103="",AQ103="Unknown"),OR(AR103="",AR103="Unknown",AR103="TBD"),OR(BC103="",NOT(ISNUMBER(BC103)))),"Evidence incomplete","Evidence recorded; review scope")))))</x:f>
      </x:c>
      <x:c r="BN103" s="73"/>
    </x:row>
    <x:row r="104" ht="34" customHeight="1">
      <x:c r="A104" s="73"/>
      <x:c r="B104" s="73"/>
      <x:c r="C104" s="73"/>
      <x:c r="D104" s="73"/>
      <x:c r="E104" s="73"/>
      <x:c r="F104" s="73"/>
      <x:c r="G104" s="73"/>
      <x:c r="H104" s="73"/>
      <x:c r="I104" s="75"/>
      <x:c r="J104" s="73"/>
      <x:c r="K104" s="73"/>
      <x:c r="L104" s="76"/>
      <x:c r="M104" s="73"/>
      <x:c r="N104" s="73"/>
      <x:c r="O104" s="73"/>
      <x:c r="P104" s="73"/>
      <x:c r="Q104" s="76"/>
      <x:c r="R104" s="73"/>
      <x:c r="S104" s="73"/>
      <x:c r="T104" s="73"/>
      <x:c r="U104" s="73"/>
      <x:c r="V104" s="73"/>
      <x:c r="W104" s="73"/>
      <x:c r="X104" s="73"/>
      <x:c r="Y104" s="73"/>
      <x:c r="Z104" s="73"/>
      <x:c r="AA104" s="73"/>
      <x:c r="AB104" s="76" t="str">
        <x:f>IF(A104="","",IF(OR(NOT(ISNUMBER(I104)),I104&lt;0,NOT(ISNUMBER(AP104)),AP104&lt;0,NOT(ISNUMBER(L104)),L104&lt;1,L104&gt;5,L104&lt;&gt;INT(L104),AND(J104&lt;&gt;"Public",J104&lt;&gt;"Partner",J104&lt;&gt;"Internal",J104&lt;&gt;"None"),AND(K104&lt;&gt;"High",K104&lt;&gt;"Medium",K104&lt;&gt;"Low",K104&lt;&gt;"None"),AND(W104&lt;&gt;"Hard-coded",W104&lt;&gt;"Configurable",W104&lt;&gt;"Policy-managed",W104&lt;&gt;"API/Library abstraction",W104&lt;&gt;"Automated"),AND(Z104&lt;&gt;"Y",Z104&lt;&gt;"N"),AND(AA104&lt;&gt;"Y",AA104&lt;&gt;"N")),"Incomplete",IF(Z104="Y",20,0)+L104*5+IF(AA104="Y",15,0)+IF(J104="Public",10,IF(J104="Partner",7,IF(J104="Internal",3,0)))+IF(W104="Hard-coded",10,IF(W104="Configurable",3,0))+IF(MAX(I104,AP104)&gt;=10,10,IF(MAX(I104,AP104)&gt;=5,7,IF(MAX(I104,AP104)&gt;=2,3,0)))+IF(K104="High",10,IF(K104="Medium",5,0))))</x:f>
      </x:c>
      <x:c r="AC104" s="73" t="str">
        <x:f>IF(A104="","",IF(NOT(ISNUMBER(AB104)),"Review inputs",IF(AB104&gt;=70,"P0 - Immediate",IF(AB104&gt;=50,"P1 - High",IF(AB104&gt;=30,"P2 - Medium",IF(AB104&gt;=15,"P3 - Low","P4 - Monitor"))))))</x:f>
      </x:c>
      <x:c r="AD104" s="73"/>
      <x:c r="AE104" s="73"/>
      <x:c r="AF104" s="73"/>
      <x:c r="AG104" s="77"/>
      <x:c r="AH104" s="73"/>
      <x:c r="AI104" s="91"/>
      <x:c r="AJ104" s="91"/>
      <x:c r="AK104" s="91"/>
      <x:c r="AL104" s="92"/>
      <x:c r="AM104" s="91"/>
      <x:c r="AN104" s="91"/>
      <x:c r="AO104" s="93"/>
      <x:c r="AP104" s="94"/>
      <x:c r="AQ104" s="91"/>
      <x:c r="AR104" s="91"/>
      <x:c r="AS104" s="91"/>
      <x:c r="AT104" s="91"/>
      <x:c r="AU104" s="91"/>
      <x:c r="AV104" s="91"/>
      <x:c r="AW104" s="91"/>
      <x:c r="AX104" s="91"/>
      <x:c r="AY104" s="91"/>
      <x:c r="AZ104" s="92"/>
      <x:c r="BA104" s="94"/>
      <x:c r="BB104" s="91"/>
      <x:c r="BC104" s="92"/>
      <x:c r="BD104" s="92"/>
      <x:c r="BE104" s="91"/>
      <x:c r="BF104" s="91"/>
      <x:c r="BG104" s="91"/>
      <x:c r="BH104" s="91"/>
      <x:c r="BI104" s="91"/>
      <x:c r="BJ104" s="91"/>
      <x:c r="BK104" s="91"/>
      <x:c r="BL104" s="91"/>
      <x:c r="BM104" s="73" t="str">
        <x:f>IF(A104="","",IF(AI104="Example","Example only",IF(AI104&lt;&gt;"Actual","Set record type",IF(COUNTIF($A$2:$A$1001,A104)&gt;1,"Duplicate record ID",IF(OR(D104="",E104="",AF104="",NOT(ISNUMBER(AG104)),AJ104="",AK104="",NOT(ISNUMBER(AL104)),AND(AM104&lt;&gt;"Observed",AM104&lt;&gt;"Corroborated",AM104&lt;&gt;"Declared"),OR(AN104="",AN104="Unknown"),OR(AQ104="",AQ104="Unknown"),OR(AR104="",AR104="Unknown",AR104="TBD"),OR(BC104="",NOT(ISNUMBER(BC104)))),"Evidence incomplete","Evidence recorded; review scope")))))</x:f>
      </x:c>
      <x:c r="BN104" s="73"/>
    </x:row>
    <x:row r="105" ht="34" customHeight="1">
      <x:c r="A105" s="73"/>
      <x:c r="B105" s="73"/>
      <x:c r="C105" s="73"/>
      <x:c r="D105" s="73"/>
      <x:c r="E105" s="73"/>
      <x:c r="F105" s="73"/>
      <x:c r="G105" s="73"/>
      <x:c r="H105" s="73"/>
      <x:c r="I105" s="75"/>
      <x:c r="J105" s="73"/>
      <x:c r="K105" s="73"/>
      <x:c r="L105" s="76"/>
      <x:c r="M105" s="73"/>
      <x:c r="N105" s="73"/>
      <x:c r="O105" s="73"/>
      <x:c r="P105" s="73"/>
      <x:c r="Q105" s="76"/>
      <x:c r="R105" s="73"/>
      <x:c r="S105" s="73"/>
      <x:c r="T105" s="73"/>
      <x:c r="U105" s="73"/>
      <x:c r="V105" s="73"/>
      <x:c r="W105" s="73"/>
      <x:c r="X105" s="73"/>
      <x:c r="Y105" s="73"/>
      <x:c r="Z105" s="73"/>
      <x:c r="AA105" s="73"/>
      <x:c r="AB105" s="76" t="str">
        <x:f>IF(A105="","",IF(OR(NOT(ISNUMBER(I105)),I105&lt;0,NOT(ISNUMBER(AP105)),AP105&lt;0,NOT(ISNUMBER(L105)),L105&lt;1,L105&gt;5,L105&lt;&gt;INT(L105),AND(J105&lt;&gt;"Public",J105&lt;&gt;"Partner",J105&lt;&gt;"Internal",J105&lt;&gt;"None"),AND(K105&lt;&gt;"High",K105&lt;&gt;"Medium",K105&lt;&gt;"Low",K105&lt;&gt;"None"),AND(W105&lt;&gt;"Hard-coded",W105&lt;&gt;"Configurable",W105&lt;&gt;"Policy-managed",W105&lt;&gt;"API/Library abstraction",W105&lt;&gt;"Automated"),AND(Z105&lt;&gt;"Y",Z105&lt;&gt;"N"),AND(AA105&lt;&gt;"Y",AA105&lt;&gt;"N")),"Incomplete",IF(Z105="Y",20,0)+L105*5+IF(AA105="Y",15,0)+IF(J105="Public",10,IF(J105="Partner",7,IF(J105="Internal",3,0)))+IF(W105="Hard-coded",10,IF(W105="Configurable",3,0))+IF(MAX(I105,AP105)&gt;=10,10,IF(MAX(I105,AP105)&gt;=5,7,IF(MAX(I105,AP105)&gt;=2,3,0)))+IF(K105="High",10,IF(K105="Medium",5,0))))</x:f>
      </x:c>
      <x:c r="AC105" s="73" t="str">
        <x:f>IF(A105="","",IF(NOT(ISNUMBER(AB105)),"Review inputs",IF(AB105&gt;=70,"P0 - Immediate",IF(AB105&gt;=50,"P1 - High",IF(AB105&gt;=30,"P2 - Medium",IF(AB105&gt;=15,"P3 - Low","P4 - Monitor"))))))</x:f>
      </x:c>
      <x:c r="AD105" s="73"/>
      <x:c r="AE105" s="73"/>
      <x:c r="AF105" s="73"/>
      <x:c r="AG105" s="77"/>
      <x:c r="AH105" s="73"/>
      <x:c r="AI105" s="91"/>
      <x:c r="AJ105" s="91"/>
      <x:c r="AK105" s="91"/>
      <x:c r="AL105" s="92"/>
      <x:c r="AM105" s="91"/>
      <x:c r="AN105" s="91"/>
      <x:c r="AO105" s="93"/>
      <x:c r="AP105" s="94"/>
      <x:c r="AQ105" s="91"/>
      <x:c r="AR105" s="91"/>
      <x:c r="AS105" s="91"/>
      <x:c r="AT105" s="91"/>
      <x:c r="AU105" s="91"/>
      <x:c r="AV105" s="91"/>
      <x:c r="AW105" s="91"/>
      <x:c r="AX105" s="91"/>
      <x:c r="AY105" s="91"/>
      <x:c r="AZ105" s="92"/>
      <x:c r="BA105" s="94"/>
      <x:c r="BB105" s="91"/>
      <x:c r="BC105" s="92"/>
      <x:c r="BD105" s="92"/>
      <x:c r="BE105" s="91"/>
      <x:c r="BF105" s="91"/>
      <x:c r="BG105" s="91"/>
      <x:c r="BH105" s="91"/>
      <x:c r="BI105" s="91"/>
      <x:c r="BJ105" s="91"/>
      <x:c r="BK105" s="91"/>
      <x:c r="BL105" s="91"/>
      <x:c r="BM105" s="73" t="str">
        <x:f>IF(A105="","",IF(AI105="Example","Example only",IF(AI105&lt;&gt;"Actual","Set record type",IF(COUNTIF($A$2:$A$1001,A105)&gt;1,"Duplicate record ID",IF(OR(D105="",E105="",AF105="",NOT(ISNUMBER(AG105)),AJ105="",AK105="",NOT(ISNUMBER(AL105)),AND(AM105&lt;&gt;"Observed",AM105&lt;&gt;"Corroborated",AM105&lt;&gt;"Declared"),OR(AN105="",AN105="Unknown"),OR(AQ105="",AQ105="Unknown"),OR(AR105="",AR105="Unknown",AR105="TBD"),OR(BC105="",NOT(ISNUMBER(BC105)))),"Evidence incomplete","Evidence recorded; review scope")))))</x:f>
      </x:c>
      <x:c r="BN105" s="73"/>
    </x:row>
    <x:row r="106" ht="34" customHeight="1">
      <x:c r="A106" s="73"/>
      <x:c r="B106" s="73"/>
      <x:c r="C106" s="73"/>
      <x:c r="D106" s="73"/>
      <x:c r="E106" s="73"/>
      <x:c r="F106" s="73"/>
      <x:c r="G106" s="73"/>
      <x:c r="H106" s="73"/>
      <x:c r="I106" s="75"/>
      <x:c r="J106" s="73"/>
      <x:c r="K106" s="73"/>
      <x:c r="L106" s="76"/>
      <x:c r="M106" s="73"/>
      <x:c r="N106" s="73"/>
      <x:c r="O106" s="73"/>
      <x:c r="P106" s="73"/>
      <x:c r="Q106" s="76"/>
      <x:c r="R106" s="73"/>
      <x:c r="S106" s="73"/>
      <x:c r="T106" s="73"/>
      <x:c r="U106" s="73"/>
      <x:c r="V106" s="73"/>
      <x:c r="W106" s="73"/>
      <x:c r="X106" s="73"/>
      <x:c r="Y106" s="73"/>
      <x:c r="Z106" s="73"/>
      <x:c r="AA106" s="73"/>
      <x:c r="AB106" s="76" t="str">
        <x:f>IF(A106="","",IF(OR(NOT(ISNUMBER(I106)),I106&lt;0,NOT(ISNUMBER(AP106)),AP106&lt;0,NOT(ISNUMBER(L106)),L106&lt;1,L106&gt;5,L106&lt;&gt;INT(L106),AND(J106&lt;&gt;"Public",J106&lt;&gt;"Partner",J106&lt;&gt;"Internal",J106&lt;&gt;"None"),AND(K106&lt;&gt;"High",K106&lt;&gt;"Medium",K106&lt;&gt;"Low",K106&lt;&gt;"None"),AND(W106&lt;&gt;"Hard-coded",W106&lt;&gt;"Configurable",W106&lt;&gt;"Policy-managed",W106&lt;&gt;"API/Library abstraction",W106&lt;&gt;"Automated"),AND(Z106&lt;&gt;"Y",Z106&lt;&gt;"N"),AND(AA106&lt;&gt;"Y",AA106&lt;&gt;"N")),"Incomplete",IF(Z106="Y",20,0)+L106*5+IF(AA106="Y",15,0)+IF(J106="Public",10,IF(J106="Partner",7,IF(J106="Internal",3,0)))+IF(W106="Hard-coded",10,IF(W106="Configurable",3,0))+IF(MAX(I106,AP106)&gt;=10,10,IF(MAX(I106,AP106)&gt;=5,7,IF(MAX(I106,AP106)&gt;=2,3,0)))+IF(K106="High",10,IF(K106="Medium",5,0))))</x:f>
      </x:c>
      <x:c r="AC106" s="73" t="str">
        <x:f>IF(A106="","",IF(NOT(ISNUMBER(AB106)),"Review inputs",IF(AB106&gt;=70,"P0 - Immediate",IF(AB106&gt;=50,"P1 - High",IF(AB106&gt;=30,"P2 - Medium",IF(AB106&gt;=15,"P3 - Low","P4 - Monitor"))))))</x:f>
      </x:c>
      <x:c r="AD106" s="73"/>
      <x:c r="AE106" s="73"/>
      <x:c r="AF106" s="73"/>
      <x:c r="AG106" s="77"/>
      <x:c r="AH106" s="73"/>
      <x:c r="AI106" s="91"/>
      <x:c r="AJ106" s="91"/>
      <x:c r="AK106" s="91"/>
      <x:c r="AL106" s="92"/>
      <x:c r="AM106" s="91"/>
      <x:c r="AN106" s="91"/>
      <x:c r="AO106" s="93"/>
      <x:c r="AP106" s="94"/>
      <x:c r="AQ106" s="91"/>
      <x:c r="AR106" s="91"/>
      <x:c r="AS106" s="91"/>
      <x:c r="AT106" s="91"/>
      <x:c r="AU106" s="91"/>
      <x:c r="AV106" s="91"/>
      <x:c r="AW106" s="91"/>
      <x:c r="AX106" s="91"/>
      <x:c r="AY106" s="91"/>
      <x:c r="AZ106" s="92"/>
      <x:c r="BA106" s="94"/>
      <x:c r="BB106" s="91"/>
      <x:c r="BC106" s="92"/>
      <x:c r="BD106" s="92"/>
      <x:c r="BE106" s="91"/>
      <x:c r="BF106" s="91"/>
      <x:c r="BG106" s="91"/>
      <x:c r="BH106" s="91"/>
      <x:c r="BI106" s="91"/>
      <x:c r="BJ106" s="91"/>
      <x:c r="BK106" s="91"/>
      <x:c r="BL106" s="91"/>
      <x:c r="BM106" s="73" t="str">
        <x:f>IF(A106="","",IF(AI106="Example","Example only",IF(AI106&lt;&gt;"Actual","Set record type",IF(COUNTIF($A$2:$A$1001,A106)&gt;1,"Duplicate record ID",IF(OR(D106="",E106="",AF106="",NOT(ISNUMBER(AG106)),AJ106="",AK106="",NOT(ISNUMBER(AL106)),AND(AM106&lt;&gt;"Observed",AM106&lt;&gt;"Corroborated",AM106&lt;&gt;"Declared"),OR(AN106="",AN106="Unknown"),OR(AQ106="",AQ106="Unknown"),OR(AR106="",AR106="Unknown",AR106="TBD"),OR(BC106="",NOT(ISNUMBER(BC106)))),"Evidence incomplete","Evidence recorded; review scope")))))</x:f>
      </x:c>
      <x:c r="BN106" s="73"/>
    </x:row>
    <x:row r="107" ht="34" customHeight="1">
      <x:c r="A107" s="73"/>
      <x:c r="B107" s="73"/>
      <x:c r="C107" s="73"/>
      <x:c r="D107" s="73"/>
      <x:c r="E107" s="73"/>
      <x:c r="F107" s="73"/>
      <x:c r="G107" s="73"/>
      <x:c r="H107" s="73"/>
      <x:c r="I107" s="75"/>
      <x:c r="J107" s="73"/>
      <x:c r="K107" s="73"/>
      <x:c r="L107" s="76"/>
      <x:c r="M107" s="73"/>
      <x:c r="N107" s="73"/>
      <x:c r="O107" s="73"/>
      <x:c r="P107" s="73"/>
      <x:c r="Q107" s="76"/>
      <x:c r="R107" s="73"/>
      <x:c r="S107" s="73"/>
      <x:c r="T107" s="73"/>
      <x:c r="U107" s="73"/>
      <x:c r="V107" s="73"/>
      <x:c r="W107" s="73"/>
      <x:c r="X107" s="73"/>
      <x:c r="Y107" s="73"/>
      <x:c r="Z107" s="73"/>
      <x:c r="AA107" s="73"/>
      <x:c r="AB107" s="76" t="str">
        <x:f>IF(A107="","",IF(OR(NOT(ISNUMBER(I107)),I107&lt;0,NOT(ISNUMBER(AP107)),AP107&lt;0,NOT(ISNUMBER(L107)),L107&lt;1,L107&gt;5,L107&lt;&gt;INT(L107),AND(J107&lt;&gt;"Public",J107&lt;&gt;"Partner",J107&lt;&gt;"Internal",J107&lt;&gt;"None"),AND(K107&lt;&gt;"High",K107&lt;&gt;"Medium",K107&lt;&gt;"Low",K107&lt;&gt;"None"),AND(W107&lt;&gt;"Hard-coded",W107&lt;&gt;"Configurable",W107&lt;&gt;"Policy-managed",W107&lt;&gt;"API/Library abstraction",W107&lt;&gt;"Automated"),AND(Z107&lt;&gt;"Y",Z107&lt;&gt;"N"),AND(AA107&lt;&gt;"Y",AA107&lt;&gt;"N")),"Incomplete",IF(Z107="Y",20,0)+L107*5+IF(AA107="Y",15,0)+IF(J107="Public",10,IF(J107="Partner",7,IF(J107="Internal",3,0)))+IF(W107="Hard-coded",10,IF(W107="Configurable",3,0))+IF(MAX(I107,AP107)&gt;=10,10,IF(MAX(I107,AP107)&gt;=5,7,IF(MAX(I107,AP107)&gt;=2,3,0)))+IF(K107="High",10,IF(K107="Medium",5,0))))</x:f>
      </x:c>
      <x:c r="AC107" s="73" t="str">
        <x:f>IF(A107="","",IF(NOT(ISNUMBER(AB107)),"Review inputs",IF(AB107&gt;=70,"P0 - Immediate",IF(AB107&gt;=50,"P1 - High",IF(AB107&gt;=30,"P2 - Medium",IF(AB107&gt;=15,"P3 - Low","P4 - Monitor"))))))</x:f>
      </x:c>
      <x:c r="AD107" s="73"/>
      <x:c r="AE107" s="73"/>
      <x:c r="AF107" s="73"/>
      <x:c r="AG107" s="77"/>
      <x:c r="AH107" s="73"/>
      <x:c r="AI107" s="91"/>
      <x:c r="AJ107" s="91"/>
      <x:c r="AK107" s="91"/>
      <x:c r="AL107" s="92"/>
      <x:c r="AM107" s="91"/>
      <x:c r="AN107" s="91"/>
      <x:c r="AO107" s="93"/>
      <x:c r="AP107" s="94"/>
      <x:c r="AQ107" s="91"/>
      <x:c r="AR107" s="91"/>
      <x:c r="AS107" s="91"/>
      <x:c r="AT107" s="91"/>
      <x:c r="AU107" s="91"/>
      <x:c r="AV107" s="91"/>
      <x:c r="AW107" s="91"/>
      <x:c r="AX107" s="91"/>
      <x:c r="AY107" s="91"/>
      <x:c r="AZ107" s="92"/>
      <x:c r="BA107" s="94"/>
      <x:c r="BB107" s="91"/>
      <x:c r="BC107" s="92"/>
      <x:c r="BD107" s="92"/>
      <x:c r="BE107" s="91"/>
      <x:c r="BF107" s="91"/>
      <x:c r="BG107" s="91"/>
      <x:c r="BH107" s="91"/>
      <x:c r="BI107" s="91"/>
      <x:c r="BJ107" s="91"/>
      <x:c r="BK107" s="91"/>
      <x:c r="BL107" s="91"/>
      <x:c r="BM107" s="73" t="str">
        <x:f>IF(A107="","",IF(AI107="Example","Example only",IF(AI107&lt;&gt;"Actual","Set record type",IF(COUNTIF($A$2:$A$1001,A107)&gt;1,"Duplicate record ID",IF(OR(D107="",E107="",AF107="",NOT(ISNUMBER(AG107)),AJ107="",AK107="",NOT(ISNUMBER(AL107)),AND(AM107&lt;&gt;"Observed",AM107&lt;&gt;"Corroborated",AM107&lt;&gt;"Declared"),OR(AN107="",AN107="Unknown"),OR(AQ107="",AQ107="Unknown"),OR(AR107="",AR107="Unknown",AR107="TBD"),OR(BC107="",NOT(ISNUMBER(BC107)))),"Evidence incomplete","Evidence recorded; review scope")))))</x:f>
      </x:c>
      <x:c r="BN107" s="73"/>
    </x:row>
    <x:row r="108" ht="34" customHeight="1">
      <x:c r="A108" s="73"/>
      <x:c r="B108" s="73"/>
      <x:c r="C108" s="73"/>
      <x:c r="D108" s="73"/>
      <x:c r="E108" s="73"/>
      <x:c r="F108" s="73"/>
      <x:c r="G108" s="73"/>
      <x:c r="H108" s="73"/>
      <x:c r="I108" s="75"/>
      <x:c r="J108" s="73"/>
      <x:c r="K108" s="73"/>
      <x:c r="L108" s="76"/>
      <x:c r="M108" s="73"/>
      <x:c r="N108" s="73"/>
      <x:c r="O108" s="73"/>
      <x:c r="P108" s="73"/>
      <x:c r="Q108" s="76"/>
      <x:c r="R108" s="73"/>
      <x:c r="S108" s="73"/>
      <x:c r="T108" s="73"/>
      <x:c r="U108" s="73"/>
      <x:c r="V108" s="73"/>
      <x:c r="W108" s="73"/>
      <x:c r="X108" s="73"/>
      <x:c r="Y108" s="73"/>
      <x:c r="Z108" s="73"/>
      <x:c r="AA108" s="73"/>
      <x:c r="AB108" s="76" t="str">
        <x:f>IF(A108="","",IF(OR(NOT(ISNUMBER(I108)),I108&lt;0,NOT(ISNUMBER(AP108)),AP108&lt;0,NOT(ISNUMBER(L108)),L108&lt;1,L108&gt;5,L108&lt;&gt;INT(L108),AND(J108&lt;&gt;"Public",J108&lt;&gt;"Partner",J108&lt;&gt;"Internal",J108&lt;&gt;"None"),AND(K108&lt;&gt;"High",K108&lt;&gt;"Medium",K108&lt;&gt;"Low",K108&lt;&gt;"None"),AND(W108&lt;&gt;"Hard-coded",W108&lt;&gt;"Configurable",W108&lt;&gt;"Policy-managed",W108&lt;&gt;"API/Library abstraction",W108&lt;&gt;"Automated"),AND(Z108&lt;&gt;"Y",Z108&lt;&gt;"N"),AND(AA108&lt;&gt;"Y",AA108&lt;&gt;"N")),"Incomplete",IF(Z108="Y",20,0)+L108*5+IF(AA108="Y",15,0)+IF(J108="Public",10,IF(J108="Partner",7,IF(J108="Internal",3,0)))+IF(W108="Hard-coded",10,IF(W108="Configurable",3,0))+IF(MAX(I108,AP108)&gt;=10,10,IF(MAX(I108,AP108)&gt;=5,7,IF(MAX(I108,AP108)&gt;=2,3,0)))+IF(K108="High",10,IF(K108="Medium",5,0))))</x:f>
      </x:c>
      <x:c r="AC108" s="73" t="str">
        <x:f>IF(A108="","",IF(NOT(ISNUMBER(AB108)),"Review inputs",IF(AB108&gt;=70,"P0 - Immediate",IF(AB108&gt;=50,"P1 - High",IF(AB108&gt;=30,"P2 - Medium",IF(AB108&gt;=15,"P3 - Low","P4 - Monitor"))))))</x:f>
      </x:c>
      <x:c r="AD108" s="73"/>
      <x:c r="AE108" s="73"/>
      <x:c r="AF108" s="73"/>
      <x:c r="AG108" s="77"/>
      <x:c r="AH108" s="73"/>
      <x:c r="AI108" s="91"/>
      <x:c r="AJ108" s="91"/>
      <x:c r="AK108" s="91"/>
      <x:c r="AL108" s="92"/>
      <x:c r="AM108" s="91"/>
      <x:c r="AN108" s="91"/>
      <x:c r="AO108" s="93"/>
      <x:c r="AP108" s="94"/>
      <x:c r="AQ108" s="91"/>
      <x:c r="AR108" s="91"/>
      <x:c r="AS108" s="91"/>
      <x:c r="AT108" s="91"/>
      <x:c r="AU108" s="91"/>
      <x:c r="AV108" s="91"/>
      <x:c r="AW108" s="91"/>
      <x:c r="AX108" s="91"/>
      <x:c r="AY108" s="91"/>
      <x:c r="AZ108" s="92"/>
      <x:c r="BA108" s="94"/>
      <x:c r="BB108" s="91"/>
      <x:c r="BC108" s="92"/>
      <x:c r="BD108" s="92"/>
      <x:c r="BE108" s="91"/>
      <x:c r="BF108" s="91"/>
      <x:c r="BG108" s="91"/>
      <x:c r="BH108" s="91"/>
      <x:c r="BI108" s="91"/>
      <x:c r="BJ108" s="91"/>
      <x:c r="BK108" s="91"/>
      <x:c r="BL108" s="91"/>
      <x:c r="BM108" s="73" t="str">
        <x:f>IF(A108="","",IF(AI108="Example","Example only",IF(AI108&lt;&gt;"Actual","Set record type",IF(COUNTIF($A$2:$A$1001,A108)&gt;1,"Duplicate record ID",IF(OR(D108="",E108="",AF108="",NOT(ISNUMBER(AG108)),AJ108="",AK108="",NOT(ISNUMBER(AL108)),AND(AM108&lt;&gt;"Observed",AM108&lt;&gt;"Corroborated",AM108&lt;&gt;"Declared"),OR(AN108="",AN108="Unknown"),OR(AQ108="",AQ108="Unknown"),OR(AR108="",AR108="Unknown",AR108="TBD"),OR(BC108="",NOT(ISNUMBER(BC108)))),"Evidence incomplete","Evidence recorded; review scope")))))</x:f>
      </x:c>
      <x:c r="BN108" s="73"/>
    </x:row>
    <x:row r="109" ht="34" customHeight="1">
      <x:c r="A109" s="73"/>
      <x:c r="B109" s="73"/>
      <x:c r="C109" s="73"/>
      <x:c r="D109" s="73"/>
      <x:c r="E109" s="73"/>
      <x:c r="F109" s="73"/>
      <x:c r="G109" s="73"/>
      <x:c r="H109" s="73"/>
      <x:c r="I109" s="75"/>
      <x:c r="J109" s="73"/>
      <x:c r="K109" s="73"/>
      <x:c r="L109" s="76"/>
      <x:c r="M109" s="73"/>
      <x:c r="N109" s="73"/>
      <x:c r="O109" s="73"/>
      <x:c r="P109" s="73"/>
      <x:c r="Q109" s="76"/>
      <x:c r="R109" s="73"/>
      <x:c r="S109" s="73"/>
      <x:c r="T109" s="73"/>
      <x:c r="U109" s="73"/>
      <x:c r="V109" s="73"/>
      <x:c r="W109" s="73"/>
      <x:c r="X109" s="73"/>
      <x:c r="Y109" s="73"/>
      <x:c r="Z109" s="73"/>
      <x:c r="AA109" s="73"/>
      <x:c r="AB109" s="76" t="str">
        <x:f>IF(A109="","",IF(OR(NOT(ISNUMBER(I109)),I109&lt;0,NOT(ISNUMBER(AP109)),AP109&lt;0,NOT(ISNUMBER(L109)),L109&lt;1,L109&gt;5,L109&lt;&gt;INT(L109),AND(J109&lt;&gt;"Public",J109&lt;&gt;"Partner",J109&lt;&gt;"Internal",J109&lt;&gt;"None"),AND(K109&lt;&gt;"High",K109&lt;&gt;"Medium",K109&lt;&gt;"Low",K109&lt;&gt;"None"),AND(W109&lt;&gt;"Hard-coded",W109&lt;&gt;"Configurable",W109&lt;&gt;"Policy-managed",W109&lt;&gt;"API/Library abstraction",W109&lt;&gt;"Automated"),AND(Z109&lt;&gt;"Y",Z109&lt;&gt;"N"),AND(AA109&lt;&gt;"Y",AA109&lt;&gt;"N")),"Incomplete",IF(Z109="Y",20,0)+L109*5+IF(AA109="Y",15,0)+IF(J109="Public",10,IF(J109="Partner",7,IF(J109="Internal",3,0)))+IF(W109="Hard-coded",10,IF(W109="Configurable",3,0))+IF(MAX(I109,AP109)&gt;=10,10,IF(MAX(I109,AP109)&gt;=5,7,IF(MAX(I109,AP109)&gt;=2,3,0)))+IF(K109="High",10,IF(K109="Medium",5,0))))</x:f>
      </x:c>
      <x:c r="AC109" s="73" t="str">
        <x:f>IF(A109="","",IF(NOT(ISNUMBER(AB109)),"Review inputs",IF(AB109&gt;=70,"P0 - Immediate",IF(AB109&gt;=50,"P1 - High",IF(AB109&gt;=30,"P2 - Medium",IF(AB109&gt;=15,"P3 - Low","P4 - Monitor"))))))</x:f>
      </x:c>
      <x:c r="AD109" s="73"/>
      <x:c r="AE109" s="73"/>
      <x:c r="AF109" s="73"/>
      <x:c r="AG109" s="77"/>
      <x:c r="AH109" s="73"/>
      <x:c r="AI109" s="91"/>
      <x:c r="AJ109" s="91"/>
      <x:c r="AK109" s="91"/>
      <x:c r="AL109" s="92"/>
      <x:c r="AM109" s="91"/>
      <x:c r="AN109" s="91"/>
      <x:c r="AO109" s="93"/>
      <x:c r="AP109" s="94"/>
      <x:c r="AQ109" s="91"/>
      <x:c r="AR109" s="91"/>
      <x:c r="AS109" s="91"/>
      <x:c r="AT109" s="91"/>
      <x:c r="AU109" s="91"/>
      <x:c r="AV109" s="91"/>
      <x:c r="AW109" s="91"/>
      <x:c r="AX109" s="91"/>
      <x:c r="AY109" s="91"/>
      <x:c r="AZ109" s="92"/>
      <x:c r="BA109" s="94"/>
      <x:c r="BB109" s="91"/>
      <x:c r="BC109" s="92"/>
      <x:c r="BD109" s="92"/>
      <x:c r="BE109" s="91"/>
      <x:c r="BF109" s="91"/>
      <x:c r="BG109" s="91"/>
      <x:c r="BH109" s="91"/>
      <x:c r="BI109" s="91"/>
      <x:c r="BJ109" s="91"/>
      <x:c r="BK109" s="91"/>
      <x:c r="BL109" s="91"/>
      <x:c r="BM109" s="73" t="str">
        <x:f>IF(A109="","",IF(AI109="Example","Example only",IF(AI109&lt;&gt;"Actual","Set record type",IF(COUNTIF($A$2:$A$1001,A109)&gt;1,"Duplicate record ID",IF(OR(D109="",E109="",AF109="",NOT(ISNUMBER(AG109)),AJ109="",AK109="",NOT(ISNUMBER(AL109)),AND(AM109&lt;&gt;"Observed",AM109&lt;&gt;"Corroborated",AM109&lt;&gt;"Declared"),OR(AN109="",AN109="Unknown"),OR(AQ109="",AQ109="Unknown"),OR(AR109="",AR109="Unknown",AR109="TBD"),OR(BC109="",NOT(ISNUMBER(BC109)))),"Evidence incomplete","Evidence recorded; review scope")))))</x:f>
      </x:c>
      <x:c r="BN109" s="73"/>
    </x:row>
    <x:row r="110" ht="34" customHeight="1">
      <x:c r="A110" s="73"/>
      <x:c r="B110" s="73"/>
      <x:c r="C110" s="73"/>
      <x:c r="D110" s="73"/>
      <x:c r="E110" s="73"/>
      <x:c r="F110" s="73"/>
      <x:c r="G110" s="73"/>
      <x:c r="H110" s="73"/>
      <x:c r="I110" s="75"/>
      <x:c r="J110" s="73"/>
      <x:c r="K110" s="73"/>
      <x:c r="L110" s="76"/>
      <x:c r="M110" s="73"/>
      <x:c r="N110" s="73"/>
      <x:c r="O110" s="73"/>
      <x:c r="P110" s="73"/>
      <x:c r="Q110" s="76"/>
      <x:c r="R110" s="73"/>
      <x:c r="S110" s="73"/>
      <x:c r="T110" s="73"/>
      <x:c r="U110" s="73"/>
      <x:c r="V110" s="73"/>
      <x:c r="W110" s="73"/>
      <x:c r="X110" s="73"/>
      <x:c r="Y110" s="73"/>
      <x:c r="Z110" s="73"/>
      <x:c r="AA110" s="73"/>
      <x:c r="AB110" s="76" t="str">
        <x:f>IF(A110="","",IF(OR(NOT(ISNUMBER(I110)),I110&lt;0,NOT(ISNUMBER(AP110)),AP110&lt;0,NOT(ISNUMBER(L110)),L110&lt;1,L110&gt;5,L110&lt;&gt;INT(L110),AND(J110&lt;&gt;"Public",J110&lt;&gt;"Partner",J110&lt;&gt;"Internal",J110&lt;&gt;"None"),AND(K110&lt;&gt;"High",K110&lt;&gt;"Medium",K110&lt;&gt;"Low",K110&lt;&gt;"None"),AND(W110&lt;&gt;"Hard-coded",W110&lt;&gt;"Configurable",W110&lt;&gt;"Policy-managed",W110&lt;&gt;"API/Library abstraction",W110&lt;&gt;"Automated"),AND(Z110&lt;&gt;"Y",Z110&lt;&gt;"N"),AND(AA110&lt;&gt;"Y",AA110&lt;&gt;"N")),"Incomplete",IF(Z110="Y",20,0)+L110*5+IF(AA110="Y",15,0)+IF(J110="Public",10,IF(J110="Partner",7,IF(J110="Internal",3,0)))+IF(W110="Hard-coded",10,IF(W110="Configurable",3,0))+IF(MAX(I110,AP110)&gt;=10,10,IF(MAX(I110,AP110)&gt;=5,7,IF(MAX(I110,AP110)&gt;=2,3,0)))+IF(K110="High",10,IF(K110="Medium",5,0))))</x:f>
      </x:c>
      <x:c r="AC110" s="73" t="str">
        <x:f>IF(A110="","",IF(NOT(ISNUMBER(AB110)),"Review inputs",IF(AB110&gt;=70,"P0 - Immediate",IF(AB110&gt;=50,"P1 - High",IF(AB110&gt;=30,"P2 - Medium",IF(AB110&gt;=15,"P3 - Low","P4 - Monitor"))))))</x:f>
      </x:c>
      <x:c r="AD110" s="73"/>
      <x:c r="AE110" s="73"/>
      <x:c r="AF110" s="73"/>
      <x:c r="AG110" s="77"/>
      <x:c r="AH110" s="73"/>
      <x:c r="AI110" s="91"/>
      <x:c r="AJ110" s="91"/>
      <x:c r="AK110" s="91"/>
      <x:c r="AL110" s="92"/>
      <x:c r="AM110" s="91"/>
      <x:c r="AN110" s="91"/>
      <x:c r="AO110" s="93"/>
      <x:c r="AP110" s="94"/>
      <x:c r="AQ110" s="91"/>
      <x:c r="AR110" s="91"/>
      <x:c r="AS110" s="91"/>
      <x:c r="AT110" s="91"/>
      <x:c r="AU110" s="91"/>
      <x:c r="AV110" s="91"/>
      <x:c r="AW110" s="91"/>
      <x:c r="AX110" s="91"/>
      <x:c r="AY110" s="91"/>
      <x:c r="AZ110" s="92"/>
      <x:c r="BA110" s="94"/>
      <x:c r="BB110" s="91"/>
      <x:c r="BC110" s="92"/>
      <x:c r="BD110" s="92"/>
      <x:c r="BE110" s="91"/>
      <x:c r="BF110" s="91"/>
      <x:c r="BG110" s="91"/>
      <x:c r="BH110" s="91"/>
      <x:c r="BI110" s="91"/>
      <x:c r="BJ110" s="91"/>
      <x:c r="BK110" s="91"/>
      <x:c r="BL110" s="91"/>
      <x:c r="BM110" s="73" t="str">
        <x:f>IF(A110="","",IF(AI110="Example","Example only",IF(AI110&lt;&gt;"Actual","Set record type",IF(COUNTIF($A$2:$A$1001,A110)&gt;1,"Duplicate record ID",IF(OR(D110="",E110="",AF110="",NOT(ISNUMBER(AG110)),AJ110="",AK110="",NOT(ISNUMBER(AL110)),AND(AM110&lt;&gt;"Observed",AM110&lt;&gt;"Corroborated",AM110&lt;&gt;"Declared"),OR(AN110="",AN110="Unknown"),OR(AQ110="",AQ110="Unknown"),OR(AR110="",AR110="Unknown",AR110="TBD"),OR(BC110="",NOT(ISNUMBER(BC110)))),"Evidence incomplete","Evidence recorded; review scope")))))</x:f>
      </x:c>
      <x:c r="BN110" s="73"/>
    </x:row>
    <x:row r="111" ht="34" customHeight="1">
      <x:c r="A111" s="73"/>
      <x:c r="B111" s="73"/>
      <x:c r="C111" s="73"/>
      <x:c r="D111" s="73"/>
      <x:c r="E111" s="73"/>
      <x:c r="F111" s="73"/>
      <x:c r="G111" s="73"/>
      <x:c r="H111" s="73"/>
      <x:c r="I111" s="75"/>
      <x:c r="J111" s="73"/>
      <x:c r="K111" s="73"/>
      <x:c r="L111" s="76"/>
      <x:c r="M111" s="73"/>
      <x:c r="N111" s="73"/>
      <x:c r="O111" s="73"/>
      <x:c r="P111" s="73"/>
      <x:c r="Q111" s="76"/>
      <x:c r="R111" s="73"/>
      <x:c r="S111" s="73"/>
      <x:c r="T111" s="73"/>
      <x:c r="U111" s="73"/>
      <x:c r="V111" s="73"/>
      <x:c r="W111" s="73"/>
      <x:c r="X111" s="73"/>
      <x:c r="Y111" s="73"/>
      <x:c r="Z111" s="73"/>
      <x:c r="AA111" s="73"/>
      <x:c r="AB111" s="76" t="str">
        <x:f>IF(A111="","",IF(OR(NOT(ISNUMBER(I111)),I111&lt;0,NOT(ISNUMBER(AP111)),AP111&lt;0,NOT(ISNUMBER(L111)),L111&lt;1,L111&gt;5,L111&lt;&gt;INT(L111),AND(J111&lt;&gt;"Public",J111&lt;&gt;"Partner",J111&lt;&gt;"Internal",J111&lt;&gt;"None"),AND(K111&lt;&gt;"High",K111&lt;&gt;"Medium",K111&lt;&gt;"Low",K111&lt;&gt;"None"),AND(W111&lt;&gt;"Hard-coded",W111&lt;&gt;"Configurable",W111&lt;&gt;"Policy-managed",W111&lt;&gt;"API/Library abstraction",W111&lt;&gt;"Automated"),AND(Z111&lt;&gt;"Y",Z111&lt;&gt;"N"),AND(AA111&lt;&gt;"Y",AA111&lt;&gt;"N")),"Incomplete",IF(Z111="Y",20,0)+L111*5+IF(AA111="Y",15,0)+IF(J111="Public",10,IF(J111="Partner",7,IF(J111="Internal",3,0)))+IF(W111="Hard-coded",10,IF(W111="Configurable",3,0))+IF(MAX(I111,AP111)&gt;=10,10,IF(MAX(I111,AP111)&gt;=5,7,IF(MAX(I111,AP111)&gt;=2,3,0)))+IF(K111="High",10,IF(K111="Medium",5,0))))</x:f>
      </x:c>
      <x:c r="AC111" s="73" t="str">
        <x:f>IF(A111="","",IF(NOT(ISNUMBER(AB111)),"Review inputs",IF(AB111&gt;=70,"P0 - Immediate",IF(AB111&gt;=50,"P1 - High",IF(AB111&gt;=30,"P2 - Medium",IF(AB111&gt;=15,"P3 - Low","P4 - Monitor"))))))</x:f>
      </x:c>
      <x:c r="AD111" s="73"/>
      <x:c r="AE111" s="73"/>
      <x:c r="AF111" s="73"/>
      <x:c r="AG111" s="77"/>
      <x:c r="AH111" s="73"/>
      <x:c r="AI111" s="91"/>
      <x:c r="AJ111" s="91"/>
      <x:c r="AK111" s="91"/>
      <x:c r="AL111" s="92"/>
      <x:c r="AM111" s="91"/>
      <x:c r="AN111" s="91"/>
      <x:c r="AO111" s="93"/>
      <x:c r="AP111" s="94"/>
      <x:c r="AQ111" s="91"/>
      <x:c r="AR111" s="91"/>
      <x:c r="AS111" s="91"/>
      <x:c r="AT111" s="91"/>
      <x:c r="AU111" s="91"/>
      <x:c r="AV111" s="91"/>
      <x:c r="AW111" s="91"/>
      <x:c r="AX111" s="91"/>
      <x:c r="AY111" s="91"/>
      <x:c r="AZ111" s="92"/>
      <x:c r="BA111" s="94"/>
      <x:c r="BB111" s="91"/>
      <x:c r="BC111" s="92"/>
      <x:c r="BD111" s="92"/>
      <x:c r="BE111" s="91"/>
      <x:c r="BF111" s="91"/>
      <x:c r="BG111" s="91"/>
      <x:c r="BH111" s="91"/>
      <x:c r="BI111" s="91"/>
      <x:c r="BJ111" s="91"/>
      <x:c r="BK111" s="91"/>
      <x:c r="BL111" s="91"/>
      <x:c r="BM111" s="73" t="str">
        <x:f>IF(A111="","",IF(AI111="Example","Example only",IF(AI111&lt;&gt;"Actual","Set record type",IF(COUNTIF($A$2:$A$1001,A111)&gt;1,"Duplicate record ID",IF(OR(D111="",E111="",AF111="",NOT(ISNUMBER(AG111)),AJ111="",AK111="",NOT(ISNUMBER(AL111)),AND(AM111&lt;&gt;"Observed",AM111&lt;&gt;"Corroborated",AM111&lt;&gt;"Declared"),OR(AN111="",AN111="Unknown"),OR(AQ111="",AQ111="Unknown"),OR(AR111="",AR111="Unknown",AR111="TBD"),OR(BC111="",NOT(ISNUMBER(BC111)))),"Evidence incomplete","Evidence recorded; review scope")))))</x:f>
      </x:c>
      <x:c r="BN111" s="73"/>
    </x:row>
    <x:row r="112" ht="34" customHeight="1">
      <x:c r="A112" s="73"/>
      <x:c r="B112" s="73"/>
      <x:c r="C112" s="73"/>
      <x:c r="D112" s="73"/>
      <x:c r="E112" s="73"/>
      <x:c r="F112" s="73"/>
      <x:c r="G112" s="73"/>
      <x:c r="H112" s="73"/>
      <x:c r="I112" s="75"/>
      <x:c r="J112" s="73"/>
      <x:c r="K112" s="73"/>
      <x:c r="L112" s="76"/>
      <x:c r="M112" s="73"/>
      <x:c r="N112" s="73"/>
      <x:c r="O112" s="73"/>
      <x:c r="P112" s="73"/>
      <x:c r="Q112" s="76"/>
      <x:c r="R112" s="73"/>
      <x:c r="S112" s="73"/>
      <x:c r="T112" s="73"/>
      <x:c r="U112" s="73"/>
      <x:c r="V112" s="73"/>
      <x:c r="W112" s="73"/>
      <x:c r="X112" s="73"/>
      <x:c r="Y112" s="73"/>
      <x:c r="Z112" s="73"/>
      <x:c r="AA112" s="73"/>
      <x:c r="AB112" s="76" t="str">
        <x:f>IF(A112="","",IF(OR(NOT(ISNUMBER(I112)),I112&lt;0,NOT(ISNUMBER(AP112)),AP112&lt;0,NOT(ISNUMBER(L112)),L112&lt;1,L112&gt;5,L112&lt;&gt;INT(L112),AND(J112&lt;&gt;"Public",J112&lt;&gt;"Partner",J112&lt;&gt;"Internal",J112&lt;&gt;"None"),AND(K112&lt;&gt;"High",K112&lt;&gt;"Medium",K112&lt;&gt;"Low",K112&lt;&gt;"None"),AND(W112&lt;&gt;"Hard-coded",W112&lt;&gt;"Configurable",W112&lt;&gt;"Policy-managed",W112&lt;&gt;"API/Library abstraction",W112&lt;&gt;"Automated"),AND(Z112&lt;&gt;"Y",Z112&lt;&gt;"N"),AND(AA112&lt;&gt;"Y",AA112&lt;&gt;"N")),"Incomplete",IF(Z112="Y",20,0)+L112*5+IF(AA112="Y",15,0)+IF(J112="Public",10,IF(J112="Partner",7,IF(J112="Internal",3,0)))+IF(W112="Hard-coded",10,IF(W112="Configurable",3,0))+IF(MAX(I112,AP112)&gt;=10,10,IF(MAX(I112,AP112)&gt;=5,7,IF(MAX(I112,AP112)&gt;=2,3,0)))+IF(K112="High",10,IF(K112="Medium",5,0))))</x:f>
      </x:c>
      <x:c r="AC112" s="73" t="str">
        <x:f>IF(A112="","",IF(NOT(ISNUMBER(AB112)),"Review inputs",IF(AB112&gt;=70,"P0 - Immediate",IF(AB112&gt;=50,"P1 - High",IF(AB112&gt;=30,"P2 - Medium",IF(AB112&gt;=15,"P3 - Low","P4 - Monitor"))))))</x:f>
      </x:c>
      <x:c r="AD112" s="73"/>
      <x:c r="AE112" s="73"/>
      <x:c r="AF112" s="73"/>
      <x:c r="AG112" s="77"/>
      <x:c r="AH112" s="73"/>
      <x:c r="AI112" s="91"/>
      <x:c r="AJ112" s="91"/>
      <x:c r="AK112" s="91"/>
      <x:c r="AL112" s="92"/>
      <x:c r="AM112" s="91"/>
      <x:c r="AN112" s="91"/>
      <x:c r="AO112" s="93"/>
      <x:c r="AP112" s="94"/>
      <x:c r="AQ112" s="91"/>
      <x:c r="AR112" s="91"/>
      <x:c r="AS112" s="91"/>
      <x:c r="AT112" s="91"/>
      <x:c r="AU112" s="91"/>
      <x:c r="AV112" s="91"/>
      <x:c r="AW112" s="91"/>
      <x:c r="AX112" s="91"/>
      <x:c r="AY112" s="91"/>
      <x:c r="AZ112" s="92"/>
      <x:c r="BA112" s="94"/>
      <x:c r="BB112" s="91"/>
      <x:c r="BC112" s="92"/>
      <x:c r="BD112" s="92"/>
      <x:c r="BE112" s="91"/>
      <x:c r="BF112" s="91"/>
      <x:c r="BG112" s="91"/>
      <x:c r="BH112" s="91"/>
      <x:c r="BI112" s="91"/>
      <x:c r="BJ112" s="91"/>
      <x:c r="BK112" s="91"/>
      <x:c r="BL112" s="91"/>
      <x:c r="BM112" s="73" t="str">
        <x:f>IF(A112="","",IF(AI112="Example","Example only",IF(AI112&lt;&gt;"Actual","Set record type",IF(COUNTIF($A$2:$A$1001,A112)&gt;1,"Duplicate record ID",IF(OR(D112="",E112="",AF112="",NOT(ISNUMBER(AG112)),AJ112="",AK112="",NOT(ISNUMBER(AL112)),AND(AM112&lt;&gt;"Observed",AM112&lt;&gt;"Corroborated",AM112&lt;&gt;"Declared"),OR(AN112="",AN112="Unknown"),OR(AQ112="",AQ112="Unknown"),OR(AR112="",AR112="Unknown",AR112="TBD"),OR(BC112="",NOT(ISNUMBER(BC112)))),"Evidence incomplete","Evidence recorded; review scope")))))</x:f>
      </x:c>
      <x:c r="BN112" s="73"/>
    </x:row>
    <x:row r="113" ht="34" customHeight="1">
      <x:c r="A113" s="73"/>
      <x:c r="B113" s="73"/>
      <x:c r="C113" s="73"/>
      <x:c r="D113" s="73"/>
      <x:c r="E113" s="73"/>
      <x:c r="F113" s="73"/>
      <x:c r="G113" s="73"/>
      <x:c r="H113" s="73"/>
      <x:c r="I113" s="75"/>
      <x:c r="J113" s="73"/>
      <x:c r="K113" s="73"/>
      <x:c r="L113" s="76"/>
      <x:c r="M113" s="73"/>
      <x:c r="N113" s="73"/>
      <x:c r="O113" s="73"/>
      <x:c r="P113" s="73"/>
      <x:c r="Q113" s="76"/>
      <x:c r="R113" s="73"/>
      <x:c r="S113" s="73"/>
      <x:c r="T113" s="73"/>
      <x:c r="U113" s="73"/>
      <x:c r="V113" s="73"/>
      <x:c r="W113" s="73"/>
      <x:c r="X113" s="73"/>
      <x:c r="Y113" s="73"/>
      <x:c r="Z113" s="73"/>
      <x:c r="AA113" s="73"/>
      <x:c r="AB113" s="76" t="str">
        <x:f>IF(A113="","",IF(OR(NOT(ISNUMBER(I113)),I113&lt;0,NOT(ISNUMBER(AP113)),AP113&lt;0,NOT(ISNUMBER(L113)),L113&lt;1,L113&gt;5,L113&lt;&gt;INT(L113),AND(J113&lt;&gt;"Public",J113&lt;&gt;"Partner",J113&lt;&gt;"Internal",J113&lt;&gt;"None"),AND(K113&lt;&gt;"High",K113&lt;&gt;"Medium",K113&lt;&gt;"Low",K113&lt;&gt;"None"),AND(W113&lt;&gt;"Hard-coded",W113&lt;&gt;"Configurable",W113&lt;&gt;"Policy-managed",W113&lt;&gt;"API/Library abstraction",W113&lt;&gt;"Automated"),AND(Z113&lt;&gt;"Y",Z113&lt;&gt;"N"),AND(AA113&lt;&gt;"Y",AA113&lt;&gt;"N")),"Incomplete",IF(Z113="Y",20,0)+L113*5+IF(AA113="Y",15,0)+IF(J113="Public",10,IF(J113="Partner",7,IF(J113="Internal",3,0)))+IF(W113="Hard-coded",10,IF(W113="Configurable",3,0))+IF(MAX(I113,AP113)&gt;=10,10,IF(MAX(I113,AP113)&gt;=5,7,IF(MAX(I113,AP113)&gt;=2,3,0)))+IF(K113="High",10,IF(K113="Medium",5,0))))</x:f>
      </x:c>
      <x:c r="AC113" s="73" t="str">
        <x:f>IF(A113="","",IF(NOT(ISNUMBER(AB113)),"Review inputs",IF(AB113&gt;=70,"P0 - Immediate",IF(AB113&gt;=50,"P1 - High",IF(AB113&gt;=30,"P2 - Medium",IF(AB113&gt;=15,"P3 - Low","P4 - Monitor"))))))</x:f>
      </x:c>
      <x:c r="AD113" s="73"/>
      <x:c r="AE113" s="73"/>
      <x:c r="AF113" s="73"/>
      <x:c r="AG113" s="77"/>
      <x:c r="AH113" s="73"/>
      <x:c r="AI113" s="91"/>
      <x:c r="AJ113" s="91"/>
      <x:c r="AK113" s="91"/>
      <x:c r="AL113" s="92"/>
      <x:c r="AM113" s="91"/>
      <x:c r="AN113" s="91"/>
      <x:c r="AO113" s="93"/>
      <x:c r="AP113" s="94"/>
      <x:c r="AQ113" s="91"/>
      <x:c r="AR113" s="91"/>
      <x:c r="AS113" s="91"/>
      <x:c r="AT113" s="91"/>
      <x:c r="AU113" s="91"/>
      <x:c r="AV113" s="91"/>
      <x:c r="AW113" s="91"/>
      <x:c r="AX113" s="91"/>
      <x:c r="AY113" s="91"/>
      <x:c r="AZ113" s="92"/>
      <x:c r="BA113" s="94"/>
      <x:c r="BB113" s="91"/>
      <x:c r="BC113" s="92"/>
      <x:c r="BD113" s="92"/>
      <x:c r="BE113" s="91"/>
      <x:c r="BF113" s="91"/>
      <x:c r="BG113" s="91"/>
      <x:c r="BH113" s="91"/>
      <x:c r="BI113" s="91"/>
      <x:c r="BJ113" s="91"/>
      <x:c r="BK113" s="91"/>
      <x:c r="BL113" s="91"/>
      <x:c r="BM113" s="73" t="str">
        <x:f>IF(A113="","",IF(AI113="Example","Example only",IF(AI113&lt;&gt;"Actual","Set record type",IF(COUNTIF($A$2:$A$1001,A113)&gt;1,"Duplicate record ID",IF(OR(D113="",E113="",AF113="",NOT(ISNUMBER(AG113)),AJ113="",AK113="",NOT(ISNUMBER(AL113)),AND(AM113&lt;&gt;"Observed",AM113&lt;&gt;"Corroborated",AM113&lt;&gt;"Declared"),OR(AN113="",AN113="Unknown"),OR(AQ113="",AQ113="Unknown"),OR(AR113="",AR113="Unknown",AR113="TBD"),OR(BC113="",NOT(ISNUMBER(BC113)))),"Evidence incomplete","Evidence recorded; review scope")))))</x:f>
      </x:c>
      <x:c r="BN113" s="73"/>
    </x:row>
    <x:row r="114" ht="34" customHeight="1">
      <x:c r="A114" s="73"/>
      <x:c r="B114" s="73"/>
      <x:c r="C114" s="73"/>
      <x:c r="D114" s="73"/>
      <x:c r="E114" s="73"/>
      <x:c r="F114" s="73"/>
      <x:c r="G114" s="73"/>
      <x:c r="H114" s="73"/>
      <x:c r="I114" s="75"/>
      <x:c r="J114" s="73"/>
      <x:c r="K114" s="73"/>
      <x:c r="L114" s="76"/>
      <x:c r="M114" s="73"/>
      <x:c r="N114" s="73"/>
      <x:c r="O114" s="73"/>
      <x:c r="P114" s="73"/>
      <x:c r="Q114" s="76"/>
      <x:c r="R114" s="73"/>
      <x:c r="S114" s="73"/>
      <x:c r="T114" s="73"/>
      <x:c r="U114" s="73"/>
      <x:c r="V114" s="73"/>
      <x:c r="W114" s="73"/>
      <x:c r="X114" s="73"/>
      <x:c r="Y114" s="73"/>
      <x:c r="Z114" s="73"/>
      <x:c r="AA114" s="73"/>
      <x:c r="AB114" s="76" t="str">
        <x:f>IF(A114="","",IF(OR(NOT(ISNUMBER(I114)),I114&lt;0,NOT(ISNUMBER(AP114)),AP114&lt;0,NOT(ISNUMBER(L114)),L114&lt;1,L114&gt;5,L114&lt;&gt;INT(L114),AND(J114&lt;&gt;"Public",J114&lt;&gt;"Partner",J114&lt;&gt;"Internal",J114&lt;&gt;"None"),AND(K114&lt;&gt;"High",K114&lt;&gt;"Medium",K114&lt;&gt;"Low",K114&lt;&gt;"None"),AND(W114&lt;&gt;"Hard-coded",W114&lt;&gt;"Configurable",W114&lt;&gt;"Policy-managed",W114&lt;&gt;"API/Library abstraction",W114&lt;&gt;"Automated"),AND(Z114&lt;&gt;"Y",Z114&lt;&gt;"N"),AND(AA114&lt;&gt;"Y",AA114&lt;&gt;"N")),"Incomplete",IF(Z114="Y",20,0)+L114*5+IF(AA114="Y",15,0)+IF(J114="Public",10,IF(J114="Partner",7,IF(J114="Internal",3,0)))+IF(W114="Hard-coded",10,IF(W114="Configurable",3,0))+IF(MAX(I114,AP114)&gt;=10,10,IF(MAX(I114,AP114)&gt;=5,7,IF(MAX(I114,AP114)&gt;=2,3,0)))+IF(K114="High",10,IF(K114="Medium",5,0))))</x:f>
      </x:c>
      <x:c r="AC114" s="73" t="str">
        <x:f>IF(A114="","",IF(NOT(ISNUMBER(AB114)),"Review inputs",IF(AB114&gt;=70,"P0 - Immediate",IF(AB114&gt;=50,"P1 - High",IF(AB114&gt;=30,"P2 - Medium",IF(AB114&gt;=15,"P3 - Low","P4 - Monitor"))))))</x:f>
      </x:c>
      <x:c r="AD114" s="73"/>
      <x:c r="AE114" s="73"/>
      <x:c r="AF114" s="73"/>
      <x:c r="AG114" s="77"/>
      <x:c r="AH114" s="73"/>
      <x:c r="AI114" s="91"/>
      <x:c r="AJ114" s="91"/>
      <x:c r="AK114" s="91"/>
      <x:c r="AL114" s="92"/>
      <x:c r="AM114" s="91"/>
      <x:c r="AN114" s="91"/>
      <x:c r="AO114" s="93"/>
      <x:c r="AP114" s="94"/>
      <x:c r="AQ114" s="91"/>
      <x:c r="AR114" s="91"/>
      <x:c r="AS114" s="91"/>
      <x:c r="AT114" s="91"/>
      <x:c r="AU114" s="91"/>
      <x:c r="AV114" s="91"/>
      <x:c r="AW114" s="91"/>
      <x:c r="AX114" s="91"/>
      <x:c r="AY114" s="91"/>
      <x:c r="AZ114" s="92"/>
      <x:c r="BA114" s="94"/>
      <x:c r="BB114" s="91"/>
      <x:c r="BC114" s="92"/>
      <x:c r="BD114" s="92"/>
      <x:c r="BE114" s="91"/>
      <x:c r="BF114" s="91"/>
      <x:c r="BG114" s="91"/>
      <x:c r="BH114" s="91"/>
      <x:c r="BI114" s="91"/>
      <x:c r="BJ114" s="91"/>
      <x:c r="BK114" s="91"/>
      <x:c r="BL114" s="91"/>
      <x:c r="BM114" s="73" t="str">
        <x:f>IF(A114="","",IF(AI114="Example","Example only",IF(AI114&lt;&gt;"Actual","Set record type",IF(COUNTIF($A$2:$A$1001,A114)&gt;1,"Duplicate record ID",IF(OR(D114="",E114="",AF114="",NOT(ISNUMBER(AG114)),AJ114="",AK114="",NOT(ISNUMBER(AL114)),AND(AM114&lt;&gt;"Observed",AM114&lt;&gt;"Corroborated",AM114&lt;&gt;"Declared"),OR(AN114="",AN114="Unknown"),OR(AQ114="",AQ114="Unknown"),OR(AR114="",AR114="Unknown",AR114="TBD"),OR(BC114="",NOT(ISNUMBER(BC114)))),"Evidence incomplete","Evidence recorded; review scope")))))</x:f>
      </x:c>
      <x:c r="BN114" s="73"/>
    </x:row>
    <x:row r="115" ht="34" customHeight="1">
      <x:c r="A115" s="73"/>
      <x:c r="B115" s="73"/>
      <x:c r="C115" s="73"/>
      <x:c r="D115" s="73"/>
      <x:c r="E115" s="73"/>
      <x:c r="F115" s="73"/>
      <x:c r="G115" s="73"/>
      <x:c r="H115" s="73"/>
      <x:c r="I115" s="75"/>
      <x:c r="J115" s="73"/>
      <x:c r="K115" s="73"/>
      <x:c r="L115" s="76"/>
      <x:c r="M115" s="73"/>
      <x:c r="N115" s="73"/>
      <x:c r="O115" s="73"/>
      <x:c r="P115" s="73"/>
      <x:c r="Q115" s="76"/>
      <x:c r="R115" s="73"/>
      <x:c r="S115" s="73"/>
      <x:c r="T115" s="73"/>
      <x:c r="U115" s="73"/>
      <x:c r="V115" s="73"/>
      <x:c r="W115" s="73"/>
      <x:c r="X115" s="73"/>
      <x:c r="Y115" s="73"/>
      <x:c r="Z115" s="73"/>
      <x:c r="AA115" s="73"/>
      <x:c r="AB115" s="76" t="str">
        <x:f>IF(A115="","",IF(OR(NOT(ISNUMBER(I115)),I115&lt;0,NOT(ISNUMBER(AP115)),AP115&lt;0,NOT(ISNUMBER(L115)),L115&lt;1,L115&gt;5,L115&lt;&gt;INT(L115),AND(J115&lt;&gt;"Public",J115&lt;&gt;"Partner",J115&lt;&gt;"Internal",J115&lt;&gt;"None"),AND(K115&lt;&gt;"High",K115&lt;&gt;"Medium",K115&lt;&gt;"Low",K115&lt;&gt;"None"),AND(W115&lt;&gt;"Hard-coded",W115&lt;&gt;"Configurable",W115&lt;&gt;"Policy-managed",W115&lt;&gt;"API/Library abstraction",W115&lt;&gt;"Automated"),AND(Z115&lt;&gt;"Y",Z115&lt;&gt;"N"),AND(AA115&lt;&gt;"Y",AA115&lt;&gt;"N")),"Incomplete",IF(Z115="Y",20,0)+L115*5+IF(AA115="Y",15,0)+IF(J115="Public",10,IF(J115="Partner",7,IF(J115="Internal",3,0)))+IF(W115="Hard-coded",10,IF(W115="Configurable",3,0))+IF(MAX(I115,AP115)&gt;=10,10,IF(MAX(I115,AP115)&gt;=5,7,IF(MAX(I115,AP115)&gt;=2,3,0)))+IF(K115="High",10,IF(K115="Medium",5,0))))</x:f>
      </x:c>
      <x:c r="AC115" s="73" t="str">
        <x:f>IF(A115="","",IF(NOT(ISNUMBER(AB115)),"Review inputs",IF(AB115&gt;=70,"P0 - Immediate",IF(AB115&gt;=50,"P1 - High",IF(AB115&gt;=30,"P2 - Medium",IF(AB115&gt;=15,"P3 - Low","P4 - Monitor"))))))</x:f>
      </x:c>
      <x:c r="AD115" s="73"/>
      <x:c r="AE115" s="73"/>
      <x:c r="AF115" s="73"/>
      <x:c r="AG115" s="77"/>
      <x:c r="AH115" s="73"/>
      <x:c r="AI115" s="91"/>
      <x:c r="AJ115" s="91"/>
      <x:c r="AK115" s="91"/>
      <x:c r="AL115" s="92"/>
      <x:c r="AM115" s="91"/>
      <x:c r="AN115" s="91"/>
      <x:c r="AO115" s="93"/>
      <x:c r="AP115" s="94"/>
      <x:c r="AQ115" s="91"/>
      <x:c r="AR115" s="91"/>
      <x:c r="AS115" s="91"/>
      <x:c r="AT115" s="91"/>
      <x:c r="AU115" s="91"/>
      <x:c r="AV115" s="91"/>
      <x:c r="AW115" s="91"/>
      <x:c r="AX115" s="91"/>
      <x:c r="AY115" s="91"/>
      <x:c r="AZ115" s="92"/>
      <x:c r="BA115" s="94"/>
      <x:c r="BB115" s="91"/>
      <x:c r="BC115" s="92"/>
      <x:c r="BD115" s="92"/>
      <x:c r="BE115" s="91"/>
      <x:c r="BF115" s="91"/>
      <x:c r="BG115" s="91"/>
      <x:c r="BH115" s="91"/>
      <x:c r="BI115" s="91"/>
      <x:c r="BJ115" s="91"/>
      <x:c r="BK115" s="91"/>
      <x:c r="BL115" s="91"/>
      <x:c r="BM115" s="73" t="str">
        <x:f>IF(A115="","",IF(AI115="Example","Example only",IF(AI115&lt;&gt;"Actual","Set record type",IF(COUNTIF($A$2:$A$1001,A115)&gt;1,"Duplicate record ID",IF(OR(D115="",E115="",AF115="",NOT(ISNUMBER(AG115)),AJ115="",AK115="",NOT(ISNUMBER(AL115)),AND(AM115&lt;&gt;"Observed",AM115&lt;&gt;"Corroborated",AM115&lt;&gt;"Declared"),OR(AN115="",AN115="Unknown"),OR(AQ115="",AQ115="Unknown"),OR(AR115="",AR115="Unknown",AR115="TBD"),OR(BC115="",NOT(ISNUMBER(BC115)))),"Evidence incomplete","Evidence recorded; review scope")))))</x:f>
      </x:c>
      <x:c r="BN115" s="73"/>
    </x:row>
    <x:row r="116" ht="34" customHeight="1">
      <x:c r="A116" s="73"/>
      <x:c r="B116" s="73"/>
      <x:c r="C116" s="73"/>
      <x:c r="D116" s="73"/>
      <x:c r="E116" s="73"/>
      <x:c r="F116" s="73"/>
      <x:c r="G116" s="73"/>
      <x:c r="H116" s="73"/>
      <x:c r="I116" s="75"/>
      <x:c r="J116" s="73"/>
      <x:c r="K116" s="73"/>
      <x:c r="L116" s="76"/>
      <x:c r="M116" s="73"/>
      <x:c r="N116" s="73"/>
      <x:c r="O116" s="73"/>
      <x:c r="P116" s="73"/>
      <x:c r="Q116" s="76"/>
      <x:c r="R116" s="73"/>
      <x:c r="S116" s="73"/>
      <x:c r="T116" s="73"/>
      <x:c r="U116" s="73"/>
      <x:c r="V116" s="73"/>
      <x:c r="W116" s="73"/>
      <x:c r="X116" s="73"/>
      <x:c r="Y116" s="73"/>
      <x:c r="Z116" s="73"/>
      <x:c r="AA116" s="73"/>
      <x:c r="AB116" s="76" t="str">
        <x:f>IF(A116="","",IF(OR(NOT(ISNUMBER(I116)),I116&lt;0,NOT(ISNUMBER(AP116)),AP116&lt;0,NOT(ISNUMBER(L116)),L116&lt;1,L116&gt;5,L116&lt;&gt;INT(L116),AND(J116&lt;&gt;"Public",J116&lt;&gt;"Partner",J116&lt;&gt;"Internal",J116&lt;&gt;"None"),AND(K116&lt;&gt;"High",K116&lt;&gt;"Medium",K116&lt;&gt;"Low",K116&lt;&gt;"None"),AND(W116&lt;&gt;"Hard-coded",W116&lt;&gt;"Configurable",W116&lt;&gt;"Policy-managed",W116&lt;&gt;"API/Library abstraction",W116&lt;&gt;"Automated"),AND(Z116&lt;&gt;"Y",Z116&lt;&gt;"N"),AND(AA116&lt;&gt;"Y",AA116&lt;&gt;"N")),"Incomplete",IF(Z116="Y",20,0)+L116*5+IF(AA116="Y",15,0)+IF(J116="Public",10,IF(J116="Partner",7,IF(J116="Internal",3,0)))+IF(W116="Hard-coded",10,IF(W116="Configurable",3,0))+IF(MAX(I116,AP116)&gt;=10,10,IF(MAX(I116,AP116)&gt;=5,7,IF(MAX(I116,AP116)&gt;=2,3,0)))+IF(K116="High",10,IF(K116="Medium",5,0))))</x:f>
      </x:c>
      <x:c r="AC116" s="73" t="str">
        <x:f>IF(A116="","",IF(NOT(ISNUMBER(AB116)),"Review inputs",IF(AB116&gt;=70,"P0 - Immediate",IF(AB116&gt;=50,"P1 - High",IF(AB116&gt;=30,"P2 - Medium",IF(AB116&gt;=15,"P3 - Low","P4 - Monitor"))))))</x:f>
      </x:c>
      <x:c r="AD116" s="73"/>
      <x:c r="AE116" s="73"/>
      <x:c r="AF116" s="73"/>
      <x:c r="AG116" s="77"/>
      <x:c r="AH116" s="73"/>
      <x:c r="AI116" s="91"/>
      <x:c r="AJ116" s="91"/>
      <x:c r="AK116" s="91"/>
      <x:c r="AL116" s="92"/>
      <x:c r="AM116" s="91"/>
      <x:c r="AN116" s="91"/>
      <x:c r="AO116" s="93"/>
      <x:c r="AP116" s="94"/>
      <x:c r="AQ116" s="91"/>
      <x:c r="AR116" s="91"/>
      <x:c r="AS116" s="91"/>
      <x:c r="AT116" s="91"/>
      <x:c r="AU116" s="91"/>
      <x:c r="AV116" s="91"/>
      <x:c r="AW116" s="91"/>
      <x:c r="AX116" s="91"/>
      <x:c r="AY116" s="91"/>
      <x:c r="AZ116" s="92"/>
      <x:c r="BA116" s="94"/>
      <x:c r="BB116" s="91"/>
      <x:c r="BC116" s="92"/>
      <x:c r="BD116" s="92"/>
      <x:c r="BE116" s="91"/>
      <x:c r="BF116" s="91"/>
      <x:c r="BG116" s="91"/>
      <x:c r="BH116" s="91"/>
      <x:c r="BI116" s="91"/>
      <x:c r="BJ116" s="91"/>
      <x:c r="BK116" s="91"/>
      <x:c r="BL116" s="91"/>
      <x:c r="BM116" s="73" t="str">
        <x:f>IF(A116="","",IF(AI116="Example","Example only",IF(AI116&lt;&gt;"Actual","Set record type",IF(COUNTIF($A$2:$A$1001,A116)&gt;1,"Duplicate record ID",IF(OR(D116="",E116="",AF116="",NOT(ISNUMBER(AG116)),AJ116="",AK116="",NOT(ISNUMBER(AL116)),AND(AM116&lt;&gt;"Observed",AM116&lt;&gt;"Corroborated",AM116&lt;&gt;"Declared"),OR(AN116="",AN116="Unknown"),OR(AQ116="",AQ116="Unknown"),OR(AR116="",AR116="Unknown",AR116="TBD"),OR(BC116="",NOT(ISNUMBER(BC116)))),"Evidence incomplete","Evidence recorded; review scope")))))</x:f>
      </x:c>
      <x:c r="BN116" s="73"/>
    </x:row>
    <x:row r="117" ht="34" customHeight="1">
      <x:c r="A117" s="73"/>
      <x:c r="B117" s="73"/>
      <x:c r="C117" s="73"/>
      <x:c r="D117" s="73"/>
      <x:c r="E117" s="73"/>
      <x:c r="F117" s="73"/>
      <x:c r="G117" s="73"/>
      <x:c r="H117" s="73"/>
      <x:c r="I117" s="75"/>
      <x:c r="J117" s="73"/>
      <x:c r="K117" s="73"/>
      <x:c r="L117" s="76"/>
      <x:c r="M117" s="73"/>
      <x:c r="N117" s="73"/>
      <x:c r="O117" s="73"/>
      <x:c r="P117" s="73"/>
      <x:c r="Q117" s="76"/>
      <x:c r="R117" s="73"/>
      <x:c r="S117" s="73"/>
      <x:c r="T117" s="73"/>
      <x:c r="U117" s="73"/>
      <x:c r="V117" s="73"/>
      <x:c r="W117" s="73"/>
      <x:c r="X117" s="73"/>
      <x:c r="Y117" s="73"/>
      <x:c r="Z117" s="73"/>
      <x:c r="AA117" s="73"/>
      <x:c r="AB117" s="76" t="str">
        <x:f>IF(A117="","",IF(OR(NOT(ISNUMBER(I117)),I117&lt;0,NOT(ISNUMBER(AP117)),AP117&lt;0,NOT(ISNUMBER(L117)),L117&lt;1,L117&gt;5,L117&lt;&gt;INT(L117),AND(J117&lt;&gt;"Public",J117&lt;&gt;"Partner",J117&lt;&gt;"Internal",J117&lt;&gt;"None"),AND(K117&lt;&gt;"High",K117&lt;&gt;"Medium",K117&lt;&gt;"Low",K117&lt;&gt;"None"),AND(W117&lt;&gt;"Hard-coded",W117&lt;&gt;"Configurable",W117&lt;&gt;"Policy-managed",W117&lt;&gt;"API/Library abstraction",W117&lt;&gt;"Automated"),AND(Z117&lt;&gt;"Y",Z117&lt;&gt;"N"),AND(AA117&lt;&gt;"Y",AA117&lt;&gt;"N")),"Incomplete",IF(Z117="Y",20,0)+L117*5+IF(AA117="Y",15,0)+IF(J117="Public",10,IF(J117="Partner",7,IF(J117="Internal",3,0)))+IF(W117="Hard-coded",10,IF(W117="Configurable",3,0))+IF(MAX(I117,AP117)&gt;=10,10,IF(MAX(I117,AP117)&gt;=5,7,IF(MAX(I117,AP117)&gt;=2,3,0)))+IF(K117="High",10,IF(K117="Medium",5,0))))</x:f>
      </x:c>
      <x:c r="AC117" s="73" t="str">
        <x:f>IF(A117="","",IF(NOT(ISNUMBER(AB117)),"Review inputs",IF(AB117&gt;=70,"P0 - Immediate",IF(AB117&gt;=50,"P1 - High",IF(AB117&gt;=30,"P2 - Medium",IF(AB117&gt;=15,"P3 - Low","P4 - Monitor"))))))</x:f>
      </x:c>
      <x:c r="AD117" s="73"/>
      <x:c r="AE117" s="73"/>
      <x:c r="AF117" s="73"/>
      <x:c r="AG117" s="77"/>
      <x:c r="AH117" s="73"/>
      <x:c r="AI117" s="91"/>
      <x:c r="AJ117" s="91"/>
      <x:c r="AK117" s="91"/>
      <x:c r="AL117" s="92"/>
      <x:c r="AM117" s="91"/>
      <x:c r="AN117" s="91"/>
      <x:c r="AO117" s="93"/>
      <x:c r="AP117" s="94"/>
      <x:c r="AQ117" s="91"/>
      <x:c r="AR117" s="91"/>
      <x:c r="AS117" s="91"/>
      <x:c r="AT117" s="91"/>
      <x:c r="AU117" s="91"/>
      <x:c r="AV117" s="91"/>
      <x:c r="AW117" s="91"/>
      <x:c r="AX117" s="91"/>
      <x:c r="AY117" s="91"/>
      <x:c r="AZ117" s="92"/>
      <x:c r="BA117" s="94"/>
      <x:c r="BB117" s="91"/>
      <x:c r="BC117" s="92"/>
      <x:c r="BD117" s="92"/>
      <x:c r="BE117" s="91"/>
      <x:c r="BF117" s="91"/>
      <x:c r="BG117" s="91"/>
      <x:c r="BH117" s="91"/>
      <x:c r="BI117" s="91"/>
      <x:c r="BJ117" s="91"/>
      <x:c r="BK117" s="91"/>
      <x:c r="BL117" s="91"/>
      <x:c r="BM117" s="73" t="str">
        <x:f>IF(A117="","",IF(AI117="Example","Example only",IF(AI117&lt;&gt;"Actual","Set record type",IF(COUNTIF($A$2:$A$1001,A117)&gt;1,"Duplicate record ID",IF(OR(D117="",E117="",AF117="",NOT(ISNUMBER(AG117)),AJ117="",AK117="",NOT(ISNUMBER(AL117)),AND(AM117&lt;&gt;"Observed",AM117&lt;&gt;"Corroborated",AM117&lt;&gt;"Declared"),OR(AN117="",AN117="Unknown"),OR(AQ117="",AQ117="Unknown"),OR(AR117="",AR117="Unknown",AR117="TBD"),OR(BC117="",NOT(ISNUMBER(BC117)))),"Evidence incomplete","Evidence recorded; review scope")))))</x:f>
      </x:c>
      <x:c r="BN117" s="73"/>
    </x:row>
    <x:row r="118" ht="34" customHeight="1">
      <x:c r="A118" s="73"/>
      <x:c r="B118" s="73"/>
      <x:c r="C118" s="73"/>
      <x:c r="D118" s="73"/>
      <x:c r="E118" s="73"/>
      <x:c r="F118" s="73"/>
      <x:c r="G118" s="73"/>
      <x:c r="H118" s="73"/>
      <x:c r="I118" s="75"/>
      <x:c r="J118" s="73"/>
      <x:c r="K118" s="73"/>
      <x:c r="L118" s="76"/>
      <x:c r="M118" s="73"/>
      <x:c r="N118" s="73"/>
      <x:c r="O118" s="73"/>
      <x:c r="P118" s="73"/>
      <x:c r="Q118" s="76"/>
      <x:c r="R118" s="73"/>
      <x:c r="S118" s="73"/>
      <x:c r="T118" s="73"/>
      <x:c r="U118" s="73"/>
      <x:c r="V118" s="73"/>
      <x:c r="W118" s="73"/>
      <x:c r="X118" s="73"/>
      <x:c r="Y118" s="73"/>
      <x:c r="Z118" s="73"/>
      <x:c r="AA118" s="73"/>
      <x:c r="AB118" s="76" t="str">
        <x:f>IF(A118="","",IF(OR(NOT(ISNUMBER(I118)),I118&lt;0,NOT(ISNUMBER(AP118)),AP118&lt;0,NOT(ISNUMBER(L118)),L118&lt;1,L118&gt;5,L118&lt;&gt;INT(L118),AND(J118&lt;&gt;"Public",J118&lt;&gt;"Partner",J118&lt;&gt;"Internal",J118&lt;&gt;"None"),AND(K118&lt;&gt;"High",K118&lt;&gt;"Medium",K118&lt;&gt;"Low",K118&lt;&gt;"None"),AND(W118&lt;&gt;"Hard-coded",W118&lt;&gt;"Configurable",W118&lt;&gt;"Policy-managed",W118&lt;&gt;"API/Library abstraction",W118&lt;&gt;"Automated"),AND(Z118&lt;&gt;"Y",Z118&lt;&gt;"N"),AND(AA118&lt;&gt;"Y",AA118&lt;&gt;"N")),"Incomplete",IF(Z118="Y",20,0)+L118*5+IF(AA118="Y",15,0)+IF(J118="Public",10,IF(J118="Partner",7,IF(J118="Internal",3,0)))+IF(W118="Hard-coded",10,IF(W118="Configurable",3,0))+IF(MAX(I118,AP118)&gt;=10,10,IF(MAX(I118,AP118)&gt;=5,7,IF(MAX(I118,AP118)&gt;=2,3,0)))+IF(K118="High",10,IF(K118="Medium",5,0))))</x:f>
      </x:c>
      <x:c r="AC118" s="73" t="str">
        <x:f>IF(A118="","",IF(NOT(ISNUMBER(AB118)),"Review inputs",IF(AB118&gt;=70,"P0 - Immediate",IF(AB118&gt;=50,"P1 - High",IF(AB118&gt;=30,"P2 - Medium",IF(AB118&gt;=15,"P3 - Low","P4 - Monitor"))))))</x:f>
      </x:c>
      <x:c r="AD118" s="73"/>
      <x:c r="AE118" s="73"/>
      <x:c r="AF118" s="73"/>
      <x:c r="AG118" s="77"/>
      <x:c r="AH118" s="73"/>
      <x:c r="AI118" s="91"/>
      <x:c r="AJ118" s="91"/>
      <x:c r="AK118" s="91"/>
      <x:c r="AL118" s="92"/>
      <x:c r="AM118" s="91"/>
      <x:c r="AN118" s="91"/>
      <x:c r="AO118" s="93"/>
      <x:c r="AP118" s="94"/>
      <x:c r="AQ118" s="91"/>
      <x:c r="AR118" s="91"/>
      <x:c r="AS118" s="91"/>
      <x:c r="AT118" s="91"/>
      <x:c r="AU118" s="91"/>
      <x:c r="AV118" s="91"/>
      <x:c r="AW118" s="91"/>
      <x:c r="AX118" s="91"/>
      <x:c r="AY118" s="91"/>
      <x:c r="AZ118" s="92"/>
      <x:c r="BA118" s="94"/>
      <x:c r="BB118" s="91"/>
      <x:c r="BC118" s="92"/>
      <x:c r="BD118" s="92"/>
      <x:c r="BE118" s="91"/>
      <x:c r="BF118" s="91"/>
      <x:c r="BG118" s="91"/>
      <x:c r="BH118" s="91"/>
      <x:c r="BI118" s="91"/>
      <x:c r="BJ118" s="91"/>
      <x:c r="BK118" s="91"/>
      <x:c r="BL118" s="91"/>
      <x:c r="BM118" s="73" t="str">
        <x:f>IF(A118="","",IF(AI118="Example","Example only",IF(AI118&lt;&gt;"Actual","Set record type",IF(COUNTIF($A$2:$A$1001,A118)&gt;1,"Duplicate record ID",IF(OR(D118="",E118="",AF118="",NOT(ISNUMBER(AG118)),AJ118="",AK118="",NOT(ISNUMBER(AL118)),AND(AM118&lt;&gt;"Observed",AM118&lt;&gt;"Corroborated",AM118&lt;&gt;"Declared"),OR(AN118="",AN118="Unknown"),OR(AQ118="",AQ118="Unknown"),OR(AR118="",AR118="Unknown",AR118="TBD"),OR(BC118="",NOT(ISNUMBER(BC118)))),"Evidence incomplete","Evidence recorded; review scope")))))</x:f>
      </x:c>
      <x:c r="BN118" s="73"/>
    </x:row>
    <x:row r="119" ht="34" customHeight="1">
      <x:c r="A119" s="73"/>
      <x:c r="B119" s="73"/>
      <x:c r="C119" s="73"/>
      <x:c r="D119" s="73"/>
      <x:c r="E119" s="73"/>
      <x:c r="F119" s="73"/>
      <x:c r="G119" s="73"/>
      <x:c r="H119" s="73"/>
      <x:c r="I119" s="75"/>
      <x:c r="J119" s="73"/>
      <x:c r="K119" s="73"/>
      <x:c r="L119" s="76"/>
      <x:c r="M119" s="73"/>
      <x:c r="N119" s="73"/>
      <x:c r="O119" s="73"/>
      <x:c r="P119" s="73"/>
      <x:c r="Q119" s="76"/>
      <x:c r="R119" s="73"/>
      <x:c r="S119" s="73"/>
      <x:c r="T119" s="73"/>
      <x:c r="U119" s="73"/>
      <x:c r="V119" s="73"/>
      <x:c r="W119" s="73"/>
      <x:c r="X119" s="73"/>
      <x:c r="Y119" s="73"/>
      <x:c r="Z119" s="73"/>
      <x:c r="AA119" s="73"/>
      <x:c r="AB119" s="76" t="str">
        <x:f>IF(A119="","",IF(OR(NOT(ISNUMBER(I119)),I119&lt;0,NOT(ISNUMBER(AP119)),AP119&lt;0,NOT(ISNUMBER(L119)),L119&lt;1,L119&gt;5,L119&lt;&gt;INT(L119),AND(J119&lt;&gt;"Public",J119&lt;&gt;"Partner",J119&lt;&gt;"Internal",J119&lt;&gt;"None"),AND(K119&lt;&gt;"High",K119&lt;&gt;"Medium",K119&lt;&gt;"Low",K119&lt;&gt;"None"),AND(W119&lt;&gt;"Hard-coded",W119&lt;&gt;"Configurable",W119&lt;&gt;"Policy-managed",W119&lt;&gt;"API/Library abstraction",W119&lt;&gt;"Automated"),AND(Z119&lt;&gt;"Y",Z119&lt;&gt;"N"),AND(AA119&lt;&gt;"Y",AA119&lt;&gt;"N")),"Incomplete",IF(Z119="Y",20,0)+L119*5+IF(AA119="Y",15,0)+IF(J119="Public",10,IF(J119="Partner",7,IF(J119="Internal",3,0)))+IF(W119="Hard-coded",10,IF(W119="Configurable",3,0))+IF(MAX(I119,AP119)&gt;=10,10,IF(MAX(I119,AP119)&gt;=5,7,IF(MAX(I119,AP119)&gt;=2,3,0)))+IF(K119="High",10,IF(K119="Medium",5,0))))</x:f>
      </x:c>
      <x:c r="AC119" s="73" t="str">
        <x:f>IF(A119="","",IF(NOT(ISNUMBER(AB119)),"Review inputs",IF(AB119&gt;=70,"P0 - Immediate",IF(AB119&gt;=50,"P1 - High",IF(AB119&gt;=30,"P2 - Medium",IF(AB119&gt;=15,"P3 - Low","P4 - Monitor"))))))</x:f>
      </x:c>
      <x:c r="AD119" s="73"/>
      <x:c r="AE119" s="73"/>
      <x:c r="AF119" s="73"/>
      <x:c r="AG119" s="77"/>
      <x:c r="AH119" s="73"/>
      <x:c r="AI119" s="91"/>
      <x:c r="AJ119" s="91"/>
      <x:c r="AK119" s="91"/>
      <x:c r="AL119" s="92"/>
      <x:c r="AM119" s="91"/>
      <x:c r="AN119" s="91"/>
      <x:c r="AO119" s="93"/>
      <x:c r="AP119" s="94"/>
      <x:c r="AQ119" s="91"/>
      <x:c r="AR119" s="91"/>
      <x:c r="AS119" s="91"/>
      <x:c r="AT119" s="91"/>
      <x:c r="AU119" s="91"/>
      <x:c r="AV119" s="91"/>
      <x:c r="AW119" s="91"/>
      <x:c r="AX119" s="91"/>
      <x:c r="AY119" s="91"/>
      <x:c r="AZ119" s="92"/>
      <x:c r="BA119" s="94"/>
      <x:c r="BB119" s="91"/>
      <x:c r="BC119" s="92"/>
      <x:c r="BD119" s="92"/>
      <x:c r="BE119" s="91"/>
      <x:c r="BF119" s="91"/>
      <x:c r="BG119" s="91"/>
      <x:c r="BH119" s="91"/>
      <x:c r="BI119" s="91"/>
      <x:c r="BJ119" s="91"/>
      <x:c r="BK119" s="91"/>
      <x:c r="BL119" s="91"/>
      <x:c r="BM119" s="73" t="str">
        <x:f>IF(A119="","",IF(AI119="Example","Example only",IF(AI119&lt;&gt;"Actual","Set record type",IF(COUNTIF($A$2:$A$1001,A119)&gt;1,"Duplicate record ID",IF(OR(D119="",E119="",AF119="",NOT(ISNUMBER(AG119)),AJ119="",AK119="",NOT(ISNUMBER(AL119)),AND(AM119&lt;&gt;"Observed",AM119&lt;&gt;"Corroborated",AM119&lt;&gt;"Declared"),OR(AN119="",AN119="Unknown"),OR(AQ119="",AQ119="Unknown"),OR(AR119="",AR119="Unknown",AR119="TBD"),OR(BC119="",NOT(ISNUMBER(BC119)))),"Evidence incomplete","Evidence recorded; review scope")))))</x:f>
      </x:c>
      <x:c r="BN119" s="73"/>
    </x:row>
    <x:row r="120" ht="34" customHeight="1">
      <x:c r="A120" s="73"/>
      <x:c r="B120" s="73"/>
      <x:c r="C120" s="73"/>
      <x:c r="D120" s="73"/>
      <x:c r="E120" s="73"/>
      <x:c r="F120" s="73"/>
      <x:c r="G120" s="73"/>
      <x:c r="H120" s="73"/>
      <x:c r="I120" s="75"/>
      <x:c r="J120" s="73"/>
      <x:c r="K120" s="73"/>
      <x:c r="L120" s="76"/>
      <x:c r="M120" s="73"/>
      <x:c r="N120" s="73"/>
      <x:c r="O120" s="73"/>
      <x:c r="P120" s="73"/>
      <x:c r="Q120" s="76"/>
      <x:c r="R120" s="73"/>
      <x:c r="S120" s="73"/>
      <x:c r="T120" s="73"/>
      <x:c r="U120" s="73"/>
      <x:c r="V120" s="73"/>
      <x:c r="W120" s="73"/>
      <x:c r="X120" s="73"/>
      <x:c r="Y120" s="73"/>
      <x:c r="Z120" s="73"/>
      <x:c r="AA120" s="73"/>
      <x:c r="AB120" s="76" t="str">
        <x:f>IF(A120="","",IF(OR(NOT(ISNUMBER(I120)),I120&lt;0,NOT(ISNUMBER(AP120)),AP120&lt;0,NOT(ISNUMBER(L120)),L120&lt;1,L120&gt;5,L120&lt;&gt;INT(L120),AND(J120&lt;&gt;"Public",J120&lt;&gt;"Partner",J120&lt;&gt;"Internal",J120&lt;&gt;"None"),AND(K120&lt;&gt;"High",K120&lt;&gt;"Medium",K120&lt;&gt;"Low",K120&lt;&gt;"None"),AND(W120&lt;&gt;"Hard-coded",W120&lt;&gt;"Configurable",W120&lt;&gt;"Policy-managed",W120&lt;&gt;"API/Library abstraction",W120&lt;&gt;"Automated"),AND(Z120&lt;&gt;"Y",Z120&lt;&gt;"N"),AND(AA120&lt;&gt;"Y",AA120&lt;&gt;"N")),"Incomplete",IF(Z120="Y",20,0)+L120*5+IF(AA120="Y",15,0)+IF(J120="Public",10,IF(J120="Partner",7,IF(J120="Internal",3,0)))+IF(W120="Hard-coded",10,IF(W120="Configurable",3,0))+IF(MAX(I120,AP120)&gt;=10,10,IF(MAX(I120,AP120)&gt;=5,7,IF(MAX(I120,AP120)&gt;=2,3,0)))+IF(K120="High",10,IF(K120="Medium",5,0))))</x:f>
      </x:c>
      <x:c r="AC120" s="73" t="str">
        <x:f>IF(A120="","",IF(NOT(ISNUMBER(AB120)),"Review inputs",IF(AB120&gt;=70,"P0 - Immediate",IF(AB120&gt;=50,"P1 - High",IF(AB120&gt;=30,"P2 - Medium",IF(AB120&gt;=15,"P3 - Low","P4 - Monitor"))))))</x:f>
      </x:c>
      <x:c r="AD120" s="73"/>
      <x:c r="AE120" s="73"/>
      <x:c r="AF120" s="73"/>
      <x:c r="AG120" s="77"/>
      <x:c r="AH120" s="73"/>
      <x:c r="AI120" s="91"/>
      <x:c r="AJ120" s="91"/>
      <x:c r="AK120" s="91"/>
      <x:c r="AL120" s="92"/>
      <x:c r="AM120" s="91"/>
      <x:c r="AN120" s="91"/>
      <x:c r="AO120" s="93"/>
      <x:c r="AP120" s="94"/>
      <x:c r="AQ120" s="91"/>
      <x:c r="AR120" s="91"/>
      <x:c r="AS120" s="91"/>
      <x:c r="AT120" s="91"/>
      <x:c r="AU120" s="91"/>
      <x:c r="AV120" s="91"/>
      <x:c r="AW120" s="91"/>
      <x:c r="AX120" s="91"/>
      <x:c r="AY120" s="91"/>
      <x:c r="AZ120" s="92"/>
      <x:c r="BA120" s="94"/>
      <x:c r="BB120" s="91"/>
      <x:c r="BC120" s="92"/>
      <x:c r="BD120" s="92"/>
      <x:c r="BE120" s="91"/>
      <x:c r="BF120" s="91"/>
      <x:c r="BG120" s="91"/>
      <x:c r="BH120" s="91"/>
      <x:c r="BI120" s="91"/>
      <x:c r="BJ120" s="91"/>
      <x:c r="BK120" s="91"/>
      <x:c r="BL120" s="91"/>
      <x:c r="BM120" s="73" t="str">
        <x:f>IF(A120="","",IF(AI120="Example","Example only",IF(AI120&lt;&gt;"Actual","Set record type",IF(COUNTIF($A$2:$A$1001,A120)&gt;1,"Duplicate record ID",IF(OR(D120="",E120="",AF120="",NOT(ISNUMBER(AG120)),AJ120="",AK120="",NOT(ISNUMBER(AL120)),AND(AM120&lt;&gt;"Observed",AM120&lt;&gt;"Corroborated",AM120&lt;&gt;"Declared"),OR(AN120="",AN120="Unknown"),OR(AQ120="",AQ120="Unknown"),OR(AR120="",AR120="Unknown",AR120="TBD"),OR(BC120="",NOT(ISNUMBER(BC120)))),"Evidence incomplete","Evidence recorded; review scope")))))</x:f>
      </x:c>
      <x:c r="BN120" s="73"/>
    </x:row>
    <x:row r="121" ht="34" customHeight="1">
      <x:c r="A121" s="73"/>
      <x:c r="B121" s="73"/>
      <x:c r="C121" s="73"/>
      <x:c r="D121" s="73"/>
      <x:c r="E121" s="73"/>
      <x:c r="F121" s="73"/>
      <x:c r="G121" s="73"/>
      <x:c r="H121" s="73"/>
      <x:c r="I121" s="75"/>
      <x:c r="J121" s="73"/>
      <x:c r="K121" s="73"/>
      <x:c r="L121" s="76"/>
      <x:c r="M121" s="73"/>
      <x:c r="N121" s="73"/>
      <x:c r="O121" s="73"/>
      <x:c r="P121" s="73"/>
      <x:c r="Q121" s="76"/>
      <x:c r="R121" s="73"/>
      <x:c r="S121" s="73"/>
      <x:c r="T121" s="73"/>
      <x:c r="U121" s="73"/>
      <x:c r="V121" s="73"/>
      <x:c r="W121" s="73"/>
      <x:c r="X121" s="73"/>
      <x:c r="Y121" s="73"/>
      <x:c r="Z121" s="73"/>
      <x:c r="AA121" s="73"/>
      <x:c r="AB121" s="76" t="str">
        <x:f>IF(A121="","",IF(OR(NOT(ISNUMBER(I121)),I121&lt;0,NOT(ISNUMBER(AP121)),AP121&lt;0,NOT(ISNUMBER(L121)),L121&lt;1,L121&gt;5,L121&lt;&gt;INT(L121),AND(J121&lt;&gt;"Public",J121&lt;&gt;"Partner",J121&lt;&gt;"Internal",J121&lt;&gt;"None"),AND(K121&lt;&gt;"High",K121&lt;&gt;"Medium",K121&lt;&gt;"Low",K121&lt;&gt;"None"),AND(W121&lt;&gt;"Hard-coded",W121&lt;&gt;"Configurable",W121&lt;&gt;"Policy-managed",W121&lt;&gt;"API/Library abstraction",W121&lt;&gt;"Automated"),AND(Z121&lt;&gt;"Y",Z121&lt;&gt;"N"),AND(AA121&lt;&gt;"Y",AA121&lt;&gt;"N")),"Incomplete",IF(Z121="Y",20,0)+L121*5+IF(AA121="Y",15,0)+IF(J121="Public",10,IF(J121="Partner",7,IF(J121="Internal",3,0)))+IF(W121="Hard-coded",10,IF(W121="Configurable",3,0))+IF(MAX(I121,AP121)&gt;=10,10,IF(MAX(I121,AP121)&gt;=5,7,IF(MAX(I121,AP121)&gt;=2,3,0)))+IF(K121="High",10,IF(K121="Medium",5,0))))</x:f>
      </x:c>
      <x:c r="AC121" s="73" t="str">
        <x:f>IF(A121="","",IF(NOT(ISNUMBER(AB121)),"Review inputs",IF(AB121&gt;=70,"P0 - Immediate",IF(AB121&gt;=50,"P1 - High",IF(AB121&gt;=30,"P2 - Medium",IF(AB121&gt;=15,"P3 - Low","P4 - Monitor"))))))</x:f>
      </x:c>
      <x:c r="AD121" s="73"/>
      <x:c r="AE121" s="73"/>
      <x:c r="AF121" s="73"/>
      <x:c r="AG121" s="77"/>
      <x:c r="AH121" s="73"/>
      <x:c r="AI121" s="91"/>
      <x:c r="AJ121" s="91"/>
      <x:c r="AK121" s="91"/>
      <x:c r="AL121" s="92"/>
      <x:c r="AM121" s="91"/>
      <x:c r="AN121" s="91"/>
      <x:c r="AO121" s="93"/>
      <x:c r="AP121" s="94"/>
      <x:c r="AQ121" s="91"/>
      <x:c r="AR121" s="91"/>
      <x:c r="AS121" s="91"/>
      <x:c r="AT121" s="91"/>
      <x:c r="AU121" s="91"/>
      <x:c r="AV121" s="91"/>
      <x:c r="AW121" s="91"/>
      <x:c r="AX121" s="91"/>
      <x:c r="AY121" s="91"/>
      <x:c r="AZ121" s="92"/>
      <x:c r="BA121" s="94"/>
      <x:c r="BB121" s="91"/>
      <x:c r="BC121" s="92"/>
      <x:c r="BD121" s="92"/>
      <x:c r="BE121" s="91"/>
      <x:c r="BF121" s="91"/>
      <x:c r="BG121" s="91"/>
      <x:c r="BH121" s="91"/>
      <x:c r="BI121" s="91"/>
      <x:c r="BJ121" s="91"/>
      <x:c r="BK121" s="91"/>
      <x:c r="BL121" s="91"/>
      <x:c r="BM121" s="73" t="str">
        <x:f>IF(A121="","",IF(AI121="Example","Example only",IF(AI121&lt;&gt;"Actual","Set record type",IF(COUNTIF($A$2:$A$1001,A121)&gt;1,"Duplicate record ID",IF(OR(D121="",E121="",AF121="",NOT(ISNUMBER(AG121)),AJ121="",AK121="",NOT(ISNUMBER(AL121)),AND(AM121&lt;&gt;"Observed",AM121&lt;&gt;"Corroborated",AM121&lt;&gt;"Declared"),OR(AN121="",AN121="Unknown"),OR(AQ121="",AQ121="Unknown"),OR(AR121="",AR121="Unknown",AR121="TBD"),OR(BC121="",NOT(ISNUMBER(BC121)))),"Evidence incomplete","Evidence recorded; review scope")))))</x:f>
      </x:c>
      <x:c r="BN121" s="73"/>
    </x:row>
    <x:row r="122" ht="34" customHeight="1">
      <x:c r="A122" s="73"/>
      <x:c r="B122" s="73"/>
      <x:c r="C122" s="73"/>
      <x:c r="D122" s="73"/>
      <x:c r="E122" s="73"/>
      <x:c r="F122" s="73"/>
      <x:c r="G122" s="73"/>
      <x:c r="H122" s="73"/>
      <x:c r="I122" s="75"/>
      <x:c r="J122" s="73"/>
      <x:c r="K122" s="73"/>
      <x:c r="L122" s="76"/>
      <x:c r="M122" s="73"/>
      <x:c r="N122" s="73"/>
      <x:c r="O122" s="73"/>
      <x:c r="P122" s="73"/>
      <x:c r="Q122" s="76"/>
      <x:c r="R122" s="73"/>
      <x:c r="S122" s="73"/>
      <x:c r="T122" s="73"/>
      <x:c r="U122" s="73"/>
      <x:c r="V122" s="73"/>
      <x:c r="W122" s="73"/>
      <x:c r="X122" s="73"/>
      <x:c r="Y122" s="73"/>
      <x:c r="Z122" s="73"/>
      <x:c r="AA122" s="73"/>
      <x:c r="AB122" s="76" t="str">
        <x:f>IF(A122="","",IF(OR(NOT(ISNUMBER(I122)),I122&lt;0,NOT(ISNUMBER(AP122)),AP122&lt;0,NOT(ISNUMBER(L122)),L122&lt;1,L122&gt;5,L122&lt;&gt;INT(L122),AND(J122&lt;&gt;"Public",J122&lt;&gt;"Partner",J122&lt;&gt;"Internal",J122&lt;&gt;"None"),AND(K122&lt;&gt;"High",K122&lt;&gt;"Medium",K122&lt;&gt;"Low",K122&lt;&gt;"None"),AND(W122&lt;&gt;"Hard-coded",W122&lt;&gt;"Configurable",W122&lt;&gt;"Policy-managed",W122&lt;&gt;"API/Library abstraction",W122&lt;&gt;"Automated"),AND(Z122&lt;&gt;"Y",Z122&lt;&gt;"N"),AND(AA122&lt;&gt;"Y",AA122&lt;&gt;"N")),"Incomplete",IF(Z122="Y",20,0)+L122*5+IF(AA122="Y",15,0)+IF(J122="Public",10,IF(J122="Partner",7,IF(J122="Internal",3,0)))+IF(W122="Hard-coded",10,IF(W122="Configurable",3,0))+IF(MAX(I122,AP122)&gt;=10,10,IF(MAX(I122,AP122)&gt;=5,7,IF(MAX(I122,AP122)&gt;=2,3,0)))+IF(K122="High",10,IF(K122="Medium",5,0))))</x:f>
      </x:c>
      <x:c r="AC122" s="73" t="str">
        <x:f>IF(A122="","",IF(NOT(ISNUMBER(AB122)),"Review inputs",IF(AB122&gt;=70,"P0 - Immediate",IF(AB122&gt;=50,"P1 - High",IF(AB122&gt;=30,"P2 - Medium",IF(AB122&gt;=15,"P3 - Low","P4 - Monitor"))))))</x:f>
      </x:c>
      <x:c r="AD122" s="73"/>
      <x:c r="AE122" s="73"/>
      <x:c r="AF122" s="73"/>
      <x:c r="AG122" s="77"/>
      <x:c r="AH122" s="73"/>
      <x:c r="AI122" s="91"/>
      <x:c r="AJ122" s="91"/>
      <x:c r="AK122" s="91"/>
      <x:c r="AL122" s="92"/>
      <x:c r="AM122" s="91"/>
      <x:c r="AN122" s="91"/>
      <x:c r="AO122" s="93"/>
      <x:c r="AP122" s="94"/>
      <x:c r="AQ122" s="91"/>
      <x:c r="AR122" s="91"/>
      <x:c r="AS122" s="91"/>
      <x:c r="AT122" s="91"/>
      <x:c r="AU122" s="91"/>
      <x:c r="AV122" s="91"/>
      <x:c r="AW122" s="91"/>
      <x:c r="AX122" s="91"/>
      <x:c r="AY122" s="91"/>
      <x:c r="AZ122" s="92"/>
      <x:c r="BA122" s="94"/>
      <x:c r="BB122" s="91"/>
      <x:c r="BC122" s="92"/>
      <x:c r="BD122" s="92"/>
      <x:c r="BE122" s="91"/>
      <x:c r="BF122" s="91"/>
      <x:c r="BG122" s="91"/>
      <x:c r="BH122" s="91"/>
      <x:c r="BI122" s="91"/>
      <x:c r="BJ122" s="91"/>
      <x:c r="BK122" s="91"/>
      <x:c r="BL122" s="91"/>
      <x:c r="BM122" s="73" t="str">
        <x:f>IF(A122="","",IF(AI122="Example","Example only",IF(AI122&lt;&gt;"Actual","Set record type",IF(COUNTIF($A$2:$A$1001,A122)&gt;1,"Duplicate record ID",IF(OR(D122="",E122="",AF122="",NOT(ISNUMBER(AG122)),AJ122="",AK122="",NOT(ISNUMBER(AL122)),AND(AM122&lt;&gt;"Observed",AM122&lt;&gt;"Corroborated",AM122&lt;&gt;"Declared"),OR(AN122="",AN122="Unknown"),OR(AQ122="",AQ122="Unknown"),OR(AR122="",AR122="Unknown",AR122="TBD"),OR(BC122="",NOT(ISNUMBER(BC122)))),"Evidence incomplete","Evidence recorded; review scope")))))</x:f>
      </x:c>
      <x:c r="BN122" s="73"/>
    </x:row>
    <x:row r="123" ht="34" customHeight="1">
      <x:c r="A123" s="73"/>
      <x:c r="B123" s="73"/>
      <x:c r="C123" s="73"/>
      <x:c r="D123" s="73"/>
      <x:c r="E123" s="73"/>
      <x:c r="F123" s="73"/>
      <x:c r="G123" s="73"/>
      <x:c r="H123" s="73"/>
      <x:c r="I123" s="75"/>
      <x:c r="J123" s="73"/>
      <x:c r="K123" s="73"/>
      <x:c r="L123" s="76"/>
      <x:c r="M123" s="73"/>
      <x:c r="N123" s="73"/>
      <x:c r="O123" s="73"/>
      <x:c r="P123" s="73"/>
      <x:c r="Q123" s="76"/>
      <x:c r="R123" s="73"/>
      <x:c r="S123" s="73"/>
      <x:c r="T123" s="73"/>
      <x:c r="U123" s="73"/>
      <x:c r="V123" s="73"/>
      <x:c r="W123" s="73"/>
      <x:c r="X123" s="73"/>
      <x:c r="Y123" s="73"/>
      <x:c r="Z123" s="73"/>
      <x:c r="AA123" s="73"/>
      <x:c r="AB123" s="76" t="str">
        <x:f>IF(A123="","",IF(OR(NOT(ISNUMBER(I123)),I123&lt;0,NOT(ISNUMBER(AP123)),AP123&lt;0,NOT(ISNUMBER(L123)),L123&lt;1,L123&gt;5,L123&lt;&gt;INT(L123),AND(J123&lt;&gt;"Public",J123&lt;&gt;"Partner",J123&lt;&gt;"Internal",J123&lt;&gt;"None"),AND(K123&lt;&gt;"High",K123&lt;&gt;"Medium",K123&lt;&gt;"Low",K123&lt;&gt;"None"),AND(W123&lt;&gt;"Hard-coded",W123&lt;&gt;"Configurable",W123&lt;&gt;"Policy-managed",W123&lt;&gt;"API/Library abstraction",W123&lt;&gt;"Automated"),AND(Z123&lt;&gt;"Y",Z123&lt;&gt;"N"),AND(AA123&lt;&gt;"Y",AA123&lt;&gt;"N")),"Incomplete",IF(Z123="Y",20,0)+L123*5+IF(AA123="Y",15,0)+IF(J123="Public",10,IF(J123="Partner",7,IF(J123="Internal",3,0)))+IF(W123="Hard-coded",10,IF(W123="Configurable",3,0))+IF(MAX(I123,AP123)&gt;=10,10,IF(MAX(I123,AP123)&gt;=5,7,IF(MAX(I123,AP123)&gt;=2,3,0)))+IF(K123="High",10,IF(K123="Medium",5,0))))</x:f>
      </x:c>
      <x:c r="AC123" s="73" t="str">
        <x:f>IF(A123="","",IF(NOT(ISNUMBER(AB123)),"Review inputs",IF(AB123&gt;=70,"P0 - Immediate",IF(AB123&gt;=50,"P1 - High",IF(AB123&gt;=30,"P2 - Medium",IF(AB123&gt;=15,"P3 - Low","P4 - Monitor"))))))</x:f>
      </x:c>
      <x:c r="AD123" s="73"/>
      <x:c r="AE123" s="73"/>
      <x:c r="AF123" s="73"/>
      <x:c r="AG123" s="77"/>
      <x:c r="AH123" s="73"/>
      <x:c r="AI123" s="91"/>
      <x:c r="AJ123" s="91"/>
      <x:c r="AK123" s="91"/>
      <x:c r="AL123" s="92"/>
      <x:c r="AM123" s="91"/>
      <x:c r="AN123" s="91"/>
      <x:c r="AO123" s="93"/>
      <x:c r="AP123" s="94"/>
      <x:c r="AQ123" s="91"/>
      <x:c r="AR123" s="91"/>
      <x:c r="AS123" s="91"/>
      <x:c r="AT123" s="91"/>
      <x:c r="AU123" s="91"/>
      <x:c r="AV123" s="91"/>
      <x:c r="AW123" s="91"/>
      <x:c r="AX123" s="91"/>
      <x:c r="AY123" s="91"/>
      <x:c r="AZ123" s="92"/>
      <x:c r="BA123" s="94"/>
      <x:c r="BB123" s="91"/>
      <x:c r="BC123" s="92"/>
      <x:c r="BD123" s="92"/>
      <x:c r="BE123" s="91"/>
      <x:c r="BF123" s="91"/>
      <x:c r="BG123" s="91"/>
      <x:c r="BH123" s="91"/>
      <x:c r="BI123" s="91"/>
      <x:c r="BJ123" s="91"/>
      <x:c r="BK123" s="91"/>
      <x:c r="BL123" s="91"/>
      <x:c r="BM123" s="73" t="str">
        <x:f>IF(A123="","",IF(AI123="Example","Example only",IF(AI123&lt;&gt;"Actual","Set record type",IF(COUNTIF($A$2:$A$1001,A123)&gt;1,"Duplicate record ID",IF(OR(D123="",E123="",AF123="",NOT(ISNUMBER(AG123)),AJ123="",AK123="",NOT(ISNUMBER(AL123)),AND(AM123&lt;&gt;"Observed",AM123&lt;&gt;"Corroborated",AM123&lt;&gt;"Declared"),OR(AN123="",AN123="Unknown"),OR(AQ123="",AQ123="Unknown"),OR(AR123="",AR123="Unknown",AR123="TBD"),OR(BC123="",NOT(ISNUMBER(BC123)))),"Evidence incomplete","Evidence recorded; review scope")))))</x:f>
      </x:c>
      <x:c r="BN123" s="73"/>
    </x:row>
    <x:row r="124" ht="34" customHeight="1">
      <x:c r="A124" s="73"/>
      <x:c r="B124" s="73"/>
      <x:c r="C124" s="73"/>
      <x:c r="D124" s="73"/>
      <x:c r="E124" s="73"/>
      <x:c r="F124" s="73"/>
      <x:c r="G124" s="73"/>
      <x:c r="H124" s="73"/>
      <x:c r="I124" s="75"/>
      <x:c r="J124" s="73"/>
      <x:c r="K124" s="73"/>
      <x:c r="L124" s="76"/>
      <x:c r="M124" s="73"/>
      <x:c r="N124" s="73"/>
      <x:c r="O124" s="73"/>
      <x:c r="P124" s="73"/>
      <x:c r="Q124" s="76"/>
      <x:c r="R124" s="73"/>
      <x:c r="S124" s="73"/>
      <x:c r="T124" s="73"/>
      <x:c r="U124" s="73"/>
      <x:c r="V124" s="73"/>
      <x:c r="W124" s="73"/>
      <x:c r="X124" s="73"/>
      <x:c r="Y124" s="73"/>
      <x:c r="Z124" s="73"/>
      <x:c r="AA124" s="73"/>
      <x:c r="AB124" s="76" t="str">
        <x:f>IF(A124="","",IF(OR(NOT(ISNUMBER(I124)),I124&lt;0,NOT(ISNUMBER(AP124)),AP124&lt;0,NOT(ISNUMBER(L124)),L124&lt;1,L124&gt;5,L124&lt;&gt;INT(L124),AND(J124&lt;&gt;"Public",J124&lt;&gt;"Partner",J124&lt;&gt;"Internal",J124&lt;&gt;"None"),AND(K124&lt;&gt;"High",K124&lt;&gt;"Medium",K124&lt;&gt;"Low",K124&lt;&gt;"None"),AND(W124&lt;&gt;"Hard-coded",W124&lt;&gt;"Configurable",W124&lt;&gt;"Policy-managed",W124&lt;&gt;"API/Library abstraction",W124&lt;&gt;"Automated"),AND(Z124&lt;&gt;"Y",Z124&lt;&gt;"N"),AND(AA124&lt;&gt;"Y",AA124&lt;&gt;"N")),"Incomplete",IF(Z124="Y",20,0)+L124*5+IF(AA124="Y",15,0)+IF(J124="Public",10,IF(J124="Partner",7,IF(J124="Internal",3,0)))+IF(W124="Hard-coded",10,IF(W124="Configurable",3,0))+IF(MAX(I124,AP124)&gt;=10,10,IF(MAX(I124,AP124)&gt;=5,7,IF(MAX(I124,AP124)&gt;=2,3,0)))+IF(K124="High",10,IF(K124="Medium",5,0))))</x:f>
      </x:c>
      <x:c r="AC124" s="73" t="str">
        <x:f>IF(A124="","",IF(NOT(ISNUMBER(AB124)),"Review inputs",IF(AB124&gt;=70,"P0 - Immediate",IF(AB124&gt;=50,"P1 - High",IF(AB124&gt;=30,"P2 - Medium",IF(AB124&gt;=15,"P3 - Low","P4 - Monitor"))))))</x:f>
      </x:c>
      <x:c r="AD124" s="73"/>
      <x:c r="AE124" s="73"/>
      <x:c r="AF124" s="73"/>
      <x:c r="AG124" s="77"/>
      <x:c r="AH124" s="73"/>
      <x:c r="AI124" s="91"/>
      <x:c r="AJ124" s="91"/>
      <x:c r="AK124" s="91"/>
      <x:c r="AL124" s="92"/>
      <x:c r="AM124" s="91"/>
      <x:c r="AN124" s="91"/>
      <x:c r="AO124" s="93"/>
      <x:c r="AP124" s="94"/>
      <x:c r="AQ124" s="91"/>
      <x:c r="AR124" s="91"/>
      <x:c r="AS124" s="91"/>
      <x:c r="AT124" s="91"/>
      <x:c r="AU124" s="91"/>
      <x:c r="AV124" s="91"/>
      <x:c r="AW124" s="91"/>
      <x:c r="AX124" s="91"/>
      <x:c r="AY124" s="91"/>
      <x:c r="AZ124" s="92"/>
      <x:c r="BA124" s="94"/>
      <x:c r="BB124" s="91"/>
      <x:c r="BC124" s="92"/>
      <x:c r="BD124" s="92"/>
      <x:c r="BE124" s="91"/>
      <x:c r="BF124" s="91"/>
      <x:c r="BG124" s="91"/>
      <x:c r="BH124" s="91"/>
      <x:c r="BI124" s="91"/>
      <x:c r="BJ124" s="91"/>
      <x:c r="BK124" s="91"/>
      <x:c r="BL124" s="91"/>
      <x:c r="BM124" s="73" t="str">
        <x:f>IF(A124="","",IF(AI124="Example","Example only",IF(AI124&lt;&gt;"Actual","Set record type",IF(COUNTIF($A$2:$A$1001,A124)&gt;1,"Duplicate record ID",IF(OR(D124="",E124="",AF124="",NOT(ISNUMBER(AG124)),AJ124="",AK124="",NOT(ISNUMBER(AL124)),AND(AM124&lt;&gt;"Observed",AM124&lt;&gt;"Corroborated",AM124&lt;&gt;"Declared"),OR(AN124="",AN124="Unknown"),OR(AQ124="",AQ124="Unknown"),OR(AR124="",AR124="Unknown",AR124="TBD"),OR(BC124="",NOT(ISNUMBER(BC124)))),"Evidence incomplete","Evidence recorded; review scope")))))</x:f>
      </x:c>
      <x:c r="BN124" s="73"/>
    </x:row>
    <x:row r="125" ht="34" customHeight="1">
      <x:c r="A125" s="73"/>
      <x:c r="B125" s="73"/>
      <x:c r="C125" s="73"/>
      <x:c r="D125" s="73"/>
      <x:c r="E125" s="73"/>
      <x:c r="F125" s="73"/>
      <x:c r="G125" s="73"/>
      <x:c r="H125" s="73"/>
      <x:c r="I125" s="75"/>
      <x:c r="J125" s="73"/>
      <x:c r="K125" s="73"/>
      <x:c r="L125" s="76"/>
      <x:c r="M125" s="73"/>
      <x:c r="N125" s="73"/>
      <x:c r="O125" s="73"/>
      <x:c r="P125" s="73"/>
      <x:c r="Q125" s="76"/>
      <x:c r="R125" s="73"/>
      <x:c r="S125" s="73"/>
      <x:c r="T125" s="73"/>
      <x:c r="U125" s="73"/>
      <x:c r="V125" s="73"/>
      <x:c r="W125" s="73"/>
      <x:c r="X125" s="73"/>
      <x:c r="Y125" s="73"/>
      <x:c r="Z125" s="73"/>
      <x:c r="AA125" s="73"/>
      <x:c r="AB125" s="76" t="str">
        <x:f>IF(A125="","",IF(OR(NOT(ISNUMBER(I125)),I125&lt;0,NOT(ISNUMBER(AP125)),AP125&lt;0,NOT(ISNUMBER(L125)),L125&lt;1,L125&gt;5,L125&lt;&gt;INT(L125),AND(J125&lt;&gt;"Public",J125&lt;&gt;"Partner",J125&lt;&gt;"Internal",J125&lt;&gt;"None"),AND(K125&lt;&gt;"High",K125&lt;&gt;"Medium",K125&lt;&gt;"Low",K125&lt;&gt;"None"),AND(W125&lt;&gt;"Hard-coded",W125&lt;&gt;"Configurable",W125&lt;&gt;"Policy-managed",W125&lt;&gt;"API/Library abstraction",W125&lt;&gt;"Automated"),AND(Z125&lt;&gt;"Y",Z125&lt;&gt;"N"),AND(AA125&lt;&gt;"Y",AA125&lt;&gt;"N")),"Incomplete",IF(Z125="Y",20,0)+L125*5+IF(AA125="Y",15,0)+IF(J125="Public",10,IF(J125="Partner",7,IF(J125="Internal",3,0)))+IF(W125="Hard-coded",10,IF(W125="Configurable",3,0))+IF(MAX(I125,AP125)&gt;=10,10,IF(MAX(I125,AP125)&gt;=5,7,IF(MAX(I125,AP125)&gt;=2,3,0)))+IF(K125="High",10,IF(K125="Medium",5,0))))</x:f>
      </x:c>
      <x:c r="AC125" s="73" t="str">
        <x:f>IF(A125="","",IF(NOT(ISNUMBER(AB125)),"Review inputs",IF(AB125&gt;=70,"P0 - Immediate",IF(AB125&gt;=50,"P1 - High",IF(AB125&gt;=30,"P2 - Medium",IF(AB125&gt;=15,"P3 - Low","P4 - Monitor"))))))</x:f>
      </x:c>
      <x:c r="AD125" s="73"/>
      <x:c r="AE125" s="73"/>
      <x:c r="AF125" s="73"/>
      <x:c r="AG125" s="77"/>
      <x:c r="AH125" s="73"/>
      <x:c r="AI125" s="91"/>
      <x:c r="AJ125" s="91"/>
      <x:c r="AK125" s="91"/>
      <x:c r="AL125" s="92"/>
      <x:c r="AM125" s="91"/>
      <x:c r="AN125" s="91"/>
      <x:c r="AO125" s="93"/>
      <x:c r="AP125" s="94"/>
      <x:c r="AQ125" s="91"/>
      <x:c r="AR125" s="91"/>
      <x:c r="AS125" s="91"/>
      <x:c r="AT125" s="91"/>
      <x:c r="AU125" s="91"/>
      <x:c r="AV125" s="91"/>
      <x:c r="AW125" s="91"/>
      <x:c r="AX125" s="91"/>
      <x:c r="AY125" s="91"/>
      <x:c r="AZ125" s="92"/>
      <x:c r="BA125" s="94"/>
      <x:c r="BB125" s="91"/>
      <x:c r="BC125" s="92"/>
      <x:c r="BD125" s="92"/>
      <x:c r="BE125" s="91"/>
      <x:c r="BF125" s="91"/>
      <x:c r="BG125" s="91"/>
      <x:c r="BH125" s="91"/>
      <x:c r="BI125" s="91"/>
      <x:c r="BJ125" s="91"/>
      <x:c r="BK125" s="91"/>
      <x:c r="BL125" s="91"/>
      <x:c r="BM125" s="73" t="str">
        <x:f>IF(A125="","",IF(AI125="Example","Example only",IF(AI125&lt;&gt;"Actual","Set record type",IF(COUNTIF($A$2:$A$1001,A125)&gt;1,"Duplicate record ID",IF(OR(D125="",E125="",AF125="",NOT(ISNUMBER(AG125)),AJ125="",AK125="",NOT(ISNUMBER(AL125)),AND(AM125&lt;&gt;"Observed",AM125&lt;&gt;"Corroborated",AM125&lt;&gt;"Declared"),OR(AN125="",AN125="Unknown"),OR(AQ125="",AQ125="Unknown"),OR(AR125="",AR125="Unknown",AR125="TBD"),OR(BC125="",NOT(ISNUMBER(BC125)))),"Evidence incomplete","Evidence recorded; review scope")))))</x:f>
      </x:c>
      <x:c r="BN125" s="73"/>
    </x:row>
    <x:row r="126" ht="34" customHeight="1">
      <x:c r="A126" s="73"/>
      <x:c r="B126" s="73"/>
      <x:c r="C126" s="73"/>
      <x:c r="D126" s="73"/>
      <x:c r="E126" s="73"/>
      <x:c r="F126" s="73"/>
      <x:c r="G126" s="73"/>
      <x:c r="H126" s="73"/>
      <x:c r="I126" s="75"/>
      <x:c r="J126" s="73"/>
      <x:c r="K126" s="73"/>
      <x:c r="L126" s="76"/>
      <x:c r="M126" s="73"/>
      <x:c r="N126" s="73"/>
      <x:c r="O126" s="73"/>
      <x:c r="P126" s="73"/>
      <x:c r="Q126" s="76"/>
      <x:c r="R126" s="73"/>
      <x:c r="S126" s="73"/>
      <x:c r="T126" s="73"/>
      <x:c r="U126" s="73"/>
      <x:c r="V126" s="73"/>
      <x:c r="W126" s="73"/>
      <x:c r="X126" s="73"/>
      <x:c r="Y126" s="73"/>
      <x:c r="Z126" s="73"/>
      <x:c r="AA126" s="73"/>
      <x:c r="AB126" s="76" t="str">
        <x:f>IF(A126="","",IF(OR(NOT(ISNUMBER(I126)),I126&lt;0,NOT(ISNUMBER(AP126)),AP126&lt;0,NOT(ISNUMBER(L126)),L126&lt;1,L126&gt;5,L126&lt;&gt;INT(L126),AND(J126&lt;&gt;"Public",J126&lt;&gt;"Partner",J126&lt;&gt;"Internal",J126&lt;&gt;"None"),AND(K126&lt;&gt;"High",K126&lt;&gt;"Medium",K126&lt;&gt;"Low",K126&lt;&gt;"None"),AND(W126&lt;&gt;"Hard-coded",W126&lt;&gt;"Configurable",W126&lt;&gt;"Policy-managed",W126&lt;&gt;"API/Library abstraction",W126&lt;&gt;"Automated"),AND(Z126&lt;&gt;"Y",Z126&lt;&gt;"N"),AND(AA126&lt;&gt;"Y",AA126&lt;&gt;"N")),"Incomplete",IF(Z126="Y",20,0)+L126*5+IF(AA126="Y",15,0)+IF(J126="Public",10,IF(J126="Partner",7,IF(J126="Internal",3,0)))+IF(W126="Hard-coded",10,IF(W126="Configurable",3,0))+IF(MAX(I126,AP126)&gt;=10,10,IF(MAX(I126,AP126)&gt;=5,7,IF(MAX(I126,AP126)&gt;=2,3,0)))+IF(K126="High",10,IF(K126="Medium",5,0))))</x:f>
      </x:c>
      <x:c r="AC126" s="73" t="str">
        <x:f>IF(A126="","",IF(NOT(ISNUMBER(AB126)),"Review inputs",IF(AB126&gt;=70,"P0 - Immediate",IF(AB126&gt;=50,"P1 - High",IF(AB126&gt;=30,"P2 - Medium",IF(AB126&gt;=15,"P3 - Low","P4 - Monitor"))))))</x:f>
      </x:c>
      <x:c r="AD126" s="73"/>
      <x:c r="AE126" s="73"/>
      <x:c r="AF126" s="73"/>
      <x:c r="AG126" s="77"/>
      <x:c r="AH126" s="73"/>
      <x:c r="AI126" s="91"/>
      <x:c r="AJ126" s="91"/>
      <x:c r="AK126" s="91"/>
      <x:c r="AL126" s="92"/>
      <x:c r="AM126" s="91"/>
      <x:c r="AN126" s="91"/>
      <x:c r="AO126" s="93"/>
      <x:c r="AP126" s="94"/>
      <x:c r="AQ126" s="91"/>
      <x:c r="AR126" s="91"/>
      <x:c r="AS126" s="91"/>
      <x:c r="AT126" s="91"/>
      <x:c r="AU126" s="91"/>
      <x:c r="AV126" s="91"/>
      <x:c r="AW126" s="91"/>
      <x:c r="AX126" s="91"/>
      <x:c r="AY126" s="91"/>
      <x:c r="AZ126" s="92"/>
      <x:c r="BA126" s="94"/>
      <x:c r="BB126" s="91"/>
      <x:c r="BC126" s="92"/>
      <x:c r="BD126" s="92"/>
      <x:c r="BE126" s="91"/>
      <x:c r="BF126" s="91"/>
      <x:c r="BG126" s="91"/>
      <x:c r="BH126" s="91"/>
      <x:c r="BI126" s="91"/>
      <x:c r="BJ126" s="91"/>
      <x:c r="BK126" s="91"/>
      <x:c r="BL126" s="91"/>
      <x:c r="BM126" s="73" t="str">
        <x:f>IF(A126="","",IF(AI126="Example","Example only",IF(AI126&lt;&gt;"Actual","Set record type",IF(COUNTIF($A$2:$A$1001,A126)&gt;1,"Duplicate record ID",IF(OR(D126="",E126="",AF126="",NOT(ISNUMBER(AG126)),AJ126="",AK126="",NOT(ISNUMBER(AL126)),AND(AM126&lt;&gt;"Observed",AM126&lt;&gt;"Corroborated",AM126&lt;&gt;"Declared"),OR(AN126="",AN126="Unknown"),OR(AQ126="",AQ126="Unknown"),OR(AR126="",AR126="Unknown",AR126="TBD"),OR(BC126="",NOT(ISNUMBER(BC126)))),"Evidence incomplete","Evidence recorded; review scope")))))</x:f>
      </x:c>
      <x:c r="BN126" s="73"/>
    </x:row>
    <x:row r="127" ht="34" customHeight="1">
      <x:c r="A127" s="73"/>
      <x:c r="B127" s="73"/>
      <x:c r="C127" s="73"/>
      <x:c r="D127" s="73"/>
      <x:c r="E127" s="73"/>
      <x:c r="F127" s="73"/>
      <x:c r="G127" s="73"/>
      <x:c r="H127" s="73"/>
      <x:c r="I127" s="75"/>
      <x:c r="J127" s="73"/>
      <x:c r="K127" s="73"/>
      <x:c r="L127" s="76"/>
      <x:c r="M127" s="73"/>
      <x:c r="N127" s="73"/>
      <x:c r="O127" s="73"/>
      <x:c r="P127" s="73"/>
      <x:c r="Q127" s="76"/>
      <x:c r="R127" s="73"/>
      <x:c r="S127" s="73"/>
      <x:c r="T127" s="73"/>
      <x:c r="U127" s="73"/>
      <x:c r="V127" s="73"/>
      <x:c r="W127" s="73"/>
      <x:c r="X127" s="73"/>
      <x:c r="Y127" s="73"/>
      <x:c r="Z127" s="73"/>
      <x:c r="AA127" s="73"/>
      <x:c r="AB127" s="76" t="str">
        <x:f>IF(A127="","",IF(OR(NOT(ISNUMBER(I127)),I127&lt;0,NOT(ISNUMBER(AP127)),AP127&lt;0,NOT(ISNUMBER(L127)),L127&lt;1,L127&gt;5,L127&lt;&gt;INT(L127),AND(J127&lt;&gt;"Public",J127&lt;&gt;"Partner",J127&lt;&gt;"Internal",J127&lt;&gt;"None"),AND(K127&lt;&gt;"High",K127&lt;&gt;"Medium",K127&lt;&gt;"Low",K127&lt;&gt;"None"),AND(W127&lt;&gt;"Hard-coded",W127&lt;&gt;"Configurable",W127&lt;&gt;"Policy-managed",W127&lt;&gt;"API/Library abstraction",W127&lt;&gt;"Automated"),AND(Z127&lt;&gt;"Y",Z127&lt;&gt;"N"),AND(AA127&lt;&gt;"Y",AA127&lt;&gt;"N")),"Incomplete",IF(Z127="Y",20,0)+L127*5+IF(AA127="Y",15,0)+IF(J127="Public",10,IF(J127="Partner",7,IF(J127="Internal",3,0)))+IF(W127="Hard-coded",10,IF(W127="Configurable",3,0))+IF(MAX(I127,AP127)&gt;=10,10,IF(MAX(I127,AP127)&gt;=5,7,IF(MAX(I127,AP127)&gt;=2,3,0)))+IF(K127="High",10,IF(K127="Medium",5,0))))</x:f>
      </x:c>
      <x:c r="AC127" s="73" t="str">
        <x:f>IF(A127="","",IF(NOT(ISNUMBER(AB127)),"Review inputs",IF(AB127&gt;=70,"P0 - Immediate",IF(AB127&gt;=50,"P1 - High",IF(AB127&gt;=30,"P2 - Medium",IF(AB127&gt;=15,"P3 - Low","P4 - Monitor"))))))</x:f>
      </x:c>
      <x:c r="AD127" s="73"/>
      <x:c r="AE127" s="73"/>
      <x:c r="AF127" s="73"/>
      <x:c r="AG127" s="77"/>
      <x:c r="AH127" s="73"/>
      <x:c r="AI127" s="91"/>
      <x:c r="AJ127" s="91"/>
      <x:c r="AK127" s="91"/>
      <x:c r="AL127" s="92"/>
      <x:c r="AM127" s="91"/>
      <x:c r="AN127" s="91"/>
      <x:c r="AO127" s="93"/>
      <x:c r="AP127" s="94"/>
      <x:c r="AQ127" s="91"/>
      <x:c r="AR127" s="91"/>
      <x:c r="AS127" s="91"/>
      <x:c r="AT127" s="91"/>
      <x:c r="AU127" s="91"/>
      <x:c r="AV127" s="91"/>
      <x:c r="AW127" s="91"/>
      <x:c r="AX127" s="91"/>
      <x:c r="AY127" s="91"/>
      <x:c r="AZ127" s="92"/>
      <x:c r="BA127" s="94"/>
      <x:c r="BB127" s="91"/>
      <x:c r="BC127" s="92"/>
      <x:c r="BD127" s="92"/>
      <x:c r="BE127" s="91"/>
      <x:c r="BF127" s="91"/>
      <x:c r="BG127" s="91"/>
      <x:c r="BH127" s="91"/>
      <x:c r="BI127" s="91"/>
      <x:c r="BJ127" s="91"/>
      <x:c r="BK127" s="91"/>
      <x:c r="BL127" s="91"/>
      <x:c r="BM127" s="73" t="str">
        <x:f>IF(A127="","",IF(AI127="Example","Example only",IF(AI127&lt;&gt;"Actual","Set record type",IF(COUNTIF($A$2:$A$1001,A127)&gt;1,"Duplicate record ID",IF(OR(D127="",E127="",AF127="",NOT(ISNUMBER(AG127)),AJ127="",AK127="",NOT(ISNUMBER(AL127)),AND(AM127&lt;&gt;"Observed",AM127&lt;&gt;"Corroborated",AM127&lt;&gt;"Declared"),OR(AN127="",AN127="Unknown"),OR(AQ127="",AQ127="Unknown"),OR(AR127="",AR127="Unknown",AR127="TBD"),OR(BC127="",NOT(ISNUMBER(BC127)))),"Evidence incomplete","Evidence recorded; review scope")))))</x:f>
      </x:c>
      <x:c r="BN127" s="73"/>
    </x:row>
    <x:row r="128" ht="34" customHeight="1">
      <x:c r="A128" s="73"/>
      <x:c r="B128" s="73"/>
      <x:c r="C128" s="73"/>
      <x:c r="D128" s="73"/>
      <x:c r="E128" s="73"/>
      <x:c r="F128" s="73"/>
      <x:c r="G128" s="73"/>
      <x:c r="H128" s="73"/>
      <x:c r="I128" s="75"/>
      <x:c r="J128" s="73"/>
      <x:c r="K128" s="73"/>
      <x:c r="L128" s="76"/>
      <x:c r="M128" s="73"/>
      <x:c r="N128" s="73"/>
      <x:c r="O128" s="73"/>
      <x:c r="P128" s="73"/>
      <x:c r="Q128" s="76"/>
      <x:c r="R128" s="73"/>
      <x:c r="S128" s="73"/>
      <x:c r="T128" s="73"/>
      <x:c r="U128" s="73"/>
      <x:c r="V128" s="73"/>
      <x:c r="W128" s="73"/>
      <x:c r="X128" s="73"/>
      <x:c r="Y128" s="73"/>
      <x:c r="Z128" s="73"/>
      <x:c r="AA128" s="73"/>
      <x:c r="AB128" s="76" t="str">
        <x:f>IF(A128="","",IF(OR(NOT(ISNUMBER(I128)),I128&lt;0,NOT(ISNUMBER(AP128)),AP128&lt;0,NOT(ISNUMBER(L128)),L128&lt;1,L128&gt;5,L128&lt;&gt;INT(L128),AND(J128&lt;&gt;"Public",J128&lt;&gt;"Partner",J128&lt;&gt;"Internal",J128&lt;&gt;"None"),AND(K128&lt;&gt;"High",K128&lt;&gt;"Medium",K128&lt;&gt;"Low",K128&lt;&gt;"None"),AND(W128&lt;&gt;"Hard-coded",W128&lt;&gt;"Configurable",W128&lt;&gt;"Policy-managed",W128&lt;&gt;"API/Library abstraction",W128&lt;&gt;"Automated"),AND(Z128&lt;&gt;"Y",Z128&lt;&gt;"N"),AND(AA128&lt;&gt;"Y",AA128&lt;&gt;"N")),"Incomplete",IF(Z128="Y",20,0)+L128*5+IF(AA128="Y",15,0)+IF(J128="Public",10,IF(J128="Partner",7,IF(J128="Internal",3,0)))+IF(W128="Hard-coded",10,IF(W128="Configurable",3,0))+IF(MAX(I128,AP128)&gt;=10,10,IF(MAX(I128,AP128)&gt;=5,7,IF(MAX(I128,AP128)&gt;=2,3,0)))+IF(K128="High",10,IF(K128="Medium",5,0))))</x:f>
      </x:c>
      <x:c r="AC128" s="73" t="str">
        <x:f>IF(A128="","",IF(NOT(ISNUMBER(AB128)),"Review inputs",IF(AB128&gt;=70,"P0 - Immediate",IF(AB128&gt;=50,"P1 - High",IF(AB128&gt;=30,"P2 - Medium",IF(AB128&gt;=15,"P3 - Low","P4 - Monitor"))))))</x:f>
      </x:c>
      <x:c r="AD128" s="73"/>
      <x:c r="AE128" s="73"/>
      <x:c r="AF128" s="73"/>
      <x:c r="AG128" s="77"/>
      <x:c r="AH128" s="73"/>
      <x:c r="AI128" s="91"/>
      <x:c r="AJ128" s="91"/>
      <x:c r="AK128" s="91"/>
      <x:c r="AL128" s="92"/>
      <x:c r="AM128" s="91"/>
      <x:c r="AN128" s="91"/>
      <x:c r="AO128" s="93"/>
      <x:c r="AP128" s="94"/>
      <x:c r="AQ128" s="91"/>
      <x:c r="AR128" s="91"/>
      <x:c r="AS128" s="91"/>
      <x:c r="AT128" s="91"/>
      <x:c r="AU128" s="91"/>
      <x:c r="AV128" s="91"/>
      <x:c r="AW128" s="91"/>
      <x:c r="AX128" s="91"/>
      <x:c r="AY128" s="91"/>
      <x:c r="AZ128" s="92"/>
      <x:c r="BA128" s="94"/>
      <x:c r="BB128" s="91"/>
      <x:c r="BC128" s="92"/>
      <x:c r="BD128" s="92"/>
      <x:c r="BE128" s="91"/>
      <x:c r="BF128" s="91"/>
      <x:c r="BG128" s="91"/>
      <x:c r="BH128" s="91"/>
      <x:c r="BI128" s="91"/>
      <x:c r="BJ128" s="91"/>
      <x:c r="BK128" s="91"/>
      <x:c r="BL128" s="91"/>
      <x:c r="BM128" s="73" t="str">
        <x:f>IF(A128="","",IF(AI128="Example","Example only",IF(AI128&lt;&gt;"Actual","Set record type",IF(COUNTIF($A$2:$A$1001,A128)&gt;1,"Duplicate record ID",IF(OR(D128="",E128="",AF128="",NOT(ISNUMBER(AG128)),AJ128="",AK128="",NOT(ISNUMBER(AL128)),AND(AM128&lt;&gt;"Observed",AM128&lt;&gt;"Corroborated",AM128&lt;&gt;"Declared"),OR(AN128="",AN128="Unknown"),OR(AQ128="",AQ128="Unknown"),OR(AR128="",AR128="Unknown",AR128="TBD"),OR(BC128="",NOT(ISNUMBER(BC128)))),"Evidence incomplete","Evidence recorded; review scope")))))</x:f>
      </x:c>
      <x:c r="BN128" s="73"/>
    </x:row>
    <x:row r="129" ht="34" customHeight="1">
      <x:c r="A129" s="73"/>
      <x:c r="B129" s="73"/>
      <x:c r="C129" s="73"/>
      <x:c r="D129" s="73"/>
      <x:c r="E129" s="73"/>
      <x:c r="F129" s="73"/>
      <x:c r="G129" s="73"/>
      <x:c r="H129" s="73"/>
      <x:c r="I129" s="75"/>
      <x:c r="J129" s="73"/>
      <x:c r="K129" s="73"/>
      <x:c r="L129" s="76"/>
      <x:c r="M129" s="73"/>
      <x:c r="N129" s="73"/>
      <x:c r="O129" s="73"/>
      <x:c r="P129" s="73"/>
      <x:c r="Q129" s="76"/>
      <x:c r="R129" s="73"/>
      <x:c r="S129" s="73"/>
      <x:c r="T129" s="73"/>
      <x:c r="U129" s="73"/>
      <x:c r="V129" s="73"/>
      <x:c r="W129" s="73"/>
      <x:c r="X129" s="73"/>
      <x:c r="Y129" s="73"/>
      <x:c r="Z129" s="73"/>
      <x:c r="AA129" s="73"/>
      <x:c r="AB129" s="76" t="str">
        <x:f>IF(A129="","",IF(OR(NOT(ISNUMBER(I129)),I129&lt;0,NOT(ISNUMBER(AP129)),AP129&lt;0,NOT(ISNUMBER(L129)),L129&lt;1,L129&gt;5,L129&lt;&gt;INT(L129),AND(J129&lt;&gt;"Public",J129&lt;&gt;"Partner",J129&lt;&gt;"Internal",J129&lt;&gt;"None"),AND(K129&lt;&gt;"High",K129&lt;&gt;"Medium",K129&lt;&gt;"Low",K129&lt;&gt;"None"),AND(W129&lt;&gt;"Hard-coded",W129&lt;&gt;"Configurable",W129&lt;&gt;"Policy-managed",W129&lt;&gt;"API/Library abstraction",W129&lt;&gt;"Automated"),AND(Z129&lt;&gt;"Y",Z129&lt;&gt;"N"),AND(AA129&lt;&gt;"Y",AA129&lt;&gt;"N")),"Incomplete",IF(Z129="Y",20,0)+L129*5+IF(AA129="Y",15,0)+IF(J129="Public",10,IF(J129="Partner",7,IF(J129="Internal",3,0)))+IF(W129="Hard-coded",10,IF(W129="Configurable",3,0))+IF(MAX(I129,AP129)&gt;=10,10,IF(MAX(I129,AP129)&gt;=5,7,IF(MAX(I129,AP129)&gt;=2,3,0)))+IF(K129="High",10,IF(K129="Medium",5,0))))</x:f>
      </x:c>
      <x:c r="AC129" s="73" t="str">
        <x:f>IF(A129="","",IF(NOT(ISNUMBER(AB129)),"Review inputs",IF(AB129&gt;=70,"P0 - Immediate",IF(AB129&gt;=50,"P1 - High",IF(AB129&gt;=30,"P2 - Medium",IF(AB129&gt;=15,"P3 - Low","P4 - Monitor"))))))</x:f>
      </x:c>
      <x:c r="AD129" s="73"/>
      <x:c r="AE129" s="73"/>
      <x:c r="AF129" s="73"/>
      <x:c r="AG129" s="77"/>
      <x:c r="AH129" s="73"/>
      <x:c r="AI129" s="91"/>
      <x:c r="AJ129" s="91"/>
      <x:c r="AK129" s="91"/>
      <x:c r="AL129" s="92"/>
      <x:c r="AM129" s="91"/>
      <x:c r="AN129" s="91"/>
      <x:c r="AO129" s="93"/>
      <x:c r="AP129" s="94"/>
      <x:c r="AQ129" s="91"/>
      <x:c r="AR129" s="91"/>
      <x:c r="AS129" s="91"/>
      <x:c r="AT129" s="91"/>
      <x:c r="AU129" s="91"/>
      <x:c r="AV129" s="91"/>
      <x:c r="AW129" s="91"/>
      <x:c r="AX129" s="91"/>
      <x:c r="AY129" s="91"/>
      <x:c r="AZ129" s="92"/>
      <x:c r="BA129" s="94"/>
      <x:c r="BB129" s="91"/>
      <x:c r="BC129" s="92"/>
      <x:c r="BD129" s="92"/>
      <x:c r="BE129" s="91"/>
      <x:c r="BF129" s="91"/>
      <x:c r="BG129" s="91"/>
      <x:c r="BH129" s="91"/>
      <x:c r="BI129" s="91"/>
      <x:c r="BJ129" s="91"/>
      <x:c r="BK129" s="91"/>
      <x:c r="BL129" s="91"/>
      <x:c r="BM129" s="73" t="str">
        <x:f>IF(A129="","",IF(AI129="Example","Example only",IF(AI129&lt;&gt;"Actual","Set record type",IF(COUNTIF($A$2:$A$1001,A129)&gt;1,"Duplicate record ID",IF(OR(D129="",E129="",AF129="",NOT(ISNUMBER(AG129)),AJ129="",AK129="",NOT(ISNUMBER(AL129)),AND(AM129&lt;&gt;"Observed",AM129&lt;&gt;"Corroborated",AM129&lt;&gt;"Declared"),OR(AN129="",AN129="Unknown"),OR(AQ129="",AQ129="Unknown"),OR(AR129="",AR129="Unknown",AR129="TBD"),OR(BC129="",NOT(ISNUMBER(BC129)))),"Evidence incomplete","Evidence recorded; review scope")))))</x:f>
      </x:c>
      <x:c r="BN129" s="73"/>
    </x:row>
    <x:row r="130" ht="34" customHeight="1">
      <x:c r="A130" s="73"/>
      <x:c r="B130" s="73"/>
      <x:c r="C130" s="73"/>
      <x:c r="D130" s="73"/>
      <x:c r="E130" s="73"/>
      <x:c r="F130" s="73"/>
      <x:c r="G130" s="73"/>
      <x:c r="H130" s="73"/>
      <x:c r="I130" s="75"/>
      <x:c r="J130" s="73"/>
      <x:c r="K130" s="73"/>
      <x:c r="L130" s="76"/>
      <x:c r="M130" s="73"/>
      <x:c r="N130" s="73"/>
      <x:c r="O130" s="73"/>
      <x:c r="P130" s="73"/>
      <x:c r="Q130" s="76"/>
      <x:c r="R130" s="73"/>
      <x:c r="S130" s="73"/>
      <x:c r="T130" s="73"/>
      <x:c r="U130" s="73"/>
      <x:c r="V130" s="73"/>
      <x:c r="W130" s="73"/>
      <x:c r="X130" s="73"/>
      <x:c r="Y130" s="73"/>
      <x:c r="Z130" s="73"/>
      <x:c r="AA130" s="73"/>
      <x:c r="AB130" s="76" t="str">
        <x:f>IF(A130="","",IF(OR(NOT(ISNUMBER(I130)),I130&lt;0,NOT(ISNUMBER(AP130)),AP130&lt;0,NOT(ISNUMBER(L130)),L130&lt;1,L130&gt;5,L130&lt;&gt;INT(L130),AND(J130&lt;&gt;"Public",J130&lt;&gt;"Partner",J130&lt;&gt;"Internal",J130&lt;&gt;"None"),AND(K130&lt;&gt;"High",K130&lt;&gt;"Medium",K130&lt;&gt;"Low",K130&lt;&gt;"None"),AND(W130&lt;&gt;"Hard-coded",W130&lt;&gt;"Configurable",W130&lt;&gt;"Policy-managed",W130&lt;&gt;"API/Library abstraction",W130&lt;&gt;"Automated"),AND(Z130&lt;&gt;"Y",Z130&lt;&gt;"N"),AND(AA130&lt;&gt;"Y",AA130&lt;&gt;"N")),"Incomplete",IF(Z130="Y",20,0)+L130*5+IF(AA130="Y",15,0)+IF(J130="Public",10,IF(J130="Partner",7,IF(J130="Internal",3,0)))+IF(W130="Hard-coded",10,IF(W130="Configurable",3,0))+IF(MAX(I130,AP130)&gt;=10,10,IF(MAX(I130,AP130)&gt;=5,7,IF(MAX(I130,AP130)&gt;=2,3,0)))+IF(K130="High",10,IF(K130="Medium",5,0))))</x:f>
      </x:c>
      <x:c r="AC130" s="73" t="str">
        <x:f>IF(A130="","",IF(NOT(ISNUMBER(AB130)),"Review inputs",IF(AB130&gt;=70,"P0 - Immediate",IF(AB130&gt;=50,"P1 - High",IF(AB130&gt;=30,"P2 - Medium",IF(AB130&gt;=15,"P3 - Low","P4 - Monitor"))))))</x:f>
      </x:c>
      <x:c r="AD130" s="73"/>
      <x:c r="AE130" s="73"/>
      <x:c r="AF130" s="73"/>
      <x:c r="AG130" s="77"/>
      <x:c r="AH130" s="73"/>
      <x:c r="AI130" s="91"/>
      <x:c r="AJ130" s="91"/>
      <x:c r="AK130" s="91"/>
      <x:c r="AL130" s="92"/>
      <x:c r="AM130" s="91"/>
      <x:c r="AN130" s="91"/>
      <x:c r="AO130" s="93"/>
      <x:c r="AP130" s="94"/>
      <x:c r="AQ130" s="91"/>
      <x:c r="AR130" s="91"/>
      <x:c r="AS130" s="91"/>
      <x:c r="AT130" s="91"/>
      <x:c r="AU130" s="91"/>
      <x:c r="AV130" s="91"/>
      <x:c r="AW130" s="91"/>
      <x:c r="AX130" s="91"/>
      <x:c r="AY130" s="91"/>
      <x:c r="AZ130" s="92"/>
      <x:c r="BA130" s="94"/>
      <x:c r="BB130" s="91"/>
      <x:c r="BC130" s="92"/>
      <x:c r="BD130" s="92"/>
      <x:c r="BE130" s="91"/>
      <x:c r="BF130" s="91"/>
      <x:c r="BG130" s="91"/>
      <x:c r="BH130" s="91"/>
      <x:c r="BI130" s="91"/>
      <x:c r="BJ130" s="91"/>
      <x:c r="BK130" s="91"/>
      <x:c r="BL130" s="91"/>
      <x:c r="BM130" s="73" t="str">
        <x:f>IF(A130="","",IF(AI130="Example","Example only",IF(AI130&lt;&gt;"Actual","Set record type",IF(COUNTIF($A$2:$A$1001,A130)&gt;1,"Duplicate record ID",IF(OR(D130="",E130="",AF130="",NOT(ISNUMBER(AG130)),AJ130="",AK130="",NOT(ISNUMBER(AL130)),AND(AM130&lt;&gt;"Observed",AM130&lt;&gt;"Corroborated",AM130&lt;&gt;"Declared"),OR(AN130="",AN130="Unknown"),OR(AQ130="",AQ130="Unknown"),OR(AR130="",AR130="Unknown",AR130="TBD"),OR(BC130="",NOT(ISNUMBER(BC130)))),"Evidence incomplete","Evidence recorded; review scope")))))</x:f>
      </x:c>
      <x:c r="BN130" s="73"/>
    </x:row>
    <x:row r="131" ht="34" customHeight="1">
      <x:c r="A131" s="73"/>
      <x:c r="B131" s="73"/>
      <x:c r="C131" s="73"/>
      <x:c r="D131" s="73"/>
      <x:c r="E131" s="73"/>
      <x:c r="F131" s="73"/>
      <x:c r="G131" s="73"/>
      <x:c r="H131" s="73"/>
      <x:c r="I131" s="75"/>
      <x:c r="J131" s="73"/>
      <x:c r="K131" s="73"/>
      <x:c r="L131" s="76"/>
      <x:c r="M131" s="73"/>
      <x:c r="N131" s="73"/>
      <x:c r="O131" s="73"/>
      <x:c r="P131" s="73"/>
      <x:c r="Q131" s="76"/>
      <x:c r="R131" s="73"/>
      <x:c r="S131" s="73"/>
      <x:c r="T131" s="73"/>
      <x:c r="U131" s="73"/>
      <x:c r="V131" s="73"/>
      <x:c r="W131" s="73"/>
      <x:c r="X131" s="73"/>
      <x:c r="Y131" s="73"/>
      <x:c r="Z131" s="73"/>
      <x:c r="AA131" s="73"/>
      <x:c r="AB131" s="76" t="str">
        <x:f>IF(A131="","",IF(OR(NOT(ISNUMBER(I131)),I131&lt;0,NOT(ISNUMBER(AP131)),AP131&lt;0,NOT(ISNUMBER(L131)),L131&lt;1,L131&gt;5,L131&lt;&gt;INT(L131),AND(J131&lt;&gt;"Public",J131&lt;&gt;"Partner",J131&lt;&gt;"Internal",J131&lt;&gt;"None"),AND(K131&lt;&gt;"High",K131&lt;&gt;"Medium",K131&lt;&gt;"Low",K131&lt;&gt;"None"),AND(W131&lt;&gt;"Hard-coded",W131&lt;&gt;"Configurable",W131&lt;&gt;"Policy-managed",W131&lt;&gt;"API/Library abstraction",W131&lt;&gt;"Automated"),AND(Z131&lt;&gt;"Y",Z131&lt;&gt;"N"),AND(AA131&lt;&gt;"Y",AA131&lt;&gt;"N")),"Incomplete",IF(Z131="Y",20,0)+L131*5+IF(AA131="Y",15,0)+IF(J131="Public",10,IF(J131="Partner",7,IF(J131="Internal",3,0)))+IF(W131="Hard-coded",10,IF(W131="Configurable",3,0))+IF(MAX(I131,AP131)&gt;=10,10,IF(MAX(I131,AP131)&gt;=5,7,IF(MAX(I131,AP131)&gt;=2,3,0)))+IF(K131="High",10,IF(K131="Medium",5,0))))</x:f>
      </x:c>
      <x:c r="AC131" s="73" t="str">
        <x:f>IF(A131="","",IF(NOT(ISNUMBER(AB131)),"Review inputs",IF(AB131&gt;=70,"P0 - Immediate",IF(AB131&gt;=50,"P1 - High",IF(AB131&gt;=30,"P2 - Medium",IF(AB131&gt;=15,"P3 - Low","P4 - Monitor"))))))</x:f>
      </x:c>
      <x:c r="AD131" s="73"/>
      <x:c r="AE131" s="73"/>
      <x:c r="AF131" s="73"/>
      <x:c r="AG131" s="77"/>
      <x:c r="AH131" s="73"/>
      <x:c r="AI131" s="91"/>
      <x:c r="AJ131" s="91"/>
      <x:c r="AK131" s="91"/>
      <x:c r="AL131" s="92"/>
      <x:c r="AM131" s="91"/>
      <x:c r="AN131" s="91"/>
      <x:c r="AO131" s="93"/>
      <x:c r="AP131" s="94"/>
      <x:c r="AQ131" s="91"/>
      <x:c r="AR131" s="91"/>
      <x:c r="AS131" s="91"/>
      <x:c r="AT131" s="91"/>
      <x:c r="AU131" s="91"/>
      <x:c r="AV131" s="91"/>
      <x:c r="AW131" s="91"/>
      <x:c r="AX131" s="91"/>
      <x:c r="AY131" s="91"/>
      <x:c r="AZ131" s="92"/>
      <x:c r="BA131" s="94"/>
      <x:c r="BB131" s="91"/>
      <x:c r="BC131" s="92"/>
      <x:c r="BD131" s="92"/>
      <x:c r="BE131" s="91"/>
      <x:c r="BF131" s="91"/>
      <x:c r="BG131" s="91"/>
      <x:c r="BH131" s="91"/>
      <x:c r="BI131" s="91"/>
      <x:c r="BJ131" s="91"/>
      <x:c r="BK131" s="91"/>
      <x:c r="BL131" s="91"/>
      <x:c r="BM131" s="73" t="str">
        <x:f>IF(A131="","",IF(AI131="Example","Example only",IF(AI131&lt;&gt;"Actual","Set record type",IF(COUNTIF($A$2:$A$1001,A131)&gt;1,"Duplicate record ID",IF(OR(D131="",E131="",AF131="",NOT(ISNUMBER(AG131)),AJ131="",AK131="",NOT(ISNUMBER(AL131)),AND(AM131&lt;&gt;"Observed",AM131&lt;&gt;"Corroborated",AM131&lt;&gt;"Declared"),OR(AN131="",AN131="Unknown"),OR(AQ131="",AQ131="Unknown"),OR(AR131="",AR131="Unknown",AR131="TBD"),OR(BC131="",NOT(ISNUMBER(BC131)))),"Evidence incomplete","Evidence recorded; review scope")))))</x:f>
      </x:c>
      <x:c r="BN131" s="73"/>
    </x:row>
    <x:row r="132" ht="34" customHeight="1">
      <x:c r="A132" s="73"/>
      <x:c r="B132" s="73"/>
      <x:c r="C132" s="73"/>
      <x:c r="D132" s="73"/>
      <x:c r="E132" s="73"/>
      <x:c r="F132" s="73"/>
      <x:c r="G132" s="73"/>
      <x:c r="H132" s="73"/>
      <x:c r="I132" s="75"/>
      <x:c r="J132" s="73"/>
      <x:c r="K132" s="73"/>
      <x:c r="L132" s="76"/>
      <x:c r="M132" s="73"/>
      <x:c r="N132" s="73"/>
      <x:c r="O132" s="73"/>
      <x:c r="P132" s="73"/>
      <x:c r="Q132" s="76"/>
      <x:c r="R132" s="73"/>
      <x:c r="S132" s="73"/>
      <x:c r="T132" s="73"/>
      <x:c r="U132" s="73"/>
      <x:c r="V132" s="73"/>
      <x:c r="W132" s="73"/>
      <x:c r="X132" s="73"/>
      <x:c r="Y132" s="73"/>
      <x:c r="Z132" s="73"/>
      <x:c r="AA132" s="73"/>
      <x:c r="AB132" s="76" t="str">
        <x:f>IF(A132="","",IF(OR(NOT(ISNUMBER(I132)),I132&lt;0,NOT(ISNUMBER(AP132)),AP132&lt;0,NOT(ISNUMBER(L132)),L132&lt;1,L132&gt;5,L132&lt;&gt;INT(L132),AND(J132&lt;&gt;"Public",J132&lt;&gt;"Partner",J132&lt;&gt;"Internal",J132&lt;&gt;"None"),AND(K132&lt;&gt;"High",K132&lt;&gt;"Medium",K132&lt;&gt;"Low",K132&lt;&gt;"None"),AND(W132&lt;&gt;"Hard-coded",W132&lt;&gt;"Configurable",W132&lt;&gt;"Policy-managed",W132&lt;&gt;"API/Library abstraction",W132&lt;&gt;"Automated"),AND(Z132&lt;&gt;"Y",Z132&lt;&gt;"N"),AND(AA132&lt;&gt;"Y",AA132&lt;&gt;"N")),"Incomplete",IF(Z132="Y",20,0)+L132*5+IF(AA132="Y",15,0)+IF(J132="Public",10,IF(J132="Partner",7,IF(J132="Internal",3,0)))+IF(W132="Hard-coded",10,IF(W132="Configurable",3,0))+IF(MAX(I132,AP132)&gt;=10,10,IF(MAX(I132,AP132)&gt;=5,7,IF(MAX(I132,AP132)&gt;=2,3,0)))+IF(K132="High",10,IF(K132="Medium",5,0))))</x:f>
      </x:c>
      <x:c r="AC132" s="73" t="str">
        <x:f>IF(A132="","",IF(NOT(ISNUMBER(AB132)),"Review inputs",IF(AB132&gt;=70,"P0 - Immediate",IF(AB132&gt;=50,"P1 - High",IF(AB132&gt;=30,"P2 - Medium",IF(AB132&gt;=15,"P3 - Low","P4 - Monitor"))))))</x:f>
      </x:c>
      <x:c r="AD132" s="73"/>
      <x:c r="AE132" s="73"/>
      <x:c r="AF132" s="73"/>
      <x:c r="AG132" s="77"/>
      <x:c r="AH132" s="73"/>
      <x:c r="AI132" s="91"/>
      <x:c r="AJ132" s="91"/>
      <x:c r="AK132" s="91"/>
      <x:c r="AL132" s="92"/>
      <x:c r="AM132" s="91"/>
      <x:c r="AN132" s="91"/>
      <x:c r="AO132" s="93"/>
      <x:c r="AP132" s="94"/>
      <x:c r="AQ132" s="91"/>
      <x:c r="AR132" s="91"/>
      <x:c r="AS132" s="91"/>
      <x:c r="AT132" s="91"/>
      <x:c r="AU132" s="91"/>
      <x:c r="AV132" s="91"/>
      <x:c r="AW132" s="91"/>
      <x:c r="AX132" s="91"/>
      <x:c r="AY132" s="91"/>
      <x:c r="AZ132" s="92"/>
      <x:c r="BA132" s="94"/>
      <x:c r="BB132" s="91"/>
      <x:c r="BC132" s="92"/>
      <x:c r="BD132" s="92"/>
      <x:c r="BE132" s="91"/>
      <x:c r="BF132" s="91"/>
      <x:c r="BG132" s="91"/>
      <x:c r="BH132" s="91"/>
      <x:c r="BI132" s="91"/>
      <x:c r="BJ132" s="91"/>
      <x:c r="BK132" s="91"/>
      <x:c r="BL132" s="91"/>
      <x:c r="BM132" s="73" t="str">
        <x:f>IF(A132="","",IF(AI132="Example","Example only",IF(AI132&lt;&gt;"Actual","Set record type",IF(COUNTIF($A$2:$A$1001,A132)&gt;1,"Duplicate record ID",IF(OR(D132="",E132="",AF132="",NOT(ISNUMBER(AG132)),AJ132="",AK132="",NOT(ISNUMBER(AL132)),AND(AM132&lt;&gt;"Observed",AM132&lt;&gt;"Corroborated",AM132&lt;&gt;"Declared"),OR(AN132="",AN132="Unknown"),OR(AQ132="",AQ132="Unknown"),OR(AR132="",AR132="Unknown",AR132="TBD"),OR(BC132="",NOT(ISNUMBER(BC132)))),"Evidence incomplete","Evidence recorded; review scope")))))</x:f>
      </x:c>
      <x:c r="BN132" s="73"/>
    </x:row>
    <x:row r="133" ht="34" customHeight="1">
      <x:c r="A133" s="73"/>
      <x:c r="B133" s="73"/>
      <x:c r="C133" s="73"/>
      <x:c r="D133" s="73"/>
      <x:c r="E133" s="73"/>
      <x:c r="F133" s="73"/>
      <x:c r="G133" s="73"/>
      <x:c r="H133" s="73"/>
      <x:c r="I133" s="75"/>
      <x:c r="J133" s="73"/>
      <x:c r="K133" s="73"/>
      <x:c r="L133" s="76"/>
      <x:c r="M133" s="73"/>
      <x:c r="N133" s="73"/>
      <x:c r="O133" s="73"/>
      <x:c r="P133" s="73"/>
      <x:c r="Q133" s="76"/>
      <x:c r="R133" s="73"/>
      <x:c r="S133" s="73"/>
      <x:c r="T133" s="73"/>
      <x:c r="U133" s="73"/>
      <x:c r="V133" s="73"/>
      <x:c r="W133" s="73"/>
      <x:c r="X133" s="73"/>
      <x:c r="Y133" s="73"/>
      <x:c r="Z133" s="73"/>
      <x:c r="AA133" s="73"/>
      <x:c r="AB133" s="76" t="str">
        <x:f>IF(A133="","",IF(OR(NOT(ISNUMBER(I133)),I133&lt;0,NOT(ISNUMBER(AP133)),AP133&lt;0,NOT(ISNUMBER(L133)),L133&lt;1,L133&gt;5,L133&lt;&gt;INT(L133),AND(J133&lt;&gt;"Public",J133&lt;&gt;"Partner",J133&lt;&gt;"Internal",J133&lt;&gt;"None"),AND(K133&lt;&gt;"High",K133&lt;&gt;"Medium",K133&lt;&gt;"Low",K133&lt;&gt;"None"),AND(W133&lt;&gt;"Hard-coded",W133&lt;&gt;"Configurable",W133&lt;&gt;"Policy-managed",W133&lt;&gt;"API/Library abstraction",W133&lt;&gt;"Automated"),AND(Z133&lt;&gt;"Y",Z133&lt;&gt;"N"),AND(AA133&lt;&gt;"Y",AA133&lt;&gt;"N")),"Incomplete",IF(Z133="Y",20,0)+L133*5+IF(AA133="Y",15,0)+IF(J133="Public",10,IF(J133="Partner",7,IF(J133="Internal",3,0)))+IF(W133="Hard-coded",10,IF(W133="Configurable",3,0))+IF(MAX(I133,AP133)&gt;=10,10,IF(MAX(I133,AP133)&gt;=5,7,IF(MAX(I133,AP133)&gt;=2,3,0)))+IF(K133="High",10,IF(K133="Medium",5,0))))</x:f>
      </x:c>
      <x:c r="AC133" s="73" t="str">
        <x:f>IF(A133="","",IF(NOT(ISNUMBER(AB133)),"Review inputs",IF(AB133&gt;=70,"P0 - Immediate",IF(AB133&gt;=50,"P1 - High",IF(AB133&gt;=30,"P2 - Medium",IF(AB133&gt;=15,"P3 - Low","P4 - Monitor"))))))</x:f>
      </x:c>
      <x:c r="AD133" s="73"/>
      <x:c r="AE133" s="73"/>
      <x:c r="AF133" s="73"/>
      <x:c r="AG133" s="77"/>
      <x:c r="AH133" s="73"/>
      <x:c r="AI133" s="91"/>
      <x:c r="AJ133" s="91"/>
      <x:c r="AK133" s="91"/>
      <x:c r="AL133" s="92"/>
      <x:c r="AM133" s="91"/>
      <x:c r="AN133" s="91"/>
      <x:c r="AO133" s="93"/>
      <x:c r="AP133" s="94"/>
      <x:c r="AQ133" s="91"/>
      <x:c r="AR133" s="91"/>
      <x:c r="AS133" s="91"/>
      <x:c r="AT133" s="91"/>
      <x:c r="AU133" s="91"/>
      <x:c r="AV133" s="91"/>
      <x:c r="AW133" s="91"/>
      <x:c r="AX133" s="91"/>
      <x:c r="AY133" s="91"/>
      <x:c r="AZ133" s="92"/>
      <x:c r="BA133" s="94"/>
      <x:c r="BB133" s="91"/>
      <x:c r="BC133" s="92"/>
      <x:c r="BD133" s="92"/>
      <x:c r="BE133" s="91"/>
      <x:c r="BF133" s="91"/>
      <x:c r="BG133" s="91"/>
      <x:c r="BH133" s="91"/>
      <x:c r="BI133" s="91"/>
      <x:c r="BJ133" s="91"/>
      <x:c r="BK133" s="91"/>
      <x:c r="BL133" s="91"/>
      <x:c r="BM133" s="73" t="str">
        <x:f>IF(A133="","",IF(AI133="Example","Example only",IF(AI133&lt;&gt;"Actual","Set record type",IF(COUNTIF($A$2:$A$1001,A133)&gt;1,"Duplicate record ID",IF(OR(D133="",E133="",AF133="",NOT(ISNUMBER(AG133)),AJ133="",AK133="",NOT(ISNUMBER(AL133)),AND(AM133&lt;&gt;"Observed",AM133&lt;&gt;"Corroborated",AM133&lt;&gt;"Declared"),OR(AN133="",AN133="Unknown"),OR(AQ133="",AQ133="Unknown"),OR(AR133="",AR133="Unknown",AR133="TBD"),OR(BC133="",NOT(ISNUMBER(BC133)))),"Evidence incomplete","Evidence recorded; review scope")))))</x:f>
      </x:c>
      <x:c r="BN133" s="73"/>
    </x:row>
    <x:row r="134" ht="34" customHeight="1">
      <x:c r="A134" s="73"/>
      <x:c r="B134" s="73"/>
      <x:c r="C134" s="73"/>
      <x:c r="D134" s="73"/>
      <x:c r="E134" s="73"/>
      <x:c r="F134" s="73"/>
      <x:c r="G134" s="73"/>
      <x:c r="H134" s="73"/>
      <x:c r="I134" s="75"/>
      <x:c r="J134" s="73"/>
      <x:c r="K134" s="73"/>
      <x:c r="L134" s="76"/>
      <x:c r="M134" s="73"/>
      <x:c r="N134" s="73"/>
      <x:c r="O134" s="73"/>
      <x:c r="P134" s="73"/>
      <x:c r="Q134" s="76"/>
      <x:c r="R134" s="73"/>
      <x:c r="S134" s="73"/>
      <x:c r="T134" s="73"/>
      <x:c r="U134" s="73"/>
      <x:c r="V134" s="73"/>
      <x:c r="W134" s="73"/>
      <x:c r="X134" s="73"/>
      <x:c r="Y134" s="73"/>
      <x:c r="Z134" s="73"/>
      <x:c r="AA134" s="73"/>
      <x:c r="AB134" s="76" t="str">
        <x:f>IF(A134="","",IF(OR(NOT(ISNUMBER(I134)),I134&lt;0,NOT(ISNUMBER(AP134)),AP134&lt;0,NOT(ISNUMBER(L134)),L134&lt;1,L134&gt;5,L134&lt;&gt;INT(L134),AND(J134&lt;&gt;"Public",J134&lt;&gt;"Partner",J134&lt;&gt;"Internal",J134&lt;&gt;"None"),AND(K134&lt;&gt;"High",K134&lt;&gt;"Medium",K134&lt;&gt;"Low",K134&lt;&gt;"None"),AND(W134&lt;&gt;"Hard-coded",W134&lt;&gt;"Configurable",W134&lt;&gt;"Policy-managed",W134&lt;&gt;"API/Library abstraction",W134&lt;&gt;"Automated"),AND(Z134&lt;&gt;"Y",Z134&lt;&gt;"N"),AND(AA134&lt;&gt;"Y",AA134&lt;&gt;"N")),"Incomplete",IF(Z134="Y",20,0)+L134*5+IF(AA134="Y",15,0)+IF(J134="Public",10,IF(J134="Partner",7,IF(J134="Internal",3,0)))+IF(W134="Hard-coded",10,IF(W134="Configurable",3,0))+IF(MAX(I134,AP134)&gt;=10,10,IF(MAX(I134,AP134)&gt;=5,7,IF(MAX(I134,AP134)&gt;=2,3,0)))+IF(K134="High",10,IF(K134="Medium",5,0))))</x:f>
      </x:c>
      <x:c r="AC134" s="73" t="str">
        <x:f>IF(A134="","",IF(NOT(ISNUMBER(AB134)),"Review inputs",IF(AB134&gt;=70,"P0 - Immediate",IF(AB134&gt;=50,"P1 - High",IF(AB134&gt;=30,"P2 - Medium",IF(AB134&gt;=15,"P3 - Low","P4 - Monitor"))))))</x:f>
      </x:c>
      <x:c r="AD134" s="73"/>
      <x:c r="AE134" s="73"/>
      <x:c r="AF134" s="73"/>
      <x:c r="AG134" s="77"/>
      <x:c r="AH134" s="73"/>
      <x:c r="AI134" s="91"/>
      <x:c r="AJ134" s="91"/>
      <x:c r="AK134" s="91"/>
      <x:c r="AL134" s="92"/>
      <x:c r="AM134" s="91"/>
      <x:c r="AN134" s="91"/>
      <x:c r="AO134" s="93"/>
      <x:c r="AP134" s="94"/>
      <x:c r="AQ134" s="91"/>
      <x:c r="AR134" s="91"/>
      <x:c r="AS134" s="91"/>
      <x:c r="AT134" s="91"/>
      <x:c r="AU134" s="91"/>
      <x:c r="AV134" s="91"/>
      <x:c r="AW134" s="91"/>
      <x:c r="AX134" s="91"/>
      <x:c r="AY134" s="91"/>
      <x:c r="AZ134" s="92"/>
      <x:c r="BA134" s="94"/>
      <x:c r="BB134" s="91"/>
      <x:c r="BC134" s="92"/>
      <x:c r="BD134" s="92"/>
      <x:c r="BE134" s="91"/>
      <x:c r="BF134" s="91"/>
      <x:c r="BG134" s="91"/>
      <x:c r="BH134" s="91"/>
      <x:c r="BI134" s="91"/>
      <x:c r="BJ134" s="91"/>
      <x:c r="BK134" s="91"/>
      <x:c r="BL134" s="91"/>
      <x:c r="BM134" s="73" t="str">
        <x:f>IF(A134="","",IF(AI134="Example","Example only",IF(AI134&lt;&gt;"Actual","Set record type",IF(COUNTIF($A$2:$A$1001,A134)&gt;1,"Duplicate record ID",IF(OR(D134="",E134="",AF134="",NOT(ISNUMBER(AG134)),AJ134="",AK134="",NOT(ISNUMBER(AL134)),AND(AM134&lt;&gt;"Observed",AM134&lt;&gt;"Corroborated",AM134&lt;&gt;"Declared"),OR(AN134="",AN134="Unknown"),OR(AQ134="",AQ134="Unknown"),OR(AR134="",AR134="Unknown",AR134="TBD"),OR(BC134="",NOT(ISNUMBER(BC134)))),"Evidence incomplete","Evidence recorded; review scope")))))</x:f>
      </x:c>
      <x:c r="BN134" s="73"/>
    </x:row>
    <x:row r="135" ht="34" customHeight="1">
      <x:c r="A135" s="73"/>
      <x:c r="B135" s="73"/>
      <x:c r="C135" s="73"/>
      <x:c r="D135" s="73"/>
      <x:c r="E135" s="73"/>
      <x:c r="F135" s="73"/>
      <x:c r="G135" s="73"/>
      <x:c r="H135" s="73"/>
      <x:c r="I135" s="75"/>
      <x:c r="J135" s="73"/>
      <x:c r="K135" s="73"/>
      <x:c r="L135" s="76"/>
      <x:c r="M135" s="73"/>
      <x:c r="N135" s="73"/>
      <x:c r="O135" s="73"/>
      <x:c r="P135" s="73"/>
      <x:c r="Q135" s="76"/>
      <x:c r="R135" s="73"/>
      <x:c r="S135" s="73"/>
      <x:c r="T135" s="73"/>
      <x:c r="U135" s="73"/>
      <x:c r="V135" s="73"/>
      <x:c r="W135" s="73"/>
      <x:c r="X135" s="73"/>
      <x:c r="Y135" s="73"/>
      <x:c r="Z135" s="73"/>
      <x:c r="AA135" s="73"/>
      <x:c r="AB135" s="76" t="str">
        <x:f>IF(A135="","",IF(OR(NOT(ISNUMBER(I135)),I135&lt;0,NOT(ISNUMBER(AP135)),AP135&lt;0,NOT(ISNUMBER(L135)),L135&lt;1,L135&gt;5,L135&lt;&gt;INT(L135),AND(J135&lt;&gt;"Public",J135&lt;&gt;"Partner",J135&lt;&gt;"Internal",J135&lt;&gt;"None"),AND(K135&lt;&gt;"High",K135&lt;&gt;"Medium",K135&lt;&gt;"Low",K135&lt;&gt;"None"),AND(W135&lt;&gt;"Hard-coded",W135&lt;&gt;"Configurable",W135&lt;&gt;"Policy-managed",W135&lt;&gt;"API/Library abstraction",W135&lt;&gt;"Automated"),AND(Z135&lt;&gt;"Y",Z135&lt;&gt;"N"),AND(AA135&lt;&gt;"Y",AA135&lt;&gt;"N")),"Incomplete",IF(Z135="Y",20,0)+L135*5+IF(AA135="Y",15,0)+IF(J135="Public",10,IF(J135="Partner",7,IF(J135="Internal",3,0)))+IF(W135="Hard-coded",10,IF(W135="Configurable",3,0))+IF(MAX(I135,AP135)&gt;=10,10,IF(MAX(I135,AP135)&gt;=5,7,IF(MAX(I135,AP135)&gt;=2,3,0)))+IF(K135="High",10,IF(K135="Medium",5,0))))</x:f>
      </x:c>
      <x:c r="AC135" s="73" t="str">
        <x:f>IF(A135="","",IF(NOT(ISNUMBER(AB135)),"Review inputs",IF(AB135&gt;=70,"P0 - Immediate",IF(AB135&gt;=50,"P1 - High",IF(AB135&gt;=30,"P2 - Medium",IF(AB135&gt;=15,"P3 - Low","P4 - Monitor"))))))</x:f>
      </x:c>
      <x:c r="AD135" s="73"/>
      <x:c r="AE135" s="73"/>
      <x:c r="AF135" s="73"/>
      <x:c r="AG135" s="77"/>
      <x:c r="AH135" s="73"/>
      <x:c r="AI135" s="91"/>
      <x:c r="AJ135" s="91"/>
      <x:c r="AK135" s="91"/>
      <x:c r="AL135" s="92"/>
      <x:c r="AM135" s="91"/>
      <x:c r="AN135" s="91"/>
      <x:c r="AO135" s="93"/>
      <x:c r="AP135" s="94"/>
      <x:c r="AQ135" s="91"/>
      <x:c r="AR135" s="91"/>
      <x:c r="AS135" s="91"/>
      <x:c r="AT135" s="91"/>
      <x:c r="AU135" s="91"/>
      <x:c r="AV135" s="91"/>
      <x:c r="AW135" s="91"/>
      <x:c r="AX135" s="91"/>
      <x:c r="AY135" s="91"/>
      <x:c r="AZ135" s="92"/>
      <x:c r="BA135" s="94"/>
      <x:c r="BB135" s="91"/>
      <x:c r="BC135" s="92"/>
      <x:c r="BD135" s="92"/>
      <x:c r="BE135" s="91"/>
      <x:c r="BF135" s="91"/>
      <x:c r="BG135" s="91"/>
      <x:c r="BH135" s="91"/>
      <x:c r="BI135" s="91"/>
      <x:c r="BJ135" s="91"/>
      <x:c r="BK135" s="91"/>
      <x:c r="BL135" s="91"/>
      <x:c r="BM135" s="73" t="str">
        <x:f>IF(A135="","",IF(AI135="Example","Example only",IF(AI135&lt;&gt;"Actual","Set record type",IF(COUNTIF($A$2:$A$1001,A135)&gt;1,"Duplicate record ID",IF(OR(D135="",E135="",AF135="",NOT(ISNUMBER(AG135)),AJ135="",AK135="",NOT(ISNUMBER(AL135)),AND(AM135&lt;&gt;"Observed",AM135&lt;&gt;"Corroborated",AM135&lt;&gt;"Declared"),OR(AN135="",AN135="Unknown"),OR(AQ135="",AQ135="Unknown"),OR(AR135="",AR135="Unknown",AR135="TBD"),OR(BC135="",NOT(ISNUMBER(BC135)))),"Evidence incomplete","Evidence recorded; review scope")))))</x:f>
      </x:c>
      <x:c r="BN135" s="73"/>
    </x:row>
    <x:row r="136" ht="34" customHeight="1">
      <x:c r="A136" s="73"/>
      <x:c r="B136" s="73"/>
      <x:c r="C136" s="73"/>
      <x:c r="D136" s="73"/>
      <x:c r="E136" s="73"/>
      <x:c r="F136" s="73"/>
      <x:c r="G136" s="73"/>
      <x:c r="H136" s="73"/>
      <x:c r="I136" s="75"/>
      <x:c r="J136" s="73"/>
      <x:c r="K136" s="73"/>
      <x:c r="L136" s="76"/>
      <x:c r="M136" s="73"/>
      <x:c r="N136" s="73"/>
      <x:c r="O136" s="73"/>
      <x:c r="P136" s="73"/>
      <x:c r="Q136" s="76"/>
      <x:c r="R136" s="73"/>
      <x:c r="S136" s="73"/>
      <x:c r="T136" s="73"/>
      <x:c r="U136" s="73"/>
      <x:c r="V136" s="73"/>
      <x:c r="W136" s="73"/>
      <x:c r="X136" s="73"/>
      <x:c r="Y136" s="73"/>
      <x:c r="Z136" s="73"/>
      <x:c r="AA136" s="73"/>
      <x:c r="AB136" s="76" t="str">
        <x:f>IF(A136="","",IF(OR(NOT(ISNUMBER(I136)),I136&lt;0,NOT(ISNUMBER(AP136)),AP136&lt;0,NOT(ISNUMBER(L136)),L136&lt;1,L136&gt;5,L136&lt;&gt;INT(L136),AND(J136&lt;&gt;"Public",J136&lt;&gt;"Partner",J136&lt;&gt;"Internal",J136&lt;&gt;"None"),AND(K136&lt;&gt;"High",K136&lt;&gt;"Medium",K136&lt;&gt;"Low",K136&lt;&gt;"None"),AND(W136&lt;&gt;"Hard-coded",W136&lt;&gt;"Configurable",W136&lt;&gt;"Policy-managed",W136&lt;&gt;"API/Library abstraction",W136&lt;&gt;"Automated"),AND(Z136&lt;&gt;"Y",Z136&lt;&gt;"N"),AND(AA136&lt;&gt;"Y",AA136&lt;&gt;"N")),"Incomplete",IF(Z136="Y",20,0)+L136*5+IF(AA136="Y",15,0)+IF(J136="Public",10,IF(J136="Partner",7,IF(J136="Internal",3,0)))+IF(W136="Hard-coded",10,IF(W136="Configurable",3,0))+IF(MAX(I136,AP136)&gt;=10,10,IF(MAX(I136,AP136)&gt;=5,7,IF(MAX(I136,AP136)&gt;=2,3,0)))+IF(K136="High",10,IF(K136="Medium",5,0))))</x:f>
      </x:c>
      <x:c r="AC136" s="73" t="str">
        <x:f>IF(A136="","",IF(NOT(ISNUMBER(AB136)),"Review inputs",IF(AB136&gt;=70,"P0 - Immediate",IF(AB136&gt;=50,"P1 - High",IF(AB136&gt;=30,"P2 - Medium",IF(AB136&gt;=15,"P3 - Low","P4 - Monitor"))))))</x:f>
      </x:c>
      <x:c r="AD136" s="73"/>
      <x:c r="AE136" s="73"/>
      <x:c r="AF136" s="73"/>
      <x:c r="AG136" s="77"/>
      <x:c r="AH136" s="73"/>
      <x:c r="AI136" s="91"/>
      <x:c r="AJ136" s="91"/>
      <x:c r="AK136" s="91"/>
      <x:c r="AL136" s="92"/>
      <x:c r="AM136" s="91"/>
      <x:c r="AN136" s="91"/>
      <x:c r="AO136" s="93"/>
      <x:c r="AP136" s="94"/>
      <x:c r="AQ136" s="91"/>
      <x:c r="AR136" s="91"/>
      <x:c r="AS136" s="91"/>
      <x:c r="AT136" s="91"/>
      <x:c r="AU136" s="91"/>
      <x:c r="AV136" s="91"/>
      <x:c r="AW136" s="91"/>
      <x:c r="AX136" s="91"/>
      <x:c r="AY136" s="91"/>
      <x:c r="AZ136" s="92"/>
      <x:c r="BA136" s="94"/>
      <x:c r="BB136" s="91"/>
      <x:c r="BC136" s="92"/>
      <x:c r="BD136" s="92"/>
      <x:c r="BE136" s="91"/>
      <x:c r="BF136" s="91"/>
      <x:c r="BG136" s="91"/>
      <x:c r="BH136" s="91"/>
      <x:c r="BI136" s="91"/>
      <x:c r="BJ136" s="91"/>
      <x:c r="BK136" s="91"/>
      <x:c r="BL136" s="91"/>
      <x:c r="BM136" s="73" t="str">
        <x:f>IF(A136="","",IF(AI136="Example","Example only",IF(AI136&lt;&gt;"Actual","Set record type",IF(COUNTIF($A$2:$A$1001,A136)&gt;1,"Duplicate record ID",IF(OR(D136="",E136="",AF136="",NOT(ISNUMBER(AG136)),AJ136="",AK136="",NOT(ISNUMBER(AL136)),AND(AM136&lt;&gt;"Observed",AM136&lt;&gt;"Corroborated",AM136&lt;&gt;"Declared"),OR(AN136="",AN136="Unknown"),OR(AQ136="",AQ136="Unknown"),OR(AR136="",AR136="Unknown",AR136="TBD"),OR(BC136="",NOT(ISNUMBER(BC136)))),"Evidence incomplete","Evidence recorded; review scope")))))</x:f>
      </x:c>
      <x:c r="BN136" s="73"/>
    </x:row>
    <x:row r="137" ht="34" customHeight="1">
      <x:c r="A137" s="73"/>
      <x:c r="B137" s="73"/>
      <x:c r="C137" s="73"/>
      <x:c r="D137" s="73"/>
      <x:c r="E137" s="73"/>
      <x:c r="F137" s="73"/>
      <x:c r="G137" s="73"/>
      <x:c r="H137" s="73"/>
      <x:c r="I137" s="75"/>
      <x:c r="J137" s="73"/>
      <x:c r="K137" s="73"/>
      <x:c r="L137" s="76"/>
      <x:c r="M137" s="73"/>
      <x:c r="N137" s="73"/>
      <x:c r="O137" s="73"/>
      <x:c r="P137" s="73"/>
      <x:c r="Q137" s="76"/>
      <x:c r="R137" s="73"/>
      <x:c r="S137" s="73"/>
      <x:c r="T137" s="73"/>
      <x:c r="U137" s="73"/>
      <x:c r="V137" s="73"/>
      <x:c r="W137" s="73"/>
      <x:c r="X137" s="73"/>
      <x:c r="Y137" s="73"/>
      <x:c r="Z137" s="73"/>
      <x:c r="AA137" s="73"/>
      <x:c r="AB137" s="76" t="str">
        <x:f>IF(A137="","",IF(OR(NOT(ISNUMBER(I137)),I137&lt;0,NOT(ISNUMBER(AP137)),AP137&lt;0,NOT(ISNUMBER(L137)),L137&lt;1,L137&gt;5,L137&lt;&gt;INT(L137),AND(J137&lt;&gt;"Public",J137&lt;&gt;"Partner",J137&lt;&gt;"Internal",J137&lt;&gt;"None"),AND(K137&lt;&gt;"High",K137&lt;&gt;"Medium",K137&lt;&gt;"Low",K137&lt;&gt;"None"),AND(W137&lt;&gt;"Hard-coded",W137&lt;&gt;"Configurable",W137&lt;&gt;"Policy-managed",W137&lt;&gt;"API/Library abstraction",W137&lt;&gt;"Automated"),AND(Z137&lt;&gt;"Y",Z137&lt;&gt;"N"),AND(AA137&lt;&gt;"Y",AA137&lt;&gt;"N")),"Incomplete",IF(Z137="Y",20,0)+L137*5+IF(AA137="Y",15,0)+IF(J137="Public",10,IF(J137="Partner",7,IF(J137="Internal",3,0)))+IF(W137="Hard-coded",10,IF(W137="Configurable",3,0))+IF(MAX(I137,AP137)&gt;=10,10,IF(MAX(I137,AP137)&gt;=5,7,IF(MAX(I137,AP137)&gt;=2,3,0)))+IF(K137="High",10,IF(K137="Medium",5,0))))</x:f>
      </x:c>
      <x:c r="AC137" s="73" t="str">
        <x:f>IF(A137="","",IF(NOT(ISNUMBER(AB137)),"Review inputs",IF(AB137&gt;=70,"P0 - Immediate",IF(AB137&gt;=50,"P1 - High",IF(AB137&gt;=30,"P2 - Medium",IF(AB137&gt;=15,"P3 - Low","P4 - Monitor"))))))</x:f>
      </x:c>
      <x:c r="AD137" s="73"/>
      <x:c r="AE137" s="73"/>
      <x:c r="AF137" s="73"/>
      <x:c r="AG137" s="77"/>
      <x:c r="AH137" s="73"/>
      <x:c r="AI137" s="91"/>
      <x:c r="AJ137" s="91"/>
      <x:c r="AK137" s="91"/>
      <x:c r="AL137" s="92"/>
      <x:c r="AM137" s="91"/>
      <x:c r="AN137" s="91"/>
      <x:c r="AO137" s="93"/>
      <x:c r="AP137" s="94"/>
      <x:c r="AQ137" s="91"/>
      <x:c r="AR137" s="91"/>
      <x:c r="AS137" s="91"/>
      <x:c r="AT137" s="91"/>
      <x:c r="AU137" s="91"/>
      <x:c r="AV137" s="91"/>
      <x:c r="AW137" s="91"/>
      <x:c r="AX137" s="91"/>
      <x:c r="AY137" s="91"/>
      <x:c r="AZ137" s="92"/>
      <x:c r="BA137" s="94"/>
      <x:c r="BB137" s="91"/>
      <x:c r="BC137" s="92"/>
      <x:c r="BD137" s="92"/>
      <x:c r="BE137" s="91"/>
      <x:c r="BF137" s="91"/>
      <x:c r="BG137" s="91"/>
      <x:c r="BH137" s="91"/>
      <x:c r="BI137" s="91"/>
      <x:c r="BJ137" s="91"/>
      <x:c r="BK137" s="91"/>
      <x:c r="BL137" s="91"/>
      <x:c r="BM137" s="73" t="str">
        <x:f>IF(A137="","",IF(AI137="Example","Example only",IF(AI137&lt;&gt;"Actual","Set record type",IF(COUNTIF($A$2:$A$1001,A137)&gt;1,"Duplicate record ID",IF(OR(D137="",E137="",AF137="",NOT(ISNUMBER(AG137)),AJ137="",AK137="",NOT(ISNUMBER(AL137)),AND(AM137&lt;&gt;"Observed",AM137&lt;&gt;"Corroborated",AM137&lt;&gt;"Declared"),OR(AN137="",AN137="Unknown"),OR(AQ137="",AQ137="Unknown"),OR(AR137="",AR137="Unknown",AR137="TBD"),OR(BC137="",NOT(ISNUMBER(BC137)))),"Evidence incomplete","Evidence recorded; review scope")))))</x:f>
      </x:c>
      <x:c r="BN137" s="73"/>
    </x:row>
    <x:row r="138" ht="34" customHeight="1">
      <x:c r="A138" s="73"/>
      <x:c r="B138" s="73"/>
      <x:c r="C138" s="73"/>
      <x:c r="D138" s="73"/>
      <x:c r="E138" s="73"/>
      <x:c r="F138" s="73"/>
      <x:c r="G138" s="73"/>
      <x:c r="H138" s="73"/>
      <x:c r="I138" s="75"/>
      <x:c r="J138" s="73"/>
      <x:c r="K138" s="73"/>
      <x:c r="L138" s="76"/>
      <x:c r="M138" s="73"/>
      <x:c r="N138" s="73"/>
      <x:c r="O138" s="73"/>
      <x:c r="P138" s="73"/>
      <x:c r="Q138" s="76"/>
      <x:c r="R138" s="73"/>
      <x:c r="S138" s="73"/>
      <x:c r="T138" s="73"/>
      <x:c r="U138" s="73"/>
      <x:c r="V138" s="73"/>
      <x:c r="W138" s="73"/>
      <x:c r="X138" s="73"/>
      <x:c r="Y138" s="73"/>
      <x:c r="Z138" s="73"/>
      <x:c r="AA138" s="73"/>
      <x:c r="AB138" s="76" t="str">
        <x:f>IF(A138="","",IF(OR(NOT(ISNUMBER(I138)),I138&lt;0,NOT(ISNUMBER(AP138)),AP138&lt;0,NOT(ISNUMBER(L138)),L138&lt;1,L138&gt;5,L138&lt;&gt;INT(L138),AND(J138&lt;&gt;"Public",J138&lt;&gt;"Partner",J138&lt;&gt;"Internal",J138&lt;&gt;"None"),AND(K138&lt;&gt;"High",K138&lt;&gt;"Medium",K138&lt;&gt;"Low",K138&lt;&gt;"None"),AND(W138&lt;&gt;"Hard-coded",W138&lt;&gt;"Configurable",W138&lt;&gt;"Policy-managed",W138&lt;&gt;"API/Library abstraction",W138&lt;&gt;"Automated"),AND(Z138&lt;&gt;"Y",Z138&lt;&gt;"N"),AND(AA138&lt;&gt;"Y",AA138&lt;&gt;"N")),"Incomplete",IF(Z138="Y",20,0)+L138*5+IF(AA138="Y",15,0)+IF(J138="Public",10,IF(J138="Partner",7,IF(J138="Internal",3,0)))+IF(W138="Hard-coded",10,IF(W138="Configurable",3,0))+IF(MAX(I138,AP138)&gt;=10,10,IF(MAX(I138,AP138)&gt;=5,7,IF(MAX(I138,AP138)&gt;=2,3,0)))+IF(K138="High",10,IF(K138="Medium",5,0))))</x:f>
      </x:c>
      <x:c r="AC138" s="73" t="str">
        <x:f>IF(A138="","",IF(NOT(ISNUMBER(AB138)),"Review inputs",IF(AB138&gt;=70,"P0 - Immediate",IF(AB138&gt;=50,"P1 - High",IF(AB138&gt;=30,"P2 - Medium",IF(AB138&gt;=15,"P3 - Low","P4 - Monitor"))))))</x:f>
      </x:c>
      <x:c r="AD138" s="73"/>
      <x:c r="AE138" s="73"/>
      <x:c r="AF138" s="73"/>
      <x:c r="AG138" s="77"/>
      <x:c r="AH138" s="73"/>
      <x:c r="AI138" s="91"/>
      <x:c r="AJ138" s="91"/>
      <x:c r="AK138" s="91"/>
      <x:c r="AL138" s="92"/>
      <x:c r="AM138" s="91"/>
      <x:c r="AN138" s="91"/>
      <x:c r="AO138" s="93"/>
      <x:c r="AP138" s="94"/>
      <x:c r="AQ138" s="91"/>
      <x:c r="AR138" s="91"/>
      <x:c r="AS138" s="91"/>
      <x:c r="AT138" s="91"/>
      <x:c r="AU138" s="91"/>
      <x:c r="AV138" s="91"/>
      <x:c r="AW138" s="91"/>
      <x:c r="AX138" s="91"/>
      <x:c r="AY138" s="91"/>
      <x:c r="AZ138" s="92"/>
      <x:c r="BA138" s="94"/>
      <x:c r="BB138" s="91"/>
      <x:c r="BC138" s="92"/>
      <x:c r="BD138" s="92"/>
      <x:c r="BE138" s="91"/>
      <x:c r="BF138" s="91"/>
      <x:c r="BG138" s="91"/>
      <x:c r="BH138" s="91"/>
      <x:c r="BI138" s="91"/>
      <x:c r="BJ138" s="91"/>
      <x:c r="BK138" s="91"/>
      <x:c r="BL138" s="91"/>
      <x:c r="BM138" s="73" t="str">
        <x:f>IF(A138="","",IF(AI138="Example","Example only",IF(AI138&lt;&gt;"Actual","Set record type",IF(COUNTIF($A$2:$A$1001,A138)&gt;1,"Duplicate record ID",IF(OR(D138="",E138="",AF138="",NOT(ISNUMBER(AG138)),AJ138="",AK138="",NOT(ISNUMBER(AL138)),AND(AM138&lt;&gt;"Observed",AM138&lt;&gt;"Corroborated",AM138&lt;&gt;"Declared"),OR(AN138="",AN138="Unknown"),OR(AQ138="",AQ138="Unknown"),OR(AR138="",AR138="Unknown",AR138="TBD"),OR(BC138="",NOT(ISNUMBER(BC138)))),"Evidence incomplete","Evidence recorded; review scope")))))</x:f>
      </x:c>
      <x:c r="BN138" s="73"/>
    </x:row>
    <x:row r="139" ht="34" customHeight="1">
      <x:c r="A139" s="73"/>
      <x:c r="B139" s="73"/>
      <x:c r="C139" s="73"/>
      <x:c r="D139" s="73"/>
      <x:c r="E139" s="73"/>
      <x:c r="F139" s="73"/>
      <x:c r="G139" s="73"/>
      <x:c r="H139" s="73"/>
      <x:c r="I139" s="75"/>
      <x:c r="J139" s="73"/>
      <x:c r="K139" s="73"/>
      <x:c r="L139" s="76"/>
      <x:c r="M139" s="73"/>
      <x:c r="N139" s="73"/>
      <x:c r="O139" s="73"/>
      <x:c r="P139" s="73"/>
      <x:c r="Q139" s="76"/>
      <x:c r="R139" s="73"/>
      <x:c r="S139" s="73"/>
      <x:c r="T139" s="73"/>
      <x:c r="U139" s="73"/>
      <x:c r="V139" s="73"/>
      <x:c r="W139" s="73"/>
      <x:c r="X139" s="73"/>
      <x:c r="Y139" s="73"/>
      <x:c r="Z139" s="73"/>
      <x:c r="AA139" s="73"/>
      <x:c r="AB139" s="76" t="str">
        <x:f>IF(A139="","",IF(OR(NOT(ISNUMBER(I139)),I139&lt;0,NOT(ISNUMBER(AP139)),AP139&lt;0,NOT(ISNUMBER(L139)),L139&lt;1,L139&gt;5,L139&lt;&gt;INT(L139),AND(J139&lt;&gt;"Public",J139&lt;&gt;"Partner",J139&lt;&gt;"Internal",J139&lt;&gt;"None"),AND(K139&lt;&gt;"High",K139&lt;&gt;"Medium",K139&lt;&gt;"Low",K139&lt;&gt;"None"),AND(W139&lt;&gt;"Hard-coded",W139&lt;&gt;"Configurable",W139&lt;&gt;"Policy-managed",W139&lt;&gt;"API/Library abstraction",W139&lt;&gt;"Automated"),AND(Z139&lt;&gt;"Y",Z139&lt;&gt;"N"),AND(AA139&lt;&gt;"Y",AA139&lt;&gt;"N")),"Incomplete",IF(Z139="Y",20,0)+L139*5+IF(AA139="Y",15,0)+IF(J139="Public",10,IF(J139="Partner",7,IF(J139="Internal",3,0)))+IF(W139="Hard-coded",10,IF(W139="Configurable",3,0))+IF(MAX(I139,AP139)&gt;=10,10,IF(MAX(I139,AP139)&gt;=5,7,IF(MAX(I139,AP139)&gt;=2,3,0)))+IF(K139="High",10,IF(K139="Medium",5,0))))</x:f>
      </x:c>
      <x:c r="AC139" s="73" t="str">
        <x:f>IF(A139="","",IF(NOT(ISNUMBER(AB139)),"Review inputs",IF(AB139&gt;=70,"P0 - Immediate",IF(AB139&gt;=50,"P1 - High",IF(AB139&gt;=30,"P2 - Medium",IF(AB139&gt;=15,"P3 - Low","P4 - Monitor"))))))</x:f>
      </x:c>
      <x:c r="AD139" s="73"/>
      <x:c r="AE139" s="73"/>
      <x:c r="AF139" s="73"/>
      <x:c r="AG139" s="77"/>
      <x:c r="AH139" s="73"/>
      <x:c r="AI139" s="91"/>
      <x:c r="AJ139" s="91"/>
      <x:c r="AK139" s="91"/>
      <x:c r="AL139" s="92"/>
      <x:c r="AM139" s="91"/>
      <x:c r="AN139" s="91"/>
      <x:c r="AO139" s="93"/>
      <x:c r="AP139" s="94"/>
      <x:c r="AQ139" s="91"/>
      <x:c r="AR139" s="91"/>
      <x:c r="AS139" s="91"/>
      <x:c r="AT139" s="91"/>
      <x:c r="AU139" s="91"/>
      <x:c r="AV139" s="91"/>
      <x:c r="AW139" s="91"/>
      <x:c r="AX139" s="91"/>
      <x:c r="AY139" s="91"/>
      <x:c r="AZ139" s="92"/>
      <x:c r="BA139" s="94"/>
      <x:c r="BB139" s="91"/>
      <x:c r="BC139" s="92"/>
      <x:c r="BD139" s="92"/>
      <x:c r="BE139" s="91"/>
      <x:c r="BF139" s="91"/>
      <x:c r="BG139" s="91"/>
      <x:c r="BH139" s="91"/>
      <x:c r="BI139" s="91"/>
      <x:c r="BJ139" s="91"/>
      <x:c r="BK139" s="91"/>
      <x:c r="BL139" s="91"/>
      <x:c r="BM139" s="73" t="str">
        <x:f>IF(A139="","",IF(AI139="Example","Example only",IF(AI139&lt;&gt;"Actual","Set record type",IF(COUNTIF($A$2:$A$1001,A139)&gt;1,"Duplicate record ID",IF(OR(D139="",E139="",AF139="",NOT(ISNUMBER(AG139)),AJ139="",AK139="",NOT(ISNUMBER(AL139)),AND(AM139&lt;&gt;"Observed",AM139&lt;&gt;"Corroborated",AM139&lt;&gt;"Declared"),OR(AN139="",AN139="Unknown"),OR(AQ139="",AQ139="Unknown"),OR(AR139="",AR139="Unknown",AR139="TBD"),OR(BC139="",NOT(ISNUMBER(BC139)))),"Evidence incomplete","Evidence recorded; review scope")))))</x:f>
      </x:c>
      <x:c r="BN139" s="73"/>
    </x:row>
    <x:row r="140" ht="34" customHeight="1">
      <x:c r="A140" s="73"/>
      <x:c r="B140" s="73"/>
      <x:c r="C140" s="73"/>
      <x:c r="D140" s="73"/>
      <x:c r="E140" s="73"/>
      <x:c r="F140" s="73"/>
      <x:c r="G140" s="73"/>
      <x:c r="H140" s="73"/>
      <x:c r="I140" s="75"/>
      <x:c r="J140" s="73"/>
      <x:c r="K140" s="73"/>
      <x:c r="L140" s="76"/>
      <x:c r="M140" s="73"/>
      <x:c r="N140" s="73"/>
      <x:c r="O140" s="73"/>
      <x:c r="P140" s="73"/>
      <x:c r="Q140" s="76"/>
      <x:c r="R140" s="73"/>
      <x:c r="S140" s="73"/>
      <x:c r="T140" s="73"/>
      <x:c r="U140" s="73"/>
      <x:c r="V140" s="73"/>
      <x:c r="W140" s="73"/>
      <x:c r="X140" s="73"/>
      <x:c r="Y140" s="73"/>
      <x:c r="Z140" s="73"/>
      <x:c r="AA140" s="73"/>
      <x:c r="AB140" s="76" t="str">
        <x:f>IF(A140="","",IF(OR(NOT(ISNUMBER(I140)),I140&lt;0,NOT(ISNUMBER(AP140)),AP140&lt;0,NOT(ISNUMBER(L140)),L140&lt;1,L140&gt;5,L140&lt;&gt;INT(L140),AND(J140&lt;&gt;"Public",J140&lt;&gt;"Partner",J140&lt;&gt;"Internal",J140&lt;&gt;"None"),AND(K140&lt;&gt;"High",K140&lt;&gt;"Medium",K140&lt;&gt;"Low",K140&lt;&gt;"None"),AND(W140&lt;&gt;"Hard-coded",W140&lt;&gt;"Configurable",W140&lt;&gt;"Policy-managed",W140&lt;&gt;"API/Library abstraction",W140&lt;&gt;"Automated"),AND(Z140&lt;&gt;"Y",Z140&lt;&gt;"N"),AND(AA140&lt;&gt;"Y",AA140&lt;&gt;"N")),"Incomplete",IF(Z140="Y",20,0)+L140*5+IF(AA140="Y",15,0)+IF(J140="Public",10,IF(J140="Partner",7,IF(J140="Internal",3,0)))+IF(W140="Hard-coded",10,IF(W140="Configurable",3,0))+IF(MAX(I140,AP140)&gt;=10,10,IF(MAX(I140,AP140)&gt;=5,7,IF(MAX(I140,AP140)&gt;=2,3,0)))+IF(K140="High",10,IF(K140="Medium",5,0))))</x:f>
      </x:c>
      <x:c r="AC140" s="73" t="str">
        <x:f>IF(A140="","",IF(NOT(ISNUMBER(AB140)),"Review inputs",IF(AB140&gt;=70,"P0 - Immediate",IF(AB140&gt;=50,"P1 - High",IF(AB140&gt;=30,"P2 - Medium",IF(AB140&gt;=15,"P3 - Low","P4 - Monitor"))))))</x:f>
      </x:c>
      <x:c r="AD140" s="73"/>
      <x:c r="AE140" s="73"/>
      <x:c r="AF140" s="73"/>
      <x:c r="AG140" s="77"/>
      <x:c r="AH140" s="73"/>
      <x:c r="AI140" s="91"/>
      <x:c r="AJ140" s="91"/>
      <x:c r="AK140" s="91"/>
      <x:c r="AL140" s="92"/>
      <x:c r="AM140" s="91"/>
      <x:c r="AN140" s="91"/>
      <x:c r="AO140" s="93"/>
      <x:c r="AP140" s="94"/>
      <x:c r="AQ140" s="91"/>
      <x:c r="AR140" s="91"/>
      <x:c r="AS140" s="91"/>
      <x:c r="AT140" s="91"/>
      <x:c r="AU140" s="91"/>
      <x:c r="AV140" s="91"/>
      <x:c r="AW140" s="91"/>
      <x:c r="AX140" s="91"/>
      <x:c r="AY140" s="91"/>
      <x:c r="AZ140" s="92"/>
      <x:c r="BA140" s="94"/>
      <x:c r="BB140" s="91"/>
      <x:c r="BC140" s="92"/>
      <x:c r="BD140" s="92"/>
      <x:c r="BE140" s="91"/>
      <x:c r="BF140" s="91"/>
      <x:c r="BG140" s="91"/>
      <x:c r="BH140" s="91"/>
      <x:c r="BI140" s="91"/>
      <x:c r="BJ140" s="91"/>
      <x:c r="BK140" s="91"/>
      <x:c r="BL140" s="91"/>
      <x:c r="BM140" s="73" t="str">
        <x:f>IF(A140="","",IF(AI140="Example","Example only",IF(AI140&lt;&gt;"Actual","Set record type",IF(COUNTIF($A$2:$A$1001,A140)&gt;1,"Duplicate record ID",IF(OR(D140="",E140="",AF140="",NOT(ISNUMBER(AG140)),AJ140="",AK140="",NOT(ISNUMBER(AL140)),AND(AM140&lt;&gt;"Observed",AM140&lt;&gt;"Corroborated",AM140&lt;&gt;"Declared"),OR(AN140="",AN140="Unknown"),OR(AQ140="",AQ140="Unknown"),OR(AR140="",AR140="Unknown",AR140="TBD"),OR(BC140="",NOT(ISNUMBER(BC140)))),"Evidence incomplete","Evidence recorded; review scope")))))</x:f>
      </x:c>
      <x:c r="BN140" s="73"/>
    </x:row>
    <x:row r="141" ht="34" customHeight="1">
      <x:c r="A141" s="73"/>
      <x:c r="B141" s="73"/>
      <x:c r="C141" s="73"/>
      <x:c r="D141" s="73"/>
      <x:c r="E141" s="73"/>
      <x:c r="F141" s="73"/>
      <x:c r="G141" s="73"/>
      <x:c r="H141" s="73"/>
      <x:c r="I141" s="75"/>
      <x:c r="J141" s="73"/>
      <x:c r="K141" s="73"/>
      <x:c r="L141" s="76"/>
      <x:c r="M141" s="73"/>
      <x:c r="N141" s="73"/>
      <x:c r="O141" s="73"/>
      <x:c r="P141" s="73"/>
      <x:c r="Q141" s="76"/>
      <x:c r="R141" s="73"/>
      <x:c r="S141" s="73"/>
      <x:c r="T141" s="73"/>
      <x:c r="U141" s="73"/>
      <x:c r="V141" s="73"/>
      <x:c r="W141" s="73"/>
      <x:c r="X141" s="73"/>
      <x:c r="Y141" s="73"/>
      <x:c r="Z141" s="73"/>
      <x:c r="AA141" s="73"/>
      <x:c r="AB141" s="76" t="str">
        <x:f>IF(A141="","",IF(OR(NOT(ISNUMBER(I141)),I141&lt;0,NOT(ISNUMBER(AP141)),AP141&lt;0,NOT(ISNUMBER(L141)),L141&lt;1,L141&gt;5,L141&lt;&gt;INT(L141),AND(J141&lt;&gt;"Public",J141&lt;&gt;"Partner",J141&lt;&gt;"Internal",J141&lt;&gt;"None"),AND(K141&lt;&gt;"High",K141&lt;&gt;"Medium",K141&lt;&gt;"Low",K141&lt;&gt;"None"),AND(W141&lt;&gt;"Hard-coded",W141&lt;&gt;"Configurable",W141&lt;&gt;"Policy-managed",W141&lt;&gt;"API/Library abstraction",W141&lt;&gt;"Automated"),AND(Z141&lt;&gt;"Y",Z141&lt;&gt;"N"),AND(AA141&lt;&gt;"Y",AA141&lt;&gt;"N")),"Incomplete",IF(Z141="Y",20,0)+L141*5+IF(AA141="Y",15,0)+IF(J141="Public",10,IF(J141="Partner",7,IF(J141="Internal",3,0)))+IF(W141="Hard-coded",10,IF(W141="Configurable",3,0))+IF(MAX(I141,AP141)&gt;=10,10,IF(MAX(I141,AP141)&gt;=5,7,IF(MAX(I141,AP141)&gt;=2,3,0)))+IF(K141="High",10,IF(K141="Medium",5,0))))</x:f>
      </x:c>
      <x:c r="AC141" s="73" t="str">
        <x:f>IF(A141="","",IF(NOT(ISNUMBER(AB141)),"Review inputs",IF(AB141&gt;=70,"P0 - Immediate",IF(AB141&gt;=50,"P1 - High",IF(AB141&gt;=30,"P2 - Medium",IF(AB141&gt;=15,"P3 - Low","P4 - Monitor"))))))</x:f>
      </x:c>
      <x:c r="AD141" s="73"/>
      <x:c r="AE141" s="73"/>
      <x:c r="AF141" s="73"/>
      <x:c r="AG141" s="77"/>
      <x:c r="AH141" s="73"/>
      <x:c r="AI141" s="91"/>
      <x:c r="AJ141" s="91"/>
      <x:c r="AK141" s="91"/>
      <x:c r="AL141" s="92"/>
      <x:c r="AM141" s="91"/>
      <x:c r="AN141" s="91"/>
      <x:c r="AO141" s="93"/>
      <x:c r="AP141" s="94"/>
      <x:c r="AQ141" s="91"/>
      <x:c r="AR141" s="91"/>
      <x:c r="AS141" s="91"/>
      <x:c r="AT141" s="91"/>
      <x:c r="AU141" s="91"/>
      <x:c r="AV141" s="91"/>
      <x:c r="AW141" s="91"/>
      <x:c r="AX141" s="91"/>
      <x:c r="AY141" s="91"/>
      <x:c r="AZ141" s="92"/>
      <x:c r="BA141" s="94"/>
      <x:c r="BB141" s="91"/>
      <x:c r="BC141" s="92"/>
      <x:c r="BD141" s="92"/>
      <x:c r="BE141" s="91"/>
      <x:c r="BF141" s="91"/>
      <x:c r="BG141" s="91"/>
      <x:c r="BH141" s="91"/>
      <x:c r="BI141" s="91"/>
      <x:c r="BJ141" s="91"/>
      <x:c r="BK141" s="91"/>
      <x:c r="BL141" s="91"/>
      <x:c r="BM141" s="73" t="str">
        <x:f>IF(A141="","",IF(AI141="Example","Example only",IF(AI141&lt;&gt;"Actual","Set record type",IF(COUNTIF($A$2:$A$1001,A141)&gt;1,"Duplicate record ID",IF(OR(D141="",E141="",AF141="",NOT(ISNUMBER(AG141)),AJ141="",AK141="",NOT(ISNUMBER(AL141)),AND(AM141&lt;&gt;"Observed",AM141&lt;&gt;"Corroborated",AM141&lt;&gt;"Declared"),OR(AN141="",AN141="Unknown"),OR(AQ141="",AQ141="Unknown"),OR(AR141="",AR141="Unknown",AR141="TBD"),OR(BC141="",NOT(ISNUMBER(BC141)))),"Evidence incomplete","Evidence recorded; review scope")))))</x:f>
      </x:c>
      <x:c r="BN141" s="73"/>
    </x:row>
    <x:row r="142" ht="34" customHeight="1">
      <x:c r="A142" s="73"/>
      <x:c r="B142" s="73"/>
      <x:c r="C142" s="73"/>
      <x:c r="D142" s="73"/>
      <x:c r="E142" s="73"/>
      <x:c r="F142" s="73"/>
      <x:c r="G142" s="73"/>
      <x:c r="H142" s="73"/>
      <x:c r="I142" s="75"/>
      <x:c r="J142" s="73"/>
      <x:c r="K142" s="73"/>
      <x:c r="L142" s="76"/>
      <x:c r="M142" s="73"/>
      <x:c r="N142" s="73"/>
      <x:c r="O142" s="73"/>
      <x:c r="P142" s="73"/>
      <x:c r="Q142" s="76"/>
      <x:c r="R142" s="73"/>
      <x:c r="S142" s="73"/>
      <x:c r="T142" s="73"/>
      <x:c r="U142" s="73"/>
      <x:c r="V142" s="73"/>
      <x:c r="W142" s="73"/>
      <x:c r="X142" s="73"/>
      <x:c r="Y142" s="73"/>
      <x:c r="Z142" s="73"/>
      <x:c r="AA142" s="73"/>
      <x:c r="AB142" s="76" t="str">
        <x:f>IF(A142="","",IF(OR(NOT(ISNUMBER(I142)),I142&lt;0,NOT(ISNUMBER(AP142)),AP142&lt;0,NOT(ISNUMBER(L142)),L142&lt;1,L142&gt;5,L142&lt;&gt;INT(L142),AND(J142&lt;&gt;"Public",J142&lt;&gt;"Partner",J142&lt;&gt;"Internal",J142&lt;&gt;"None"),AND(K142&lt;&gt;"High",K142&lt;&gt;"Medium",K142&lt;&gt;"Low",K142&lt;&gt;"None"),AND(W142&lt;&gt;"Hard-coded",W142&lt;&gt;"Configurable",W142&lt;&gt;"Policy-managed",W142&lt;&gt;"API/Library abstraction",W142&lt;&gt;"Automated"),AND(Z142&lt;&gt;"Y",Z142&lt;&gt;"N"),AND(AA142&lt;&gt;"Y",AA142&lt;&gt;"N")),"Incomplete",IF(Z142="Y",20,0)+L142*5+IF(AA142="Y",15,0)+IF(J142="Public",10,IF(J142="Partner",7,IF(J142="Internal",3,0)))+IF(W142="Hard-coded",10,IF(W142="Configurable",3,0))+IF(MAX(I142,AP142)&gt;=10,10,IF(MAX(I142,AP142)&gt;=5,7,IF(MAX(I142,AP142)&gt;=2,3,0)))+IF(K142="High",10,IF(K142="Medium",5,0))))</x:f>
      </x:c>
      <x:c r="AC142" s="73" t="str">
        <x:f>IF(A142="","",IF(NOT(ISNUMBER(AB142)),"Review inputs",IF(AB142&gt;=70,"P0 - Immediate",IF(AB142&gt;=50,"P1 - High",IF(AB142&gt;=30,"P2 - Medium",IF(AB142&gt;=15,"P3 - Low","P4 - Monitor"))))))</x:f>
      </x:c>
      <x:c r="AD142" s="73"/>
      <x:c r="AE142" s="73"/>
      <x:c r="AF142" s="73"/>
      <x:c r="AG142" s="77"/>
      <x:c r="AH142" s="73"/>
      <x:c r="AI142" s="91"/>
      <x:c r="AJ142" s="91"/>
      <x:c r="AK142" s="91"/>
      <x:c r="AL142" s="92"/>
      <x:c r="AM142" s="91"/>
      <x:c r="AN142" s="91"/>
      <x:c r="AO142" s="93"/>
      <x:c r="AP142" s="94"/>
      <x:c r="AQ142" s="91"/>
      <x:c r="AR142" s="91"/>
      <x:c r="AS142" s="91"/>
      <x:c r="AT142" s="91"/>
      <x:c r="AU142" s="91"/>
      <x:c r="AV142" s="91"/>
      <x:c r="AW142" s="91"/>
      <x:c r="AX142" s="91"/>
      <x:c r="AY142" s="91"/>
      <x:c r="AZ142" s="92"/>
      <x:c r="BA142" s="94"/>
      <x:c r="BB142" s="91"/>
      <x:c r="BC142" s="92"/>
      <x:c r="BD142" s="92"/>
      <x:c r="BE142" s="91"/>
      <x:c r="BF142" s="91"/>
      <x:c r="BG142" s="91"/>
      <x:c r="BH142" s="91"/>
      <x:c r="BI142" s="91"/>
      <x:c r="BJ142" s="91"/>
      <x:c r="BK142" s="91"/>
      <x:c r="BL142" s="91"/>
      <x:c r="BM142" s="73" t="str">
        <x:f>IF(A142="","",IF(AI142="Example","Example only",IF(AI142&lt;&gt;"Actual","Set record type",IF(COUNTIF($A$2:$A$1001,A142)&gt;1,"Duplicate record ID",IF(OR(D142="",E142="",AF142="",NOT(ISNUMBER(AG142)),AJ142="",AK142="",NOT(ISNUMBER(AL142)),AND(AM142&lt;&gt;"Observed",AM142&lt;&gt;"Corroborated",AM142&lt;&gt;"Declared"),OR(AN142="",AN142="Unknown"),OR(AQ142="",AQ142="Unknown"),OR(AR142="",AR142="Unknown",AR142="TBD"),OR(BC142="",NOT(ISNUMBER(BC142)))),"Evidence incomplete","Evidence recorded; review scope")))))</x:f>
      </x:c>
      <x:c r="BN142" s="73"/>
    </x:row>
    <x:row r="143" ht="34" customHeight="1">
      <x:c r="A143" s="73"/>
      <x:c r="B143" s="73"/>
      <x:c r="C143" s="73"/>
      <x:c r="D143" s="73"/>
      <x:c r="E143" s="73"/>
      <x:c r="F143" s="73"/>
      <x:c r="G143" s="73"/>
      <x:c r="H143" s="73"/>
      <x:c r="I143" s="75"/>
      <x:c r="J143" s="73"/>
      <x:c r="K143" s="73"/>
      <x:c r="L143" s="76"/>
      <x:c r="M143" s="73"/>
      <x:c r="N143" s="73"/>
      <x:c r="O143" s="73"/>
      <x:c r="P143" s="73"/>
      <x:c r="Q143" s="76"/>
      <x:c r="R143" s="73"/>
      <x:c r="S143" s="73"/>
      <x:c r="T143" s="73"/>
      <x:c r="U143" s="73"/>
      <x:c r="V143" s="73"/>
      <x:c r="W143" s="73"/>
      <x:c r="X143" s="73"/>
      <x:c r="Y143" s="73"/>
      <x:c r="Z143" s="73"/>
      <x:c r="AA143" s="73"/>
      <x:c r="AB143" s="76" t="str">
        <x:f>IF(A143="","",IF(OR(NOT(ISNUMBER(I143)),I143&lt;0,NOT(ISNUMBER(AP143)),AP143&lt;0,NOT(ISNUMBER(L143)),L143&lt;1,L143&gt;5,L143&lt;&gt;INT(L143),AND(J143&lt;&gt;"Public",J143&lt;&gt;"Partner",J143&lt;&gt;"Internal",J143&lt;&gt;"None"),AND(K143&lt;&gt;"High",K143&lt;&gt;"Medium",K143&lt;&gt;"Low",K143&lt;&gt;"None"),AND(W143&lt;&gt;"Hard-coded",W143&lt;&gt;"Configurable",W143&lt;&gt;"Policy-managed",W143&lt;&gt;"API/Library abstraction",W143&lt;&gt;"Automated"),AND(Z143&lt;&gt;"Y",Z143&lt;&gt;"N"),AND(AA143&lt;&gt;"Y",AA143&lt;&gt;"N")),"Incomplete",IF(Z143="Y",20,0)+L143*5+IF(AA143="Y",15,0)+IF(J143="Public",10,IF(J143="Partner",7,IF(J143="Internal",3,0)))+IF(W143="Hard-coded",10,IF(W143="Configurable",3,0))+IF(MAX(I143,AP143)&gt;=10,10,IF(MAX(I143,AP143)&gt;=5,7,IF(MAX(I143,AP143)&gt;=2,3,0)))+IF(K143="High",10,IF(K143="Medium",5,0))))</x:f>
      </x:c>
      <x:c r="AC143" s="73" t="str">
        <x:f>IF(A143="","",IF(NOT(ISNUMBER(AB143)),"Review inputs",IF(AB143&gt;=70,"P0 - Immediate",IF(AB143&gt;=50,"P1 - High",IF(AB143&gt;=30,"P2 - Medium",IF(AB143&gt;=15,"P3 - Low","P4 - Monitor"))))))</x:f>
      </x:c>
      <x:c r="AD143" s="73"/>
      <x:c r="AE143" s="73"/>
      <x:c r="AF143" s="73"/>
      <x:c r="AG143" s="77"/>
      <x:c r="AH143" s="73"/>
      <x:c r="AI143" s="91"/>
      <x:c r="AJ143" s="91"/>
      <x:c r="AK143" s="91"/>
      <x:c r="AL143" s="92"/>
      <x:c r="AM143" s="91"/>
      <x:c r="AN143" s="91"/>
      <x:c r="AO143" s="93"/>
      <x:c r="AP143" s="94"/>
      <x:c r="AQ143" s="91"/>
      <x:c r="AR143" s="91"/>
      <x:c r="AS143" s="91"/>
      <x:c r="AT143" s="91"/>
      <x:c r="AU143" s="91"/>
      <x:c r="AV143" s="91"/>
      <x:c r="AW143" s="91"/>
      <x:c r="AX143" s="91"/>
      <x:c r="AY143" s="91"/>
      <x:c r="AZ143" s="92"/>
      <x:c r="BA143" s="94"/>
      <x:c r="BB143" s="91"/>
      <x:c r="BC143" s="92"/>
      <x:c r="BD143" s="92"/>
      <x:c r="BE143" s="91"/>
      <x:c r="BF143" s="91"/>
      <x:c r="BG143" s="91"/>
      <x:c r="BH143" s="91"/>
      <x:c r="BI143" s="91"/>
      <x:c r="BJ143" s="91"/>
      <x:c r="BK143" s="91"/>
      <x:c r="BL143" s="91"/>
      <x:c r="BM143" s="73" t="str">
        <x:f>IF(A143="","",IF(AI143="Example","Example only",IF(AI143&lt;&gt;"Actual","Set record type",IF(COUNTIF($A$2:$A$1001,A143)&gt;1,"Duplicate record ID",IF(OR(D143="",E143="",AF143="",NOT(ISNUMBER(AG143)),AJ143="",AK143="",NOT(ISNUMBER(AL143)),AND(AM143&lt;&gt;"Observed",AM143&lt;&gt;"Corroborated",AM143&lt;&gt;"Declared"),OR(AN143="",AN143="Unknown"),OR(AQ143="",AQ143="Unknown"),OR(AR143="",AR143="Unknown",AR143="TBD"),OR(BC143="",NOT(ISNUMBER(BC143)))),"Evidence incomplete","Evidence recorded; review scope")))))</x:f>
      </x:c>
      <x:c r="BN143" s="73"/>
    </x:row>
    <x:row r="144" ht="34" customHeight="1">
      <x:c r="A144" s="73"/>
      <x:c r="B144" s="73"/>
      <x:c r="C144" s="73"/>
      <x:c r="D144" s="73"/>
      <x:c r="E144" s="73"/>
      <x:c r="F144" s="73"/>
      <x:c r="G144" s="73"/>
      <x:c r="H144" s="73"/>
      <x:c r="I144" s="75"/>
      <x:c r="J144" s="73"/>
      <x:c r="K144" s="73"/>
      <x:c r="L144" s="76"/>
      <x:c r="M144" s="73"/>
      <x:c r="N144" s="73"/>
      <x:c r="O144" s="73"/>
      <x:c r="P144" s="73"/>
      <x:c r="Q144" s="76"/>
      <x:c r="R144" s="73"/>
      <x:c r="S144" s="73"/>
      <x:c r="T144" s="73"/>
      <x:c r="U144" s="73"/>
      <x:c r="V144" s="73"/>
      <x:c r="W144" s="73"/>
      <x:c r="X144" s="73"/>
      <x:c r="Y144" s="73"/>
      <x:c r="Z144" s="73"/>
      <x:c r="AA144" s="73"/>
      <x:c r="AB144" s="76" t="str">
        <x:f>IF(A144="","",IF(OR(NOT(ISNUMBER(I144)),I144&lt;0,NOT(ISNUMBER(AP144)),AP144&lt;0,NOT(ISNUMBER(L144)),L144&lt;1,L144&gt;5,L144&lt;&gt;INT(L144),AND(J144&lt;&gt;"Public",J144&lt;&gt;"Partner",J144&lt;&gt;"Internal",J144&lt;&gt;"None"),AND(K144&lt;&gt;"High",K144&lt;&gt;"Medium",K144&lt;&gt;"Low",K144&lt;&gt;"None"),AND(W144&lt;&gt;"Hard-coded",W144&lt;&gt;"Configurable",W144&lt;&gt;"Policy-managed",W144&lt;&gt;"API/Library abstraction",W144&lt;&gt;"Automated"),AND(Z144&lt;&gt;"Y",Z144&lt;&gt;"N"),AND(AA144&lt;&gt;"Y",AA144&lt;&gt;"N")),"Incomplete",IF(Z144="Y",20,0)+L144*5+IF(AA144="Y",15,0)+IF(J144="Public",10,IF(J144="Partner",7,IF(J144="Internal",3,0)))+IF(W144="Hard-coded",10,IF(W144="Configurable",3,0))+IF(MAX(I144,AP144)&gt;=10,10,IF(MAX(I144,AP144)&gt;=5,7,IF(MAX(I144,AP144)&gt;=2,3,0)))+IF(K144="High",10,IF(K144="Medium",5,0))))</x:f>
      </x:c>
      <x:c r="AC144" s="73" t="str">
        <x:f>IF(A144="","",IF(NOT(ISNUMBER(AB144)),"Review inputs",IF(AB144&gt;=70,"P0 - Immediate",IF(AB144&gt;=50,"P1 - High",IF(AB144&gt;=30,"P2 - Medium",IF(AB144&gt;=15,"P3 - Low","P4 - Monitor"))))))</x:f>
      </x:c>
      <x:c r="AD144" s="73"/>
      <x:c r="AE144" s="73"/>
      <x:c r="AF144" s="73"/>
      <x:c r="AG144" s="77"/>
      <x:c r="AH144" s="73"/>
      <x:c r="AI144" s="91"/>
      <x:c r="AJ144" s="91"/>
      <x:c r="AK144" s="91"/>
      <x:c r="AL144" s="92"/>
      <x:c r="AM144" s="91"/>
      <x:c r="AN144" s="91"/>
      <x:c r="AO144" s="93"/>
      <x:c r="AP144" s="94"/>
      <x:c r="AQ144" s="91"/>
      <x:c r="AR144" s="91"/>
      <x:c r="AS144" s="91"/>
      <x:c r="AT144" s="91"/>
      <x:c r="AU144" s="91"/>
      <x:c r="AV144" s="91"/>
      <x:c r="AW144" s="91"/>
      <x:c r="AX144" s="91"/>
      <x:c r="AY144" s="91"/>
      <x:c r="AZ144" s="92"/>
      <x:c r="BA144" s="94"/>
      <x:c r="BB144" s="91"/>
      <x:c r="BC144" s="92"/>
      <x:c r="BD144" s="92"/>
      <x:c r="BE144" s="91"/>
      <x:c r="BF144" s="91"/>
      <x:c r="BG144" s="91"/>
      <x:c r="BH144" s="91"/>
      <x:c r="BI144" s="91"/>
      <x:c r="BJ144" s="91"/>
      <x:c r="BK144" s="91"/>
      <x:c r="BL144" s="91"/>
      <x:c r="BM144" s="73" t="str">
        <x:f>IF(A144="","",IF(AI144="Example","Example only",IF(AI144&lt;&gt;"Actual","Set record type",IF(COUNTIF($A$2:$A$1001,A144)&gt;1,"Duplicate record ID",IF(OR(D144="",E144="",AF144="",NOT(ISNUMBER(AG144)),AJ144="",AK144="",NOT(ISNUMBER(AL144)),AND(AM144&lt;&gt;"Observed",AM144&lt;&gt;"Corroborated",AM144&lt;&gt;"Declared"),OR(AN144="",AN144="Unknown"),OR(AQ144="",AQ144="Unknown"),OR(AR144="",AR144="Unknown",AR144="TBD"),OR(BC144="",NOT(ISNUMBER(BC144)))),"Evidence incomplete","Evidence recorded; review scope")))))</x:f>
      </x:c>
      <x:c r="BN144" s="73"/>
    </x:row>
    <x:row r="145" ht="34" customHeight="1">
      <x:c r="A145" s="73"/>
      <x:c r="B145" s="73"/>
      <x:c r="C145" s="73"/>
      <x:c r="D145" s="73"/>
      <x:c r="E145" s="73"/>
      <x:c r="F145" s="73"/>
      <x:c r="G145" s="73"/>
      <x:c r="H145" s="73"/>
      <x:c r="I145" s="75"/>
      <x:c r="J145" s="73"/>
      <x:c r="K145" s="73"/>
      <x:c r="L145" s="76"/>
      <x:c r="M145" s="73"/>
      <x:c r="N145" s="73"/>
      <x:c r="O145" s="73"/>
      <x:c r="P145" s="73"/>
      <x:c r="Q145" s="76"/>
      <x:c r="R145" s="73"/>
      <x:c r="S145" s="73"/>
      <x:c r="T145" s="73"/>
      <x:c r="U145" s="73"/>
      <x:c r="V145" s="73"/>
      <x:c r="W145" s="73"/>
      <x:c r="X145" s="73"/>
      <x:c r="Y145" s="73"/>
      <x:c r="Z145" s="73"/>
      <x:c r="AA145" s="73"/>
      <x:c r="AB145" s="76" t="str">
        <x:f>IF(A145="","",IF(OR(NOT(ISNUMBER(I145)),I145&lt;0,NOT(ISNUMBER(AP145)),AP145&lt;0,NOT(ISNUMBER(L145)),L145&lt;1,L145&gt;5,L145&lt;&gt;INT(L145),AND(J145&lt;&gt;"Public",J145&lt;&gt;"Partner",J145&lt;&gt;"Internal",J145&lt;&gt;"None"),AND(K145&lt;&gt;"High",K145&lt;&gt;"Medium",K145&lt;&gt;"Low",K145&lt;&gt;"None"),AND(W145&lt;&gt;"Hard-coded",W145&lt;&gt;"Configurable",W145&lt;&gt;"Policy-managed",W145&lt;&gt;"API/Library abstraction",W145&lt;&gt;"Automated"),AND(Z145&lt;&gt;"Y",Z145&lt;&gt;"N"),AND(AA145&lt;&gt;"Y",AA145&lt;&gt;"N")),"Incomplete",IF(Z145="Y",20,0)+L145*5+IF(AA145="Y",15,0)+IF(J145="Public",10,IF(J145="Partner",7,IF(J145="Internal",3,0)))+IF(W145="Hard-coded",10,IF(W145="Configurable",3,0))+IF(MAX(I145,AP145)&gt;=10,10,IF(MAX(I145,AP145)&gt;=5,7,IF(MAX(I145,AP145)&gt;=2,3,0)))+IF(K145="High",10,IF(K145="Medium",5,0))))</x:f>
      </x:c>
      <x:c r="AC145" s="73" t="str">
        <x:f>IF(A145="","",IF(NOT(ISNUMBER(AB145)),"Review inputs",IF(AB145&gt;=70,"P0 - Immediate",IF(AB145&gt;=50,"P1 - High",IF(AB145&gt;=30,"P2 - Medium",IF(AB145&gt;=15,"P3 - Low","P4 - Monitor"))))))</x:f>
      </x:c>
      <x:c r="AD145" s="73"/>
      <x:c r="AE145" s="73"/>
      <x:c r="AF145" s="73"/>
      <x:c r="AG145" s="77"/>
      <x:c r="AH145" s="73"/>
      <x:c r="AI145" s="91"/>
      <x:c r="AJ145" s="91"/>
      <x:c r="AK145" s="91"/>
      <x:c r="AL145" s="92"/>
      <x:c r="AM145" s="91"/>
      <x:c r="AN145" s="91"/>
      <x:c r="AO145" s="93"/>
      <x:c r="AP145" s="94"/>
      <x:c r="AQ145" s="91"/>
      <x:c r="AR145" s="91"/>
      <x:c r="AS145" s="91"/>
      <x:c r="AT145" s="91"/>
      <x:c r="AU145" s="91"/>
      <x:c r="AV145" s="91"/>
      <x:c r="AW145" s="91"/>
      <x:c r="AX145" s="91"/>
      <x:c r="AY145" s="91"/>
      <x:c r="AZ145" s="92"/>
      <x:c r="BA145" s="94"/>
      <x:c r="BB145" s="91"/>
      <x:c r="BC145" s="92"/>
      <x:c r="BD145" s="92"/>
      <x:c r="BE145" s="91"/>
      <x:c r="BF145" s="91"/>
      <x:c r="BG145" s="91"/>
      <x:c r="BH145" s="91"/>
      <x:c r="BI145" s="91"/>
      <x:c r="BJ145" s="91"/>
      <x:c r="BK145" s="91"/>
      <x:c r="BL145" s="91"/>
      <x:c r="BM145" s="73" t="str">
        <x:f>IF(A145="","",IF(AI145="Example","Example only",IF(AI145&lt;&gt;"Actual","Set record type",IF(COUNTIF($A$2:$A$1001,A145)&gt;1,"Duplicate record ID",IF(OR(D145="",E145="",AF145="",NOT(ISNUMBER(AG145)),AJ145="",AK145="",NOT(ISNUMBER(AL145)),AND(AM145&lt;&gt;"Observed",AM145&lt;&gt;"Corroborated",AM145&lt;&gt;"Declared"),OR(AN145="",AN145="Unknown"),OR(AQ145="",AQ145="Unknown"),OR(AR145="",AR145="Unknown",AR145="TBD"),OR(BC145="",NOT(ISNUMBER(BC145)))),"Evidence incomplete","Evidence recorded; review scope")))))</x:f>
      </x:c>
      <x:c r="BN145" s="73"/>
    </x:row>
    <x:row r="146" ht="34" customHeight="1">
      <x:c r="A146" s="73"/>
      <x:c r="B146" s="73"/>
      <x:c r="C146" s="73"/>
      <x:c r="D146" s="73"/>
      <x:c r="E146" s="73"/>
      <x:c r="F146" s="73"/>
      <x:c r="G146" s="73"/>
      <x:c r="H146" s="73"/>
      <x:c r="I146" s="75"/>
      <x:c r="J146" s="73"/>
      <x:c r="K146" s="73"/>
      <x:c r="L146" s="76"/>
      <x:c r="M146" s="73"/>
      <x:c r="N146" s="73"/>
      <x:c r="O146" s="73"/>
      <x:c r="P146" s="73"/>
      <x:c r="Q146" s="76"/>
      <x:c r="R146" s="73"/>
      <x:c r="S146" s="73"/>
      <x:c r="T146" s="73"/>
      <x:c r="U146" s="73"/>
      <x:c r="V146" s="73"/>
      <x:c r="W146" s="73"/>
      <x:c r="X146" s="73"/>
      <x:c r="Y146" s="73"/>
      <x:c r="Z146" s="73"/>
      <x:c r="AA146" s="73"/>
      <x:c r="AB146" s="76" t="str">
        <x:f>IF(A146="","",IF(OR(NOT(ISNUMBER(I146)),I146&lt;0,NOT(ISNUMBER(AP146)),AP146&lt;0,NOT(ISNUMBER(L146)),L146&lt;1,L146&gt;5,L146&lt;&gt;INT(L146),AND(J146&lt;&gt;"Public",J146&lt;&gt;"Partner",J146&lt;&gt;"Internal",J146&lt;&gt;"None"),AND(K146&lt;&gt;"High",K146&lt;&gt;"Medium",K146&lt;&gt;"Low",K146&lt;&gt;"None"),AND(W146&lt;&gt;"Hard-coded",W146&lt;&gt;"Configurable",W146&lt;&gt;"Policy-managed",W146&lt;&gt;"API/Library abstraction",W146&lt;&gt;"Automated"),AND(Z146&lt;&gt;"Y",Z146&lt;&gt;"N"),AND(AA146&lt;&gt;"Y",AA146&lt;&gt;"N")),"Incomplete",IF(Z146="Y",20,0)+L146*5+IF(AA146="Y",15,0)+IF(J146="Public",10,IF(J146="Partner",7,IF(J146="Internal",3,0)))+IF(W146="Hard-coded",10,IF(W146="Configurable",3,0))+IF(MAX(I146,AP146)&gt;=10,10,IF(MAX(I146,AP146)&gt;=5,7,IF(MAX(I146,AP146)&gt;=2,3,0)))+IF(K146="High",10,IF(K146="Medium",5,0))))</x:f>
      </x:c>
      <x:c r="AC146" s="73" t="str">
        <x:f>IF(A146="","",IF(NOT(ISNUMBER(AB146)),"Review inputs",IF(AB146&gt;=70,"P0 - Immediate",IF(AB146&gt;=50,"P1 - High",IF(AB146&gt;=30,"P2 - Medium",IF(AB146&gt;=15,"P3 - Low","P4 - Monitor"))))))</x:f>
      </x:c>
      <x:c r="AD146" s="73"/>
      <x:c r="AE146" s="73"/>
      <x:c r="AF146" s="73"/>
      <x:c r="AG146" s="77"/>
      <x:c r="AH146" s="73"/>
      <x:c r="AI146" s="91"/>
      <x:c r="AJ146" s="91"/>
      <x:c r="AK146" s="91"/>
      <x:c r="AL146" s="92"/>
      <x:c r="AM146" s="91"/>
      <x:c r="AN146" s="91"/>
      <x:c r="AO146" s="93"/>
      <x:c r="AP146" s="94"/>
      <x:c r="AQ146" s="91"/>
      <x:c r="AR146" s="91"/>
      <x:c r="AS146" s="91"/>
      <x:c r="AT146" s="91"/>
      <x:c r="AU146" s="91"/>
      <x:c r="AV146" s="91"/>
      <x:c r="AW146" s="91"/>
      <x:c r="AX146" s="91"/>
      <x:c r="AY146" s="91"/>
      <x:c r="AZ146" s="92"/>
      <x:c r="BA146" s="94"/>
      <x:c r="BB146" s="91"/>
      <x:c r="BC146" s="92"/>
      <x:c r="BD146" s="92"/>
      <x:c r="BE146" s="91"/>
      <x:c r="BF146" s="91"/>
      <x:c r="BG146" s="91"/>
      <x:c r="BH146" s="91"/>
      <x:c r="BI146" s="91"/>
      <x:c r="BJ146" s="91"/>
      <x:c r="BK146" s="91"/>
      <x:c r="BL146" s="91"/>
      <x:c r="BM146" s="73" t="str">
        <x:f>IF(A146="","",IF(AI146="Example","Example only",IF(AI146&lt;&gt;"Actual","Set record type",IF(COUNTIF($A$2:$A$1001,A146)&gt;1,"Duplicate record ID",IF(OR(D146="",E146="",AF146="",NOT(ISNUMBER(AG146)),AJ146="",AK146="",NOT(ISNUMBER(AL146)),AND(AM146&lt;&gt;"Observed",AM146&lt;&gt;"Corroborated",AM146&lt;&gt;"Declared"),OR(AN146="",AN146="Unknown"),OR(AQ146="",AQ146="Unknown"),OR(AR146="",AR146="Unknown",AR146="TBD"),OR(BC146="",NOT(ISNUMBER(BC146)))),"Evidence incomplete","Evidence recorded; review scope")))))</x:f>
      </x:c>
      <x:c r="BN146" s="73"/>
    </x:row>
    <x:row r="147" ht="34" customHeight="1">
      <x:c r="A147" s="73"/>
      <x:c r="B147" s="73"/>
      <x:c r="C147" s="73"/>
      <x:c r="D147" s="73"/>
      <x:c r="E147" s="73"/>
      <x:c r="F147" s="73"/>
      <x:c r="G147" s="73"/>
      <x:c r="H147" s="73"/>
      <x:c r="I147" s="75"/>
      <x:c r="J147" s="73"/>
      <x:c r="K147" s="73"/>
      <x:c r="L147" s="76"/>
      <x:c r="M147" s="73"/>
      <x:c r="N147" s="73"/>
      <x:c r="O147" s="73"/>
      <x:c r="P147" s="73"/>
      <x:c r="Q147" s="76"/>
      <x:c r="R147" s="73"/>
      <x:c r="S147" s="73"/>
      <x:c r="T147" s="73"/>
      <x:c r="U147" s="73"/>
      <x:c r="V147" s="73"/>
      <x:c r="W147" s="73"/>
      <x:c r="X147" s="73"/>
      <x:c r="Y147" s="73"/>
      <x:c r="Z147" s="73"/>
      <x:c r="AA147" s="73"/>
      <x:c r="AB147" s="76" t="str">
        <x:f>IF(A147="","",IF(OR(NOT(ISNUMBER(I147)),I147&lt;0,NOT(ISNUMBER(AP147)),AP147&lt;0,NOT(ISNUMBER(L147)),L147&lt;1,L147&gt;5,L147&lt;&gt;INT(L147),AND(J147&lt;&gt;"Public",J147&lt;&gt;"Partner",J147&lt;&gt;"Internal",J147&lt;&gt;"None"),AND(K147&lt;&gt;"High",K147&lt;&gt;"Medium",K147&lt;&gt;"Low",K147&lt;&gt;"None"),AND(W147&lt;&gt;"Hard-coded",W147&lt;&gt;"Configurable",W147&lt;&gt;"Policy-managed",W147&lt;&gt;"API/Library abstraction",W147&lt;&gt;"Automated"),AND(Z147&lt;&gt;"Y",Z147&lt;&gt;"N"),AND(AA147&lt;&gt;"Y",AA147&lt;&gt;"N")),"Incomplete",IF(Z147="Y",20,0)+L147*5+IF(AA147="Y",15,0)+IF(J147="Public",10,IF(J147="Partner",7,IF(J147="Internal",3,0)))+IF(W147="Hard-coded",10,IF(W147="Configurable",3,0))+IF(MAX(I147,AP147)&gt;=10,10,IF(MAX(I147,AP147)&gt;=5,7,IF(MAX(I147,AP147)&gt;=2,3,0)))+IF(K147="High",10,IF(K147="Medium",5,0))))</x:f>
      </x:c>
      <x:c r="AC147" s="73" t="str">
        <x:f>IF(A147="","",IF(NOT(ISNUMBER(AB147)),"Review inputs",IF(AB147&gt;=70,"P0 - Immediate",IF(AB147&gt;=50,"P1 - High",IF(AB147&gt;=30,"P2 - Medium",IF(AB147&gt;=15,"P3 - Low","P4 - Monitor"))))))</x:f>
      </x:c>
      <x:c r="AD147" s="73"/>
      <x:c r="AE147" s="73"/>
      <x:c r="AF147" s="73"/>
      <x:c r="AG147" s="77"/>
      <x:c r="AH147" s="73"/>
      <x:c r="AI147" s="91"/>
      <x:c r="AJ147" s="91"/>
      <x:c r="AK147" s="91"/>
      <x:c r="AL147" s="92"/>
      <x:c r="AM147" s="91"/>
      <x:c r="AN147" s="91"/>
      <x:c r="AO147" s="93"/>
      <x:c r="AP147" s="94"/>
      <x:c r="AQ147" s="91"/>
      <x:c r="AR147" s="91"/>
      <x:c r="AS147" s="91"/>
      <x:c r="AT147" s="91"/>
      <x:c r="AU147" s="91"/>
      <x:c r="AV147" s="91"/>
      <x:c r="AW147" s="91"/>
      <x:c r="AX147" s="91"/>
      <x:c r="AY147" s="91"/>
      <x:c r="AZ147" s="92"/>
      <x:c r="BA147" s="94"/>
      <x:c r="BB147" s="91"/>
      <x:c r="BC147" s="92"/>
      <x:c r="BD147" s="92"/>
      <x:c r="BE147" s="91"/>
      <x:c r="BF147" s="91"/>
      <x:c r="BG147" s="91"/>
      <x:c r="BH147" s="91"/>
      <x:c r="BI147" s="91"/>
      <x:c r="BJ147" s="91"/>
      <x:c r="BK147" s="91"/>
      <x:c r="BL147" s="91"/>
      <x:c r="BM147" s="73" t="str">
        <x:f>IF(A147="","",IF(AI147="Example","Example only",IF(AI147&lt;&gt;"Actual","Set record type",IF(COUNTIF($A$2:$A$1001,A147)&gt;1,"Duplicate record ID",IF(OR(D147="",E147="",AF147="",NOT(ISNUMBER(AG147)),AJ147="",AK147="",NOT(ISNUMBER(AL147)),AND(AM147&lt;&gt;"Observed",AM147&lt;&gt;"Corroborated",AM147&lt;&gt;"Declared"),OR(AN147="",AN147="Unknown"),OR(AQ147="",AQ147="Unknown"),OR(AR147="",AR147="Unknown",AR147="TBD"),OR(BC147="",NOT(ISNUMBER(BC147)))),"Evidence incomplete","Evidence recorded; review scope")))))</x:f>
      </x:c>
      <x:c r="BN147" s="73"/>
    </x:row>
    <x:row r="148" ht="34" customHeight="1">
      <x:c r="A148" s="73"/>
      <x:c r="B148" s="73"/>
      <x:c r="C148" s="73"/>
      <x:c r="D148" s="73"/>
      <x:c r="E148" s="73"/>
      <x:c r="F148" s="73"/>
      <x:c r="G148" s="73"/>
      <x:c r="H148" s="73"/>
      <x:c r="I148" s="75"/>
      <x:c r="J148" s="73"/>
      <x:c r="K148" s="73"/>
      <x:c r="L148" s="76"/>
      <x:c r="M148" s="73"/>
      <x:c r="N148" s="73"/>
      <x:c r="O148" s="73"/>
      <x:c r="P148" s="73"/>
      <x:c r="Q148" s="76"/>
      <x:c r="R148" s="73"/>
      <x:c r="S148" s="73"/>
      <x:c r="T148" s="73"/>
      <x:c r="U148" s="73"/>
      <x:c r="V148" s="73"/>
      <x:c r="W148" s="73"/>
      <x:c r="X148" s="73"/>
      <x:c r="Y148" s="73"/>
      <x:c r="Z148" s="73"/>
      <x:c r="AA148" s="73"/>
      <x:c r="AB148" s="76" t="str">
        <x:f>IF(A148="","",IF(OR(NOT(ISNUMBER(I148)),I148&lt;0,NOT(ISNUMBER(AP148)),AP148&lt;0,NOT(ISNUMBER(L148)),L148&lt;1,L148&gt;5,L148&lt;&gt;INT(L148),AND(J148&lt;&gt;"Public",J148&lt;&gt;"Partner",J148&lt;&gt;"Internal",J148&lt;&gt;"None"),AND(K148&lt;&gt;"High",K148&lt;&gt;"Medium",K148&lt;&gt;"Low",K148&lt;&gt;"None"),AND(W148&lt;&gt;"Hard-coded",W148&lt;&gt;"Configurable",W148&lt;&gt;"Policy-managed",W148&lt;&gt;"API/Library abstraction",W148&lt;&gt;"Automated"),AND(Z148&lt;&gt;"Y",Z148&lt;&gt;"N"),AND(AA148&lt;&gt;"Y",AA148&lt;&gt;"N")),"Incomplete",IF(Z148="Y",20,0)+L148*5+IF(AA148="Y",15,0)+IF(J148="Public",10,IF(J148="Partner",7,IF(J148="Internal",3,0)))+IF(W148="Hard-coded",10,IF(W148="Configurable",3,0))+IF(MAX(I148,AP148)&gt;=10,10,IF(MAX(I148,AP148)&gt;=5,7,IF(MAX(I148,AP148)&gt;=2,3,0)))+IF(K148="High",10,IF(K148="Medium",5,0))))</x:f>
      </x:c>
      <x:c r="AC148" s="73" t="str">
        <x:f>IF(A148="","",IF(NOT(ISNUMBER(AB148)),"Review inputs",IF(AB148&gt;=70,"P0 - Immediate",IF(AB148&gt;=50,"P1 - High",IF(AB148&gt;=30,"P2 - Medium",IF(AB148&gt;=15,"P3 - Low","P4 - Monitor"))))))</x:f>
      </x:c>
      <x:c r="AD148" s="73"/>
      <x:c r="AE148" s="73"/>
      <x:c r="AF148" s="73"/>
      <x:c r="AG148" s="77"/>
      <x:c r="AH148" s="73"/>
      <x:c r="AI148" s="91"/>
      <x:c r="AJ148" s="91"/>
      <x:c r="AK148" s="91"/>
      <x:c r="AL148" s="92"/>
      <x:c r="AM148" s="91"/>
      <x:c r="AN148" s="91"/>
      <x:c r="AO148" s="93"/>
      <x:c r="AP148" s="94"/>
      <x:c r="AQ148" s="91"/>
      <x:c r="AR148" s="91"/>
      <x:c r="AS148" s="91"/>
      <x:c r="AT148" s="91"/>
      <x:c r="AU148" s="91"/>
      <x:c r="AV148" s="91"/>
      <x:c r="AW148" s="91"/>
      <x:c r="AX148" s="91"/>
      <x:c r="AY148" s="91"/>
      <x:c r="AZ148" s="92"/>
      <x:c r="BA148" s="94"/>
      <x:c r="BB148" s="91"/>
      <x:c r="BC148" s="92"/>
      <x:c r="BD148" s="92"/>
      <x:c r="BE148" s="91"/>
      <x:c r="BF148" s="91"/>
      <x:c r="BG148" s="91"/>
      <x:c r="BH148" s="91"/>
      <x:c r="BI148" s="91"/>
      <x:c r="BJ148" s="91"/>
      <x:c r="BK148" s="91"/>
      <x:c r="BL148" s="91"/>
      <x:c r="BM148" s="73" t="str">
        <x:f>IF(A148="","",IF(AI148="Example","Example only",IF(AI148&lt;&gt;"Actual","Set record type",IF(COUNTIF($A$2:$A$1001,A148)&gt;1,"Duplicate record ID",IF(OR(D148="",E148="",AF148="",NOT(ISNUMBER(AG148)),AJ148="",AK148="",NOT(ISNUMBER(AL148)),AND(AM148&lt;&gt;"Observed",AM148&lt;&gt;"Corroborated",AM148&lt;&gt;"Declared"),OR(AN148="",AN148="Unknown"),OR(AQ148="",AQ148="Unknown"),OR(AR148="",AR148="Unknown",AR148="TBD"),OR(BC148="",NOT(ISNUMBER(BC148)))),"Evidence incomplete","Evidence recorded; review scope")))))</x:f>
      </x:c>
      <x:c r="BN148" s="73"/>
    </x:row>
    <x:row r="149" ht="34" customHeight="1">
      <x:c r="A149" s="73"/>
      <x:c r="B149" s="73"/>
      <x:c r="C149" s="73"/>
      <x:c r="D149" s="73"/>
      <x:c r="E149" s="73"/>
      <x:c r="F149" s="73"/>
      <x:c r="G149" s="73"/>
      <x:c r="H149" s="73"/>
      <x:c r="I149" s="75"/>
      <x:c r="J149" s="73"/>
      <x:c r="K149" s="73"/>
      <x:c r="L149" s="76"/>
      <x:c r="M149" s="73"/>
      <x:c r="N149" s="73"/>
      <x:c r="O149" s="73"/>
      <x:c r="P149" s="73"/>
      <x:c r="Q149" s="76"/>
      <x:c r="R149" s="73"/>
      <x:c r="S149" s="73"/>
      <x:c r="T149" s="73"/>
      <x:c r="U149" s="73"/>
      <x:c r="V149" s="73"/>
      <x:c r="W149" s="73"/>
      <x:c r="X149" s="73"/>
      <x:c r="Y149" s="73"/>
      <x:c r="Z149" s="73"/>
      <x:c r="AA149" s="73"/>
      <x:c r="AB149" s="76" t="str">
        <x:f>IF(A149="","",IF(OR(NOT(ISNUMBER(I149)),I149&lt;0,NOT(ISNUMBER(AP149)),AP149&lt;0,NOT(ISNUMBER(L149)),L149&lt;1,L149&gt;5,L149&lt;&gt;INT(L149),AND(J149&lt;&gt;"Public",J149&lt;&gt;"Partner",J149&lt;&gt;"Internal",J149&lt;&gt;"None"),AND(K149&lt;&gt;"High",K149&lt;&gt;"Medium",K149&lt;&gt;"Low",K149&lt;&gt;"None"),AND(W149&lt;&gt;"Hard-coded",W149&lt;&gt;"Configurable",W149&lt;&gt;"Policy-managed",W149&lt;&gt;"API/Library abstraction",W149&lt;&gt;"Automated"),AND(Z149&lt;&gt;"Y",Z149&lt;&gt;"N"),AND(AA149&lt;&gt;"Y",AA149&lt;&gt;"N")),"Incomplete",IF(Z149="Y",20,0)+L149*5+IF(AA149="Y",15,0)+IF(J149="Public",10,IF(J149="Partner",7,IF(J149="Internal",3,0)))+IF(W149="Hard-coded",10,IF(W149="Configurable",3,0))+IF(MAX(I149,AP149)&gt;=10,10,IF(MAX(I149,AP149)&gt;=5,7,IF(MAX(I149,AP149)&gt;=2,3,0)))+IF(K149="High",10,IF(K149="Medium",5,0))))</x:f>
      </x:c>
      <x:c r="AC149" s="73" t="str">
        <x:f>IF(A149="","",IF(NOT(ISNUMBER(AB149)),"Review inputs",IF(AB149&gt;=70,"P0 - Immediate",IF(AB149&gt;=50,"P1 - High",IF(AB149&gt;=30,"P2 - Medium",IF(AB149&gt;=15,"P3 - Low","P4 - Monitor"))))))</x:f>
      </x:c>
      <x:c r="AD149" s="73"/>
      <x:c r="AE149" s="73"/>
      <x:c r="AF149" s="73"/>
      <x:c r="AG149" s="77"/>
      <x:c r="AH149" s="73"/>
      <x:c r="AI149" s="91"/>
      <x:c r="AJ149" s="91"/>
      <x:c r="AK149" s="91"/>
      <x:c r="AL149" s="92"/>
      <x:c r="AM149" s="91"/>
      <x:c r="AN149" s="91"/>
      <x:c r="AO149" s="93"/>
      <x:c r="AP149" s="94"/>
      <x:c r="AQ149" s="91"/>
      <x:c r="AR149" s="91"/>
      <x:c r="AS149" s="91"/>
      <x:c r="AT149" s="91"/>
      <x:c r="AU149" s="91"/>
      <x:c r="AV149" s="91"/>
      <x:c r="AW149" s="91"/>
      <x:c r="AX149" s="91"/>
      <x:c r="AY149" s="91"/>
      <x:c r="AZ149" s="92"/>
      <x:c r="BA149" s="94"/>
      <x:c r="BB149" s="91"/>
      <x:c r="BC149" s="92"/>
      <x:c r="BD149" s="92"/>
      <x:c r="BE149" s="91"/>
      <x:c r="BF149" s="91"/>
      <x:c r="BG149" s="91"/>
      <x:c r="BH149" s="91"/>
      <x:c r="BI149" s="91"/>
      <x:c r="BJ149" s="91"/>
      <x:c r="BK149" s="91"/>
      <x:c r="BL149" s="91"/>
      <x:c r="BM149" s="73" t="str">
        <x:f>IF(A149="","",IF(AI149="Example","Example only",IF(AI149&lt;&gt;"Actual","Set record type",IF(COUNTIF($A$2:$A$1001,A149)&gt;1,"Duplicate record ID",IF(OR(D149="",E149="",AF149="",NOT(ISNUMBER(AG149)),AJ149="",AK149="",NOT(ISNUMBER(AL149)),AND(AM149&lt;&gt;"Observed",AM149&lt;&gt;"Corroborated",AM149&lt;&gt;"Declared"),OR(AN149="",AN149="Unknown"),OR(AQ149="",AQ149="Unknown"),OR(AR149="",AR149="Unknown",AR149="TBD"),OR(BC149="",NOT(ISNUMBER(BC149)))),"Evidence incomplete","Evidence recorded; review scope")))))</x:f>
      </x:c>
      <x:c r="BN149" s="73"/>
    </x:row>
    <x:row r="150" ht="34" customHeight="1">
      <x:c r="A150" s="73"/>
      <x:c r="B150" s="73"/>
      <x:c r="C150" s="73"/>
      <x:c r="D150" s="73"/>
      <x:c r="E150" s="73"/>
      <x:c r="F150" s="73"/>
      <x:c r="G150" s="73"/>
      <x:c r="H150" s="73"/>
      <x:c r="I150" s="75"/>
      <x:c r="J150" s="73"/>
      <x:c r="K150" s="73"/>
      <x:c r="L150" s="76"/>
      <x:c r="M150" s="73"/>
      <x:c r="N150" s="73"/>
      <x:c r="O150" s="73"/>
      <x:c r="P150" s="73"/>
      <x:c r="Q150" s="76"/>
      <x:c r="R150" s="73"/>
      <x:c r="S150" s="73"/>
      <x:c r="T150" s="73"/>
      <x:c r="U150" s="73"/>
      <x:c r="V150" s="73"/>
      <x:c r="W150" s="73"/>
      <x:c r="X150" s="73"/>
      <x:c r="Y150" s="73"/>
      <x:c r="Z150" s="73"/>
      <x:c r="AA150" s="73"/>
      <x:c r="AB150" s="76" t="str">
        <x:f>IF(A150="","",IF(OR(NOT(ISNUMBER(I150)),I150&lt;0,NOT(ISNUMBER(AP150)),AP150&lt;0,NOT(ISNUMBER(L150)),L150&lt;1,L150&gt;5,L150&lt;&gt;INT(L150),AND(J150&lt;&gt;"Public",J150&lt;&gt;"Partner",J150&lt;&gt;"Internal",J150&lt;&gt;"None"),AND(K150&lt;&gt;"High",K150&lt;&gt;"Medium",K150&lt;&gt;"Low",K150&lt;&gt;"None"),AND(W150&lt;&gt;"Hard-coded",W150&lt;&gt;"Configurable",W150&lt;&gt;"Policy-managed",W150&lt;&gt;"API/Library abstraction",W150&lt;&gt;"Automated"),AND(Z150&lt;&gt;"Y",Z150&lt;&gt;"N"),AND(AA150&lt;&gt;"Y",AA150&lt;&gt;"N")),"Incomplete",IF(Z150="Y",20,0)+L150*5+IF(AA150="Y",15,0)+IF(J150="Public",10,IF(J150="Partner",7,IF(J150="Internal",3,0)))+IF(W150="Hard-coded",10,IF(W150="Configurable",3,0))+IF(MAX(I150,AP150)&gt;=10,10,IF(MAX(I150,AP150)&gt;=5,7,IF(MAX(I150,AP150)&gt;=2,3,0)))+IF(K150="High",10,IF(K150="Medium",5,0))))</x:f>
      </x:c>
      <x:c r="AC150" s="73" t="str">
        <x:f>IF(A150="","",IF(NOT(ISNUMBER(AB150)),"Review inputs",IF(AB150&gt;=70,"P0 - Immediate",IF(AB150&gt;=50,"P1 - High",IF(AB150&gt;=30,"P2 - Medium",IF(AB150&gt;=15,"P3 - Low","P4 - Monitor"))))))</x:f>
      </x:c>
      <x:c r="AD150" s="73"/>
      <x:c r="AE150" s="73"/>
      <x:c r="AF150" s="73"/>
      <x:c r="AG150" s="77"/>
      <x:c r="AH150" s="73"/>
      <x:c r="AI150" s="91"/>
      <x:c r="AJ150" s="91"/>
      <x:c r="AK150" s="91"/>
      <x:c r="AL150" s="92"/>
      <x:c r="AM150" s="91"/>
      <x:c r="AN150" s="91"/>
      <x:c r="AO150" s="93"/>
      <x:c r="AP150" s="94"/>
      <x:c r="AQ150" s="91"/>
      <x:c r="AR150" s="91"/>
      <x:c r="AS150" s="91"/>
      <x:c r="AT150" s="91"/>
      <x:c r="AU150" s="91"/>
      <x:c r="AV150" s="91"/>
      <x:c r="AW150" s="91"/>
      <x:c r="AX150" s="91"/>
      <x:c r="AY150" s="91"/>
      <x:c r="AZ150" s="92"/>
      <x:c r="BA150" s="94"/>
      <x:c r="BB150" s="91"/>
      <x:c r="BC150" s="92"/>
      <x:c r="BD150" s="92"/>
      <x:c r="BE150" s="91"/>
      <x:c r="BF150" s="91"/>
      <x:c r="BG150" s="91"/>
      <x:c r="BH150" s="91"/>
      <x:c r="BI150" s="91"/>
      <x:c r="BJ150" s="91"/>
      <x:c r="BK150" s="91"/>
      <x:c r="BL150" s="91"/>
      <x:c r="BM150" s="73" t="str">
        <x:f>IF(A150="","",IF(AI150="Example","Example only",IF(AI150&lt;&gt;"Actual","Set record type",IF(COUNTIF($A$2:$A$1001,A150)&gt;1,"Duplicate record ID",IF(OR(D150="",E150="",AF150="",NOT(ISNUMBER(AG150)),AJ150="",AK150="",NOT(ISNUMBER(AL150)),AND(AM150&lt;&gt;"Observed",AM150&lt;&gt;"Corroborated",AM150&lt;&gt;"Declared"),OR(AN150="",AN150="Unknown"),OR(AQ150="",AQ150="Unknown"),OR(AR150="",AR150="Unknown",AR150="TBD"),OR(BC150="",NOT(ISNUMBER(BC150)))),"Evidence incomplete","Evidence recorded; review scope")))))</x:f>
      </x:c>
      <x:c r="BN150" s="73"/>
    </x:row>
    <x:row r="151" ht="34" customHeight="1">
      <x:c r="A151" s="73"/>
      <x:c r="B151" s="73"/>
      <x:c r="C151" s="73"/>
      <x:c r="D151" s="73"/>
      <x:c r="E151" s="73"/>
      <x:c r="F151" s="73"/>
      <x:c r="G151" s="73"/>
      <x:c r="H151" s="73"/>
      <x:c r="I151" s="75"/>
      <x:c r="J151" s="73"/>
      <x:c r="K151" s="73"/>
      <x:c r="L151" s="76"/>
      <x:c r="M151" s="73"/>
      <x:c r="N151" s="73"/>
      <x:c r="O151" s="73"/>
      <x:c r="P151" s="73"/>
      <x:c r="Q151" s="76"/>
      <x:c r="R151" s="73"/>
      <x:c r="S151" s="73"/>
      <x:c r="T151" s="73"/>
      <x:c r="U151" s="73"/>
      <x:c r="V151" s="73"/>
      <x:c r="W151" s="73"/>
      <x:c r="X151" s="73"/>
      <x:c r="Y151" s="73"/>
      <x:c r="Z151" s="73"/>
      <x:c r="AA151" s="73"/>
      <x:c r="AB151" s="76" t="str">
        <x:f>IF(A151="","",IF(OR(NOT(ISNUMBER(I151)),I151&lt;0,NOT(ISNUMBER(AP151)),AP151&lt;0,NOT(ISNUMBER(L151)),L151&lt;1,L151&gt;5,L151&lt;&gt;INT(L151),AND(J151&lt;&gt;"Public",J151&lt;&gt;"Partner",J151&lt;&gt;"Internal",J151&lt;&gt;"None"),AND(K151&lt;&gt;"High",K151&lt;&gt;"Medium",K151&lt;&gt;"Low",K151&lt;&gt;"None"),AND(W151&lt;&gt;"Hard-coded",W151&lt;&gt;"Configurable",W151&lt;&gt;"Policy-managed",W151&lt;&gt;"API/Library abstraction",W151&lt;&gt;"Automated"),AND(Z151&lt;&gt;"Y",Z151&lt;&gt;"N"),AND(AA151&lt;&gt;"Y",AA151&lt;&gt;"N")),"Incomplete",IF(Z151="Y",20,0)+L151*5+IF(AA151="Y",15,0)+IF(J151="Public",10,IF(J151="Partner",7,IF(J151="Internal",3,0)))+IF(W151="Hard-coded",10,IF(W151="Configurable",3,0))+IF(MAX(I151,AP151)&gt;=10,10,IF(MAX(I151,AP151)&gt;=5,7,IF(MAX(I151,AP151)&gt;=2,3,0)))+IF(K151="High",10,IF(K151="Medium",5,0))))</x:f>
      </x:c>
      <x:c r="AC151" s="73" t="str">
        <x:f>IF(A151="","",IF(NOT(ISNUMBER(AB151)),"Review inputs",IF(AB151&gt;=70,"P0 - Immediate",IF(AB151&gt;=50,"P1 - High",IF(AB151&gt;=30,"P2 - Medium",IF(AB151&gt;=15,"P3 - Low","P4 - Monitor"))))))</x:f>
      </x:c>
      <x:c r="AD151" s="73"/>
      <x:c r="AE151" s="73"/>
      <x:c r="AF151" s="73"/>
      <x:c r="AG151" s="77"/>
      <x:c r="AH151" s="73"/>
      <x:c r="AI151" s="91"/>
      <x:c r="AJ151" s="91"/>
      <x:c r="AK151" s="91"/>
      <x:c r="AL151" s="92"/>
      <x:c r="AM151" s="91"/>
      <x:c r="AN151" s="91"/>
      <x:c r="AO151" s="93"/>
      <x:c r="AP151" s="94"/>
      <x:c r="AQ151" s="91"/>
      <x:c r="AR151" s="91"/>
      <x:c r="AS151" s="91"/>
      <x:c r="AT151" s="91"/>
      <x:c r="AU151" s="91"/>
      <x:c r="AV151" s="91"/>
      <x:c r="AW151" s="91"/>
      <x:c r="AX151" s="91"/>
      <x:c r="AY151" s="91"/>
      <x:c r="AZ151" s="92"/>
      <x:c r="BA151" s="94"/>
      <x:c r="BB151" s="91"/>
      <x:c r="BC151" s="92"/>
      <x:c r="BD151" s="92"/>
      <x:c r="BE151" s="91"/>
      <x:c r="BF151" s="91"/>
      <x:c r="BG151" s="91"/>
      <x:c r="BH151" s="91"/>
      <x:c r="BI151" s="91"/>
      <x:c r="BJ151" s="91"/>
      <x:c r="BK151" s="91"/>
      <x:c r="BL151" s="91"/>
      <x:c r="BM151" s="73" t="str">
        <x:f>IF(A151="","",IF(AI151="Example","Example only",IF(AI151&lt;&gt;"Actual","Set record type",IF(COUNTIF($A$2:$A$1001,A151)&gt;1,"Duplicate record ID",IF(OR(D151="",E151="",AF151="",NOT(ISNUMBER(AG151)),AJ151="",AK151="",NOT(ISNUMBER(AL151)),AND(AM151&lt;&gt;"Observed",AM151&lt;&gt;"Corroborated",AM151&lt;&gt;"Declared"),OR(AN151="",AN151="Unknown"),OR(AQ151="",AQ151="Unknown"),OR(AR151="",AR151="Unknown",AR151="TBD"),OR(BC151="",NOT(ISNUMBER(BC151)))),"Evidence incomplete","Evidence recorded; review scope")))))</x:f>
      </x:c>
      <x:c r="BN151" s="73"/>
    </x:row>
    <x:row r="152" ht="34" customHeight="1">
      <x:c r="A152" s="73"/>
      <x:c r="B152" s="73"/>
      <x:c r="C152" s="73"/>
      <x:c r="D152" s="73"/>
      <x:c r="E152" s="73"/>
      <x:c r="F152" s="73"/>
      <x:c r="G152" s="73"/>
      <x:c r="H152" s="73"/>
      <x:c r="I152" s="75"/>
      <x:c r="J152" s="73"/>
      <x:c r="K152" s="73"/>
      <x:c r="L152" s="76"/>
      <x:c r="M152" s="73"/>
      <x:c r="N152" s="73"/>
      <x:c r="O152" s="73"/>
      <x:c r="P152" s="73"/>
      <x:c r="Q152" s="76"/>
      <x:c r="R152" s="73"/>
      <x:c r="S152" s="73"/>
      <x:c r="T152" s="73"/>
      <x:c r="U152" s="73"/>
      <x:c r="V152" s="73"/>
      <x:c r="W152" s="73"/>
      <x:c r="X152" s="73"/>
      <x:c r="Y152" s="73"/>
      <x:c r="Z152" s="73"/>
      <x:c r="AA152" s="73"/>
      <x:c r="AB152" s="76" t="str">
        <x:f>IF(A152="","",IF(OR(NOT(ISNUMBER(I152)),I152&lt;0,NOT(ISNUMBER(AP152)),AP152&lt;0,NOT(ISNUMBER(L152)),L152&lt;1,L152&gt;5,L152&lt;&gt;INT(L152),AND(J152&lt;&gt;"Public",J152&lt;&gt;"Partner",J152&lt;&gt;"Internal",J152&lt;&gt;"None"),AND(K152&lt;&gt;"High",K152&lt;&gt;"Medium",K152&lt;&gt;"Low",K152&lt;&gt;"None"),AND(W152&lt;&gt;"Hard-coded",W152&lt;&gt;"Configurable",W152&lt;&gt;"Policy-managed",W152&lt;&gt;"API/Library abstraction",W152&lt;&gt;"Automated"),AND(Z152&lt;&gt;"Y",Z152&lt;&gt;"N"),AND(AA152&lt;&gt;"Y",AA152&lt;&gt;"N")),"Incomplete",IF(Z152="Y",20,0)+L152*5+IF(AA152="Y",15,0)+IF(J152="Public",10,IF(J152="Partner",7,IF(J152="Internal",3,0)))+IF(W152="Hard-coded",10,IF(W152="Configurable",3,0))+IF(MAX(I152,AP152)&gt;=10,10,IF(MAX(I152,AP152)&gt;=5,7,IF(MAX(I152,AP152)&gt;=2,3,0)))+IF(K152="High",10,IF(K152="Medium",5,0))))</x:f>
      </x:c>
      <x:c r="AC152" s="73" t="str">
        <x:f>IF(A152="","",IF(NOT(ISNUMBER(AB152)),"Review inputs",IF(AB152&gt;=70,"P0 - Immediate",IF(AB152&gt;=50,"P1 - High",IF(AB152&gt;=30,"P2 - Medium",IF(AB152&gt;=15,"P3 - Low","P4 - Monitor"))))))</x:f>
      </x:c>
      <x:c r="AD152" s="73"/>
      <x:c r="AE152" s="73"/>
      <x:c r="AF152" s="73"/>
      <x:c r="AG152" s="77"/>
      <x:c r="AH152" s="73"/>
      <x:c r="AI152" s="91"/>
      <x:c r="AJ152" s="91"/>
      <x:c r="AK152" s="91"/>
      <x:c r="AL152" s="92"/>
      <x:c r="AM152" s="91"/>
      <x:c r="AN152" s="91"/>
      <x:c r="AO152" s="93"/>
      <x:c r="AP152" s="94"/>
      <x:c r="AQ152" s="91"/>
      <x:c r="AR152" s="91"/>
      <x:c r="AS152" s="91"/>
      <x:c r="AT152" s="91"/>
      <x:c r="AU152" s="91"/>
      <x:c r="AV152" s="91"/>
      <x:c r="AW152" s="91"/>
      <x:c r="AX152" s="91"/>
      <x:c r="AY152" s="91"/>
      <x:c r="AZ152" s="92"/>
      <x:c r="BA152" s="94"/>
      <x:c r="BB152" s="91"/>
      <x:c r="BC152" s="92"/>
      <x:c r="BD152" s="92"/>
      <x:c r="BE152" s="91"/>
      <x:c r="BF152" s="91"/>
      <x:c r="BG152" s="91"/>
      <x:c r="BH152" s="91"/>
      <x:c r="BI152" s="91"/>
      <x:c r="BJ152" s="91"/>
      <x:c r="BK152" s="91"/>
      <x:c r="BL152" s="91"/>
      <x:c r="BM152" s="73" t="str">
        <x:f>IF(A152="","",IF(AI152="Example","Example only",IF(AI152&lt;&gt;"Actual","Set record type",IF(COUNTIF($A$2:$A$1001,A152)&gt;1,"Duplicate record ID",IF(OR(D152="",E152="",AF152="",NOT(ISNUMBER(AG152)),AJ152="",AK152="",NOT(ISNUMBER(AL152)),AND(AM152&lt;&gt;"Observed",AM152&lt;&gt;"Corroborated",AM152&lt;&gt;"Declared"),OR(AN152="",AN152="Unknown"),OR(AQ152="",AQ152="Unknown"),OR(AR152="",AR152="Unknown",AR152="TBD"),OR(BC152="",NOT(ISNUMBER(BC152)))),"Evidence incomplete","Evidence recorded; review scope")))))</x:f>
      </x:c>
      <x:c r="BN152" s="73"/>
    </x:row>
    <x:row r="153" ht="34" customHeight="1">
      <x:c r="A153" s="73"/>
      <x:c r="B153" s="73"/>
      <x:c r="C153" s="73"/>
      <x:c r="D153" s="73"/>
      <x:c r="E153" s="73"/>
      <x:c r="F153" s="73"/>
      <x:c r="G153" s="73"/>
      <x:c r="H153" s="73"/>
      <x:c r="I153" s="75"/>
      <x:c r="J153" s="73"/>
      <x:c r="K153" s="73"/>
      <x:c r="L153" s="76"/>
      <x:c r="M153" s="73"/>
      <x:c r="N153" s="73"/>
      <x:c r="O153" s="73"/>
      <x:c r="P153" s="73"/>
      <x:c r="Q153" s="76"/>
      <x:c r="R153" s="73"/>
      <x:c r="S153" s="73"/>
      <x:c r="T153" s="73"/>
      <x:c r="U153" s="73"/>
      <x:c r="V153" s="73"/>
      <x:c r="W153" s="73"/>
      <x:c r="X153" s="73"/>
      <x:c r="Y153" s="73"/>
      <x:c r="Z153" s="73"/>
      <x:c r="AA153" s="73"/>
      <x:c r="AB153" s="76" t="str">
        <x:f>IF(A153="","",IF(OR(NOT(ISNUMBER(I153)),I153&lt;0,NOT(ISNUMBER(AP153)),AP153&lt;0,NOT(ISNUMBER(L153)),L153&lt;1,L153&gt;5,L153&lt;&gt;INT(L153),AND(J153&lt;&gt;"Public",J153&lt;&gt;"Partner",J153&lt;&gt;"Internal",J153&lt;&gt;"None"),AND(K153&lt;&gt;"High",K153&lt;&gt;"Medium",K153&lt;&gt;"Low",K153&lt;&gt;"None"),AND(W153&lt;&gt;"Hard-coded",W153&lt;&gt;"Configurable",W153&lt;&gt;"Policy-managed",W153&lt;&gt;"API/Library abstraction",W153&lt;&gt;"Automated"),AND(Z153&lt;&gt;"Y",Z153&lt;&gt;"N"),AND(AA153&lt;&gt;"Y",AA153&lt;&gt;"N")),"Incomplete",IF(Z153="Y",20,0)+L153*5+IF(AA153="Y",15,0)+IF(J153="Public",10,IF(J153="Partner",7,IF(J153="Internal",3,0)))+IF(W153="Hard-coded",10,IF(W153="Configurable",3,0))+IF(MAX(I153,AP153)&gt;=10,10,IF(MAX(I153,AP153)&gt;=5,7,IF(MAX(I153,AP153)&gt;=2,3,0)))+IF(K153="High",10,IF(K153="Medium",5,0))))</x:f>
      </x:c>
      <x:c r="AC153" s="73" t="str">
        <x:f>IF(A153="","",IF(NOT(ISNUMBER(AB153)),"Review inputs",IF(AB153&gt;=70,"P0 - Immediate",IF(AB153&gt;=50,"P1 - High",IF(AB153&gt;=30,"P2 - Medium",IF(AB153&gt;=15,"P3 - Low","P4 - Monitor"))))))</x:f>
      </x:c>
      <x:c r="AD153" s="73"/>
      <x:c r="AE153" s="73"/>
      <x:c r="AF153" s="73"/>
      <x:c r="AG153" s="77"/>
      <x:c r="AH153" s="73"/>
      <x:c r="AI153" s="91"/>
      <x:c r="AJ153" s="91"/>
      <x:c r="AK153" s="91"/>
      <x:c r="AL153" s="92"/>
      <x:c r="AM153" s="91"/>
      <x:c r="AN153" s="91"/>
      <x:c r="AO153" s="93"/>
      <x:c r="AP153" s="94"/>
      <x:c r="AQ153" s="91"/>
      <x:c r="AR153" s="91"/>
      <x:c r="AS153" s="91"/>
      <x:c r="AT153" s="91"/>
      <x:c r="AU153" s="91"/>
      <x:c r="AV153" s="91"/>
      <x:c r="AW153" s="91"/>
      <x:c r="AX153" s="91"/>
      <x:c r="AY153" s="91"/>
      <x:c r="AZ153" s="92"/>
      <x:c r="BA153" s="94"/>
      <x:c r="BB153" s="91"/>
      <x:c r="BC153" s="92"/>
      <x:c r="BD153" s="92"/>
      <x:c r="BE153" s="91"/>
      <x:c r="BF153" s="91"/>
      <x:c r="BG153" s="91"/>
      <x:c r="BH153" s="91"/>
      <x:c r="BI153" s="91"/>
      <x:c r="BJ153" s="91"/>
      <x:c r="BK153" s="91"/>
      <x:c r="BL153" s="91"/>
      <x:c r="BM153" s="73" t="str">
        <x:f>IF(A153="","",IF(AI153="Example","Example only",IF(AI153&lt;&gt;"Actual","Set record type",IF(COUNTIF($A$2:$A$1001,A153)&gt;1,"Duplicate record ID",IF(OR(D153="",E153="",AF153="",NOT(ISNUMBER(AG153)),AJ153="",AK153="",NOT(ISNUMBER(AL153)),AND(AM153&lt;&gt;"Observed",AM153&lt;&gt;"Corroborated",AM153&lt;&gt;"Declared"),OR(AN153="",AN153="Unknown"),OR(AQ153="",AQ153="Unknown"),OR(AR153="",AR153="Unknown",AR153="TBD"),OR(BC153="",NOT(ISNUMBER(BC153)))),"Evidence incomplete","Evidence recorded; review scope")))))</x:f>
      </x:c>
      <x:c r="BN153" s="73"/>
    </x:row>
    <x:row r="154" ht="34" customHeight="1">
      <x:c r="A154" s="73"/>
      <x:c r="B154" s="73"/>
      <x:c r="C154" s="73"/>
      <x:c r="D154" s="73"/>
      <x:c r="E154" s="73"/>
      <x:c r="F154" s="73"/>
      <x:c r="G154" s="73"/>
      <x:c r="H154" s="73"/>
      <x:c r="I154" s="75"/>
      <x:c r="J154" s="73"/>
      <x:c r="K154" s="73"/>
      <x:c r="L154" s="76"/>
      <x:c r="M154" s="73"/>
      <x:c r="N154" s="73"/>
      <x:c r="O154" s="73"/>
      <x:c r="P154" s="73"/>
      <x:c r="Q154" s="76"/>
      <x:c r="R154" s="73"/>
      <x:c r="S154" s="73"/>
      <x:c r="T154" s="73"/>
      <x:c r="U154" s="73"/>
      <x:c r="V154" s="73"/>
      <x:c r="W154" s="73"/>
      <x:c r="X154" s="73"/>
      <x:c r="Y154" s="73"/>
      <x:c r="Z154" s="73"/>
      <x:c r="AA154" s="73"/>
      <x:c r="AB154" s="76" t="str">
        <x:f>IF(A154="","",IF(OR(NOT(ISNUMBER(I154)),I154&lt;0,NOT(ISNUMBER(AP154)),AP154&lt;0,NOT(ISNUMBER(L154)),L154&lt;1,L154&gt;5,L154&lt;&gt;INT(L154),AND(J154&lt;&gt;"Public",J154&lt;&gt;"Partner",J154&lt;&gt;"Internal",J154&lt;&gt;"None"),AND(K154&lt;&gt;"High",K154&lt;&gt;"Medium",K154&lt;&gt;"Low",K154&lt;&gt;"None"),AND(W154&lt;&gt;"Hard-coded",W154&lt;&gt;"Configurable",W154&lt;&gt;"Policy-managed",W154&lt;&gt;"API/Library abstraction",W154&lt;&gt;"Automated"),AND(Z154&lt;&gt;"Y",Z154&lt;&gt;"N"),AND(AA154&lt;&gt;"Y",AA154&lt;&gt;"N")),"Incomplete",IF(Z154="Y",20,0)+L154*5+IF(AA154="Y",15,0)+IF(J154="Public",10,IF(J154="Partner",7,IF(J154="Internal",3,0)))+IF(W154="Hard-coded",10,IF(W154="Configurable",3,0))+IF(MAX(I154,AP154)&gt;=10,10,IF(MAX(I154,AP154)&gt;=5,7,IF(MAX(I154,AP154)&gt;=2,3,0)))+IF(K154="High",10,IF(K154="Medium",5,0))))</x:f>
      </x:c>
      <x:c r="AC154" s="73" t="str">
        <x:f>IF(A154="","",IF(NOT(ISNUMBER(AB154)),"Review inputs",IF(AB154&gt;=70,"P0 - Immediate",IF(AB154&gt;=50,"P1 - High",IF(AB154&gt;=30,"P2 - Medium",IF(AB154&gt;=15,"P3 - Low","P4 - Monitor"))))))</x:f>
      </x:c>
      <x:c r="AD154" s="73"/>
      <x:c r="AE154" s="73"/>
      <x:c r="AF154" s="73"/>
      <x:c r="AG154" s="77"/>
      <x:c r="AH154" s="73"/>
      <x:c r="AI154" s="91"/>
      <x:c r="AJ154" s="91"/>
      <x:c r="AK154" s="91"/>
      <x:c r="AL154" s="92"/>
      <x:c r="AM154" s="91"/>
      <x:c r="AN154" s="91"/>
      <x:c r="AO154" s="93"/>
      <x:c r="AP154" s="94"/>
      <x:c r="AQ154" s="91"/>
      <x:c r="AR154" s="91"/>
      <x:c r="AS154" s="91"/>
      <x:c r="AT154" s="91"/>
      <x:c r="AU154" s="91"/>
      <x:c r="AV154" s="91"/>
      <x:c r="AW154" s="91"/>
      <x:c r="AX154" s="91"/>
      <x:c r="AY154" s="91"/>
      <x:c r="AZ154" s="92"/>
      <x:c r="BA154" s="94"/>
      <x:c r="BB154" s="91"/>
      <x:c r="BC154" s="92"/>
      <x:c r="BD154" s="92"/>
      <x:c r="BE154" s="91"/>
      <x:c r="BF154" s="91"/>
      <x:c r="BG154" s="91"/>
      <x:c r="BH154" s="91"/>
      <x:c r="BI154" s="91"/>
      <x:c r="BJ154" s="91"/>
      <x:c r="BK154" s="91"/>
      <x:c r="BL154" s="91"/>
      <x:c r="BM154" s="73" t="str">
        <x:f>IF(A154="","",IF(AI154="Example","Example only",IF(AI154&lt;&gt;"Actual","Set record type",IF(COUNTIF($A$2:$A$1001,A154)&gt;1,"Duplicate record ID",IF(OR(D154="",E154="",AF154="",NOT(ISNUMBER(AG154)),AJ154="",AK154="",NOT(ISNUMBER(AL154)),AND(AM154&lt;&gt;"Observed",AM154&lt;&gt;"Corroborated",AM154&lt;&gt;"Declared"),OR(AN154="",AN154="Unknown"),OR(AQ154="",AQ154="Unknown"),OR(AR154="",AR154="Unknown",AR154="TBD"),OR(BC154="",NOT(ISNUMBER(BC154)))),"Evidence incomplete","Evidence recorded; review scope")))))</x:f>
      </x:c>
      <x:c r="BN154" s="73"/>
    </x:row>
    <x:row r="155" ht="34" customHeight="1">
      <x:c r="A155" s="73"/>
      <x:c r="B155" s="73"/>
      <x:c r="C155" s="73"/>
      <x:c r="D155" s="73"/>
      <x:c r="E155" s="73"/>
      <x:c r="F155" s="73"/>
      <x:c r="G155" s="73"/>
      <x:c r="H155" s="73"/>
      <x:c r="I155" s="75"/>
      <x:c r="J155" s="73"/>
      <x:c r="K155" s="73"/>
      <x:c r="L155" s="76"/>
      <x:c r="M155" s="73"/>
      <x:c r="N155" s="73"/>
      <x:c r="O155" s="73"/>
      <x:c r="P155" s="73"/>
      <x:c r="Q155" s="76"/>
      <x:c r="R155" s="73"/>
      <x:c r="S155" s="73"/>
      <x:c r="T155" s="73"/>
      <x:c r="U155" s="73"/>
      <x:c r="V155" s="73"/>
      <x:c r="W155" s="73"/>
      <x:c r="X155" s="73"/>
      <x:c r="Y155" s="73"/>
      <x:c r="Z155" s="73"/>
      <x:c r="AA155" s="73"/>
      <x:c r="AB155" s="76" t="str">
        <x:f>IF(A155="","",IF(OR(NOT(ISNUMBER(I155)),I155&lt;0,NOT(ISNUMBER(AP155)),AP155&lt;0,NOT(ISNUMBER(L155)),L155&lt;1,L155&gt;5,L155&lt;&gt;INT(L155),AND(J155&lt;&gt;"Public",J155&lt;&gt;"Partner",J155&lt;&gt;"Internal",J155&lt;&gt;"None"),AND(K155&lt;&gt;"High",K155&lt;&gt;"Medium",K155&lt;&gt;"Low",K155&lt;&gt;"None"),AND(W155&lt;&gt;"Hard-coded",W155&lt;&gt;"Configurable",W155&lt;&gt;"Policy-managed",W155&lt;&gt;"API/Library abstraction",W155&lt;&gt;"Automated"),AND(Z155&lt;&gt;"Y",Z155&lt;&gt;"N"),AND(AA155&lt;&gt;"Y",AA155&lt;&gt;"N")),"Incomplete",IF(Z155="Y",20,0)+L155*5+IF(AA155="Y",15,0)+IF(J155="Public",10,IF(J155="Partner",7,IF(J155="Internal",3,0)))+IF(W155="Hard-coded",10,IF(W155="Configurable",3,0))+IF(MAX(I155,AP155)&gt;=10,10,IF(MAX(I155,AP155)&gt;=5,7,IF(MAX(I155,AP155)&gt;=2,3,0)))+IF(K155="High",10,IF(K155="Medium",5,0))))</x:f>
      </x:c>
      <x:c r="AC155" s="73" t="str">
        <x:f>IF(A155="","",IF(NOT(ISNUMBER(AB155)),"Review inputs",IF(AB155&gt;=70,"P0 - Immediate",IF(AB155&gt;=50,"P1 - High",IF(AB155&gt;=30,"P2 - Medium",IF(AB155&gt;=15,"P3 - Low","P4 - Monitor"))))))</x:f>
      </x:c>
      <x:c r="AD155" s="73"/>
      <x:c r="AE155" s="73"/>
      <x:c r="AF155" s="73"/>
      <x:c r="AG155" s="77"/>
      <x:c r="AH155" s="73"/>
      <x:c r="AI155" s="91"/>
      <x:c r="AJ155" s="91"/>
      <x:c r="AK155" s="91"/>
      <x:c r="AL155" s="92"/>
      <x:c r="AM155" s="91"/>
      <x:c r="AN155" s="91"/>
      <x:c r="AO155" s="93"/>
      <x:c r="AP155" s="94"/>
      <x:c r="AQ155" s="91"/>
      <x:c r="AR155" s="91"/>
      <x:c r="AS155" s="91"/>
      <x:c r="AT155" s="91"/>
      <x:c r="AU155" s="91"/>
      <x:c r="AV155" s="91"/>
      <x:c r="AW155" s="91"/>
      <x:c r="AX155" s="91"/>
      <x:c r="AY155" s="91"/>
      <x:c r="AZ155" s="92"/>
      <x:c r="BA155" s="94"/>
      <x:c r="BB155" s="91"/>
      <x:c r="BC155" s="92"/>
      <x:c r="BD155" s="92"/>
      <x:c r="BE155" s="91"/>
      <x:c r="BF155" s="91"/>
      <x:c r="BG155" s="91"/>
      <x:c r="BH155" s="91"/>
      <x:c r="BI155" s="91"/>
      <x:c r="BJ155" s="91"/>
      <x:c r="BK155" s="91"/>
      <x:c r="BL155" s="91"/>
      <x:c r="BM155" s="73" t="str">
        <x:f>IF(A155="","",IF(AI155="Example","Example only",IF(AI155&lt;&gt;"Actual","Set record type",IF(COUNTIF($A$2:$A$1001,A155)&gt;1,"Duplicate record ID",IF(OR(D155="",E155="",AF155="",NOT(ISNUMBER(AG155)),AJ155="",AK155="",NOT(ISNUMBER(AL155)),AND(AM155&lt;&gt;"Observed",AM155&lt;&gt;"Corroborated",AM155&lt;&gt;"Declared"),OR(AN155="",AN155="Unknown"),OR(AQ155="",AQ155="Unknown"),OR(AR155="",AR155="Unknown",AR155="TBD"),OR(BC155="",NOT(ISNUMBER(BC155)))),"Evidence incomplete","Evidence recorded; review scope")))))</x:f>
      </x:c>
      <x:c r="BN155" s="73"/>
    </x:row>
    <x:row r="156" ht="34" customHeight="1">
      <x:c r="A156" s="73"/>
      <x:c r="B156" s="73"/>
      <x:c r="C156" s="73"/>
      <x:c r="D156" s="73"/>
      <x:c r="E156" s="73"/>
      <x:c r="F156" s="73"/>
      <x:c r="G156" s="73"/>
      <x:c r="H156" s="73"/>
      <x:c r="I156" s="75"/>
      <x:c r="J156" s="73"/>
      <x:c r="K156" s="73"/>
      <x:c r="L156" s="76"/>
      <x:c r="M156" s="73"/>
      <x:c r="N156" s="73"/>
      <x:c r="O156" s="73"/>
      <x:c r="P156" s="73"/>
      <x:c r="Q156" s="76"/>
      <x:c r="R156" s="73"/>
      <x:c r="S156" s="73"/>
      <x:c r="T156" s="73"/>
      <x:c r="U156" s="73"/>
      <x:c r="V156" s="73"/>
      <x:c r="W156" s="73"/>
      <x:c r="X156" s="73"/>
      <x:c r="Y156" s="73"/>
      <x:c r="Z156" s="73"/>
      <x:c r="AA156" s="73"/>
      <x:c r="AB156" s="76" t="str">
        <x:f>IF(A156="","",IF(OR(NOT(ISNUMBER(I156)),I156&lt;0,NOT(ISNUMBER(AP156)),AP156&lt;0,NOT(ISNUMBER(L156)),L156&lt;1,L156&gt;5,L156&lt;&gt;INT(L156),AND(J156&lt;&gt;"Public",J156&lt;&gt;"Partner",J156&lt;&gt;"Internal",J156&lt;&gt;"None"),AND(K156&lt;&gt;"High",K156&lt;&gt;"Medium",K156&lt;&gt;"Low",K156&lt;&gt;"None"),AND(W156&lt;&gt;"Hard-coded",W156&lt;&gt;"Configurable",W156&lt;&gt;"Policy-managed",W156&lt;&gt;"API/Library abstraction",W156&lt;&gt;"Automated"),AND(Z156&lt;&gt;"Y",Z156&lt;&gt;"N"),AND(AA156&lt;&gt;"Y",AA156&lt;&gt;"N")),"Incomplete",IF(Z156="Y",20,0)+L156*5+IF(AA156="Y",15,0)+IF(J156="Public",10,IF(J156="Partner",7,IF(J156="Internal",3,0)))+IF(W156="Hard-coded",10,IF(W156="Configurable",3,0))+IF(MAX(I156,AP156)&gt;=10,10,IF(MAX(I156,AP156)&gt;=5,7,IF(MAX(I156,AP156)&gt;=2,3,0)))+IF(K156="High",10,IF(K156="Medium",5,0))))</x:f>
      </x:c>
      <x:c r="AC156" s="73" t="str">
        <x:f>IF(A156="","",IF(NOT(ISNUMBER(AB156)),"Review inputs",IF(AB156&gt;=70,"P0 - Immediate",IF(AB156&gt;=50,"P1 - High",IF(AB156&gt;=30,"P2 - Medium",IF(AB156&gt;=15,"P3 - Low","P4 - Monitor"))))))</x:f>
      </x:c>
      <x:c r="AD156" s="73"/>
      <x:c r="AE156" s="73"/>
      <x:c r="AF156" s="73"/>
      <x:c r="AG156" s="77"/>
      <x:c r="AH156" s="73"/>
      <x:c r="AI156" s="91"/>
      <x:c r="AJ156" s="91"/>
      <x:c r="AK156" s="91"/>
      <x:c r="AL156" s="92"/>
      <x:c r="AM156" s="91"/>
      <x:c r="AN156" s="91"/>
      <x:c r="AO156" s="93"/>
      <x:c r="AP156" s="94"/>
      <x:c r="AQ156" s="91"/>
      <x:c r="AR156" s="91"/>
      <x:c r="AS156" s="91"/>
      <x:c r="AT156" s="91"/>
      <x:c r="AU156" s="91"/>
      <x:c r="AV156" s="91"/>
      <x:c r="AW156" s="91"/>
      <x:c r="AX156" s="91"/>
      <x:c r="AY156" s="91"/>
      <x:c r="AZ156" s="92"/>
      <x:c r="BA156" s="94"/>
      <x:c r="BB156" s="91"/>
      <x:c r="BC156" s="92"/>
      <x:c r="BD156" s="92"/>
      <x:c r="BE156" s="91"/>
      <x:c r="BF156" s="91"/>
      <x:c r="BG156" s="91"/>
      <x:c r="BH156" s="91"/>
      <x:c r="BI156" s="91"/>
      <x:c r="BJ156" s="91"/>
      <x:c r="BK156" s="91"/>
      <x:c r="BL156" s="91"/>
      <x:c r="BM156" s="73" t="str">
        <x:f>IF(A156="","",IF(AI156="Example","Example only",IF(AI156&lt;&gt;"Actual","Set record type",IF(COUNTIF($A$2:$A$1001,A156)&gt;1,"Duplicate record ID",IF(OR(D156="",E156="",AF156="",NOT(ISNUMBER(AG156)),AJ156="",AK156="",NOT(ISNUMBER(AL156)),AND(AM156&lt;&gt;"Observed",AM156&lt;&gt;"Corroborated",AM156&lt;&gt;"Declared"),OR(AN156="",AN156="Unknown"),OR(AQ156="",AQ156="Unknown"),OR(AR156="",AR156="Unknown",AR156="TBD"),OR(BC156="",NOT(ISNUMBER(BC156)))),"Evidence incomplete","Evidence recorded; review scope")))))</x:f>
      </x:c>
      <x:c r="BN156" s="73"/>
    </x:row>
    <x:row r="157" ht="34" customHeight="1">
      <x:c r="A157" s="73"/>
      <x:c r="B157" s="73"/>
      <x:c r="C157" s="73"/>
      <x:c r="D157" s="73"/>
      <x:c r="E157" s="73"/>
      <x:c r="F157" s="73"/>
      <x:c r="G157" s="73"/>
      <x:c r="H157" s="73"/>
      <x:c r="I157" s="75"/>
      <x:c r="J157" s="73"/>
      <x:c r="K157" s="73"/>
      <x:c r="L157" s="76"/>
      <x:c r="M157" s="73"/>
      <x:c r="N157" s="73"/>
      <x:c r="O157" s="73"/>
      <x:c r="P157" s="73"/>
      <x:c r="Q157" s="76"/>
      <x:c r="R157" s="73"/>
      <x:c r="S157" s="73"/>
      <x:c r="T157" s="73"/>
      <x:c r="U157" s="73"/>
      <x:c r="V157" s="73"/>
      <x:c r="W157" s="73"/>
      <x:c r="X157" s="73"/>
      <x:c r="Y157" s="73"/>
      <x:c r="Z157" s="73"/>
      <x:c r="AA157" s="73"/>
      <x:c r="AB157" s="76" t="str">
        <x:f>IF(A157="","",IF(OR(NOT(ISNUMBER(I157)),I157&lt;0,NOT(ISNUMBER(AP157)),AP157&lt;0,NOT(ISNUMBER(L157)),L157&lt;1,L157&gt;5,L157&lt;&gt;INT(L157),AND(J157&lt;&gt;"Public",J157&lt;&gt;"Partner",J157&lt;&gt;"Internal",J157&lt;&gt;"None"),AND(K157&lt;&gt;"High",K157&lt;&gt;"Medium",K157&lt;&gt;"Low",K157&lt;&gt;"None"),AND(W157&lt;&gt;"Hard-coded",W157&lt;&gt;"Configurable",W157&lt;&gt;"Policy-managed",W157&lt;&gt;"API/Library abstraction",W157&lt;&gt;"Automated"),AND(Z157&lt;&gt;"Y",Z157&lt;&gt;"N"),AND(AA157&lt;&gt;"Y",AA157&lt;&gt;"N")),"Incomplete",IF(Z157="Y",20,0)+L157*5+IF(AA157="Y",15,0)+IF(J157="Public",10,IF(J157="Partner",7,IF(J157="Internal",3,0)))+IF(W157="Hard-coded",10,IF(W157="Configurable",3,0))+IF(MAX(I157,AP157)&gt;=10,10,IF(MAX(I157,AP157)&gt;=5,7,IF(MAX(I157,AP157)&gt;=2,3,0)))+IF(K157="High",10,IF(K157="Medium",5,0))))</x:f>
      </x:c>
      <x:c r="AC157" s="73" t="str">
        <x:f>IF(A157="","",IF(NOT(ISNUMBER(AB157)),"Review inputs",IF(AB157&gt;=70,"P0 - Immediate",IF(AB157&gt;=50,"P1 - High",IF(AB157&gt;=30,"P2 - Medium",IF(AB157&gt;=15,"P3 - Low","P4 - Monitor"))))))</x:f>
      </x:c>
      <x:c r="AD157" s="73"/>
      <x:c r="AE157" s="73"/>
      <x:c r="AF157" s="73"/>
      <x:c r="AG157" s="77"/>
      <x:c r="AH157" s="73"/>
      <x:c r="AI157" s="91"/>
      <x:c r="AJ157" s="91"/>
      <x:c r="AK157" s="91"/>
      <x:c r="AL157" s="92"/>
      <x:c r="AM157" s="91"/>
      <x:c r="AN157" s="91"/>
      <x:c r="AO157" s="93"/>
      <x:c r="AP157" s="94"/>
      <x:c r="AQ157" s="91"/>
      <x:c r="AR157" s="91"/>
      <x:c r="AS157" s="91"/>
      <x:c r="AT157" s="91"/>
      <x:c r="AU157" s="91"/>
      <x:c r="AV157" s="91"/>
      <x:c r="AW157" s="91"/>
      <x:c r="AX157" s="91"/>
      <x:c r="AY157" s="91"/>
      <x:c r="AZ157" s="92"/>
      <x:c r="BA157" s="94"/>
      <x:c r="BB157" s="91"/>
      <x:c r="BC157" s="92"/>
      <x:c r="BD157" s="92"/>
      <x:c r="BE157" s="91"/>
      <x:c r="BF157" s="91"/>
      <x:c r="BG157" s="91"/>
      <x:c r="BH157" s="91"/>
      <x:c r="BI157" s="91"/>
      <x:c r="BJ157" s="91"/>
      <x:c r="BK157" s="91"/>
      <x:c r="BL157" s="91"/>
      <x:c r="BM157" s="73" t="str">
        <x:f>IF(A157="","",IF(AI157="Example","Example only",IF(AI157&lt;&gt;"Actual","Set record type",IF(COUNTIF($A$2:$A$1001,A157)&gt;1,"Duplicate record ID",IF(OR(D157="",E157="",AF157="",NOT(ISNUMBER(AG157)),AJ157="",AK157="",NOT(ISNUMBER(AL157)),AND(AM157&lt;&gt;"Observed",AM157&lt;&gt;"Corroborated",AM157&lt;&gt;"Declared"),OR(AN157="",AN157="Unknown"),OR(AQ157="",AQ157="Unknown"),OR(AR157="",AR157="Unknown",AR157="TBD"),OR(BC157="",NOT(ISNUMBER(BC157)))),"Evidence incomplete","Evidence recorded; review scope")))))</x:f>
      </x:c>
      <x:c r="BN157" s="73"/>
    </x:row>
    <x:row r="158" ht="34" customHeight="1">
      <x:c r="A158" s="73"/>
      <x:c r="B158" s="73"/>
      <x:c r="C158" s="73"/>
      <x:c r="D158" s="73"/>
      <x:c r="E158" s="73"/>
      <x:c r="F158" s="73"/>
      <x:c r="G158" s="73"/>
      <x:c r="H158" s="73"/>
      <x:c r="I158" s="75"/>
      <x:c r="J158" s="73"/>
      <x:c r="K158" s="73"/>
      <x:c r="L158" s="76"/>
      <x:c r="M158" s="73"/>
      <x:c r="N158" s="73"/>
      <x:c r="O158" s="73"/>
      <x:c r="P158" s="73"/>
      <x:c r="Q158" s="76"/>
      <x:c r="R158" s="73"/>
      <x:c r="S158" s="73"/>
      <x:c r="T158" s="73"/>
      <x:c r="U158" s="73"/>
      <x:c r="V158" s="73"/>
      <x:c r="W158" s="73"/>
      <x:c r="X158" s="73"/>
      <x:c r="Y158" s="73"/>
      <x:c r="Z158" s="73"/>
      <x:c r="AA158" s="73"/>
      <x:c r="AB158" s="76" t="str">
        <x:f>IF(A158="","",IF(OR(NOT(ISNUMBER(I158)),I158&lt;0,NOT(ISNUMBER(AP158)),AP158&lt;0,NOT(ISNUMBER(L158)),L158&lt;1,L158&gt;5,L158&lt;&gt;INT(L158),AND(J158&lt;&gt;"Public",J158&lt;&gt;"Partner",J158&lt;&gt;"Internal",J158&lt;&gt;"None"),AND(K158&lt;&gt;"High",K158&lt;&gt;"Medium",K158&lt;&gt;"Low",K158&lt;&gt;"None"),AND(W158&lt;&gt;"Hard-coded",W158&lt;&gt;"Configurable",W158&lt;&gt;"Policy-managed",W158&lt;&gt;"API/Library abstraction",W158&lt;&gt;"Automated"),AND(Z158&lt;&gt;"Y",Z158&lt;&gt;"N"),AND(AA158&lt;&gt;"Y",AA158&lt;&gt;"N")),"Incomplete",IF(Z158="Y",20,0)+L158*5+IF(AA158="Y",15,0)+IF(J158="Public",10,IF(J158="Partner",7,IF(J158="Internal",3,0)))+IF(W158="Hard-coded",10,IF(W158="Configurable",3,0))+IF(MAX(I158,AP158)&gt;=10,10,IF(MAX(I158,AP158)&gt;=5,7,IF(MAX(I158,AP158)&gt;=2,3,0)))+IF(K158="High",10,IF(K158="Medium",5,0))))</x:f>
      </x:c>
      <x:c r="AC158" s="73" t="str">
        <x:f>IF(A158="","",IF(NOT(ISNUMBER(AB158)),"Review inputs",IF(AB158&gt;=70,"P0 - Immediate",IF(AB158&gt;=50,"P1 - High",IF(AB158&gt;=30,"P2 - Medium",IF(AB158&gt;=15,"P3 - Low","P4 - Monitor"))))))</x:f>
      </x:c>
      <x:c r="AD158" s="73"/>
      <x:c r="AE158" s="73"/>
      <x:c r="AF158" s="73"/>
      <x:c r="AG158" s="77"/>
      <x:c r="AH158" s="73"/>
      <x:c r="AI158" s="91"/>
      <x:c r="AJ158" s="91"/>
      <x:c r="AK158" s="91"/>
      <x:c r="AL158" s="92"/>
      <x:c r="AM158" s="91"/>
      <x:c r="AN158" s="91"/>
      <x:c r="AO158" s="93"/>
      <x:c r="AP158" s="94"/>
      <x:c r="AQ158" s="91"/>
      <x:c r="AR158" s="91"/>
      <x:c r="AS158" s="91"/>
      <x:c r="AT158" s="91"/>
      <x:c r="AU158" s="91"/>
      <x:c r="AV158" s="91"/>
      <x:c r="AW158" s="91"/>
      <x:c r="AX158" s="91"/>
      <x:c r="AY158" s="91"/>
      <x:c r="AZ158" s="92"/>
      <x:c r="BA158" s="94"/>
      <x:c r="BB158" s="91"/>
      <x:c r="BC158" s="92"/>
      <x:c r="BD158" s="92"/>
      <x:c r="BE158" s="91"/>
      <x:c r="BF158" s="91"/>
      <x:c r="BG158" s="91"/>
      <x:c r="BH158" s="91"/>
      <x:c r="BI158" s="91"/>
      <x:c r="BJ158" s="91"/>
      <x:c r="BK158" s="91"/>
      <x:c r="BL158" s="91"/>
      <x:c r="BM158" s="73" t="str">
        <x:f>IF(A158="","",IF(AI158="Example","Example only",IF(AI158&lt;&gt;"Actual","Set record type",IF(COUNTIF($A$2:$A$1001,A158)&gt;1,"Duplicate record ID",IF(OR(D158="",E158="",AF158="",NOT(ISNUMBER(AG158)),AJ158="",AK158="",NOT(ISNUMBER(AL158)),AND(AM158&lt;&gt;"Observed",AM158&lt;&gt;"Corroborated",AM158&lt;&gt;"Declared"),OR(AN158="",AN158="Unknown"),OR(AQ158="",AQ158="Unknown"),OR(AR158="",AR158="Unknown",AR158="TBD"),OR(BC158="",NOT(ISNUMBER(BC158)))),"Evidence incomplete","Evidence recorded; review scope")))))</x:f>
      </x:c>
      <x:c r="BN158" s="73"/>
    </x:row>
    <x:row r="159" ht="34" customHeight="1">
      <x:c r="A159" s="73"/>
      <x:c r="B159" s="73"/>
      <x:c r="C159" s="73"/>
      <x:c r="D159" s="73"/>
      <x:c r="E159" s="73"/>
      <x:c r="F159" s="73"/>
      <x:c r="G159" s="73"/>
      <x:c r="H159" s="73"/>
      <x:c r="I159" s="75"/>
      <x:c r="J159" s="73"/>
      <x:c r="K159" s="73"/>
      <x:c r="L159" s="76"/>
      <x:c r="M159" s="73"/>
      <x:c r="N159" s="73"/>
      <x:c r="O159" s="73"/>
      <x:c r="P159" s="73"/>
      <x:c r="Q159" s="76"/>
      <x:c r="R159" s="73"/>
      <x:c r="S159" s="73"/>
      <x:c r="T159" s="73"/>
      <x:c r="U159" s="73"/>
      <x:c r="V159" s="73"/>
      <x:c r="W159" s="73"/>
      <x:c r="X159" s="73"/>
      <x:c r="Y159" s="73"/>
      <x:c r="Z159" s="73"/>
      <x:c r="AA159" s="73"/>
      <x:c r="AB159" s="76" t="str">
        <x:f>IF(A159="","",IF(OR(NOT(ISNUMBER(I159)),I159&lt;0,NOT(ISNUMBER(AP159)),AP159&lt;0,NOT(ISNUMBER(L159)),L159&lt;1,L159&gt;5,L159&lt;&gt;INT(L159),AND(J159&lt;&gt;"Public",J159&lt;&gt;"Partner",J159&lt;&gt;"Internal",J159&lt;&gt;"None"),AND(K159&lt;&gt;"High",K159&lt;&gt;"Medium",K159&lt;&gt;"Low",K159&lt;&gt;"None"),AND(W159&lt;&gt;"Hard-coded",W159&lt;&gt;"Configurable",W159&lt;&gt;"Policy-managed",W159&lt;&gt;"API/Library abstraction",W159&lt;&gt;"Automated"),AND(Z159&lt;&gt;"Y",Z159&lt;&gt;"N"),AND(AA159&lt;&gt;"Y",AA159&lt;&gt;"N")),"Incomplete",IF(Z159="Y",20,0)+L159*5+IF(AA159="Y",15,0)+IF(J159="Public",10,IF(J159="Partner",7,IF(J159="Internal",3,0)))+IF(W159="Hard-coded",10,IF(W159="Configurable",3,0))+IF(MAX(I159,AP159)&gt;=10,10,IF(MAX(I159,AP159)&gt;=5,7,IF(MAX(I159,AP159)&gt;=2,3,0)))+IF(K159="High",10,IF(K159="Medium",5,0))))</x:f>
      </x:c>
      <x:c r="AC159" s="73" t="str">
        <x:f>IF(A159="","",IF(NOT(ISNUMBER(AB159)),"Review inputs",IF(AB159&gt;=70,"P0 - Immediate",IF(AB159&gt;=50,"P1 - High",IF(AB159&gt;=30,"P2 - Medium",IF(AB159&gt;=15,"P3 - Low","P4 - Monitor"))))))</x:f>
      </x:c>
      <x:c r="AD159" s="73"/>
      <x:c r="AE159" s="73"/>
      <x:c r="AF159" s="73"/>
      <x:c r="AG159" s="77"/>
      <x:c r="AH159" s="73"/>
      <x:c r="AI159" s="91"/>
      <x:c r="AJ159" s="91"/>
      <x:c r="AK159" s="91"/>
      <x:c r="AL159" s="92"/>
      <x:c r="AM159" s="91"/>
      <x:c r="AN159" s="91"/>
      <x:c r="AO159" s="93"/>
      <x:c r="AP159" s="94"/>
      <x:c r="AQ159" s="91"/>
      <x:c r="AR159" s="91"/>
      <x:c r="AS159" s="91"/>
      <x:c r="AT159" s="91"/>
      <x:c r="AU159" s="91"/>
      <x:c r="AV159" s="91"/>
      <x:c r="AW159" s="91"/>
      <x:c r="AX159" s="91"/>
      <x:c r="AY159" s="91"/>
      <x:c r="AZ159" s="92"/>
      <x:c r="BA159" s="94"/>
      <x:c r="BB159" s="91"/>
      <x:c r="BC159" s="92"/>
      <x:c r="BD159" s="92"/>
      <x:c r="BE159" s="91"/>
      <x:c r="BF159" s="91"/>
      <x:c r="BG159" s="91"/>
      <x:c r="BH159" s="91"/>
      <x:c r="BI159" s="91"/>
      <x:c r="BJ159" s="91"/>
      <x:c r="BK159" s="91"/>
      <x:c r="BL159" s="91"/>
      <x:c r="BM159" s="73" t="str">
        <x:f>IF(A159="","",IF(AI159="Example","Example only",IF(AI159&lt;&gt;"Actual","Set record type",IF(COUNTIF($A$2:$A$1001,A159)&gt;1,"Duplicate record ID",IF(OR(D159="",E159="",AF159="",NOT(ISNUMBER(AG159)),AJ159="",AK159="",NOT(ISNUMBER(AL159)),AND(AM159&lt;&gt;"Observed",AM159&lt;&gt;"Corroborated",AM159&lt;&gt;"Declared"),OR(AN159="",AN159="Unknown"),OR(AQ159="",AQ159="Unknown"),OR(AR159="",AR159="Unknown",AR159="TBD"),OR(BC159="",NOT(ISNUMBER(BC159)))),"Evidence incomplete","Evidence recorded; review scope")))))</x:f>
      </x:c>
      <x:c r="BN159" s="73"/>
    </x:row>
    <x:row r="160" ht="34" customHeight="1">
      <x:c r="A160" s="73"/>
      <x:c r="B160" s="73"/>
      <x:c r="C160" s="73"/>
      <x:c r="D160" s="73"/>
      <x:c r="E160" s="73"/>
      <x:c r="F160" s="73"/>
      <x:c r="G160" s="73"/>
      <x:c r="H160" s="73"/>
      <x:c r="I160" s="75"/>
      <x:c r="J160" s="73"/>
      <x:c r="K160" s="73"/>
      <x:c r="L160" s="76"/>
      <x:c r="M160" s="73"/>
      <x:c r="N160" s="73"/>
      <x:c r="O160" s="73"/>
      <x:c r="P160" s="73"/>
      <x:c r="Q160" s="76"/>
      <x:c r="R160" s="73"/>
      <x:c r="S160" s="73"/>
      <x:c r="T160" s="73"/>
      <x:c r="U160" s="73"/>
      <x:c r="V160" s="73"/>
      <x:c r="W160" s="73"/>
      <x:c r="X160" s="73"/>
      <x:c r="Y160" s="73"/>
      <x:c r="Z160" s="73"/>
      <x:c r="AA160" s="73"/>
      <x:c r="AB160" s="76" t="str">
        <x:f>IF(A160="","",IF(OR(NOT(ISNUMBER(I160)),I160&lt;0,NOT(ISNUMBER(AP160)),AP160&lt;0,NOT(ISNUMBER(L160)),L160&lt;1,L160&gt;5,L160&lt;&gt;INT(L160),AND(J160&lt;&gt;"Public",J160&lt;&gt;"Partner",J160&lt;&gt;"Internal",J160&lt;&gt;"None"),AND(K160&lt;&gt;"High",K160&lt;&gt;"Medium",K160&lt;&gt;"Low",K160&lt;&gt;"None"),AND(W160&lt;&gt;"Hard-coded",W160&lt;&gt;"Configurable",W160&lt;&gt;"Policy-managed",W160&lt;&gt;"API/Library abstraction",W160&lt;&gt;"Automated"),AND(Z160&lt;&gt;"Y",Z160&lt;&gt;"N"),AND(AA160&lt;&gt;"Y",AA160&lt;&gt;"N")),"Incomplete",IF(Z160="Y",20,0)+L160*5+IF(AA160="Y",15,0)+IF(J160="Public",10,IF(J160="Partner",7,IF(J160="Internal",3,0)))+IF(W160="Hard-coded",10,IF(W160="Configurable",3,0))+IF(MAX(I160,AP160)&gt;=10,10,IF(MAX(I160,AP160)&gt;=5,7,IF(MAX(I160,AP160)&gt;=2,3,0)))+IF(K160="High",10,IF(K160="Medium",5,0))))</x:f>
      </x:c>
      <x:c r="AC160" s="73" t="str">
        <x:f>IF(A160="","",IF(NOT(ISNUMBER(AB160)),"Review inputs",IF(AB160&gt;=70,"P0 - Immediate",IF(AB160&gt;=50,"P1 - High",IF(AB160&gt;=30,"P2 - Medium",IF(AB160&gt;=15,"P3 - Low","P4 - Monitor"))))))</x:f>
      </x:c>
      <x:c r="AD160" s="73"/>
      <x:c r="AE160" s="73"/>
      <x:c r="AF160" s="73"/>
      <x:c r="AG160" s="77"/>
      <x:c r="AH160" s="73"/>
      <x:c r="AI160" s="91"/>
      <x:c r="AJ160" s="91"/>
      <x:c r="AK160" s="91"/>
      <x:c r="AL160" s="92"/>
      <x:c r="AM160" s="91"/>
      <x:c r="AN160" s="91"/>
      <x:c r="AO160" s="93"/>
      <x:c r="AP160" s="94"/>
      <x:c r="AQ160" s="91"/>
      <x:c r="AR160" s="91"/>
      <x:c r="AS160" s="91"/>
      <x:c r="AT160" s="91"/>
      <x:c r="AU160" s="91"/>
      <x:c r="AV160" s="91"/>
      <x:c r="AW160" s="91"/>
      <x:c r="AX160" s="91"/>
      <x:c r="AY160" s="91"/>
      <x:c r="AZ160" s="92"/>
      <x:c r="BA160" s="94"/>
      <x:c r="BB160" s="91"/>
      <x:c r="BC160" s="92"/>
      <x:c r="BD160" s="92"/>
      <x:c r="BE160" s="91"/>
      <x:c r="BF160" s="91"/>
      <x:c r="BG160" s="91"/>
      <x:c r="BH160" s="91"/>
      <x:c r="BI160" s="91"/>
      <x:c r="BJ160" s="91"/>
      <x:c r="BK160" s="91"/>
      <x:c r="BL160" s="91"/>
      <x:c r="BM160" s="73" t="str">
        <x:f>IF(A160="","",IF(AI160="Example","Example only",IF(AI160&lt;&gt;"Actual","Set record type",IF(COUNTIF($A$2:$A$1001,A160)&gt;1,"Duplicate record ID",IF(OR(D160="",E160="",AF160="",NOT(ISNUMBER(AG160)),AJ160="",AK160="",NOT(ISNUMBER(AL160)),AND(AM160&lt;&gt;"Observed",AM160&lt;&gt;"Corroborated",AM160&lt;&gt;"Declared"),OR(AN160="",AN160="Unknown"),OR(AQ160="",AQ160="Unknown"),OR(AR160="",AR160="Unknown",AR160="TBD"),OR(BC160="",NOT(ISNUMBER(BC160)))),"Evidence incomplete","Evidence recorded; review scope")))))</x:f>
      </x:c>
      <x:c r="BN160" s="73"/>
    </x:row>
    <x:row r="161" ht="34" customHeight="1">
      <x:c r="A161" s="73"/>
      <x:c r="B161" s="73"/>
      <x:c r="C161" s="73"/>
      <x:c r="D161" s="73"/>
      <x:c r="E161" s="73"/>
      <x:c r="F161" s="73"/>
      <x:c r="G161" s="73"/>
      <x:c r="H161" s="73"/>
      <x:c r="I161" s="75"/>
      <x:c r="J161" s="73"/>
      <x:c r="K161" s="73"/>
      <x:c r="L161" s="76"/>
      <x:c r="M161" s="73"/>
      <x:c r="N161" s="73"/>
      <x:c r="O161" s="73"/>
      <x:c r="P161" s="73"/>
      <x:c r="Q161" s="76"/>
      <x:c r="R161" s="73"/>
      <x:c r="S161" s="73"/>
      <x:c r="T161" s="73"/>
      <x:c r="U161" s="73"/>
      <x:c r="V161" s="73"/>
      <x:c r="W161" s="73"/>
      <x:c r="X161" s="73"/>
      <x:c r="Y161" s="73"/>
      <x:c r="Z161" s="73"/>
      <x:c r="AA161" s="73"/>
      <x:c r="AB161" s="76" t="str">
        <x:f>IF(A161="","",IF(OR(NOT(ISNUMBER(I161)),I161&lt;0,NOT(ISNUMBER(AP161)),AP161&lt;0,NOT(ISNUMBER(L161)),L161&lt;1,L161&gt;5,L161&lt;&gt;INT(L161),AND(J161&lt;&gt;"Public",J161&lt;&gt;"Partner",J161&lt;&gt;"Internal",J161&lt;&gt;"None"),AND(K161&lt;&gt;"High",K161&lt;&gt;"Medium",K161&lt;&gt;"Low",K161&lt;&gt;"None"),AND(W161&lt;&gt;"Hard-coded",W161&lt;&gt;"Configurable",W161&lt;&gt;"Policy-managed",W161&lt;&gt;"API/Library abstraction",W161&lt;&gt;"Automated"),AND(Z161&lt;&gt;"Y",Z161&lt;&gt;"N"),AND(AA161&lt;&gt;"Y",AA161&lt;&gt;"N")),"Incomplete",IF(Z161="Y",20,0)+L161*5+IF(AA161="Y",15,0)+IF(J161="Public",10,IF(J161="Partner",7,IF(J161="Internal",3,0)))+IF(W161="Hard-coded",10,IF(W161="Configurable",3,0))+IF(MAX(I161,AP161)&gt;=10,10,IF(MAX(I161,AP161)&gt;=5,7,IF(MAX(I161,AP161)&gt;=2,3,0)))+IF(K161="High",10,IF(K161="Medium",5,0))))</x:f>
      </x:c>
      <x:c r="AC161" s="73" t="str">
        <x:f>IF(A161="","",IF(NOT(ISNUMBER(AB161)),"Review inputs",IF(AB161&gt;=70,"P0 - Immediate",IF(AB161&gt;=50,"P1 - High",IF(AB161&gt;=30,"P2 - Medium",IF(AB161&gt;=15,"P3 - Low","P4 - Monitor"))))))</x:f>
      </x:c>
      <x:c r="AD161" s="73"/>
      <x:c r="AE161" s="73"/>
      <x:c r="AF161" s="73"/>
      <x:c r="AG161" s="77"/>
      <x:c r="AH161" s="73"/>
      <x:c r="AI161" s="91"/>
      <x:c r="AJ161" s="91"/>
      <x:c r="AK161" s="91"/>
      <x:c r="AL161" s="92"/>
      <x:c r="AM161" s="91"/>
      <x:c r="AN161" s="91"/>
      <x:c r="AO161" s="93"/>
      <x:c r="AP161" s="94"/>
      <x:c r="AQ161" s="91"/>
      <x:c r="AR161" s="91"/>
      <x:c r="AS161" s="91"/>
      <x:c r="AT161" s="91"/>
      <x:c r="AU161" s="91"/>
      <x:c r="AV161" s="91"/>
      <x:c r="AW161" s="91"/>
      <x:c r="AX161" s="91"/>
      <x:c r="AY161" s="91"/>
      <x:c r="AZ161" s="92"/>
      <x:c r="BA161" s="94"/>
      <x:c r="BB161" s="91"/>
      <x:c r="BC161" s="92"/>
      <x:c r="BD161" s="92"/>
      <x:c r="BE161" s="91"/>
      <x:c r="BF161" s="91"/>
      <x:c r="BG161" s="91"/>
      <x:c r="BH161" s="91"/>
      <x:c r="BI161" s="91"/>
      <x:c r="BJ161" s="91"/>
      <x:c r="BK161" s="91"/>
      <x:c r="BL161" s="91"/>
      <x:c r="BM161" s="73" t="str">
        <x:f>IF(A161="","",IF(AI161="Example","Example only",IF(AI161&lt;&gt;"Actual","Set record type",IF(COUNTIF($A$2:$A$1001,A161)&gt;1,"Duplicate record ID",IF(OR(D161="",E161="",AF161="",NOT(ISNUMBER(AG161)),AJ161="",AK161="",NOT(ISNUMBER(AL161)),AND(AM161&lt;&gt;"Observed",AM161&lt;&gt;"Corroborated",AM161&lt;&gt;"Declared"),OR(AN161="",AN161="Unknown"),OR(AQ161="",AQ161="Unknown"),OR(AR161="",AR161="Unknown",AR161="TBD"),OR(BC161="",NOT(ISNUMBER(BC161)))),"Evidence incomplete","Evidence recorded; review scope")))))</x:f>
      </x:c>
      <x:c r="BN161" s="73"/>
    </x:row>
    <x:row r="162" ht="34" customHeight="1">
      <x:c r="A162" s="73"/>
      <x:c r="B162" s="73"/>
      <x:c r="C162" s="73"/>
      <x:c r="D162" s="73"/>
      <x:c r="E162" s="73"/>
      <x:c r="F162" s="73"/>
      <x:c r="G162" s="73"/>
      <x:c r="H162" s="73"/>
      <x:c r="I162" s="75"/>
      <x:c r="J162" s="73"/>
      <x:c r="K162" s="73"/>
      <x:c r="L162" s="76"/>
      <x:c r="M162" s="73"/>
      <x:c r="N162" s="73"/>
      <x:c r="O162" s="73"/>
      <x:c r="P162" s="73"/>
      <x:c r="Q162" s="76"/>
      <x:c r="R162" s="73"/>
      <x:c r="S162" s="73"/>
      <x:c r="T162" s="73"/>
      <x:c r="U162" s="73"/>
      <x:c r="V162" s="73"/>
      <x:c r="W162" s="73"/>
      <x:c r="X162" s="73"/>
      <x:c r="Y162" s="73"/>
      <x:c r="Z162" s="73"/>
      <x:c r="AA162" s="73"/>
      <x:c r="AB162" s="76" t="str">
        <x:f>IF(A162="","",IF(OR(NOT(ISNUMBER(I162)),I162&lt;0,NOT(ISNUMBER(AP162)),AP162&lt;0,NOT(ISNUMBER(L162)),L162&lt;1,L162&gt;5,L162&lt;&gt;INT(L162),AND(J162&lt;&gt;"Public",J162&lt;&gt;"Partner",J162&lt;&gt;"Internal",J162&lt;&gt;"None"),AND(K162&lt;&gt;"High",K162&lt;&gt;"Medium",K162&lt;&gt;"Low",K162&lt;&gt;"None"),AND(W162&lt;&gt;"Hard-coded",W162&lt;&gt;"Configurable",W162&lt;&gt;"Policy-managed",W162&lt;&gt;"API/Library abstraction",W162&lt;&gt;"Automated"),AND(Z162&lt;&gt;"Y",Z162&lt;&gt;"N"),AND(AA162&lt;&gt;"Y",AA162&lt;&gt;"N")),"Incomplete",IF(Z162="Y",20,0)+L162*5+IF(AA162="Y",15,0)+IF(J162="Public",10,IF(J162="Partner",7,IF(J162="Internal",3,0)))+IF(W162="Hard-coded",10,IF(W162="Configurable",3,0))+IF(MAX(I162,AP162)&gt;=10,10,IF(MAX(I162,AP162)&gt;=5,7,IF(MAX(I162,AP162)&gt;=2,3,0)))+IF(K162="High",10,IF(K162="Medium",5,0))))</x:f>
      </x:c>
      <x:c r="AC162" s="73" t="str">
        <x:f>IF(A162="","",IF(NOT(ISNUMBER(AB162)),"Review inputs",IF(AB162&gt;=70,"P0 - Immediate",IF(AB162&gt;=50,"P1 - High",IF(AB162&gt;=30,"P2 - Medium",IF(AB162&gt;=15,"P3 - Low","P4 - Monitor"))))))</x:f>
      </x:c>
      <x:c r="AD162" s="73"/>
      <x:c r="AE162" s="73"/>
      <x:c r="AF162" s="73"/>
      <x:c r="AG162" s="77"/>
      <x:c r="AH162" s="73"/>
      <x:c r="AI162" s="91"/>
      <x:c r="AJ162" s="91"/>
      <x:c r="AK162" s="91"/>
      <x:c r="AL162" s="92"/>
      <x:c r="AM162" s="91"/>
      <x:c r="AN162" s="91"/>
      <x:c r="AO162" s="93"/>
      <x:c r="AP162" s="94"/>
      <x:c r="AQ162" s="91"/>
      <x:c r="AR162" s="91"/>
      <x:c r="AS162" s="91"/>
      <x:c r="AT162" s="91"/>
      <x:c r="AU162" s="91"/>
      <x:c r="AV162" s="91"/>
      <x:c r="AW162" s="91"/>
      <x:c r="AX162" s="91"/>
      <x:c r="AY162" s="91"/>
      <x:c r="AZ162" s="92"/>
      <x:c r="BA162" s="94"/>
      <x:c r="BB162" s="91"/>
      <x:c r="BC162" s="92"/>
      <x:c r="BD162" s="92"/>
      <x:c r="BE162" s="91"/>
      <x:c r="BF162" s="91"/>
      <x:c r="BG162" s="91"/>
      <x:c r="BH162" s="91"/>
      <x:c r="BI162" s="91"/>
      <x:c r="BJ162" s="91"/>
      <x:c r="BK162" s="91"/>
      <x:c r="BL162" s="91"/>
      <x:c r="BM162" s="73" t="str">
        <x:f>IF(A162="","",IF(AI162="Example","Example only",IF(AI162&lt;&gt;"Actual","Set record type",IF(COUNTIF($A$2:$A$1001,A162)&gt;1,"Duplicate record ID",IF(OR(D162="",E162="",AF162="",NOT(ISNUMBER(AG162)),AJ162="",AK162="",NOT(ISNUMBER(AL162)),AND(AM162&lt;&gt;"Observed",AM162&lt;&gt;"Corroborated",AM162&lt;&gt;"Declared"),OR(AN162="",AN162="Unknown"),OR(AQ162="",AQ162="Unknown"),OR(AR162="",AR162="Unknown",AR162="TBD"),OR(BC162="",NOT(ISNUMBER(BC162)))),"Evidence incomplete","Evidence recorded; review scope")))))</x:f>
      </x:c>
      <x:c r="BN162" s="73"/>
    </x:row>
    <x:row r="163" ht="34" customHeight="1">
      <x:c r="A163" s="73"/>
      <x:c r="B163" s="73"/>
      <x:c r="C163" s="73"/>
      <x:c r="D163" s="73"/>
      <x:c r="E163" s="73"/>
      <x:c r="F163" s="73"/>
      <x:c r="G163" s="73"/>
      <x:c r="H163" s="73"/>
      <x:c r="I163" s="75"/>
      <x:c r="J163" s="73"/>
      <x:c r="K163" s="73"/>
      <x:c r="L163" s="76"/>
      <x:c r="M163" s="73"/>
      <x:c r="N163" s="73"/>
      <x:c r="O163" s="73"/>
      <x:c r="P163" s="73"/>
      <x:c r="Q163" s="76"/>
      <x:c r="R163" s="73"/>
      <x:c r="S163" s="73"/>
      <x:c r="T163" s="73"/>
      <x:c r="U163" s="73"/>
      <x:c r="V163" s="73"/>
      <x:c r="W163" s="73"/>
      <x:c r="X163" s="73"/>
      <x:c r="Y163" s="73"/>
      <x:c r="Z163" s="73"/>
      <x:c r="AA163" s="73"/>
      <x:c r="AB163" s="76" t="str">
        <x:f>IF(A163="","",IF(OR(NOT(ISNUMBER(I163)),I163&lt;0,NOT(ISNUMBER(AP163)),AP163&lt;0,NOT(ISNUMBER(L163)),L163&lt;1,L163&gt;5,L163&lt;&gt;INT(L163),AND(J163&lt;&gt;"Public",J163&lt;&gt;"Partner",J163&lt;&gt;"Internal",J163&lt;&gt;"None"),AND(K163&lt;&gt;"High",K163&lt;&gt;"Medium",K163&lt;&gt;"Low",K163&lt;&gt;"None"),AND(W163&lt;&gt;"Hard-coded",W163&lt;&gt;"Configurable",W163&lt;&gt;"Policy-managed",W163&lt;&gt;"API/Library abstraction",W163&lt;&gt;"Automated"),AND(Z163&lt;&gt;"Y",Z163&lt;&gt;"N"),AND(AA163&lt;&gt;"Y",AA163&lt;&gt;"N")),"Incomplete",IF(Z163="Y",20,0)+L163*5+IF(AA163="Y",15,0)+IF(J163="Public",10,IF(J163="Partner",7,IF(J163="Internal",3,0)))+IF(W163="Hard-coded",10,IF(W163="Configurable",3,0))+IF(MAX(I163,AP163)&gt;=10,10,IF(MAX(I163,AP163)&gt;=5,7,IF(MAX(I163,AP163)&gt;=2,3,0)))+IF(K163="High",10,IF(K163="Medium",5,0))))</x:f>
      </x:c>
      <x:c r="AC163" s="73" t="str">
        <x:f>IF(A163="","",IF(NOT(ISNUMBER(AB163)),"Review inputs",IF(AB163&gt;=70,"P0 - Immediate",IF(AB163&gt;=50,"P1 - High",IF(AB163&gt;=30,"P2 - Medium",IF(AB163&gt;=15,"P3 - Low","P4 - Monitor"))))))</x:f>
      </x:c>
      <x:c r="AD163" s="73"/>
      <x:c r="AE163" s="73"/>
      <x:c r="AF163" s="73"/>
      <x:c r="AG163" s="77"/>
      <x:c r="AH163" s="73"/>
      <x:c r="AI163" s="91"/>
      <x:c r="AJ163" s="91"/>
      <x:c r="AK163" s="91"/>
      <x:c r="AL163" s="92"/>
      <x:c r="AM163" s="91"/>
      <x:c r="AN163" s="91"/>
      <x:c r="AO163" s="93"/>
      <x:c r="AP163" s="94"/>
      <x:c r="AQ163" s="91"/>
      <x:c r="AR163" s="91"/>
      <x:c r="AS163" s="91"/>
      <x:c r="AT163" s="91"/>
      <x:c r="AU163" s="91"/>
      <x:c r="AV163" s="91"/>
      <x:c r="AW163" s="91"/>
      <x:c r="AX163" s="91"/>
      <x:c r="AY163" s="91"/>
      <x:c r="AZ163" s="92"/>
      <x:c r="BA163" s="94"/>
      <x:c r="BB163" s="91"/>
      <x:c r="BC163" s="92"/>
      <x:c r="BD163" s="92"/>
      <x:c r="BE163" s="91"/>
      <x:c r="BF163" s="91"/>
      <x:c r="BG163" s="91"/>
      <x:c r="BH163" s="91"/>
      <x:c r="BI163" s="91"/>
      <x:c r="BJ163" s="91"/>
      <x:c r="BK163" s="91"/>
      <x:c r="BL163" s="91"/>
      <x:c r="BM163" s="73" t="str">
        <x:f>IF(A163="","",IF(AI163="Example","Example only",IF(AI163&lt;&gt;"Actual","Set record type",IF(COUNTIF($A$2:$A$1001,A163)&gt;1,"Duplicate record ID",IF(OR(D163="",E163="",AF163="",NOT(ISNUMBER(AG163)),AJ163="",AK163="",NOT(ISNUMBER(AL163)),AND(AM163&lt;&gt;"Observed",AM163&lt;&gt;"Corroborated",AM163&lt;&gt;"Declared"),OR(AN163="",AN163="Unknown"),OR(AQ163="",AQ163="Unknown"),OR(AR163="",AR163="Unknown",AR163="TBD"),OR(BC163="",NOT(ISNUMBER(BC163)))),"Evidence incomplete","Evidence recorded; review scope")))))</x:f>
      </x:c>
      <x:c r="BN163" s="73"/>
    </x:row>
    <x:row r="164" ht="34" customHeight="1">
      <x:c r="A164" s="73"/>
      <x:c r="B164" s="73"/>
      <x:c r="C164" s="73"/>
      <x:c r="D164" s="73"/>
      <x:c r="E164" s="73"/>
      <x:c r="F164" s="73"/>
      <x:c r="G164" s="73"/>
      <x:c r="H164" s="73"/>
      <x:c r="I164" s="75"/>
      <x:c r="J164" s="73"/>
      <x:c r="K164" s="73"/>
      <x:c r="L164" s="76"/>
      <x:c r="M164" s="73"/>
      <x:c r="N164" s="73"/>
      <x:c r="O164" s="73"/>
      <x:c r="P164" s="73"/>
      <x:c r="Q164" s="76"/>
      <x:c r="R164" s="73"/>
      <x:c r="S164" s="73"/>
      <x:c r="T164" s="73"/>
      <x:c r="U164" s="73"/>
      <x:c r="V164" s="73"/>
      <x:c r="W164" s="73"/>
      <x:c r="X164" s="73"/>
      <x:c r="Y164" s="73"/>
      <x:c r="Z164" s="73"/>
      <x:c r="AA164" s="73"/>
      <x:c r="AB164" s="76" t="str">
        <x:f>IF(A164="","",IF(OR(NOT(ISNUMBER(I164)),I164&lt;0,NOT(ISNUMBER(AP164)),AP164&lt;0,NOT(ISNUMBER(L164)),L164&lt;1,L164&gt;5,L164&lt;&gt;INT(L164),AND(J164&lt;&gt;"Public",J164&lt;&gt;"Partner",J164&lt;&gt;"Internal",J164&lt;&gt;"None"),AND(K164&lt;&gt;"High",K164&lt;&gt;"Medium",K164&lt;&gt;"Low",K164&lt;&gt;"None"),AND(W164&lt;&gt;"Hard-coded",W164&lt;&gt;"Configurable",W164&lt;&gt;"Policy-managed",W164&lt;&gt;"API/Library abstraction",W164&lt;&gt;"Automated"),AND(Z164&lt;&gt;"Y",Z164&lt;&gt;"N"),AND(AA164&lt;&gt;"Y",AA164&lt;&gt;"N")),"Incomplete",IF(Z164="Y",20,0)+L164*5+IF(AA164="Y",15,0)+IF(J164="Public",10,IF(J164="Partner",7,IF(J164="Internal",3,0)))+IF(W164="Hard-coded",10,IF(W164="Configurable",3,0))+IF(MAX(I164,AP164)&gt;=10,10,IF(MAX(I164,AP164)&gt;=5,7,IF(MAX(I164,AP164)&gt;=2,3,0)))+IF(K164="High",10,IF(K164="Medium",5,0))))</x:f>
      </x:c>
      <x:c r="AC164" s="73" t="str">
        <x:f>IF(A164="","",IF(NOT(ISNUMBER(AB164)),"Review inputs",IF(AB164&gt;=70,"P0 - Immediate",IF(AB164&gt;=50,"P1 - High",IF(AB164&gt;=30,"P2 - Medium",IF(AB164&gt;=15,"P3 - Low","P4 - Monitor"))))))</x:f>
      </x:c>
      <x:c r="AD164" s="73"/>
      <x:c r="AE164" s="73"/>
      <x:c r="AF164" s="73"/>
      <x:c r="AG164" s="77"/>
      <x:c r="AH164" s="73"/>
      <x:c r="AI164" s="91"/>
      <x:c r="AJ164" s="91"/>
      <x:c r="AK164" s="91"/>
      <x:c r="AL164" s="92"/>
      <x:c r="AM164" s="91"/>
      <x:c r="AN164" s="91"/>
      <x:c r="AO164" s="93"/>
      <x:c r="AP164" s="94"/>
      <x:c r="AQ164" s="91"/>
      <x:c r="AR164" s="91"/>
      <x:c r="AS164" s="91"/>
      <x:c r="AT164" s="91"/>
      <x:c r="AU164" s="91"/>
      <x:c r="AV164" s="91"/>
      <x:c r="AW164" s="91"/>
      <x:c r="AX164" s="91"/>
      <x:c r="AY164" s="91"/>
      <x:c r="AZ164" s="92"/>
      <x:c r="BA164" s="94"/>
      <x:c r="BB164" s="91"/>
      <x:c r="BC164" s="92"/>
      <x:c r="BD164" s="92"/>
      <x:c r="BE164" s="91"/>
      <x:c r="BF164" s="91"/>
      <x:c r="BG164" s="91"/>
      <x:c r="BH164" s="91"/>
      <x:c r="BI164" s="91"/>
      <x:c r="BJ164" s="91"/>
      <x:c r="BK164" s="91"/>
      <x:c r="BL164" s="91"/>
      <x:c r="BM164" s="73" t="str">
        <x:f>IF(A164="","",IF(AI164="Example","Example only",IF(AI164&lt;&gt;"Actual","Set record type",IF(COUNTIF($A$2:$A$1001,A164)&gt;1,"Duplicate record ID",IF(OR(D164="",E164="",AF164="",NOT(ISNUMBER(AG164)),AJ164="",AK164="",NOT(ISNUMBER(AL164)),AND(AM164&lt;&gt;"Observed",AM164&lt;&gt;"Corroborated",AM164&lt;&gt;"Declared"),OR(AN164="",AN164="Unknown"),OR(AQ164="",AQ164="Unknown"),OR(AR164="",AR164="Unknown",AR164="TBD"),OR(BC164="",NOT(ISNUMBER(BC164)))),"Evidence incomplete","Evidence recorded; review scope")))))</x:f>
      </x:c>
      <x:c r="BN164" s="73"/>
    </x:row>
    <x:row r="165" ht="34" customHeight="1">
      <x:c r="A165" s="73"/>
      <x:c r="B165" s="73"/>
      <x:c r="C165" s="73"/>
      <x:c r="D165" s="73"/>
      <x:c r="E165" s="73"/>
      <x:c r="F165" s="73"/>
      <x:c r="G165" s="73"/>
      <x:c r="H165" s="73"/>
      <x:c r="I165" s="75"/>
      <x:c r="J165" s="73"/>
      <x:c r="K165" s="73"/>
      <x:c r="L165" s="76"/>
      <x:c r="M165" s="73"/>
      <x:c r="N165" s="73"/>
      <x:c r="O165" s="73"/>
      <x:c r="P165" s="73"/>
      <x:c r="Q165" s="76"/>
      <x:c r="R165" s="73"/>
      <x:c r="S165" s="73"/>
      <x:c r="T165" s="73"/>
      <x:c r="U165" s="73"/>
      <x:c r="V165" s="73"/>
      <x:c r="W165" s="73"/>
      <x:c r="X165" s="73"/>
      <x:c r="Y165" s="73"/>
      <x:c r="Z165" s="73"/>
      <x:c r="AA165" s="73"/>
      <x:c r="AB165" s="76" t="str">
        <x:f>IF(A165="","",IF(OR(NOT(ISNUMBER(I165)),I165&lt;0,NOT(ISNUMBER(AP165)),AP165&lt;0,NOT(ISNUMBER(L165)),L165&lt;1,L165&gt;5,L165&lt;&gt;INT(L165),AND(J165&lt;&gt;"Public",J165&lt;&gt;"Partner",J165&lt;&gt;"Internal",J165&lt;&gt;"None"),AND(K165&lt;&gt;"High",K165&lt;&gt;"Medium",K165&lt;&gt;"Low",K165&lt;&gt;"None"),AND(W165&lt;&gt;"Hard-coded",W165&lt;&gt;"Configurable",W165&lt;&gt;"Policy-managed",W165&lt;&gt;"API/Library abstraction",W165&lt;&gt;"Automated"),AND(Z165&lt;&gt;"Y",Z165&lt;&gt;"N"),AND(AA165&lt;&gt;"Y",AA165&lt;&gt;"N")),"Incomplete",IF(Z165="Y",20,0)+L165*5+IF(AA165="Y",15,0)+IF(J165="Public",10,IF(J165="Partner",7,IF(J165="Internal",3,0)))+IF(W165="Hard-coded",10,IF(W165="Configurable",3,0))+IF(MAX(I165,AP165)&gt;=10,10,IF(MAX(I165,AP165)&gt;=5,7,IF(MAX(I165,AP165)&gt;=2,3,0)))+IF(K165="High",10,IF(K165="Medium",5,0))))</x:f>
      </x:c>
      <x:c r="AC165" s="73" t="str">
        <x:f>IF(A165="","",IF(NOT(ISNUMBER(AB165)),"Review inputs",IF(AB165&gt;=70,"P0 - Immediate",IF(AB165&gt;=50,"P1 - High",IF(AB165&gt;=30,"P2 - Medium",IF(AB165&gt;=15,"P3 - Low","P4 - Monitor"))))))</x:f>
      </x:c>
      <x:c r="AD165" s="73"/>
      <x:c r="AE165" s="73"/>
      <x:c r="AF165" s="73"/>
      <x:c r="AG165" s="77"/>
      <x:c r="AH165" s="73"/>
      <x:c r="AI165" s="91"/>
      <x:c r="AJ165" s="91"/>
      <x:c r="AK165" s="91"/>
      <x:c r="AL165" s="92"/>
      <x:c r="AM165" s="91"/>
      <x:c r="AN165" s="91"/>
      <x:c r="AO165" s="93"/>
      <x:c r="AP165" s="94"/>
      <x:c r="AQ165" s="91"/>
      <x:c r="AR165" s="91"/>
      <x:c r="AS165" s="91"/>
      <x:c r="AT165" s="91"/>
      <x:c r="AU165" s="91"/>
      <x:c r="AV165" s="91"/>
      <x:c r="AW165" s="91"/>
      <x:c r="AX165" s="91"/>
      <x:c r="AY165" s="91"/>
      <x:c r="AZ165" s="92"/>
      <x:c r="BA165" s="94"/>
      <x:c r="BB165" s="91"/>
      <x:c r="BC165" s="92"/>
      <x:c r="BD165" s="92"/>
      <x:c r="BE165" s="91"/>
      <x:c r="BF165" s="91"/>
      <x:c r="BG165" s="91"/>
      <x:c r="BH165" s="91"/>
      <x:c r="BI165" s="91"/>
      <x:c r="BJ165" s="91"/>
      <x:c r="BK165" s="91"/>
      <x:c r="BL165" s="91"/>
      <x:c r="BM165" s="73" t="str">
        <x:f>IF(A165="","",IF(AI165="Example","Example only",IF(AI165&lt;&gt;"Actual","Set record type",IF(COUNTIF($A$2:$A$1001,A165)&gt;1,"Duplicate record ID",IF(OR(D165="",E165="",AF165="",NOT(ISNUMBER(AG165)),AJ165="",AK165="",NOT(ISNUMBER(AL165)),AND(AM165&lt;&gt;"Observed",AM165&lt;&gt;"Corroborated",AM165&lt;&gt;"Declared"),OR(AN165="",AN165="Unknown"),OR(AQ165="",AQ165="Unknown"),OR(AR165="",AR165="Unknown",AR165="TBD"),OR(BC165="",NOT(ISNUMBER(BC165)))),"Evidence incomplete","Evidence recorded; review scope")))))</x:f>
      </x:c>
      <x:c r="BN165" s="73"/>
    </x:row>
    <x:row r="166" ht="34" customHeight="1">
      <x:c r="A166" s="73"/>
      <x:c r="B166" s="73"/>
      <x:c r="C166" s="73"/>
      <x:c r="D166" s="73"/>
      <x:c r="E166" s="73"/>
      <x:c r="F166" s="73"/>
      <x:c r="G166" s="73"/>
      <x:c r="H166" s="73"/>
      <x:c r="I166" s="75"/>
      <x:c r="J166" s="73"/>
      <x:c r="K166" s="73"/>
      <x:c r="L166" s="76"/>
      <x:c r="M166" s="73"/>
      <x:c r="N166" s="73"/>
      <x:c r="O166" s="73"/>
      <x:c r="P166" s="73"/>
      <x:c r="Q166" s="76"/>
      <x:c r="R166" s="73"/>
      <x:c r="S166" s="73"/>
      <x:c r="T166" s="73"/>
      <x:c r="U166" s="73"/>
      <x:c r="V166" s="73"/>
      <x:c r="W166" s="73"/>
      <x:c r="X166" s="73"/>
      <x:c r="Y166" s="73"/>
      <x:c r="Z166" s="73"/>
      <x:c r="AA166" s="73"/>
      <x:c r="AB166" s="76" t="str">
        <x:f>IF(A166="","",IF(OR(NOT(ISNUMBER(I166)),I166&lt;0,NOT(ISNUMBER(AP166)),AP166&lt;0,NOT(ISNUMBER(L166)),L166&lt;1,L166&gt;5,L166&lt;&gt;INT(L166),AND(J166&lt;&gt;"Public",J166&lt;&gt;"Partner",J166&lt;&gt;"Internal",J166&lt;&gt;"None"),AND(K166&lt;&gt;"High",K166&lt;&gt;"Medium",K166&lt;&gt;"Low",K166&lt;&gt;"None"),AND(W166&lt;&gt;"Hard-coded",W166&lt;&gt;"Configurable",W166&lt;&gt;"Policy-managed",W166&lt;&gt;"API/Library abstraction",W166&lt;&gt;"Automated"),AND(Z166&lt;&gt;"Y",Z166&lt;&gt;"N"),AND(AA166&lt;&gt;"Y",AA166&lt;&gt;"N")),"Incomplete",IF(Z166="Y",20,0)+L166*5+IF(AA166="Y",15,0)+IF(J166="Public",10,IF(J166="Partner",7,IF(J166="Internal",3,0)))+IF(W166="Hard-coded",10,IF(W166="Configurable",3,0))+IF(MAX(I166,AP166)&gt;=10,10,IF(MAX(I166,AP166)&gt;=5,7,IF(MAX(I166,AP166)&gt;=2,3,0)))+IF(K166="High",10,IF(K166="Medium",5,0))))</x:f>
      </x:c>
      <x:c r="AC166" s="73" t="str">
        <x:f>IF(A166="","",IF(NOT(ISNUMBER(AB166)),"Review inputs",IF(AB166&gt;=70,"P0 - Immediate",IF(AB166&gt;=50,"P1 - High",IF(AB166&gt;=30,"P2 - Medium",IF(AB166&gt;=15,"P3 - Low","P4 - Monitor"))))))</x:f>
      </x:c>
      <x:c r="AD166" s="73"/>
      <x:c r="AE166" s="73"/>
      <x:c r="AF166" s="73"/>
      <x:c r="AG166" s="77"/>
      <x:c r="AH166" s="73"/>
      <x:c r="AI166" s="91"/>
      <x:c r="AJ166" s="91"/>
      <x:c r="AK166" s="91"/>
      <x:c r="AL166" s="92"/>
      <x:c r="AM166" s="91"/>
      <x:c r="AN166" s="91"/>
      <x:c r="AO166" s="93"/>
      <x:c r="AP166" s="94"/>
      <x:c r="AQ166" s="91"/>
      <x:c r="AR166" s="91"/>
      <x:c r="AS166" s="91"/>
      <x:c r="AT166" s="91"/>
      <x:c r="AU166" s="91"/>
      <x:c r="AV166" s="91"/>
      <x:c r="AW166" s="91"/>
      <x:c r="AX166" s="91"/>
      <x:c r="AY166" s="91"/>
      <x:c r="AZ166" s="92"/>
      <x:c r="BA166" s="94"/>
      <x:c r="BB166" s="91"/>
      <x:c r="BC166" s="92"/>
      <x:c r="BD166" s="92"/>
      <x:c r="BE166" s="91"/>
      <x:c r="BF166" s="91"/>
      <x:c r="BG166" s="91"/>
      <x:c r="BH166" s="91"/>
      <x:c r="BI166" s="91"/>
      <x:c r="BJ166" s="91"/>
      <x:c r="BK166" s="91"/>
      <x:c r="BL166" s="91"/>
      <x:c r="BM166" s="73" t="str">
        <x:f>IF(A166="","",IF(AI166="Example","Example only",IF(AI166&lt;&gt;"Actual","Set record type",IF(COUNTIF($A$2:$A$1001,A166)&gt;1,"Duplicate record ID",IF(OR(D166="",E166="",AF166="",NOT(ISNUMBER(AG166)),AJ166="",AK166="",NOT(ISNUMBER(AL166)),AND(AM166&lt;&gt;"Observed",AM166&lt;&gt;"Corroborated",AM166&lt;&gt;"Declared"),OR(AN166="",AN166="Unknown"),OR(AQ166="",AQ166="Unknown"),OR(AR166="",AR166="Unknown",AR166="TBD"),OR(BC166="",NOT(ISNUMBER(BC166)))),"Evidence incomplete","Evidence recorded; review scope")))))</x:f>
      </x:c>
      <x:c r="BN166" s="73"/>
    </x:row>
    <x:row r="167" ht="34" customHeight="1">
      <x:c r="A167" s="73"/>
      <x:c r="B167" s="73"/>
      <x:c r="C167" s="73"/>
      <x:c r="D167" s="73"/>
      <x:c r="E167" s="73"/>
      <x:c r="F167" s="73"/>
      <x:c r="G167" s="73"/>
      <x:c r="H167" s="73"/>
      <x:c r="I167" s="75"/>
      <x:c r="J167" s="73"/>
      <x:c r="K167" s="73"/>
      <x:c r="L167" s="76"/>
      <x:c r="M167" s="73"/>
      <x:c r="N167" s="73"/>
      <x:c r="O167" s="73"/>
      <x:c r="P167" s="73"/>
      <x:c r="Q167" s="76"/>
      <x:c r="R167" s="73"/>
      <x:c r="S167" s="73"/>
      <x:c r="T167" s="73"/>
      <x:c r="U167" s="73"/>
      <x:c r="V167" s="73"/>
      <x:c r="W167" s="73"/>
      <x:c r="X167" s="73"/>
      <x:c r="Y167" s="73"/>
      <x:c r="Z167" s="73"/>
      <x:c r="AA167" s="73"/>
      <x:c r="AB167" s="76" t="str">
        <x:f>IF(A167="","",IF(OR(NOT(ISNUMBER(I167)),I167&lt;0,NOT(ISNUMBER(AP167)),AP167&lt;0,NOT(ISNUMBER(L167)),L167&lt;1,L167&gt;5,L167&lt;&gt;INT(L167),AND(J167&lt;&gt;"Public",J167&lt;&gt;"Partner",J167&lt;&gt;"Internal",J167&lt;&gt;"None"),AND(K167&lt;&gt;"High",K167&lt;&gt;"Medium",K167&lt;&gt;"Low",K167&lt;&gt;"None"),AND(W167&lt;&gt;"Hard-coded",W167&lt;&gt;"Configurable",W167&lt;&gt;"Policy-managed",W167&lt;&gt;"API/Library abstraction",W167&lt;&gt;"Automated"),AND(Z167&lt;&gt;"Y",Z167&lt;&gt;"N"),AND(AA167&lt;&gt;"Y",AA167&lt;&gt;"N")),"Incomplete",IF(Z167="Y",20,0)+L167*5+IF(AA167="Y",15,0)+IF(J167="Public",10,IF(J167="Partner",7,IF(J167="Internal",3,0)))+IF(W167="Hard-coded",10,IF(W167="Configurable",3,0))+IF(MAX(I167,AP167)&gt;=10,10,IF(MAX(I167,AP167)&gt;=5,7,IF(MAX(I167,AP167)&gt;=2,3,0)))+IF(K167="High",10,IF(K167="Medium",5,0))))</x:f>
      </x:c>
      <x:c r="AC167" s="73" t="str">
        <x:f>IF(A167="","",IF(NOT(ISNUMBER(AB167)),"Review inputs",IF(AB167&gt;=70,"P0 - Immediate",IF(AB167&gt;=50,"P1 - High",IF(AB167&gt;=30,"P2 - Medium",IF(AB167&gt;=15,"P3 - Low","P4 - Monitor"))))))</x:f>
      </x:c>
      <x:c r="AD167" s="73"/>
      <x:c r="AE167" s="73"/>
      <x:c r="AF167" s="73"/>
      <x:c r="AG167" s="77"/>
      <x:c r="AH167" s="73"/>
      <x:c r="AI167" s="91"/>
      <x:c r="AJ167" s="91"/>
      <x:c r="AK167" s="91"/>
      <x:c r="AL167" s="92"/>
      <x:c r="AM167" s="91"/>
      <x:c r="AN167" s="91"/>
      <x:c r="AO167" s="93"/>
      <x:c r="AP167" s="94"/>
      <x:c r="AQ167" s="91"/>
      <x:c r="AR167" s="91"/>
      <x:c r="AS167" s="91"/>
      <x:c r="AT167" s="91"/>
      <x:c r="AU167" s="91"/>
      <x:c r="AV167" s="91"/>
      <x:c r="AW167" s="91"/>
      <x:c r="AX167" s="91"/>
      <x:c r="AY167" s="91"/>
      <x:c r="AZ167" s="92"/>
      <x:c r="BA167" s="94"/>
      <x:c r="BB167" s="91"/>
      <x:c r="BC167" s="92"/>
      <x:c r="BD167" s="92"/>
      <x:c r="BE167" s="91"/>
      <x:c r="BF167" s="91"/>
      <x:c r="BG167" s="91"/>
      <x:c r="BH167" s="91"/>
      <x:c r="BI167" s="91"/>
      <x:c r="BJ167" s="91"/>
      <x:c r="BK167" s="91"/>
      <x:c r="BL167" s="91"/>
      <x:c r="BM167" s="73" t="str">
        <x:f>IF(A167="","",IF(AI167="Example","Example only",IF(AI167&lt;&gt;"Actual","Set record type",IF(COUNTIF($A$2:$A$1001,A167)&gt;1,"Duplicate record ID",IF(OR(D167="",E167="",AF167="",NOT(ISNUMBER(AG167)),AJ167="",AK167="",NOT(ISNUMBER(AL167)),AND(AM167&lt;&gt;"Observed",AM167&lt;&gt;"Corroborated",AM167&lt;&gt;"Declared"),OR(AN167="",AN167="Unknown"),OR(AQ167="",AQ167="Unknown"),OR(AR167="",AR167="Unknown",AR167="TBD"),OR(BC167="",NOT(ISNUMBER(BC167)))),"Evidence incomplete","Evidence recorded; review scope")))))</x:f>
      </x:c>
      <x:c r="BN167" s="73"/>
    </x:row>
    <x:row r="168" ht="34" customHeight="1">
      <x:c r="A168" s="73"/>
      <x:c r="B168" s="73"/>
      <x:c r="C168" s="73"/>
      <x:c r="D168" s="73"/>
      <x:c r="E168" s="73"/>
      <x:c r="F168" s="73"/>
      <x:c r="G168" s="73"/>
      <x:c r="H168" s="73"/>
      <x:c r="I168" s="75"/>
      <x:c r="J168" s="73"/>
      <x:c r="K168" s="73"/>
      <x:c r="L168" s="76"/>
      <x:c r="M168" s="73"/>
      <x:c r="N168" s="73"/>
      <x:c r="O168" s="73"/>
      <x:c r="P168" s="73"/>
      <x:c r="Q168" s="76"/>
      <x:c r="R168" s="73"/>
      <x:c r="S168" s="73"/>
      <x:c r="T168" s="73"/>
      <x:c r="U168" s="73"/>
      <x:c r="V168" s="73"/>
      <x:c r="W168" s="73"/>
      <x:c r="X168" s="73"/>
      <x:c r="Y168" s="73"/>
      <x:c r="Z168" s="73"/>
      <x:c r="AA168" s="73"/>
      <x:c r="AB168" s="76" t="str">
        <x:f>IF(A168="","",IF(OR(NOT(ISNUMBER(I168)),I168&lt;0,NOT(ISNUMBER(AP168)),AP168&lt;0,NOT(ISNUMBER(L168)),L168&lt;1,L168&gt;5,L168&lt;&gt;INT(L168),AND(J168&lt;&gt;"Public",J168&lt;&gt;"Partner",J168&lt;&gt;"Internal",J168&lt;&gt;"None"),AND(K168&lt;&gt;"High",K168&lt;&gt;"Medium",K168&lt;&gt;"Low",K168&lt;&gt;"None"),AND(W168&lt;&gt;"Hard-coded",W168&lt;&gt;"Configurable",W168&lt;&gt;"Policy-managed",W168&lt;&gt;"API/Library abstraction",W168&lt;&gt;"Automated"),AND(Z168&lt;&gt;"Y",Z168&lt;&gt;"N"),AND(AA168&lt;&gt;"Y",AA168&lt;&gt;"N")),"Incomplete",IF(Z168="Y",20,0)+L168*5+IF(AA168="Y",15,0)+IF(J168="Public",10,IF(J168="Partner",7,IF(J168="Internal",3,0)))+IF(W168="Hard-coded",10,IF(W168="Configurable",3,0))+IF(MAX(I168,AP168)&gt;=10,10,IF(MAX(I168,AP168)&gt;=5,7,IF(MAX(I168,AP168)&gt;=2,3,0)))+IF(K168="High",10,IF(K168="Medium",5,0))))</x:f>
      </x:c>
      <x:c r="AC168" s="73" t="str">
        <x:f>IF(A168="","",IF(NOT(ISNUMBER(AB168)),"Review inputs",IF(AB168&gt;=70,"P0 - Immediate",IF(AB168&gt;=50,"P1 - High",IF(AB168&gt;=30,"P2 - Medium",IF(AB168&gt;=15,"P3 - Low","P4 - Monitor"))))))</x:f>
      </x:c>
      <x:c r="AD168" s="73"/>
      <x:c r="AE168" s="73"/>
      <x:c r="AF168" s="73"/>
      <x:c r="AG168" s="77"/>
      <x:c r="AH168" s="73"/>
      <x:c r="AI168" s="91"/>
      <x:c r="AJ168" s="91"/>
      <x:c r="AK168" s="91"/>
      <x:c r="AL168" s="92"/>
      <x:c r="AM168" s="91"/>
      <x:c r="AN168" s="91"/>
      <x:c r="AO168" s="93"/>
      <x:c r="AP168" s="94"/>
      <x:c r="AQ168" s="91"/>
      <x:c r="AR168" s="91"/>
      <x:c r="AS168" s="91"/>
      <x:c r="AT168" s="91"/>
      <x:c r="AU168" s="91"/>
      <x:c r="AV168" s="91"/>
      <x:c r="AW168" s="91"/>
      <x:c r="AX168" s="91"/>
      <x:c r="AY168" s="91"/>
      <x:c r="AZ168" s="92"/>
      <x:c r="BA168" s="94"/>
      <x:c r="BB168" s="91"/>
      <x:c r="BC168" s="92"/>
      <x:c r="BD168" s="92"/>
      <x:c r="BE168" s="91"/>
      <x:c r="BF168" s="91"/>
      <x:c r="BG168" s="91"/>
      <x:c r="BH168" s="91"/>
      <x:c r="BI168" s="91"/>
      <x:c r="BJ168" s="91"/>
      <x:c r="BK168" s="91"/>
      <x:c r="BL168" s="91"/>
      <x:c r="BM168" s="73" t="str">
        <x:f>IF(A168="","",IF(AI168="Example","Example only",IF(AI168&lt;&gt;"Actual","Set record type",IF(COUNTIF($A$2:$A$1001,A168)&gt;1,"Duplicate record ID",IF(OR(D168="",E168="",AF168="",NOT(ISNUMBER(AG168)),AJ168="",AK168="",NOT(ISNUMBER(AL168)),AND(AM168&lt;&gt;"Observed",AM168&lt;&gt;"Corroborated",AM168&lt;&gt;"Declared"),OR(AN168="",AN168="Unknown"),OR(AQ168="",AQ168="Unknown"),OR(AR168="",AR168="Unknown",AR168="TBD"),OR(BC168="",NOT(ISNUMBER(BC168)))),"Evidence incomplete","Evidence recorded; review scope")))))</x:f>
      </x:c>
      <x:c r="BN168" s="73"/>
    </x:row>
    <x:row r="169" ht="34" customHeight="1">
      <x:c r="A169" s="73"/>
      <x:c r="B169" s="73"/>
      <x:c r="C169" s="73"/>
      <x:c r="D169" s="73"/>
      <x:c r="E169" s="73"/>
      <x:c r="F169" s="73"/>
      <x:c r="G169" s="73"/>
      <x:c r="H169" s="73"/>
      <x:c r="I169" s="75"/>
      <x:c r="J169" s="73"/>
      <x:c r="K169" s="73"/>
      <x:c r="L169" s="76"/>
      <x:c r="M169" s="73"/>
      <x:c r="N169" s="73"/>
      <x:c r="O169" s="73"/>
      <x:c r="P169" s="73"/>
      <x:c r="Q169" s="76"/>
      <x:c r="R169" s="73"/>
      <x:c r="S169" s="73"/>
      <x:c r="T169" s="73"/>
      <x:c r="U169" s="73"/>
      <x:c r="V169" s="73"/>
      <x:c r="W169" s="73"/>
      <x:c r="X169" s="73"/>
      <x:c r="Y169" s="73"/>
      <x:c r="Z169" s="73"/>
      <x:c r="AA169" s="73"/>
      <x:c r="AB169" s="76" t="str">
        <x:f>IF(A169="","",IF(OR(NOT(ISNUMBER(I169)),I169&lt;0,NOT(ISNUMBER(AP169)),AP169&lt;0,NOT(ISNUMBER(L169)),L169&lt;1,L169&gt;5,L169&lt;&gt;INT(L169),AND(J169&lt;&gt;"Public",J169&lt;&gt;"Partner",J169&lt;&gt;"Internal",J169&lt;&gt;"None"),AND(K169&lt;&gt;"High",K169&lt;&gt;"Medium",K169&lt;&gt;"Low",K169&lt;&gt;"None"),AND(W169&lt;&gt;"Hard-coded",W169&lt;&gt;"Configurable",W169&lt;&gt;"Policy-managed",W169&lt;&gt;"API/Library abstraction",W169&lt;&gt;"Automated"),AND(Z169&lt;&gt;"Y",Z169&lt;&gt;"N"),AND(AA169&lt;&gt;"Y",AA169&lt;&gt;"N")),"Incomplete",IF(Z169="Y",20,0)+L169*5+IF(AA169="Y",15,0)+IF(J169="Public",10,IF(J169="Partner",7,IF(J169="Internal",3,0)))+IF(W169="Hard-coded",10,IF(W169="Configurable",3,0))+IF(MAX(I169,AP169)&gt;=10,10,IF(MAX(I169,AP169)&gt;=5,7,IF(MAX(I169,AP169)&gt;=2,3,0)))+IF(K169="High",10,IF(K169="Medium",5,0))))</x:f>
      </x:c>
      <x:c r="AC169" s="73" t="str">
        <x:f>IF(A169="","",IF(NOT(ISNUMBER(AB169)),"Review inputs",IF(AB169&gt;=70,"P0 - Immediate",IF(AB169&gt;=50,"P1 - High",IF(AB169&gt;=30,"P2 - Medium",IF(AB169&gt;=15,"P3 - Low","P4 - Monitor"))))))</x:f>
      </x:c>
      <x:c r="AD169" s="73"/>
      <x:c r="AE169" s="73"/>
      <x:c r="AF169" s="73"/>
      <x:c r="AG169" s="77"/>
      <x:c r="AH169" s="73"/>
      <x:c r="AI169" s="91"/>
      <x:c r="AJ169" s="91"/>
      <x:c r="AK169" s="91"/>
      <x:c r="AL169" s="92"/>
      <x:c r="AM169" s="91"/>
      <x:c r="AN169" s="91"/>
      <x:c r="AO169" s="93"/>
      <x:c r="AP169" s="94"/>
      <x:c r="AQ169" s="91"/>
      <x:c r="AR169" s="91"/>
      <x:c r="AS169" s="91"/>
      <x:c r="AT169" s="91"/>
      <x:c r="AU169" s="91"/>
      <x:c r="AV169" s="91"/>
      <x:c r="AW169" s="91"/>
      <x:c r="AX169" s="91"/>
      <x:c r="AY169" s="91"/>
      <x:c r="AZ169" s="92"/>
      <x:c r="BA169" s="94"/>
      <x:c r="BB169" s="91"/>
      <x:c r="BC169" s="92"/>
      <x:c r="BD169" s="92"/>
      <x:c r="BE169" s="91"/>
      <x:c r="BF169" s="91"/>
      <x:c r="BG169" s="91"/>
      <x:c r="BH169" s="91"/>
      <x:c r="BI169" s="91"/>
      <x:c r="BJ169" s="91"/>
      <x:c r="BK169" s="91"/>
      <x:c r="BL169" s="91"/>
      <x:c r="BM169" s="73" t="str">
        <x:f>IF(A169="","",IF(AI169="Example","Example only",IF(AI169&lt;&gt;"Actual","Set record type",IF(COUNTIF($A$2:$A$1001,A169)&gt;1,"Duplicate record ID",IF(OR(D169="",E169="",AF169="",NOT(ISNUMBER(AG169)),AJ169="",AK169="",NOT(ISNUMBER(AL169)),AND(AM169&lt;&gt;"Observed",AM169&lt;&gt;"Corroborated",AM169&lt;&gt;"Declared"),OR(AN169="",AN169="Unknown"),OR(AQ169="",AQ169="Unknown"),OR(AR169="",AR169="Unknown",AR169="TBD"),OR(BC169="",NOT(ISNUMBER(BC169)))),"Evidence incomplete","Evidence recorded; review scope")))))</x:f>
      </x:c>
      <x:c r="BN169" s="73"/>
    </x:row>
    <x:row r="170" ht="34" customHeight="1">
      <x:c r="A170" s="73"/>
      <x:c r="B170" s="73"/>
      <x:c r="C170" s="73"/>
      <x:c r="D170" s="73"/>
      <x:c r="E170" s="73"/>
      <x:c r="F170" s="73"/>
      <x:c r="G170" s="73"/>
      <x:c r="H170" s="73"/>
      <x:c r="I170" s="75"/>
      <x:c r="J170" s="73"/>
      <x:c r="K170" s="73"/>
      <x:c r="L170" s="76"/>
      <x:c r="M170" s="73"/>
      <x:c r="N170" s="73"/>
      <x:c r="O170" s="73"/>
      <x:c r="P170" s="73"/>
      <x:c r="Q170" s="76"/>
      <x:c r="R170" s="73"/>
      <x:c r="S170" s="73"/>
      <x:c r="T170" s="73"/>
      <x:c r="U170" s="73"/>
      <x:c r="V170" s="73"/>
      <x:c r="W170" s="73"/>
      <x:c r="X170" s="73"/>
      <x:c r="Y170" s="73"/>
      <x:c r="Z170" s="73"/>
      <x:c r="AA170" s="73"/>
      <x:c r="AB170" s="76" t="str">
        <x:f>IF(A170="","",IF(OR(NOT(ISNUMBER(I170)),I170&lt;0,NOT(ISNUMBER(AP170)),AP170&lt;0,NOT(ISNUMBER(L170)),L170&lt;1,L170&gt;5,L170&lt;&gt;INT(L170),AND(J170&lt;&gt;"Public",J170&lt;&gt;"Partner",J170&lt;&gt;"Internal",J170&lt;&gt;"None"),AND(K170&lt;&gt;"High",K170&lt;&gt;"Medium",K170&lt;&gt;"Low",K170&lt;&gt;"None"),AND(W170&lt;&gt;"Hard-coded",W170&lt;&gt;"Configurable",W170&lt;&gt;"Policy-managed",W170&lt;&gt;"API/Library abstraction",W170&lt;&gt;"Automated"),AND(Z170&lt;&gt;"Y",Z170&lt;&gt;"N"),AND(AA170&lt;&gt;"Y",AA170&lt;&gt;"N")),"Incomplete",IF(Z170="Y",20,0)+L170*5+IF(AA170="Y",15,0)+IF(J170="Public",10,IF(J170="Partner",7,IF(J170="Internal",3,0)))+IF(W170="Hard-coded",10,IF(W170="Configurable",3,0))+IF(MAX(I170,AP170)&gt;=10,10,IF(MAX(I170,AP170)&gt;=5,7,IF(MAX(I170,AP170)&gt;=2,3,0)))+IF(K170="High",10,IF(K170="Medium",5,0))))</x:f>
      </x:c>
      <x:c r="AC170" s="73" t="str">
        <x:f>IF(A170="","",IF(NOT(ISNUMBER(AB170)),"Review inputs",IF(AB170&gt;=70,"P0 - Immediate",IF(AB170&gt;=50,"P1 - High",IF(AB170&gt;=30,"P2 - Medium",IF(AB170&gt;=15,"P3 - Low","P4 - Monitor"))))))</x:f>
      </x:c>
      <x:c r="AD170" s="73"/>
      <x:c r="AE170" s="73"/>
      <x:c r="AF170" s="73"/>
      <x:c r="AG170" s="77"/>
      <x:c r="AH170" s="73"/>
      <x:c r="AI170" s="91"/>
      <x:c r="AJ170" s="91"/>
      <x:c r="AK170" s="91"/>
      <x:c r="AL170" s="92"/>
      <x:c r="AM170" s="91"/>
      <x:c r="AN170" s="91"/>
      <x:c r="AO170" s="93"/>
      <x:c r="AP170" s="94"/>
      <x:c r="AQ170" s="91"/>
      <x:c r="AR170" s="91"/>
      <x:c r="AS170" s="91"/>
      <x:c r="AT170" s="91"/>
      <x:c r="AU170" s="91"/>
      <x:c r="AV170" s="91"/>
      <x:c r="AW170" s="91"/>
      <x:c r="AX170" s="91"/>
      <x:c r="AY170" s="91"/>
      <x:c r="AZ170" s="92"/>
      <x:c r="BA170" s="94"/>
      <x:c r="BB170" s="91"/>
      <x:c r="BC170" s="92"/>
      <x:c r="BD170" s="92"/>
      <x:c r="BE170" s="91"/>
      <x:c r="BF170" s="91"/>
      <x:c r="BG170" s="91"/>
      <x:c r="BH170" s="91"/>
      <x:c r="BI170" s="91"/>
      <x:c r="BJ170" s="91"/>
      <x:c r="BK170" s="91"/>
      <x:c r="BL170" s="91"/>
      <x:c r="BM170" s="73" t="str">
        <x:f>IF(A170="","",IF(AI170="Example","Example only",IF(AI170&lt;&gt;"Actual","Set record type",IF(COUNTIF($A$2:$A$1001,A170)&gt;1,"Duplicate record ID",IF(OR(D170="",E170="",AF170="",NOT(ISNUMBER(AG170)),AJ170="",AK170="",NOT(ISNUMBER(AL170)),AND(AM170&lt;&gt;"Observed",AM170&lt;&gt;"Corroborated",AM170&lt;&gt;"Declared"),OR(AN170="",AN170="Unknown"),OR(AQ170="",AQ170="Unknown"),OR(AR170="",AR170="Unknown",AR170="TBD"),OR(BC170="",NOT(ISNUMBER(BC170)))),"Evidence incomplete","Evidence recorded; review scope")))))</x:f>
      </x:c>
      <x:c r="BN170" s="73"/>
    </x:row>
    <x:row r="171" ht="34" customHeight="1">
      <x:c r="A171" s="73"/>
      <x:c r="B171" s="73"/>
      <x:c r="C171" s="73"/>
      <x:c r="D171" s="73"/>
      <x:c r="E171" s="73"/>
      <x:c r="F171" s="73"/>
      <x:c r="G171" s="73"/>
      <x:c r="H171" s="73"/>
      <x:c r="I171" s="75"/>
      <x:c r="J171" s="73"/>
      <x:c r="K171" s="73"/>
      <x:c r="L171" s="76"/>
      <x:c r="M171" s="73"/>
      <x:c r="N171" s="73"/>
      <x:c r="O171" s="73"/>
      <x:c r="P171" s="73"/>
      <x:c r="Q171" s="76"/>
      <x:c r="R171" s="73"/>
      <x:c r="S171" s="73"/>
      <x:c r="T171" s="73"/>
      <x:c r="U171" s="73"/>
      <x:c r="V171" s="73"/>
      <x:c r="W171" s="73"/>
      <x:c r="X171" s="73"/>
      <x:c r="Y171" s="73"/>
      <x:c r="Z171" s="73"/>
      <x:c r="AA171" s="73"/>
      <x:c r="AB171" s="76" t="str">
        <x:f>IF(A171="","",IF(OR(NOT(ISNUMBER(I171)),I171&lt;0,NOT(ISNUMBER(AP171)),AP171&lt;0,NOT(ISNUMBER(L171)),L171&lt;1,L171&gt;5,L171&lt;&gt;INT(L171),AND(J171&lt;&gt;"Public",J171&lt;&gt;"Partner",J171&lt;&gt;"Internal",J171&lt;&gt;"None"),AND(K171&lt;&gt;"High",K171&lt;&gt;"Medium",K171&lt;&gt;"Low",K171&lt;&gt;"None"),AND(W171&lt;&gt;"Hard-coded",W171&lt;&gt;"Configurable",W171&lt;&gt;"Policy-managed",W171&lt;&gt;"API/Library abstraction",W171&lt;&gt;"Automated"),AND(Z171&lt;&gt;"Y",Z171&lt;&gt;"N"),AND(AA171&lt;&gt;"Y",AA171&lt;&gt;"N")),"Incomplete",IF(Z171="Y",20,0)+L171*5+IF(AA171="Y",15,0)+IF(J171="Public",10,IF(J171="Partner",7,IF(J171="Internal",3,0)))+IF(W171="Hard-coded",10,IF(W171="Configurable",3,0))+IF(MAX(I171,AP171)&gt;=10,10,IF(MAX(I171,AP171)&gt;=5,7,IF(MAX(I171,AP171)&gt;=2,3,0)))+IF(K171="High",10,IF(K171="Medium",5,0))))</x:f>
      </x:c>
      <x:c r="AC171" s="73" t="str">
        <x:f>IF(A171="","",IF(NOT(ISNUMBER(AB171)),"Review inputs",IF(AB171&gt;=70,"P0 - Immediate",IF(AB171&gt;=50,"P1 - High",IF(AB171&gt;=30,"P2 - Medium",IF(AB171&gt;=15,"P3 - Low","P4 - Monitor"))))))</x:f>
      </x:c>
      <x:c r="AD171" s="73"/>
      <x:c r="AE171" s="73"/>
      <x:c r="AF171" s="73"/>
      <x:c r="AG171" s="77"/>
      <x:c r="AH171" s="73"/>
      <x:c r="AI171" s="91"/>
      <x:c r="AJ171" s="91"/>
      <x:c r="AK171" s="91"/>
      <x:c r="AL171" s="92"/>
      <x:c r="AM171" s="91"/>
      <x:c r="AN171" s="91"/>
      <x:c r="AO171" s="93"/>
      <x:c r="AP171" s="94"/>
      <x:c r="AQ171" s="91"/>
      <x:c r="AR171" s="91"/>
      <x:c r="AS171" s="91"/>
      <x:c r="AT171" s="91"/>
      <x:c r="AU171" s="91"/>
      <x:c r="AV171" s="91"/>
      <x:c r="AW171" s="91"/>
      <x:c r="AX171" s="91"/>
      <x:c r="AY171" s="91"/>
      <x:c r="AZ171" s="92"/>
      <x:c r="BA171" s="94"/>
      <x:c r="BB171" s="91"/>
      <x:c r="BC171" s="92"/>
      <x:c r="BD171" s="92"/>
      <x:c r="BE171" s="91"/>
      <x:c r="BF171" s="91"/>
      <x:c r="BG171" s="91"/>
      <x:c r="BH171" s="91"/>
      <x:c r="BI171" s="91"/>
      <x:c r="BJ171" s="91"/>
      <x:c r="BK171" s="91"/>
      <x:c r="BL171" s="91"/>
      <x:c r="BM171" s="73" t="str">
        <x:f>IF(A171="","",IF(AI171="Example","Example only",IF(AI171&lt;&gt;"Actual","Set record type",IF(COUNTIF($A$2:$A$1001,A171)&gt;1,"Duplicate record ID",IF(OR(D171="",E171="",AF171="",NOT(ISNUMBER(AG171)),AJ171="",AK171="",NOT(ISNUMBER(AL171)),AND(AM171&lt;&gt;"Observed",AM171&lt;&gt;"Corroborated",AM171&lt;&gt;"Declared"),OR(AN171="",AN171="Unknown"),OR(AQ171="",AQ171="Unknown"),OR(AR171="",AR171="Unknown",AR171="TBD"),OR(BC171="",NOT(ISNUMBER(BC171)))),"Evidence incomplete","Evidence recorded; review scope")))))</x:f>
      </x:c>
      <x:c r="BN171" s="73"/>
    </x:row>
    <x:row r="172" ht="34" customHeight="1">
      <x:c r="A172" s="73"/>
      <x:c r="B172" s="73"/>
      <x:c r="C172" s="73"/>
      <x:c r="D172" s="73"/>
      <x:c r="E172" s="73"/>
      <x:c r="F172" s="73"/>
      <x:c r="G172" s="73"/>
      <x:c r="H172" s="73"/>
      <x:c r="I172" s="75"/>
      <x:c r="J172" s="73"/>
      <x:c r="K172" s="73"/>
      <x:c r="L172" s="76"/>
      <x:c r="M172" s="73"/>
      <x:c r="N172" s="73"/>
      <x:c r="O172" s="73"/>
      <x:c r="P172" s="73"/>
      <x:c r="Q172" s="76"/>
      <x:c r="R172" s="73"/>
      <x:c r="S172" s="73"/>
      <x:c r="T172" s="73"/>
      <x:c r="U172" s="73"/>
      <x:c r="V172" s="73"/>
      <x:c r="W172" s="73"/>
      <x:c r="X172" s="73"/>
      <x:c r="Y172" s="73"/>
      <x:c r="Z172" s="73"/>
      <x:c r="AA172" s="73"/>
      <x:c r="AB172" s="76" t="str">
        <x:f>IF(A172="","",IF(OR(NOT(ISNUMBER(I172)),I172&lt;0,NOT(ISNUMBER(AP172)),AP172&lt;0,NOT(ISNUMBER(L172)),L172&lt;1,L172&gt;5,L172&lt;&gt;INT(L172),AND(J172&lt;&gt;"Public",J172&lt;&gt;"Partner",J172&lt;&gt;"Internal",J172&lt;&gt;"None"),AND(K172&lt;&gt;"High",K172&lt;&gt;"Medium",K172&lt;&gt;"Low",K172&lt;&gt;"None"),AND(W172&lt;&gt;"Hard-coded",W172&lt;&gt;"Configurable",W172&lt;&gt;"Policy-managed",W172&lt;&gt;"API/Library abstraction",W172&lt;&gt;"Automated"),AND(Z172&lt;&gt;"Y",Z172&lt;&gt;"N"),AND(AA172&lt;&gt;"Y",AA172&lt;&gt;"N")),"Incomplete",IF(Z172="Y",20,0)+L172*5+IF(AA172="Y",15,0)+IF(J172="Public",10,IF(J172="Partner",7,IF(J172="Internal",3,0)))+IF(W172="Hard-coded",10,IF(W172="Configurable",3,0))+IF(MAX(I172,AP172)&gt;=10,10,IF(MAX(I172,AP172)&gt;=5,7,IF(MAX(I172,AP172)&gt;=2,3,0)))+IF(K172="High",10,IF(K172="Medium",5,0))))</x:f>
      </x:c>
      <x:c r="AC172" s="73" t="str">
        <x:f>IF(A172="","",IF(NOT(ISNUMBER(AB172)),"Review inputs",IF(AB172&gt;=70,"P0 - Immediate",IF(AB172&gt;=50,"P1 - High",IF(AB172&gt;=30,"P2 - Medium",IF(AB172&gt;=15,"P3 - Low","P4 - Monitor"))))))</x:f>
      </x:c>
      <x:c r="AD172" s="73"/>
      <x:c r="AE172" s="73"/>
      <x:c r="AF172" s="73"/>
      <x:c r="AG172" s="77"/>
      <x:c r="AH172" s="73"/>
      <x:c r="AI172" s="91"/>
      <x:c r="AJ172" s="91"/>
      <x:c r="AK172" s="91"/>
      <x:c r="AL172" s="92"/>
      <x:c r="AM172" s="91"/>
      <x:c r="AN172" s="91"/>
      <x:c r="AO172" s="93"/>
      <x:c r="AP172" s="94"/>
      <x:c r="AQ172" s="91"/>
      <x:c r="AR172" s="91"/>
      <x:c r="AS172" s="91"/>
      <x:c r="AT172" s="91"/>
      <x:c r="AU172" s="91"/>
      <x:c r="AV172" s="91"/>
      <x:c r="AW172" s="91"/>
      <x:c r="AX172" s="91"/>
      <x:c r="AY172" s="91"/>
      <x:c r="AZ172" s="92"/>
      <x:c r="BA172" s="94"/>
      <x:c r="BB172" s="91"/>
      <x:c r="BC172" s="92"/>
      <x:c r="BD172" s="92"/>
      <x:c r="BE172" s="91"/>
      <x:c r="BF172" s="91"/>
      <x:c r="BG172" s="91"/>
      <x:c r="BH172" s="91"/>
      <x:c r="BI172" s="91"/>
      <x:c r="BJ172" s="91"/>
      <x:c r="BK172" s="91"/>
      <x:c r="BL172" s="91"/>
      <x:c r="BM172" s="73" t="str">
        <x:f>IF(A172="","",IF(AI172="Example","Example only",IF(AI172&lt;&gt;"Actual","Set record type",IF(COUNTIF($A$2:$A$1001,A172)&gt;1,"Duplicate record ID",IF(OR(D172="",E172="",AF172="",NOT(ISNUMBER(AG172)),AJ172="",AK172="",NOT(ISNUMBER(AL172)),AND(AM172&lt;&gt;"Observed",AM172&lt;&gt;"Corroborated",AM172&lt;&gt;"Declared"),OR(AN172="",AN172="Unknown"),OR(AQ172="",AQ172="Unknown"),OR(AR172="",AR172="Unknown",AR172="TBD"),OR(BC172="",NOT(ISNUMBER(BC172)))),"Evidence incomplete","Evidence recorded; review scope")))))</x:f>
      </x:c>
      <x:c r="BN172" s="73"/>
    </x:row>
    <x:row r="173" ht="34" customHeight="1">
      <x:c r="A173" s="73"/>
      <x:c r="B173" s="73"/>
      <x:c r="C173" s="73"/>
      <x:c r="D173" s="73"/>
      <x:c r="E173" s="73"/>
      <x:c r="F173" s="73"/>
      <x:c r="G173" s="73"/>
      <x:c r="H173" s="73"/>
      <x:c r="I173" s="75"/>
      <x:c r="J173" s="73"/>
      <x:c r="K173" s="73"/>
      <x:c r="L173" s="76"/>
      <x:c r="M173" s="73"/>
      <x:c r="N173" s="73"/>
      <x:c r="O173" s="73"/>
      <x:c r="P173" s="73"/>
      <x:c r="Q173" s="76"/>
      <x:c r="R173" s="73"/>
      <x:c r="S173" s="73"/>
      <x:c r="T173" s="73"/>
      <x:c r="U173" s="73"/>
      <x:c r="V173" s="73"/>
      <x:c r="W173" s="73"/>
      <x:c r="X173" s="73"/>
      <x:c r="Y173" s="73"/>
      <x:c r="Z173" s="73"/>
      <x:c r="AA173" s="73"/>
      <x:c r="AB173" s="76" t="str">
        <x:f>IF(A173="","",IF(OR(NOT(ISNUMBER(I173)),I173&lt;0,NOT(ISNUMBER(AP173)),AP173&lt;0,NOT(ISNUMBER(L173)),L173&lt;1,L173&gt;5,L173&lt;&gt;INT(L173),AND(J173&lt;&gt;"Public",J173&lt;&gt;"Partner",J173&lt;&gt;"Internal",J173&lt;&gt;"None"),AND(K173&lt;&gt;"High",K173&lt;&gt;"Medium",K173&lt;&gt;"Low",K173&lt;&gt;"None"),AND(W173&lt;&gt;"Hard-coded",W173&lt;&gt;"Configurable",W173&lt;&gt;"Policy-managed",W173&lt;&gt;"API/Library abstraction",W173&lt;&gt;"Automated"),AND(Z173&lt;&gt;"Y",Z173&lt;&gt;"N"),AND(AA173&lt;&gt;"Y",AA173&lt;&gt;"N")),"Incomplete",IF(Z173="Y",20,0)+L173*5+IF(AA173="Y",15,0)+IF(J173="Public",10,IF(J173="Partner",7,IF(J173="Internal",3,0)))+IF(W173="Hard-coded",10,IF(W173="Configurable",3,0))+IF(MAX(I173,AP173)&gt;=10,10,IF(MAX(I173,AP173)&gt;=5,7,IF(MAX(I173,AP173)&gt;=2,3,0)))+IF(K173="High",10,IF(K173="Medium",5,0))))</x:f>
      </x:c>
      <x:c r="AC173" s="73" t="str">
        <x:f>IF(A173="","",IF(NOT(ISNUMBER(AB173)),"Review inputs",IF(AB173&gt;=70,"P0 - Immediate",IF(AB173&gt;=50,"P1 - High",IF(AB173&gt;=30,"P2 - Medium",IF(AB173&gt;=15,"P3 - Low","P4 - Monitor"))))))</x:f>
      </x:c>
      <x:c r="AD173" s="73"/>
      <x:c r="AE173" s="73"/>
      <x:c r="AF173" s="73"/>
      <x:c r="AG173" s="77"/>
      <x:c r="AH173" s="73"/>
      <x:c r="AI173" s="91"/>
      <x:c r="AJ173" s="91"/>
      <x:c r="AK173" s="91"/>
      <x:c r="AL173" s="92"/>
      <x:c r="AM173" s="91"/>
      <x:c r="AN173" s="91"/>
      <x:c r="AO173" s="93"/>
      <x:c r="AP173" s="94"/>
      <x:c r="AQ173" s="91"/>
      <x:c r="AR173" s="91"/>
      <x:c r="AS173" s="91"/>
      <x:c r="AT173" s="91"/>
      <x:c r="AU173" s="91"/>
      <x:c r="AV173" s="91"/>
      <x:c r="AW173" s="91"/>
      <x:c r="AX173" s="91"/>
      <x:c r="AY173" s="91"/>
      <x:c r="AZ173" s="92"/>
      <x:c r="BA173" s="94"/>
      <x:c r="BB173" s="91"/>
      <x:c r="BC173" s="92"/>
      <x:c r="BD173" s="92"/>
      <x:c r="BE173" s="91"/>
      <x:c r="BF173" s="91"/>
      <x:c r="BG173" s="91"/>
      <x:c r="BH173" s="91"/>
      <x:c r="BI173" s="91"/>
      <x:c r="BJ173" s="91"/>
      <x:c r="BK173" s="91"/>
      <x:c r="BL173" s="91"/>
      <x:c r="BM173" s="73" t="str">
        <x:f>IF(A173="","",IF(AI173="Example","Example only",IF(AI173&lt;&gt;"Actual","Set record type",IF(COUNTIF($A$2:$A$1001,A173)&gt;1,"Duplicate record ID",IF(OR(D173="",E173="",AF173="",NOT(ISNUMBER(AG173)),AJ173="",AK173="",NOT(ISNUMBER(AL173)),AND(AM173&lt;&gt;"Observed",AM173&lt;&gt;"Corroborated",AM173&lt;&gt;"Declared"),OR(AN173="",AN173="Unknown"),OR(AQ173="",AQ173="Unknown"),OR(AR173="",AR173="Unknown",AR173="TBD"),OR(BC173="",NOT(ISNUMBER(BC173)))),"Evidence incomplete","Evidence recorded; review scope")))))</x:f>
      </x:c>
      <x:c r="BN173" s="73"/>
    </x:row>
    <x:row r="174" ht="34" customHeight="1">
      <x:c r="A174" s="73"/>
      <x:c r="B174" s="73"/>
      <x:c r="C174" s="73"/>
      <x:c r="D174" s="73"/>
      <x:c r="E174" s="73"/>
      <x:c r="F174" s="73"/>
      <x:c r="G174" s="73"/>
      <x:c r="H174" s="73"/>
      <x:c r="I174" s="75"/>
      <x:c r="J174" s="73"/>
      <x:c r="K174" s="73"/>
      <x:c r="L174" s="76"/>
      <x:c r="M174" s="73"/>
      <x:c r="N174" s="73"/>
      <x:c r="O174" s="73"/>
      <x:c r="P174" s="73"/>
      <x:c r="Q174" s="76"/>
      <x:c r="R174" s="73"/>
      <x:c r="S174" s="73"/>
      <x:c r="T174" s="73"/>
      <x:c r="U174" s="73"/>
      <x:c r="V174" s="73"/>
      <x:c r="W174" s="73"/>
      <x:c r="X174" s="73"/>
      <x:c r="Y174" s="73"/>
      <x:c r="Z174" s="73"/>
      <x:c r="AA174" s="73"/>
      <x:c r="AB174" s="76" t="str">
        <x:f>IF(A174="","",IF(OR(NOT(ISNUMBER(I174)),I174&lt;0,NOT(ISNUMBER(AP174)),AP174&lt;0,NOT(ISNUMBER(L174)),L174&lt;1,L174&gt;5,L174&lt;&gt;INT(L174),AND(J174&lt;&gt;"Public",J174&lt;&gt;"Partner",J174&lt;&gt;"Internal",J174&lt;&gt;"None"),AND(K174&lt;&gt;"High",K174&lt;&gt;"Medium",K174&lt;&gt;"Low",K174&lt;&gt;"None"),AND(W174&lt;&gt;"Hard-coded",W174&lt;&gt;"Configurable",W174&lt;&gt;"Policy-managed",W174&lt;&gt;"API/Library abstraction",W174&lt;&gt;"Automated"),AND(Z174&lt;&gt;"Y",Z174&lt;&gt;"N"),AND(AA174&lt;&gt;"Y",AA174&lt;&gt;"N")),"Incomplete",IF(Z174="Y",20,0)+L174*5+IF(AA174="Y",15,0)+IF(J174="Public",10,IF(J174="Partner",7,IF(J174="Internal",3,0)))+IF(W174="Hard-coded",10,IF(W174="Configurable",3,0))+IF(MAX(I174,AP174)&gt;=10,10,IF(MAX(I174,AP174)&gt;=5,7,IF(MAX(I174,AP174)&gt;=2,3,0)))+IF(K174="High",10,IF(K174="Medium",5,0))))</x:f>
      </x:c>
      <x:c r="AC174" s="73" t="str">
        <x:f>IF(A174="","",IF(NOT(ISNUMBER(AB174)),"Review inputs",IF(AB174&gt;=70,"P0 - Immediate",IF(AB174&gt;=50,"P1 - High",IF(AB174&gt;=30,"P2 - Medium",IF(AB174&gt;=15,"P3 - Low","P4 - Monitor"))))))</x:f>
      </x:c>
      <x:c r="AD174" s="73"/>
      <x:c r="AE174" s="73"/>
      <x:c r="AF174" s="73"/>
      <x:c r="AG174" s="77"/>
      <x:c r="AH174" s="73"/>
      <x:c r="AI174" s="91"/>
      <x:c r="AJ174" s="91"/>
      <x:c r="AK174" s="91"/>
      <x:c r="AL174" s="92"/>
      <x:c r="AM174" s="91"/>
      <x:c r="AN174" s="91"/>
      <x:c r="AO174" s="93"/>
      <x:c r="AP174" s="94"/>
      <x:c r="AQ174" s="91"/>
      <x:c r="AR174" s="91"/>
      <x:c r="AS174" s="91"/>
      <x:c r="AT174" s="91"/>
      <x:c r="AU174" s="91"/>
      <x:c r="AV174" s="91"/>
      <x:c r="AW174" s="91"/>
      <x:c r="AX174" s="91"/>
      <x:c r="AY174" s="91"/>
      <x:c r="AZ174" s="92"/>
      <x:c r="BA174" s="94"/>
      <x:c r="BB174" s="91"/>
      <x:c r="BC174" s="92"/>
      <x:c r="BD174" s="92"/>
      <x:c r="BE174" s="91"/>
      <x:c r="BF174" s="91"/>
      <x:c r="BG174" s="91"/>
      <x:c r="BH174" s="91"/>
      <x:c r="BI174" s="91"/>
      <x:c r="BJ174" s="91"/>
      <x:c r="BK174" s="91"/>
      <x:c r="BL174" s="91"/>
      <x:c r="BM174" s="73" t="str">
        <x:f>IF(A174="","",IF(AI174="Example","Example only",IF(AI174&lt;&gt;"Actual","Set record type",IF(COUNTIF($A$2:$A$1001,A174)&gt;1,"Duplicate record ID",IF(OR(D174="",E174="",AF174="",NOT(ISNUMBER(AG174)),AJ174="",AK174="",NOT(ISNUMBER(AL174)),AND(AM174&lt;&gt;"Observed",AM174&lt;&gt;"Corroborated",AM174&lt;&gt;"Declared"),OR(AN174="",AN174="Unknown"),OR(AQ174="",AQ174="Unknown"),OR(AR174="",AR174="Unknown",AR174="TBD"),OR(BC174="",NOT(ISNUMBER(BC174)))),"Evidence incomplete","Evidence recorded; review scope")))))</x:f>
      </x:c>
      <x:c r="BN174" s="73"/>
    </x:row>
    <x:row r="175" ht="34" customHeight="1">
      <x:c r="A175" s="73"/>
      <x:c r="B175" s="73"/>
      <x:c r="C175" s="73"/>
      <x:c r="D175" s="73"/>
      <x:c r="E175" s="73"/>
      <x:c r="F175" s="73"/>
      <x:c r="G175" s="73"/>
      <x:c r="H175" s="73"/>
      <x:c r="I175" s="75"/>
      <x:c r="J175" s="73"/>
      <x:c r="K175" s="73"/>
      <x:c r="L175" s="76"/>
      <x:c r="M175" s="73"/>
      <x:c r="N175" s="73"/>
      <x:c r="O175" s="73"/>
      <x:c r="P175" s="73"/>
      <x:c r="Q175" s="76"/>
      <x:c r="R175" s="73"/>
      <x:c r="S175" s="73"/>
      <x:c r="T175" s="73"/>
      <x:c r="U175" s="73"/>
      <x:c r="V175" s="73"/>
      <x:c r="W175" s="73"/>
      <x:c r="X175" s="73"/>
      <x:c r="Y175" s="73"/>
      <x:c r="Z175" s="73"/>
      <x:c r="AA175" s="73"/>
      <x:c r="AB175" s="76" t="str">
        <x:f>IF(A175="","",IF(OR(NOT(ISNUMBER(I175)),I175&lt;0,NOT(ISNUMBER(AP175)),AP175&lt;0,NOT(ISNUMBER(L175)),L175&lt;1,L175&gt;5,L175&lt;&gt;INT(L175),AND(J175&lt;&gt;"Public",J175&lt;&gt;"Partner",J175&lt;&gt;"Internal",J175&lt;&gt;"None"),AND(K175&lt;&gt;"High",K175&lt;&gt;"Medium",K175&lt;&gt;"Low",K175&lt;&gt;"None"),AND(W175&lt;&gt;"Hard-coded",W175&lt;&gt;"Configurable",W175&lt;&gt;"Policy-managed",W175&lt;&gt;"API/Library abstraction",W175&lt;&gt;"Automated"),AND(Z175&lt;&gt;"Y",Z175&lt;&gt;"N"),AND(AA175&lt;&gt;"Y",AA175&lt;&gt;"N")),"Incomplete",IF(Z175="Y",20,0)+L175*5+IF(AA175="Y",15,0)+IF(J175="Public",10,IF(J175="Partner",7,IF(J175="Internal",3,0)))+IF(W175="Hard-coded",10,IF(W175="Configurable",3,0))+IF(MAX(I175,AP175)&gt;=10,10,IF(MAX(I175,AP175)&gt;=5,7,IF(MAX(I175,AP175)&gt;=2,3,0)))+IF(K175="High",10,IF(K175="Medium",5,0))))</x:f>
      </x:c>
      <x:c r="AC175" s="73" t="str">
        <x:f>IF(A175="","",IF(NOT(ISNUMBER(AB175)),"Review inputs",IF(AB175&gt;=70,"P0 - Immediate",IF(AB175&gt;=50,"P1 - High",IF(AB175&gt;=30,"P2 - Medium",IF(AB175&gt;=15,"P3 - Low","P4 - Monitor"))))))</x:f>
      </x:c>
      <x:c r="AD175" s="73"/>
      <x:c r="AE175" s="73"/>
      <x:c r="AF175" s="73"/>
      <x:c r="AG175" s="77"/>
      <x:c r="AH175" s="73"/>
      <x:c r="AI175" s="91"/>
      <x:c r="AJ175" s="91"/>
      <x:c r="AK175" s="91"/>
      <x:c r="AL175" s="92"/>
      <x:c r="AM175" s="91"/>
      <x:c r="AN175" s="91"/>
      <x:c r="AO175" s="93"/>
      <x:c r="AP175" s="94"/>
      <x:c r="AQ175" s="91"/>
      <x:c r="AR175" s="91"/>
      <x:c r="AS175" s="91"/>
      <x:c r="AT175" s="91"/>
      <x:c r="AU175" s="91"/>
      <x:c r="AV175" s="91"/>
      <x:c r="AW175" s="91"/>
      <x:c r="AX175" s="91"/>
      <x:c r="AY175" s="91"/>
      <x:c r="AZ175" s="92"/>
      <x:c r="BA175" s="94"/>
      <x:c r="BB175" s="91"/>
      <x:c r="BC175" s="92"/>
      <x:c r="BD175" s="92"/>
      <x:c r="BE175" s="91"/>
      <x:c r="BF175" s="91"/>
      <x:c r="BG175" s="91"/>
      <x:c r="BH175" s="91"/>
      <x:c r="BI175" s="91"/>
      <x:c r="BJ175" s="91"/>
      <x:c r="BK175" s="91"/>
      <x:c r="BL175" s="91"/>
      <x:c r="BM175" s="73" t="str">
        <x:f>IF(A175="","",IF(AI175="Example","Example only",IF(AI175&lt;&gt;"Actual","Set record type",IF(COUNTIF($A$2:$A$1001,A175)&gt;1,"Duplicate record ID",IF(OR(D175="",E175="",AF175="",NOT(ISNUMBER(AG175)),AJ175="",AK175="",NOT(ISNUMBER(AL175)),AND(AM175&lt;&gt;"Observed",AM175&lt;&gt;"Corroborated",AM175&lt;&gt;"Declared"),OR(AN175="",AN175="Unknown"),OR(AQ175="",AQ175="Unknown"),OR(AR175="",AR175="Unknown",AR175="TBD"),OR(BC175="",NOT(ISNUMBER(BC175)))),"Evidence incomplete","Evidence recorded; review scope")))))</x:f>
      </x:c>
      <x:c r="BN175" s="73"/>
    </x:row>
    <x:row r="176" ht="34" customHeight="1">
      <x:c r="A176" s="73"/>
      <x:c r="B176" s="73"/>
      <x:c r="C176" s="73"/>
      <x:c r="D176" s="73"/>
      <x:c r="E176" s="73"/>
      <x:c r="F176" s="73"/>
      <x:c r="G176" s="73"/>
      <x:c r="H176" s="73"/>
      <x:c r="I176" s="75"/>
      <x:c r="J176" s="73"/>
      <x:c r="K176" s="73"/>
      <x:c r="L176" s="76"/>
      <x:c r="M176" s="73"/>
      <x:c r="N176" s="73"/>
      <x:c r="O176" s="73"/>
      <x:c r="P176" s="73"/>
      <x:c r="Q176" s="76"/>
      <x:c r="R176" s="73"/>
      <x:c r="S176" s="73"/>
      <x:c r="T176" s="73"/>
      <x:c r="U176" s="73"/>
      <x:c r="V176" s="73"/>
      <x:c r="W176" s="73"/>
      <x:c r="X176" s="73"/>
      <x:c r="Y176" s="73"/>
      <x:c r="Z176" s="73"/>
      <x:c r="AA176" s="73"/>
      <x:c r="AB176" s="76" t="str">
        <x:f>IF(A176="","",IF(OR(NOT(ISNUMBER(I176)),I176&lt;0,NOT(ISNUMBER(AP176)),AP176&lt;0,NOT(ISNUMBER(L176)),L176&lt;1,L176&gt;5,L176&lt;&gt;INT(L176),AND(J176&lt;&gt;"Public",J176&lt;&gt;"Partner",J176&lt;&gt;"Internal",J176&lt;&gt;"None"),AND(K176&lt;&gt;"High",K176&lt;&gt;"Medium",K176&lt;&gt;"Low",K176&lt;&gt;"None"),AND(W176&lt;&gt;"Hard-coded",W176&lt;&gt;"Configurable",W176&lt;&gt;"Policy-managed",W176&lt;&gt;"API/Library abstraction",W176&lt;&gt;"Automated"),AND(Z176&lt;&gt;"Y",Z176&lt;&gt;"N"),AND(AA176&lt;&gt;"Y",AA176&lt;&gt;"N")),"Incomplete",IF(Z176="Y",20,0)+L176*5+IF(AA176="Y",15,0)+IF(J176="Public",10,IF(J176="Partner",7,IF(J176="Internal",3,0)))+IF(W176="Hard-coded",10,IF(W176="Configurable",3,0))+IF(MAX(I176,AP176)&gt;=10,10,IF(MAX(I176,AP176)&gt;=5,7,IF(MAX(I176,AP176)&gt;=2,3,0)))+IF(K176="High",10,IF(K176="Medium",5,0))))</x:f>
      </x:c>
      <x:c r="AC176" s="73" t="str">
        <x:f>IF(A176="","",IF(NOT(ISNUMBER(AB176)),"Review inputs",IF(AB176&gt;=70,"P0 - Immediate",IF(AB176&gt;=50,"P1 - High",IF(AB176&gt;=30,"P2 - Medium",IF(AB176&gt;=15,"P3 - Low","P4 - Monitor"))))))</x:f>
      </x:c>
      <x:c r="AD176" s="73"/>
      <x:c r="AE176" s="73"/>
      <x:c r="AF176" s="73"/>
      <x:c r="AG176" s="77"/>
      <x:c r="AH176" s="73"/>
      <x:c r="AI176" s="91"/>
      <x:c r="AJ176" s="91"/>
      <x:c r="AK176" s="91"/>
      <x:c r="AL176" s="92"/>
      <x:c r="AM176" s="91"/>
      <x:c r="AN176" s="91"/>
      <x:c r="AO176" s="93"/>
      <x:c r="AP176" s="94"/>
      <x:c r="AQ176" s="91"/>
      <x:c r="AR176" s="91"/>
      <x:c r="AS176" s="91"/>
      <x:c r="AT176" s="91"/>
      <x:c r="AU176" s="91"/>
      <x:c r="AV176" s="91"/>
      <x:c r="AW176" s="91"/>
      <x:c r="AX176" s="91"/>
      <x:c r="AY176" s="91"/>
      <x:c r="AZ176" s="92"/>
      <x:c r="BA176" s="94"/>
      <x:c r="BB176" s="91"/>
      <x:c r="BC176" s="92"/>
      <x:c r="BD176" s="92"/>
      <x:c r="BE176" s="91"/>
      <x:c r="BF176" s="91"/>
      <x:c r="BG176" s="91"/>
      <x:c r="BH176" s="91"/>
      <x:c r="BI176" s="91"/>
      <x:c r="BJ176" s="91"/>
      <x:c r="BK176" s="91"/>
      <x:c r="BL176" s="91"/>
      <x:c r="BM176" s="73" t="str">
        <x:f>IF(A176="","",IF(AI176="Example","Example only",IF(AI176&lt;&gt;"Actual","Set record type",IF(COUNTIF($A$2:$A$1001,A176)&gt;1,"Duplicate record ID",IF(OR(D176="",E176="",AF176="",NOT(ISNUMBER(AG176)),AJ176="",AK176="",NOT(ISNUMBER(AL176)),AND(AM176&lt;&gt;"Observed",AM176&lt;&gt;"Corroborated",AM176&lt;&gt;"Declared"),OR(AN176="",AN176="Unknown"),OR(AQ176="",AQ176="Unknown"),OR(AR176="",AR176="Unknown",AR176="TBD"),OR(BC176="",NOT(ISNUMBER(BC176)))),"Evidence incomplete","Evidence recorded; review scope")))))</x:f>
      </x:c>
      <x:c r="BN176" s="73"/>
    </x:row>
    <x:row r="177" ht="34" customHeight="1">
      <x:c r="A177" s="73"/>
      <x:c r="B177" s="73"/>
      <x:c r="C177" s="73"/>
      <x:c r="D177" s="73"/>
      <x:c r="E177" s="73"/>
      <x:c r="F177" s="73"/>
      <x:c r="G177" s="73"/>
      <x:c r="H177" s="73"/>
      <x:c r="I177" s="75"/>
      <x:c r="J177" s="73"/>
      <x:c r="K177" s="73"/>
      <x:c r="L177" s="76"/>
      <x:c r="M177" s="73"/>
      <x:c r="N177" s="73"/>
      <x:c r="O177" s="73"/>
      <x:c r="P177" s="73"/>
      <x:c r="Q177" s="76"/>
      <x:c r="R177" s="73"/>
      <x:c r="S177" s="73"/>
      <x:c r="T177" s="73"/>
      <x:c r="U177" s="73"/>
      <x:c r="V177" s="73"/>
      <x:c r="W177" s="73"/>
      <x:c r="X177" s="73"/>
      <x:c r="Y177" s="73"/>
      <x:c r="Z177" s="73"/>
      <x:c r="AA177" s="73"/>
      <x:c r="AB177" s="76" t="str">
        <x:f>IF(A177="","",IF(OR(NOT(ISNUMBER(I177)),I177&lt;0,NOT(ISNUMBER(AP177)),AP177&lt;0,NOT(ISNUMBER(L177)),L177&lt;1,L177&gt;5,L177&lt;&gt;INT(L177),AND(J177&lt;&gt;"Public",J177&lt;&gt;"Partner",J177&lt;&gt;"Internal",J177&lt;&gt;"None"),AND(K177&lt;&gt;"High",K177&lt;&gt;"Medium",K177&lt;&gt;"Low",K177&lt;&gt;"None"),AND(W177&lt;&gt;"Hard-coded",W177&lt;&gt;"Configurable",W177&lt;&gt;"Policy-managed",W177&lt;&gt;"API/Library abstraction",W177&lt;&gt;"Automated"),AND(Z177&lt;&gt;"Y",Z177&lt;&gt;"N"),AND(AA177&lt;&gt;"Y",AA177&lt;&gt;"N")),"Incomplete",IF(Z177="Y",20,0)+L177*5+IF(AA177="Y",15,0)+IF(J177="Public",10,IF(J177="Partner",7,IF(J177="Internal",3,0)))+IF(W177="Hard-coded",10,IF(W177="Configurable",3,0))+IF(MAX(I177,AP177)&gt;=10,10,IF(MAX(I177,AP177)&gt;=5,7,IF(MAX(I177,AP177)&gt;=2,3,0)))+IF(K177="High",10,IF(K177="Medium",5,0))))</x:f>
      </x:c>
      <x:c r="AC177" s="73" t="str">
        <x:f>IF(A177="","",IF(NOT(ISNUMBER(AB177)),"Review inputs",IF(AB177&gt;=70,"P0 - Immediate",IF(AB177&gt;=50,"P1 - High",IF(AB177&gt;=30,"P2 - Medium",IF(AB177&gt;=15,"P3 - Low","P4 - Monitor"))))))</x:f>
      </x:c>
      <x:c r="AD177" s="73"/>
      <x:c r="AE177" s="73"/>
      <x:c r="AF177" s="73"/>
      <x:c r="AG177" s="77"/>
      <x:c r="AH177" s="73"/>
      <x:c r="AI177" s="91"/>
      <x:c r="AJ177" s="91"/>
      <x:c r="AK177" s="91"/>
      <x:c r="AL177" s="92"/>
      <x:c r="AM177" s="91"/>
      <x:c r="AN177" s="91"/>
      <x:c r="AO177" s="93"/>
      <x:c r="AP177" s="94"/>
      <x:c r="AQ177" s="91"/>
      <x:c r="AR177" s="91"/>
      <x:c r="AS177" s="91"/>
      <x:c r="AT177" s="91"/>
      <x:c r="AU177" s="91"/>
      <x:c r="AV177" s="91"/>
      <x:c r="AW177" s="91"/>
      <x:c r="AX177" s="91"/>
      <x:c r="AY177" s="91"/>
      <x:c r="AZ177" s="92"/>
      <x:c r="BA177" s="94"/>
      <x:c r="BB177" s="91"/>
      <x:c r="BC177" s="92"/>
      <x:c r="BD177" s="92"/>
      <x:c r="BE177" s="91"/>
      <x:c r="BF177" s="91"/>
      <x:c r="BG177" s="91"/>
      <x:c r="BH177" s="91"/>
      <x:c r="BI177" s="91"/>
      <x:c r="BJ177" s="91"/>
      <x:c r="BK177" s="91"/>
      <x:c r="BL177" s="91"/>
      <x:c r="BM177" s="73" t="str">
        <x:f>IF(A177="","",IF(AI177="Example","Example only",IF(AI177&lt;&gt;"Actual","Set record type",IF(COUNTIF($A$2:$A$1001,A177)&gt;1,"Duplicate record ID",IF(OR(D177="",E177="",AF177="",NOT(ISNUMBER(AG177)),AJ177="",AK177="",NOT(ISNUMBER(AL177)),AND(AM177&lt;&gt;"Observed",AM177&lt;&gt;"Corroborated",AM177&lt;&gt;"Declared"),OR(AN177="",AN177="Unknown"),OR(AQ177="",AQ177="Unknown"),OR(AR177="",AR177="Unknown",AR177="TBD"),OR(BC177="",NOT(ISNUMBER(BC177)))),"Evidence incomplete","Evidence recorded; review scope")))))</x:f>
      </x:c>
      <x:c r="BN177" s="73"/>
    </x:row>
    <x:row r="178" ht="34" customHeight="1">
      <x:c r="A178" s="73"/>
      <x:c r="B178" s="73"/>
      <x:c r="C178" s="73"/>
      <x:c r="D178" s="73"/>
      <x:c r="E178" s="73"/>
      <x:c r="F178" s="73"/>
      <x:c r="G178" s="73"/>
      <x:c r="H178" s="73"/>
      <x:c r="I178" s="75"/>
      <x:c r="J178" s="73"/>
      <x:c r="K178" s="73"/>
      <x:c r="L178" s="76"/>
      <x:c r="M178" s="73"/>
      <x:c r="N178" s="73"/>
      <x:c r="O178" s="73"/>
      <x:c r="P178" s="73"/>
      <x:c r="Q178" s="76"/>
      <x:c r="R178" s="73"/>
      <x:c r="S178" s="73"/>
      <x:c r="T178" s="73"/>
      <x:c r="U178" s="73"/>
      <x:c r="V178" s="73"/>
      <x:c r="W178" s="73"/>
      <x:c r="X178" s="73"/>
      <x:c r="Y178" s="73"/>
      <x:c r="Z178" s="73"/>
      <x:c r="AA178" s="73"/>
      <x:c r="AB178" s="76" t="str">
        <x:f>IF(A178="","",IF(OR(NOT(ISNUMBER(I178)),I178&lt;0,NOT(ISNUMBER(AP178)),AP178&lt;0,NOT(ISNUMBER(L178)),L178&lt;1,L178&gt;5,L178&lt;&gt;INT(L178),AND(J178&lt;&gt;"Public",J178&lt;&gt;"Partner",J178&lt;&gt;"Internal",J178&lt;&gt;"None"),AND(K178&lt;&gt;"High",K178&lt;&gt;"Medium",K178&lt;&gt;"Low",K178&lt;&gt;"None"),AND(W178&lt;&gt;"Hard-coded",W178&lt;&gt;"Configurable",W178&lt;&gt;"Policy-managed",W178&lt;&gt;"API/Library abstraction",W178&lt;&gt;"Automated"),AND(Z178&lt;&gt;"Y",Z178&lt;&gt;"N"),AND(AA178&lt;&gt;"Y",AA178&lt;&gt;"N")),"Incomplete",IF(Z178="Y",20,0)+L178*5+IF(AA178="Y",15,0)+IF(J178="Public",10,IF(J178="Partner",7,IF(J178="Internal",3,0)))+IF(W178="Hard-coded",10,IF(W178="Configurable",3,0))+IF(MAX(I178,AP178)&gt;=10,10,IF(MAX(I178,AP178)&gt;=5,7,IF(MAX(I178,AP178)&gt;=2,3,0)))+IF(K178="High",10,IF(K178="Medium",5,0))))</x:f>
      </x:c>
      <x:c r="AC178" s="73" t="str">
        <x:f>IF(A178="","",IF(NOT(ISNUMBER(AB178)),"Review inputs",IF(AB178&gt;=70,"P0 - Immediate",IF(AB178&gt;=50,"P1 - High",IF(AB178&gt;=30,"P2 - Medium",IF(AB178&gt;=15,"P3 - Low","P4 - Monitor"))))))</x:f>
      </x:c>
      <x:c r="AD178" s="73"/>
      <x:c r="AE178" s="73"/>
      <x:c r="AF178" s="73"/>
      <x:c r="AG178" s="77"/>
      <x:c r="AH178" s="73"/>
      <x:c r="AI178" s="91"/>
      <x:c r="AJ178" s="91"/>
      <x:c r="AK178" s="91"/>
      <x:c r="AL178" s="92"/>
      <x:c r="AM178" s="91"/>
      <x:c r="AN178" s="91"/>
      <x:c r="AO178" s="93"/>
      <x:c r="AP178" s="94"/>
      <x:c r="AQ178" s="91"/>
      <x:c r="AR178" s="91"/>
      <x:c r="AS178" s="91"/>
      <x:c r="AT178" s="91"/>
      <x:c r="AU178" s="91"/>
      <x:c r="AV178" s="91"/>
      <x:c r="AW178" s="91"/>
      <x:c r="AX178" s="91"/>
      <x:c r="AY178" s="91"/>
      <x:c r="AZ178" s="92"/>
      <x:c r="BA178" s="94"/>
      <x:c r="BB178" s="91"/>
      <x:c r="BC178" s="92"/>
      <x:c r="BD178" s="92"/>
      <x:c r="BE178" s="91"/>
      <x:c r="BF178" s="91"/>
      <x:c r="BG178" s="91"/>
      <x:c r="BH178" s="91"/>
      <x:c r="BI178" s="91"/>
      <x:c r="BJ178" s="91"/>
      <x:c r="BK178" s="91"/>
      <x:c r="BL178" s="91"/>
      <x:c r="BM178" s="73" t="str">
        <x:f>IF(A178="","",IF(AI178="Example","Example only",IF(AI178&lt;&gt;"Actual","Set record type",IF(COUNTIF($A$2:$A$1001,A178)&gt;1,"Duplicate record ID",IF(OR(D178="",E178="",AF178="",NOT(ISNUMBER(AG178)),AJ178="",AK178="",NOT(ISNUMBER(AL178)),AND(AM178&lt;&gt;"Observed",AM178&lt;&gt;"Corroborated",AM178&lt;&gt;"Declared"),OR(AN178="",AN178="Unknown"),OR(AQ178="",AQ178="Unknown"),OR(AR178="",AR178="Unknown",AR178="TBD"),OR(BC178="",NOT(ISNUMBER(BC178)))),"Evidence incomplete","Evidence recorded; review scope")))))</x:f>
      </x:c>
      <x:c r="BN178" s="73"/>
    </x:row>
    <x:row r="179" ht="34" customHeight="1">
      <x:c r="A179" s="73"/>
      <x:c r="B179" s="73"/>
      <x:c r="C179" s="73"/>
      <x:c r="D179" s="73"/>
      <x:c r="E179" s="73"/>
      <x:c r="F179" s="73"/>
      <x:c r="G179" s="73"/>
      <x:c r="H179" s="73"/>
      <x:c r="I179" s="75"/>
      <x:c r="J179" s="73"/>
      <x:c r="K179" s="73"/>
      <x:c r="L179" s="76"/>
      <x:c r="M179" s="73"/>
      <x:c r="N179" s="73"/>
      <x:c r="O179" s="73"/>
      <x:c r="P179" s="73"/>
      <x:c r="Q179" s="76"/>
      <x:c r="R179" s="73"/>
      <x:c r="S179" s="73"/>
      <x:c r="T179" s="73"/>
      <x:c r="U179" s="73"/>
      <x:c r="V179" s="73"/>
      <x:c r="W179" s="73"/>
      <x:c r="X179" s="73"/>
      <x:c r="Y179" s="73"/>
      <x:c r="Z179" s="73"/>
      <x:c r="AA179" s="73"/>
      <x:c r="AB179" s="76" t="str">
        <x:f>IF(A179="","",IF(OR(NOT(ISNUMBER(I179)),I179&lt;0,NOT(ISNUMBER(AP179)),AP179&lt;0,NOT(ISNUMBER(L179)),L179&lt;1,L179&gt;5,L179&lt;&gt;INT(L179),AND(J179&lt;&gt;"Public",J179&lt;&gt;"Partner",J179&lt;&gt;"Internal",J179&lt;&gt;"None"),AND(K179&lt;&gt;"High",K179&lt;&gt;"Medium",K179&lt;&gt;"Low",K179&lt;&gt;"None"),AND(W179&lt;&gt;"Hard-coded",W179&lt;&gt;"Configurable",W179&lt;&gt;"Policy-managed",W179&lt;&gt;"API/Library abstraction",W179&lt;&gt;"Automated"),AND(Z179&lt;&gt;"Y",Z179&lt;&gt;"N"),AND(AA179&lt;&gt;"Y",AA179&lt;&gt;"N")),"Incomplete",IF(Z179="Y",20,0)+L179*5+IF(AA179="Y",15,0)+IF(J179="Public",10,IF(J179="Partner",7,IF(J179="Internal",3,0)))+IF(W179="Hard-coded",10,IF(W179="Configurable",3,0))+IF(MAX(I179,AP179)&gt;=10,10,IF(MAX(I179,AP179)&gt;=5,7,IF(MAX(I179,AP179)&gt;=2,3,0)))+IF(K179="High",10,IF(K179="Medium",5,0))))</x:f>
      </x:c>
      <x:c r="AC179" s="73" t="str">
        <x:f>IF(A179="","",IF(NOT(ISNUMBER(AB179)),"Review inputs",IF(AB179&gt;=70,"P0 - Immediate",IF(AB179&gt;=50,"P1 - High",IF(AB179&gt;=30,"P2 - Medium",IF(AB179&gt;=15,"P3 - Low","P4 - Monitor"))))))</x:f>
      </x:c>
      <x:c r="AD179" s="73"/>
      <x:c r="AE179" s="73"/>
      <x:c r="AF179" s="73"/>
      <x:c r="AG179" s="77"/>
      <x:c r="AH179" s="73"/>
      <x:c r="AI179" s="91"/>
      <x:c r="AJ179" s="91"/>
      <x:c r="AK179" s="91"/>
      <x:c r="AL179" s="92"/>
      <x:c r="AM179" s="91"/>
      <x:c r="AN179" s="91"/>
      <x:c r="AO179" s="93"/>
      <x:c r="AP179" s="94"/>
      <x:c r="AQ179" s="91"/>
      <x:c r="AR179" s="91"/>
      <x:c r="AS179" s="91"/>
      <x:c r="AT179" s="91"/>
      <x:c r="AU179" s="91"/>
      <x:c r="AV179" s="91"/>
      <x:c r="AW179" s="91"/>
      <x:c r="AX179" s="91"/>
      <x:c r="AY179" s="91"/>
      <x:c r="AZ179" s="92"/>
      <x:c r="BA179" s="94"/>
      <x:c r="BB179" s="91"/>
      <x:c r="BC179" s="92"/>
      <x:c r="BD179" s="92"/>
      <x:c r="BE179" s="91"/>
      <x:c r="BF179" s="91"/>
      <x:c r="BG179" s="91"/>
      <x:c r="BH179" s="91"/>
      <x:c r="BI179" s="91"/>
      <x:c r="BJ179" s="91"/>
      <x:c r="BK179" s="91"/>
      <x:c r="BL179" s="91"/>
      <x:c r="BM179" s="73" t="str">
        <x:f>IF(A179="","",IF(AI179="Example","Example only",IF(AI179&lt;&gt;"Actual","Set record type",IF(COUNTIF($A$2:$A$1001,A179)&gt;1,"Duplicate record ID",IF(OR(D179="",E179="",AF179="",NOT(ISNUMBER(AG179)),AJ179="",AK179="",NOT(ISNUMBER(AL179)),AND(AM179&lt;&gt;"Observed",AM179&lt;&gt;"Corroborated",AM179&lt;&gt;"Declared"),OR(AN179="",AN179="Unknown"),OR(AQ179="",AQ179="Unknown"),OR(AR179="",AR179="Unknown",AR179="TBD"),OR(BC179="",NOT(ISNUMBER(BC179)))),"Evidence incomplete","Evidence recorded; review scope")))))</x:f>
      </x:c>
      <x:c r="BN179" s="73"/>
    </x:row>
    <x:row r="180" ht="34" customHeight="1">
      <x:c r="A180" s="73"/>
      <x:c r="B180" s="73"/>
      <x:c r="C180" s="73"/>
      <x:c r="D180" s="73"/>
      <x:c r="E180" s="73"/>
      <x:c r="F180" s="73"/>
      <x:c r="G180" s="73"/>
      <x:c r="H180" s="73"/>
      <x:c r="I180" s="75"/>
      <x:c r="J180" s="73"/>
      <x:c r="K180" s="73"/>
      <x:c r="L180" s="76"/>
      <x:c r="M180" s="73"/>
      <x:c r="N180" s="73"/>
      <x:c r="O180" s="73"/>
      <x:c r="P180" s="73"/>
      <x:c r="Q180" s="76"/>
      <x:c r="R180" s="73"/>
      <x:c r="S180" s="73"/>
      <x:c r="T180" s="73"/>
      <x:c r="U180" s="73"/>
      <x:c r="V180" s="73"/>
      <x:c r="W180" s="73"/>
      <x:c r="X180" s="73"/>
      <x:c r="Y180" s="73"/>
      <x:c r="Z180" s="73"/>
      <x:c r="AA180" s="73"/>
      <x:c r="AB180" s="76" t="str">
        <x:f>IF(A180="","",IF(OR(NOT(ISNUMBER(I180)),I180&lt;0,NOT(ISNUMBER(AP180)),AP180&lt;0,NOT(ISNUMBER(L180)),L180&lt;1,L180&gt;5,L180&lt;&gt;INT(L180),AND(J180&lt;&gt;"Public",J180&lt;&gt;"Partner",J180&lt;&gt;"Internal",J180&lt;&gt;"None"),AND(K180&lt;&gt;"High",K180&lt;&gt;"Medium",K180&lt;&gt;"Low",K180&lt;&gt;"None"),AND(W180&lt;&gt;"Hard-coded",W180&lt;&gt;"Configurable",W180&lt;&gt;"Policy-managed",W180&lt;&gt;"API/Library abstraction",W180&lt;&gt;"Automated"),AND(Z180&lt;&gt;"Y",Z180&lt;&gt;"N"),AND(AA180&lt;&gt;"Y",AA180&lt;&gt;"N")),"Incomplete",IF(Z180="Y",20,0)+L180*5+IF(AA180="Y",15,0)+IF(J180="Public",10,IF(J180="Partner",7,IF(J180="Internal",3,0)))+IF(W180="Hard-coded",10,IF(W180="Configurable",3,0))+IF(MAX(I180,AP180)&gt;=10,10,IF(MAX(I180,AP180)&gt;=5,7,IF(MAX(I180,AP180)&gt;=2,3,0)))+IF(K180="High",10,IF(K180="Medium",5,0))))</x:f>
      </x:c>
      <x:c r="AC180" s="73" t="str">
        <x:f>IF(A180="","",IF(NOT(ISNUMBER(AB180)),"Review inputs",IF(AB180&gt;=70,"P0 - Immediate",IF(AB180&gt;=50,"P1 - High",IF(AB180&gt;=30,"P2 - Medium",IF(AB180&gt;=15,"P3 - Low","P4 - Monitor"))))))</x:f>
      </x:c>
      <x:c r="AD180" s="73"/>
      <x:c r="AE180" s="73"/>
      <x:c r="AF180" s="73"/>
      <x:c r="AG180" s="77"/>
      <x:c r="AH180" s="73"/>
      <x:c r="AI180" s="91"/>
      <x:c r="AJ180" s="91"/>
      <x:c r="AK180" s="91"/>
      <x:c r="AL180" s="92"/>
      <x:c r="AM180" s="91"/>
      <x:c r="AN180" s="91"/>
      <x:c r="AO180" s="93"/>
      <x:c r="AP180" s="94"/>
      <x:c r="AQ180" s="91"/>
      <x:c r="AR180" s="91"/>
      <x:c r="AS180" s="91"/>
      <x:c r="AT180" s="91"/>
      <x:c r="AU180" s="91"/>
      <x:c r="AV180" s="91"/>
      <x:c r="AW180" s="91"/>
      <x:c r="AX180" s="91"/>
      <x:c r="AY180" s="91"/>
      <x:c r="AZ180" s="92"/>
      <x:c r="BA180" s="94"/>
      <x:c r="BB180" s="91"/>
      <x:c r="BC180" s="92"/>
      <x:c r="BD180" s="92"/>
      <x:c r="BE180" s="91"/>
      <x:c r="BF180" s="91"/>
      <x:c r="BG180" s="91"/>
      <x:c r="BH180" s="91"/>
      <x:c r="BI180" s="91"/>
      <x:c r="BJ180" s="91"/>
      <x:c r="BK180" s="91"/>
      <x:c r="BL180" s="91"/>
      <x:c r="BM180" s="73" t="str">
        <x:f>IF(A180="","",IF(AI180="Example","Example only",IF(AI180&lt;&gt;"Actual","Set record type",IF(COUNTIF($A$2:$A$1001,A180)&gt;1,"Duplicate record ID",IF(OR(D180="",E180="",AF180="",NOT(ISNUMBER(AG180)),AJ180="",AK180="",NOT(ISNUMBER(AL180)),AND(AM180&lt;&gt;"Observed",AM180&lt;&gt;"Corroborated",AM180&lt;&gt;"Declared"),OR(AN180="",AN180="Unknown"),OR(AQ180="",AQ180="Unknown"),OR(AR180="",AR180="Unknown",AR180="TBD"),OR(BC180="",NOT(ISNUMBER(BC180)))),"Evidence incomplete","Evidence recorded; review scope")))))</x:f>
      </x:c>
      <x:c r="BN180" s="73"/>
    </x:row>
    <x:row r="181" ht="34" customHeight="1">
      <x:c r="A181" s="73"/>
      <x:c r="B181" s="73"/>
      <x:c r="C181" s="73"/>
      <x:c r="D181" s="73"/>
      <x:c r="E181" s="73"/>
      <x:c r="F181" s="73"/>
      <x:c r="G181" s="73"/>
      <x:c r="H181" s="73"/>
      <x:c r="I181" s="75"/>
      <x:c r="J181" s="73"/>
      <x:c r="K181" s="73"/>
      <x:c r="L181" s="76"/>
      <x:c r="M181" s="73"/>
      <x:c r="N181" s="73"/>
      <x:c r="O181" s="73"/>
      <x:c r="P181" s="73"/>
      <x:c r="Q181" s="76"/>
      <x:c r="R181" s="73"/>
      <x:c r="S181" s="73"/>
      <x:c r="T181" s="73"/>
      <x:c r="U181" s="73"/>
      <x:c r="V181" s="73"/>
      <x:c r="W181" s="73"/>
      <x:c r="X181" s="73"/>
      <x:c r="Y181" s="73"/>
      <x:c r="Z181" s="73"/>
      <x:c r="AA181" s="73"/>
      <x:c r="AB181" s="76" t="str">
        <x:f>IF(A181="","",IF(OR(NOT(ISNUMBER(I181)),I181&lt;0,NOT(ISNUMBER(AP181)),AP181&lt;0,NOT(ISNUMBER(L181)),L181&lt;1,L181&gt;5,L181&lt;&gt;INT(L181),AND(J181&lt;&gt;"Public",J181&lt;&gt;"Partner",J181&lt;&gt;"Internal",J181&lt;&gt;"None"),AND(K181&lt;&gt;"High",K181&lt;&gt;"Medium",K181&lt;&gt;"Low",K181&lt;&gt;"None"),AND(W181&lt;&gt;"Hard-coded",W181&lt;&gt;"Configurable",W181&lt;&gt;"Policy-managed",W181&lt;&gt;"API/Library abstraction",W181&lt;&gt;"Automated"),AND(Z181&lt;&gt;"Y",Z181&lt;&gt;"N"),AND(AA181&lt;&gt;"Y",AA181&lt;&gt;"N")),"Incomplete",IF(Z181="Y",20,0)+L181*5+IF(AA181="Y",15,0)+IF(J181="Public",10,IF(J181="Partner",7,IF(J181="Internal",3,0)))+IF(W181="Hard-coded",10,IF(W181="Configurable",3,0))+IF(MAX(I181,AP181)&gt;=10,10,IF(MAX(I181,AP181)&gt;=5,7,IF(MAX(I181,AP181)&gt;=2,3,0)))+IF(K181="High",10,IF(K181="Medium",5,0))))</x:f>
      </x:c>
      <x:c r="AC181" s="73" t="str">
        <x:f>IF(A181="","",IF(NOT(ISNUMBER(AB181)),"Review inputs",IF(AB181&gt;=70,"P0 - Immediate",IF(AB181&gt;=50,"P1 - High",IF(AB181&gt;=30,"P2 - Medium",IF(AB181&gt;=15,"P3 - Low","P4 - Monitor"))))))</x:f>
      </x:c>
      <x:c r="AD181" s="73"/>
      <x:c r="AE181" s="73"/>
      <x:c r="AF181" s="73"/>
      <x:c r="AG181" s="77"/>
      <x:c r="AH181" s="73"/>
      <x:c r="AI181" s="91"/>
      <x:c r="AJ181" s="91"/>
      <x:c r="AK181" s="91"/>
      <x:c r="AL181" s="92"/>
      <x:c r="AM181" s="91"/>
      <x:c r="AN181" s="91"/>
      <x:c r="AO181" s="93"/>
      <x:c r="AP181" s="94"/>
      <x:c r="AQ181" s="91"/>
      <x:c r="AR181" s="91"/>
      <x:c r="AS181" s="91"/>
      <x:c r="AT181" s="91"/>
      <x:c r="AU181" s="91"/>
      <x:c r="AV181" s="91"/>
      <x:c r="AW181" s="91"/>
      <x:c r="AX181" s="91"/>
      <x:c r="AY181" s="91"/>
      <x:c r="AZ181" s="92"/>
      <x:c r="BA181" s="94"/>
      <x:c r="BB181" s="91"/>
      <x:c r="BC181" s="92"/>
      <x:c r="BD181" s="92"/>
      <x:c r="BE181" s="91"/>
      <x:c r="BF181" s="91"/>
      <x:c r="BG181" s="91"/>
      <x:c r="BH181" s="91"/>
      <x:c r="BI181" s="91"/>
      <x:c r="BJ181" s="91"/>
      <x:c r="BK181" s="91"/>
      <x:c r="BL181" s="91"/>
      <x:c r="BM181" s="73" t="str">
        <x:f>IF(A181="","",IF(AI181="Example","Example only",IF(AI181&lt;&gt;"Actual","Set record type",IF(COUNTIF($A$2:$A$1001,A181)&gt;1,"Duplicate record ID",IF(OR(D181="",E181="",AF181="",NOT(ISNUMBER(AG181)),AJ181="",AK181="",NOT(ISNUMBER(AL181)),AND(AM181&lt;&gt;"Observed",AM181&lt;&gt;"Corroborated",AM181&lt;&gt;"Declared"),OR(AN181="",AN181="Unknown"),OR(AQ181="",AQ181="Unknown"),OR(AR181="",AR181="Unknown",AR181="TBD"),OR(BC181="",NOT(ISNUMBER(BC181)))),"Evidence incomplete","Evidence recorded; review scope")))))</x:f>
      </x:c>
      <x:c r="BN181" s="73"/>
    </x:row>
    <x:row r="182" ht="34" customHeight="1">
      <x:c r="A182" s="73"/>
      <x:c r="B182" s="73"/>
      <x:c r="C182" s="73"/>
      <x:c r="D182" s="73"/>
      <x:c r="E182" s="73"/>
      <x:c r="F182" s="73"/>
      <x:c r="G182" s="73"/>
      <x:c r="H182" s="73"/>
      <x:c r="I182" s="75"/>
      <x:c r="J182" s="73"/>
      <x:c r="K182" s="73"/>
      <x:c r="L182" s="76"/>
      <x:c r="M182" s="73"/>
      <x:c r="N182" s="73"/>
      <x:c r="O182" s="73"/>
      <x:c r="P182" s="73"/>
      <x:c r="Q182" s="76"/>
      <x:c r="R182" s="73"/>
      <x:c r="S182" s="73"/>
      <x:c r="T182" s="73"/>
      <x:c r="U182" s="73"/>
      <x:c r="V182" s="73"/>
      <x:c r="W182" s="73"/>
      <x:c r="X182" s="73"/>
      <x:c r="Y182" s="73"/>
      <x:c r="Z182" s="73"/>
      <x:c r="AA182" s="73"/>
      <x:c r="AB182" s="76" t="str">
        <x:f>IF(A182="","",IF(OR(NOT(ISNUMBER(I182)),I182&lt;0,NOT(ISNUMBER(AP182)),AP182&lt;0,NOT(ISNUMBER(L182)),L182&lt;1,L182&gt;5,L182&lt;&gt;INT(L182),AND(J182&lt;&gt;"Public",J182&lt;&gt;"Partner",J182&lt;&gt;"Internal",J182&lt;&gt;"None"),AND(K182&lt;&gt;"High",K182&lt;&gt;"Medium",K182&lt;&gt;"Low",K182&lt;&gt;"None"),AND(W182&lt;&gt;"Hard-coded",W182&lt;&gt;"Configurable",W182&lt;&gt;"Policy-managed",W182&lt;&gt;"API/Library abstraction",W182&lt;&gt;"Automated"),AND(Z182&lt;&gt;"Y",Z182&lt;&gt;"N"),AND(AA182&lt;&gt;"Y",AA182&lt;&gt;"N")),"Incomplete",IF(Z182="Y",20,0)+L182*5+IF(AA182="Y",15,0)+IF(J182="Public",10,IF(J182="Partner",7,IF(J182="Internal",3,0)))+IF(W182="Hard-coded",10,IF(W182="Configurable",3,0))+IF(MAX(I182,AP182)&gt;=10,10,IF(MAX(I182,AP182)&gt;=5,7,IF(MAX(I182,AP182)&gt;=2,3,0)))+IF(K182="High",10,IF(K182="Medium",5,0))))</x:f>
      </x:c>
      <x:c r="AC182" s="73" t="str">
        <x:f>IF(A182="","",IF(NOT(ISNUMBER(AB182)),"Review inputs",IF(AB182&gt;=70,"P0 - Immediate",IF(AB182&gt;=50,"P1 - High",IF(AB182&gt;=30,"P2 - Medium",IF(AB182&gt;=15,"P3 - Low","P4 - Monitor"))))))</x:f>
      </x:c>
      <x:c r="AD182" s="73"/>
      <x:c r="AE182" s="73"/>
      <x:c r="AF182" s="73"/>
      <x:c r="AG182" s="77"/>
      <x:c r="AH182" s="73"/>
      <x:c r="AI182" s="91"/>
      <x:c r="AJ182" s="91"/>
      <x:c r="AK182" s="91"/>
      <x:c r="AL182" s="92"/>
      <x:c r="AM182" s="91"/>
      <x:c r="AN182" s="91"/>
      <x:c r="AO182" s="93"/>
      <x:c r="AP182" s="94"/>
      <x:c r="AQ182" s="91"/>
      <x:c r="AR182" s="91"/>
      <x:c r="AS182" s="91"/>
      <x:c r="AT182" s="91"/>
      <x:c r="AU182" s="91"/>
      <x:c r="AV182" s="91"/>
      <x:c r="AW182" s="91"/>
      <x:c r="AX182" s="91"/>
      <x:c r="AY182" s="91"/>
      <x:c r="AZ182" s="92"/>
      <x:c r="BA182" s="94"/>
      <x:c r="BB182" s="91"/>
      <x:c r="BC182" s="92"/>
      <x:c r="BD182" s="92"/>
      <x:c r="BE182" s="91"/>
      <x:c r="BF182" s="91"/>
      <x:c r="BG182" s="91"/>
      <x:c r="BH182" s="91"/>
      <x:c r="BI182" s="91"/>
      <x:c r="BJ182" s="91"/>
      <x:c r="BK182" s="91"/>
      <x:c r="BL182" s="91"/>
      <x:c r="BM182" s="73" t="str">
        <x:f>IF(A182="","",IF(AI182="Example","Example only",IF(AI182&lt;&gt;"Actual","Set record type",IF(COUNTIF($A$2:$A$1001,A182)&gt;1,"Duplicate record ID",IF(OR(D182="",E182="",AF182="",NOT(ISNUMBER(AG182)),AJ182="",AK182="",NOT(ISNUMBER(AL182)),AND(AM182&lt;&gt;"Observed",AM182&lt;&gt;"Corroborated",AM182&lt;&gt;"Declared"),OR(AN182="",AN182="Unknown"),OR(AQ182="",AQ182="Unknown"),OR(AR182="",AR182="Unknown",AR182="TBD"),OR(BC182="",NOT(ISNUMBER(BC182)))),"Evidence incomplete","Evidence recorded; review scope")))))</x:f>
      </x:c>
      <x:c r="BN182" s="73"/>
    </x:row>
    <x:row r="183" ht="34" customHeight="1">
      <x:c r="A183" s="73"/>
      <x:c r="B183" s="73"/>
      <x:c r="C183" s="73"/>
      <x:c r="D183" s="73"/>
      <x:c r="E183" s="73"/>
      <x:c r="F183" s="73"/>
      <x:c r="G183" s="73"/>
      <x:c r="H183" s="73"/>
      <x:c r="I183" s="75"/>
      <x:c r="J183" s="73"/>
      <x:c r="K183" s="73"/>
      <x:c r="L183" s="76"/>
      <x:c r="M183" s="73"/>
      <x:c r="N183" s="73"/>
      <x:c r="O183" s="73"/>
      <x:c r="P183" s="73"/>
      <x:c r="Q183" s="76"/>
      <x:c r="R183" s="73"/>
      <x:c r="S183" s="73"/>
      <x:c r="T183" s="73"/>
      <x:c r="U183" s="73"/>
      <x:c r="V183" s="73"/>
      <x:c r="W183" s="73"/>
      <x:c r="X183" s="73"/>
      <x:c r="Y183" s="73"/>
      <x:c r="Z183" s="73"/>
      <x:c r="AA183" s="73"/>
      <x:c r="AB183" s="76" t="str">
        <x:f>IF(A183="","",IF(OR(NOT(ISNUMBER(I183)),I183&lt;0,NOT(ISNUMBER(AP183)),AP183&lt;0,NOT(ISNUMBER(L183)),L183&lt;1,L183&gt;5,L183&lt;&gt;INT(L183),AND(J183&lt;&gt;"Public",J183&lt;&gt;"Partner",J183&lt;&gt;"Internal",J183&lt;&gt;"None"),AND(K183&lt;&gt;"High",K183&lt;&gt;"Medium",K183&lt;&gt;"Low",K183&lt;&gt;"None"),AND(W183&lt;&gt;"Hard-coded",W183&lt;&gt;"Configurable",W183&lt;&gt;"Policy-managed",W183&lt;&gt;"API/Library abstraction",W183&lt;&gt;"Automated"),AND(Z183&lt;&gt;"Y",Z183&lt;&gt;"N"),AND(AA183&lt;&gt;"Y",AA183&lt;&gt;"N")),"Incomplete",IF(Z183="Y",20,0)+L183*5+IF(AA183="Y",15,0)+IF(J183="Public",10,IF(J183="Partner",7,IF(J183="Internal",3,0)))+IF(W183="Hard-coded",10,IF(W183="Configurable",3,0))+IF(MAX(I183,AP183)&gt;=10,10,IF(MAX(I183,AP183)&gt;=5,7,IF(MAX(I183,AP183)&gt;=2,3,0)))+IF(K183="High",10,IF(K183="Medium",5,0))))</x:f>
      </x:c>
      <x:c r="AC183" s="73" t="str">
        <x:f>IF(A183="","",IF(NOT(ISNUMBER(AB183)),"Review inputs",IF(AB183&gt;=70,"P0 - Immediate",IF(AB183&gt;=50,"P1 - High",IF(AB183&gt;=30,"P2 - Medium",IF(AB183&gt;=15,"P3 - Low","P4 - Monitor"))))))</x:f>
      </x:c>
      <x:c r="AD183" s="73"/>
      <x:c r="AE183" s="73"/>
      <x:c r="AF183" s="73"/>
      <x:c r="AG183" s="77"/>
      <x:c r="AH183" s="73"/>
      <x:c r="AI183" s="91"/>
      <x:c r="AJ183" s="91"/>
      <x:c r="AK183" s="91"/>
      <x:c r="AL183" s="92"/>
      <x:c r="AM183" s="91"/>
      <x:c r="AN183" s="91"/>
      <x:c r="AO183" s="93"/>
      <x:c r="AP183" s="94"/>
      <x:c r="AQ183" s="91"/>
      <x:c r="AR183" s="91"/>
      <x:c r="AS183" s="91"/>
      <x:c r="AT183" s="91"/>
      <x:c r="AU183" s="91"/>
      <x:c r="AV183" s="91"/>
      <x:c r="AW183" s="91"/>
      <x:c r="AX183" s="91"/>
      <x:c r="AY183" s="91"/>
      <x:c r="AZ183" s="92"/>
      <x:c r="BA183" s="94"/>
      <x:c r="BB183" s="91"/>
      <x:c r="BC183" s="92"/>
      <x:c r="BD183" s="92"/>
      <x:c r="BE183" s="91"/>
      <x:c r="BF183" s="91"/>
      <x:c r="BG183" s="91"/>
      <x:c r="BH183" s="91"/>
      <x:c r="BI183" s="91"/>
      <x:c r="BJ183" s="91"/>
      <x:c r="BK183" s="91"/>
      <x:c r="BL183" s="91"/>
      <x:c r="BM183" s="73" t="str">
        <x:f>IF(A183="","",IF(AI183="Example","Example only",IF(AI183&lt;&gt;"Actual","Set record type",IF(COUNTIF($A$2:$A$1001,A183)&gt;1,"Duplicate record ID",IF(OR(D183="",E183="",AF183="",NOT(ISNUMBER(AG183)),AJ183="",AK183="",NOT(ISNUMBER(AL183)),AND(AM183&lt;&gt;"Observed",AM183&lt;&gt;"Corroborated",AM183&lt;&gt;"Declared"),OR(AN183="",AN183="Unknown"),OR(AQ183="",AQ183="Unknown"),OR(AR183="",AR183="Unknown",AR183="TBD"),OR(BC183="",NOT(ISNUMBER(BC183)))),"Evidence incomplete","Evidence recorded; review scope")))))</x:f>
      </x:c>
      <x:c r="BN183" s="73"/>
    </x:row>
    <x:row r="184" ht="34" customHeight="1">
      <x:c r="A184" s="73"/>
      <x:c r="B184" s="73"/>
      <x:c r="C184" s="73"/>
      <x:c r="D184" s="73"/>
      <x:c r="E184" s="73"/>
      <x:c r="F184" s="73"/>
      <x:c r="G184" s="73"/>
      <x:c r="H184" s="73"/>
      <x:c r="I184" s="75"/>
      <x:c r="J184" s="73"/>
      <x:c r="K184" s="73"/>
      <x:c r="L184" s="76"/>
      <x:c r="M184" s="73"/>
      <x:c r="N184" s="73"/>
      <x:c r="O184" s="73"/>
      <x:c r="P184" s="73"/>
      <x:c r="Q184" s="76"/>
      <x:c r="R184" s="73"/>
      <x:c r="S184" s="73"/>
      <x:c r="T184" s="73"/>
      <x:c r="U184" s="73"/>
      <x:c r="V184" s="73"/>
      <x:c r="W184" s="73"/>
      <x:c r="X184" s="73"/>
      <x:c r="Y184" s="73"/>
      <x:c r="Z184" s="73"/>
      <x:c r="AA184" s="73"/>
      <x:c r="AB184" s="76" t="str">
        <x:f>IF(A184="","",IF(OR(NOT(ISNUMBER(I184)),I184&lt;0,NOT(ISNUMBER(AP184)),AP184&lt;0,NOT(ISNUMBER(L184)),L184&lt;1,L184&gt;5,L184&lt;&gt;INT(L184),AND(J184&lt;&gt;"Public",J184&lt;&gt;"Partner",J184&lt;&gt;"Internal",J184&lt;&gt;"None"),AND(K184&lt;&gt;"High",K184&lt;&gt;"Medium",K184&lt;&gt;"Low",K184&lt;&gt;"None"),AND(W184&lt;&gt;"Hard-coded",W184&lt;&gt;"Configurable",W184&lt;&gt;"Policy-managed",W184&lt;&gt;"API/Library abstraction",W184&lt;&gt;"Automated"),AND(Z184&lt;&gt;"Y",Z184&lt;&gt;"N"),AND(AA184&lt;&gt;"Y",AA184&lt;&gt;"N")),"Incomplete",IF(Z184="Y",20,0)+L184*5+IF(AA184="Y",15,0)+IF(J184="Public",10,IF(J184="Partner",7,IF(J184="Internal",3,0)))+IF(W184="Hard-coded",10,IF(W184="Configurable",3,0))+IF(MAX(I184,AP184)&gt;=10,10,IF(MAX(I184,AP184)&gt;=5,7,IF(MAX(I184,AP184)&gt;=2,3,0)))+IF(K184="High",10,IF(K184="Medium",5,0))))</x:f>
      </x:c>
      <x:c r="AC184" s="73" t="str">
        <x:f>IF(A184="","",IF(NOT(ISNUMBER(AB184)),"Review inputs",IF(AB184&gt;=70,"P0 - Immediate",IF(AB184&gt;=50,"P1 - High",IF(AB184&gt;=30,"P2 - Medium",IF(AB184&gt;=15,"P3 - Low","P4 - Monitor"))))))</x:f>
      </x:c>
      <x:c r="AD184" s="73"/>
      <x:c r="AE184" s="73"/>
      <x:c r="AF184" s="73"/>
      <x:c r="AG184" s="77"/>
      <x:c r="AH184" s="73"/>
      <x:c r="AI184" s="91"/>
      <x:c r="AJ184" s="91"/>
      <x:c r="AK184" s="91"/>
      <x:c r="AL184" s="92"/>
      <x:c r="AM184" s="91"/>
      <x:c r="AN184" s="91"/>
      <x:c r="AO184" s="93"/>
      <x:c r="AP184" s="94"/>
      <x:c r="AQ184" s="91"/>
      <x:c r="AR184" s="91"/>
      <x:c r="AS184" s="91"/>
      <x:c r="AT184" s="91"/>
      <x:c r="AU184" s="91"/>
      <x:c r="AV184" s="91"/>
      <x:c r="AW184" s="91"/>
      <x:c r="AX184" s="91"/>
      <x:c r="AY184" s="91"/>
      <x:c r="AZ184" s="92"/>
      <x:c r="BA184" s="94"/>
      <x:c r="BB184" s="91"/>
      <x:c r="BC184" s="92"/>
      <x:c r="BD184" s="92"/>
      <x:c r="BE184" s="91"/>
      <x:c r="BF184" s="91"/>
      <x:c r="BG184" s="91"/>
      <x:c r="BH184" s="91"/>
      <x:c r="BI184" s="91"/>
      <x:c r="BJ184" s="91"/>
      <x:c r="BK184" s="91"/>
      <x:c r="BL184" s="91"/>
      <x:c r="BM184" s="73" t="str">
        <x:f>IF(A184="","",IF(AI184="Example","Example only",IF(AI184&lt;&gt;"Actual","Set record type",IF(COUNTIF($A$2:$A$1001,A184)&gt;1,"Duplicate record ID",IF(OR(D184="",E184="",AF184="",NOT(ISNUMBER(AG184)),AJ184="",AK184="",NOT(ISNUMBER(AL184)),AND(AM184&lt;&gt;"Observed",AM184&lt;&gt;"Corroborated",AM184&lt;&gt;"Declared"),OR(AN184="",AN184="Unknown"),OR(AQ184="",AQ184="Unknown"),OR(AR184="",AR184="Unknown",AR184="TBD"),OR(BC184="",NOT(ISNUMBER(BC184)))),"Evidence incomplete","Evidence recorded; review scope")))))</x:f>
      </x:c>
      <x:c r="BN184" s="73"/>
    </x:row>
    <x:row r="185" ht="34" customHeight="1">
      <x:c r="A185" s="73"/>
      <x:c r="B185" s="73"/>
      <x:c r="C185" s="73"/>
      <x:c r="D185" s="73"/>
      <x:c r="E185" s="73"/>
      <x:c r="F185" s="73"/>
      <x:c r="G185" s="73"/>
      <x:c r="H185" s="73"/>
      <x:c r="I185" s="75"/>
      <x:c r="J185" s="73"/>
      <x:c r="K185" s="73"/>
      <x:c r="L185" s="76"/>
      <x:c r="M185" s="73"/>
      <x:c r="N185" s="73"/>
      <x:c r="O185" s="73"/>
      <x:c r="P185" s="73"/>
      <x:c r="Q185" s="76"/>
      <x:c r="R185" s="73"/>
      <x:c r="S185" s="73"/>
      <x:c r="T185" s="73"/>
      <x:c r="U185" s="73"/>
      <x:c r="V185" s="73"/>
      <x:c r="W185" s="73"/>
      <x:c r="X185" s="73"/>
      <x:c r="Y185" s="73"/>
      <x:c r="Z185" s="73"/>
      <x:c r="AA185" s="73"/>
      <x:c r="AB185" s="76" t="str">
        <x:f>IF(A185="","",IF(OR(NOT(ISNUMBER(I185)),I185&lt;0,NOT(ISNUMBER(AP185)),AP185&lt;0,NOT(ISNUMBER(L185)),L185&lt;1,L185&gt;5,L185&lt;&gt;INT(L185),AND(J185&lt;&gt;"Public",J185&lt;&gt;"Partner",J185&lt;&gt;"Internal",J185&lt;&gt;"None"),AND(K185&lt;&gt;"High",K185&lt;&gt;"Medium",K185&lt;&gt;"Low",K185&lt;&gt;"None"),AND(W185&lt;&gt;"Hard-coded",W185&lt;&gt;"Configurable",W185&lt;&gt;"Policy-managed",W185&lt;&gt;"API/Library abstraction",W185&lt;&gt;"Automated"),AND(Z185&lt;&gt;"Y",Z185&lt;&gt;"N"),AND(AA185&lt;&gt;"Y",AA185&lt;&gt;"N")),"Incomplete",IF(Z185="Y",20,0)+L185*5+IF(AA185="Y",15,0)+IF(J185="Public",10,IF(J185="Partner",7,IF(J185="Internal",3,0)))+IF(W185="Hard-coded",10,IF(W185="Configurable",3,0))+IF(MAX(I185,AP185)&gt;=10,10,IF(MAX(I185,AP185)&gt;=5,7,IF(MAX(I185,AP185)&gt;=2,3,0)))+IF(K185="High",10,IF(K185="Medium",5,0))))</x:f>
      </x:c>
      <x:c r="AC185" s="73" t="str">
        <x:f>IF(A185="","",IF(NOT(ISNUMBER(AB185)),"Review inputs",IF(AB185&gt;=70,"P0 - Immediate",IF(AB185&gt;=50,"P1 - High",IF(AB185&gt;=30,"P2 - Medium",IF(AB185&gt;=15,"P3 - Low","P4 - Monitor"))))))</x:f>
      </x:c>
      <x:c r="AD185" s="73"/>
      <x:c r="AE185" s="73"/>
      <x:c r="AF185" s="73"/>
      <x:c r="AG185" s="77"/>
      <x:c r="AH185" s="73"/>
      <x:c r="AI185" s="91"/>
      <x:c r="AJ185" s="91"/>
      <x:c r="AK185" s="91"/>
      <x:c r="AL185" s="92"/>
      <x:c r="AM185" s="91"/>
      <x:c r="AN185" s="91"/>
      <x:c r="AO185" s="93"/>
      <x:c r="AP185" s="94"/>
      <x:c r="AQ185" s="91"/>
      <x:c r="AR185" s="91"/>
      <x:c r="AS185" s="91"/>
      <x:c r="AT185" s="91"/>
      <x:c r="AU185" s="91"/>
      <x:c r="AV185" s="91"/>
      <x:c r="AW185" s="91"/>
      <x:c r="AX185" s="91"/>
      <x:c r="AY185" s="91"/>
      <x:c r="AZ185" s="92"/>
      <x:c r="BA185" s="94"/>
      <x:c r="BB185" s="91"/>
      <x:c r="BC185" s="92"/>
      <x:c r="BD185" s="92"/>
      <x:c r="BE185" s="91"/>
      <x:c r="BF185" s="91"/>
      <x:c r="BG185" s="91"/>
      <x:c r="BH185" s="91"/>
      <x:c r="BI185" s="91"/>
      <x:c r="BJ185" s="91"/>
      <x:c r="BK185" s="91"/>
      <x:c r="BL185" s="91"/>
      <x:c r="BM185" s="73" t="str">
        <x:f>IF(A185="","",IF(AI185="Example","Example only",IF(AI185&lt;&gt;"Actual","Set record type",IF(COUNTIF($A$2:$A$1001,A185)&gt;1,"Duplicate record ID",IF(OR(D185="",E185="",AF185="",NOT(ISNUMBER(AG185)),AJ185="",AK185="",NOT(ISNUMBER(AL185)),AND(AM185&lt;&gt;"Observed",AM185&lt;&gt;"Corroborated",AM185&lt;&gt;"Declared"),OR(AN185="",AN185="Unknown"),OR(AQ185="",AQ185="Unknown"),OR(AR185="",AR185="Unknown",AR185="TBD"),OR(BC185="",NOT(ISNUMBER(BC185)))),"Evidence incomplete","Evidence recorded; review scope")))))</x:f>
      </x:c>
      <x:c r="BN185" s="73"/>
    </x:row>
    <x:row r="186" ht="34" customHeight="1">
      <x:c r="A186" s="73"/>
      <x:c r="B186" s="73"/>
      <x:c r="C186" s="73"/>
      <x:c r="D186" s="73"/>
      <x:c r="E186" s="73"/>
      <x:c r="F186" s="73"/>
      <x:c r="G186" s="73"/>
      <x:c r="H186" s="73"/>
      <x:c r="I186" s="75"/>
      <x:c r="J186" s="73"/>
      <x:c r="K186" s="73"/>
      <x:c r="L186" s="76"/>
      <x:c r="M186" s="73"/>
      <x:c r="N186" s="73"/>
      <x:c r="O186" s="73"/>
      <x:c r="P186" s="73"/>
      <x:c r="Q186" s="76"/>
      <x:c r="R186" s="73"/>
      <x:c r="S186" s="73"/>
      <x:c r="T186" s="73"/>
      <x:c r="U186" s="73"/>
      <x:c r="V186" s="73"/>
      <x:c r="W186" s="73"/>
      <x:c r="X186" s="73"/>
      <x:c r="Y186" s="73"/>
      <x:c r="Z186" s="73"/>
      <x:c r="AA186" s="73"/>
      <x:c r="AB186" s="76" t="str">
        <x:f>IF(A186="","",IF(OR(NOT(ISNUMBER(I186)),I186&lt;0,NOT(ISNUMBER(AP186)),AP186&lt;0,NOT(ISNUMBER(L186)),L186&lt;1,L186&gt;5,L186&lt;&gt;INT(L186),AND(J186&lt;&gt;"Public",J186&lt;&gt;"Partner",J186&lt;&gt;"Internal",J186&lt;&gt;"None"),AND(K186&lt;&gt;"High",K186&lt;&gt;"Medium",K186&lt;&gt;"Low",K186&lt;&gt;"None"),AND(W186&lt;&gt;"Hard-coded",W186&lt;&gt;"Configurable",W186&lt;&gt;"Policy-managed",W186&lt;&gt;"API/Library abstraction",W186&lt;&gt;"Automated"),AND(Z186&lt;&gt;"Y",Z186&lt;&gt;"N"),AND(AA186&lt;&gt;"Y",AA186&lt;&gt;"N")),"Incomplete",IF(Z186="Y",20,0)+L186*5+IF(AA186="Y",15,0)+IF(J186="Public",10,IF(J186="Partner",7,IF(J186="Internal",3,0)))+IF(W186="Hard-coded",10,IF(W186="Configurable",3,0))+IF(MAX(I186,AP186)&gt;=10,10,IF(MAX(I186,AP186)&gt;=5,7,IF(MAX(I186,AP186)&gt;=2,3,0)))+IF(K186="High",10,IF(K186="Medium",5,0))))</x:f>
      </x:c>
      <x:c r="AC186" s="73" t="str">
        <x:f>IF(A186="","",IF(NOT(ISNUMBER(AB186)),"Review inputs",IF(AB186&gt;=70,"P0 - Immediate",IF(AB186&gt;=50,"P1 - High",IF(AB186&gt;=30,"P2 - Medium",IF(AB186&gt;=15,"P3 - Low","P4 - Monitor"))))))</x:f>
      </x:c>
      <x:c r="AD186" s="73"/>
      <x:c r="AE186" s="73"/>
      <x:c r="AF186" s="73"/>
      <x:c r="AG186" s="77"/>
      <x:c r="AH186" s="73"/>
      <x:c r="AI186" s="91"/>
      <x:c r="AJ186" s="91"/>
      <x:c r="AK186" s="91"/>
      <x:c r="AL186" s="92"/>
      <x:c r="AM186" s="91"/>
      <x:c r="AN186" s="91"/>
      <x:c r="AO186" s="93"/>
      <x:c r="AP186" s="94"/>
      <x:c r="AQ186" s="91"/>
      <x:c r="AR186" s="91"/>
      <x:c r="AS186" s="91"/>
      <x:c r="AT186" s="91"/>
      <x:c r="AU186" s="91"/>
      <x:c r="AV186" s="91"/>
      <x:c r="AW186" s="91"/>
      <x:c r="AX186" s="91"/>
      <x:c r="AY186" s="91"/>
      <x:c r="AZ186" s="92"/>
      <x:c r="BA186" s="94"/>
      <x:c r="BB186" s="91"/>
      <x:c r="BC186" s="92"/>
      <x:c r="BD186" s="92"/>
      <x:c r="BE186" s="91"/>
      <x:c r="BF186" s="91"/>
      <x:c r="BG186" s="91"/>
      <x:c r="BH186" s="91"/>
      <x:c r="BI186" s="91"/>
      <x:c r="BJ186" s="91"/>
      <x:c r="BK186" s="91"/>
      <x:c r="BL186" s="91"/>
      <x:c r="BM186" s="73" t="str">
        <x:f>IF(A186="","",IF(AI186="Example","Example only",IF(AI186&lt;&gt;"Actual","Set record type",IF(COUNTIF($A$2:$A$1001,A186)&gt;1,"Duplicate record ID",IF(OR(D186="",E186="",AF186="",NOT(ISNUMBER(AG186)),AJ186="",AK186="",NOT(ISNUMBER(AL186)),AND(AM186&lt;&gt;"Observed",AM186&lt;&gt;"Corroborated",AM186&lt;&gt;"Declared"),OR(AN186="",AN186="Unknown"),OR(AQ186="",AQ186="Unknown"),OR(AR186="",AR186="Unknown",AR186="TBD"),OR(BC186="",NOT(ISNUMBER(BC186)))),"Evidence incomplete","Evidence recorded; review scope")))))</x:f>
      </x:c>
      <x:c r="BN186" s="73"/>
    </x:row>
    <x:row r="187" ht="34" customHeight="1">
      <x:c r="A187" s="73"/>
      <x:c r="B187" s="73"/>
      <x:c r="C187" s="73"/>
      <x:c r="D187" s="73"/>
      <x:c r="E187" s="73"/>
      <x:c r="F187" s="73"/>
      <x:c r="G187" s="73"/>
      <x:c r="H187" s="73"/>
      <x:c r="I187" s="75"/>
      <x:c r="J187" s="73"/>
      <x:c r="K187" s="73"/>
      <x:c r="L187" s="76"/>
      <x:c r="M187" s="73"/>
      <x:c r="N187" s="73"/>
      <x:c r="O187" s="73"/>
      <x:c r="P187" s="73"/>
      <x:c r="Q187" s="76"/>
      <x:c r="R187" s="73"/>
      <x:c r="S187" s="73"/>
      <x:c r="T187" s="73"/>
      <x:c r="U187" s="73"/>
      <x:c r="V187" s="73"/>
      <x:c r="W187" s="73"/>
      <x:c r="X187" s="73"/>
      <x:c r="Y187" s="73"/>
      <x:c r="Z187" s="73"/>
      <x:c r="AA187" s="73"/>
      <x:c r="AB187" s="76" t="str">
        <x:f>IF(A187="","",IF(OR(NOT(ISNUMBER(I187)),I187&lt;0,NOT(ISNUMBER(AP187)),AP187&lt;0,NOT(ISNUMBER(L187)),L187&lt;1,L187&gt;5,L187&lt;&gt;INT(L187),AND(J187&lt;&gt;"Public",J187&lt;&gt;"Partner",J187&lt;&gt;"Internal",J187&lt;&gt;"None"),AND(K187&lt;&gt;"High",K187&lt;&gt;"Medium",K187&lt;&gt;"Low",K187&lt;&gt;"None"),AND(W187&lt;&gt;"Hard-coded",W187&lt;&gt;"Configurable",W187&lt;&gt;"Policy-managed",W187&lt;&gt;"API/Library abstraction",W187&lt;&gt;"Automated"),AND(Z187&lt;&gt;"Y",Z187&lt;&gt;"N"),AND(AA187&lt;&gt;"Y",AA187&lt;&gt;"N")),"Incomplete",IF(Z187="Y",20,0)+L187*5+IF(AA187="Y",15,0)+IF(J187="Public",10,IF(J187="Partner",7,IF(J187="Internal",3,0)))+IF(W187="Hard-coded",10,IF(W187="Configurable",3,0))+IF(MAX(I187,AP187)&gt;=10,10,IF(MAX(I187,AP187)&gt;=5,7,IF(MAX(I187,AP187)&gt;=2,3,0)))+IF(K187="High",10,IF(K187="Medium",5,0))))</x:f>
      </x:c>
      <x:c r="AC187" s="73" t="str">
        <x:f>IF(A187="","",IF(NOT(ISNUMBER(AB187)),"Review inputs",IF(AB187&gt;=70,"P0 - Immediate",IF(AB187&gt;=50,"P1 - High",IF(AB187&gt;=30,"P2 - Medium",IF(AB187&gt;=15,"P3 - Low","P4 - Monitor"))))))</x:f>
      </x:c>
      <x:c r="AD187" s="73"/>
      <x:c r="AE187" s="73"/>
      <x:c r="AF187" s="73"/>
      <x:c r="AG187" s="77"/>
      <x:c r="AH187" s="73"/>
      <x:c r="AI187" s="91"/>
      <x:c r="AJ187" s="91"/>
      <x:c r="AK187" s="91"/>
      <x:c r="AL187" s="92"/>
      <x:c r="AM187" s="91"/>
      <x:c r="AN187" s="91"/>
      <x:c r="AO187" s="93"/>
      <x:c r="AP187" s="94"/>
      <x:c r="AQ187" s="91"/>
      <x:c r="AR187" s="91"/>
      <x:c r="AS187" s="91"/>
      <x:c r="AT187" s="91"/>
      <x:c r="AU187" s="91"/>
      <x:c r="AV187" s="91"/>
      <x:c r="AW187" s="91"/>
      <x:c r="AX187" s="91"/>
      <x:c r="AY187" s="91"/>
      <x:c r="AZ187" s="92"/>
      <x:c r="BA187" s="94"/>
      <x:c r="BB187" s="91"/>
      <x:c r="BC187" s="92"/>
      <x:c r="BD187" s="92"/>
      <x:c r="BE187" s="91"/>
      <x:c r="BF187" s="91"/>
      <x:c r="BG187" s="91"/>
      <x:c r="BH187" s="91"/>
      <x:c r="BI187" s="91"/>
      <x:c r="BJ187" s="91"/>
      <x:c r="BK187" s="91"/>
      <x:c r="BL187" s="91"/>
      <x:c r="BM187" s="73" t="str">
        <x:f>IF(A187="","",IF(AI187="Example","Example only",IF(AI187&lt;&gt;"Actual","Set record type",IF(COUNTIF($A$2:$A$1001,A187)&gt;1,"Duplicate record ID",IF(OR(D187="",E187="",AF187="",NOT(ISNUMBER(AG187)),AJ187="",AK187="",NOT(ISNUMBER(AL187)),AND(AM187&lt;&gt;"Observed",AM187&lt;&gt;"Corroborated",AM187&lt;&gt;"Declared"),OR(AN187="",AN187="Unknown"),OR(AQ187="",AQ187="Unknown"),OR(AR187="",AR187="Unknown",AR187="TBD"),OR(BC187="",NOT(ISNUMBER(BC187)))),"Evidence incomplete","Evidence recorded; review scope")))))</x:f>
      </x:c>
      <x:c r="BN187" s="73"/>
    </x:row>
    <x:row r="188" ht="34" customHeight="1">
      <x:c r="A188" s="73"/>
      <x:c r="B188" s="73"/>
      <x:c r="C188" s="73"/>
      <x:c r="D188" s="73"/>
      <x:c r="E188" s="73"/>
      <x:c r="F188" s="73"/>
      <x:c r="G188" s="73"/>
      <x:c r="H188" s="73"/>
      <x:c r="I188" s="75"/>
      <x:c r="J188" s="73"/>
      <x:c r="K188" s="73"/>
      <x:c r="L188" s="76"/>
      <x:c r="M188" s="73"/>
      <x:c r="N188" s="73"/>
      <x:c r="O188" s="73"/>
      <x:c r="P188" s="73"/>
      <x:c r="Q188" s="76"/>
      <x:c r="R188" s="73"/>
      <x:c r="S188" s="73"/>
      <x:c r="T188" s="73"/>
      <x:c r="U188" s="73"/>
      <x:c r="V188" s="73"/>
      <x:c r="W188" s="73"/>
      <x:c r="X188" s="73"/>
      <x:c r="Y188" s="73"/>
      <x:c r="Z188" s="73"/>
      <x:c r="AA188" s="73"/>
      <x:c r="AB188" s="76" t="str">
        <x:f>IF(A188="","",IF(OR(NOT(ISNUMBER(I188)),I188&lt;0,NOT(ISNUMBER(AP188)),AP188&lt;0,NOT(ISNUMBER(L188)),L188&lt;1,L188&gt;5,L188&lt;&gt;INT(L188),AND(J188&lt;&gt;"Public",J188&lt;&gt;"Partner",J188&lt;&gt;"Internal",J188&lt;&gt;"None"),AND(K188&lt;&gt;"High",K188&lt;&gt;"Medium",K188&lt;&gt;"Low",K188&lt;&gt;"None"),AND(W188&lt;&gt;"Hard-coded",W188&lt;&gt;"Configurable",W188&lt;&gt;"Policy-managed",W188&lt;&gt;"API/Library abstraction",W188&lt;&gt;"Automated"),AND(Z188&lt;&gt;"Y",Z188&lt;&gt;"N"),AND(AA188&lt;&gt;"Y",AA188&lt;&gt;"N")),"Incomplete",IF(Z188="Y",20,0)+L188*5+IF(AA188="Y",15,0)+IF(J188="Public",10,IF(J188="Partner",7,IF(J188="Internal",3,0)))+IF(W188="Hard-coded",10,IF(W188="Configurable",3,0))+IF(MAX(I188,AP188)&gt;=10,10,IF(MAX(I188,AP188)&gt;=5,7,IF(MAX(I188,AP188)&gt;=2,3,0)))+IF(K188="High",10,IF(K188="Medium",5,0))))</x:f>
      </x:c>
      <x:c r="AC188" s="73" t="str">
        <x:f>IF(A188="","",IF(NOT(ISNUMBER(AB188)),"Review inputs",IF(AB188&gt;=70,"P0 - Immediate",IF(AB188&gt;=50,"P1 - High",IF(AB188&gt;=30,"P2 - Medium",IF(AB188&gt;=15,"P3 - Low","P4 - Monitor"))))))</x:f>
      </x:c>
      <x:c r="AD188" s="73"/>
      <x:c r="AE188" s="73"/>
      <x:c r="AF188" s="73"/>
      <x:c r="AG188" s="77"/>
      <x:c r="AH188" s="73"/>
      <x:c r="AI188" s="91"/>
      <x:c r="AJ188" s="91"/>
      <x:c r="AK188" s="91"/>
      <x:c r="AL188" s="92"/>
      <x:c r="AM188" s="91"/>
      <x:c r="AN188" s="91"/>
      <x:c r="AO188" s="93"/>
      <x:c r="AP188" s="94"/>
      <x:c r="AQ188" s="91"/>
      <x:c r="AR188" s="91"/>
      <x:c r="AS188" s="91"/>
      <x:c r="AT188" s="91"/>
      <x:c r="AU188" s="91"/>
      <x:c r="AV188" s="91"/>
      <x:c r="AW188" s="91"/>
      <x:c r="AX188" s="91"/>
      <x:c r="AY188" s="91"/>
      <x:c r="AZ188" s="92"/>
      <x:c r="BA188" s="94"/>
      <x:c r="BB188" s="91"/>
      <x:c r="BC188" s="92"/>
      <x:c r="BD188" s="92"/>
      <x:c r="BE188" s="91"/>
      <x:c r="BF188" s="91"/>
      <x:c r="BG188" s="91"/>
      <x:c r="BH188" s="91"/>
      <x:c r="BI188" s="91"/>
      <x:c r="BJ188" s="91"/>
      <x:c r="BK188" s="91"/>
      <x:c r="BL188" s="91"/>
      <x:c r="BM188" s="73" t="str">
        <x:f>IF(A188="","",IF(AI188="Example","Example only",IF(AI188&lt;&gt;"Actual","Set record type",IF(COUNTIF($A$2:$A$1001,A188)&gt;1,"Duplicate record ID",IF(OR(D188="",E188="",AF188="",NOT(ISNUMBER(AG188)),AJ188="",AK188="",NOT(ISNUMBER(AL188)),AND(AM188&lt;&gt;"Observed",AM188&lt;&gt;"Corroborated",AM188&lt;&gt;"Declared"),OR(AN188="",AN188="Unknown"),OR(AQ188="",AQ188="Unknown"),OR(AR188="",AR188="Unknown",AR188="TBD"),OR(BC188="",NOT(ISNUMBER(BC188)))),"Evidence incomplete","Evidence recorded; review scope")))))</x:f>
      </x:c>
      <x:c r="BN188" s="73"/>
    </x:row>
    <x:row r="189" ht="34" customHeight="1">
      <x:c r="A189" s="73"/>
      <x:c r="B189" s="73"/>
      <x:c r="C189" s="73"/>
      <x:c r="D189" s="73"/>
      <x:c r="E189" s="73"/>
      <x:c r="F189" s="73"/>
      <x:c r="G189" s="73"/>
      <x:c r="H189" s="73"/>
      <x:c r="I189" s="75"/>
      <x:c r="J189" s="73"/>
      <x:c r="K189" s="73"/>
      <x:c r="L189" s="76"/>
      <x:c r="M189" s="73"/>
      <x:c r="N189" s="73"/>
      <x:c r="O189" s="73"/>
      <x:c r="P189" s="73"/>
      <x:c r="Q189" s="76"/>
      <x:c r="R189" s="73"/>
      <x:c r="S189" s="73"/>
      <x:c r="T189" s="73"/>
      <x:c r="U189" s="73"/>
      <x:c r="V189" s="73"/>
      <x:c r="W189" s="73"/>
      <x:c r="X189" s="73"/>
      <x:c r="Y189" s="73"/>
      <x:c r="Z189" s="73"/>
      <x:c r="AA189" s="73"/>
      <x:c r="AB189" s="76" t="str">
        <x:f>IF(A189="","",IF(OR(NOT(ISNUMBER(I189)),I189&lt;0,NOT(ISNUMBER(AP189)),AP189&lt;0,NOT(ISNUMBER(L189)),L189&lt;1,L189&gt;5,L189&lt;&gt;INT(L189),AND(J189&lt;&gt;"Public",J189&lt;&gt;"Partner",J189&lt;&gt;"Internal",J189&lt;&gt;"None"),AND(K189&lt;&gt;"High",K189&lt;&gt;"Medium",K189&lt;&gt;"Low",K189&lt;&gt;"None"),AND(W189&lt;&gt;"Hard-coded",W189&lt;&gt;"Configurable",W189&lt;&gt;"Policy-managed",W189&lt;&gt;"API/Library abstraction",W189&lt;&gt;"Automated"),AND(Z189&lt;&gt;"Y",Z189&lt;&gt;"N"),AND(AA189&lt;&gt;"Y",AA189&lt;&gt;"N")),"Incomplete",IF(Z189="Y",20,0)+L189*5+IF(AA189="Y",15,0)+IF(J189="Public",10,IF(J189="Partner",7,IF(J189="Internal",3,0)))+IF(W189="Hard-coded",10,IF(W189="Configurable",3,0))+IF(MAX(I189,AP189)&gt;=10,10,IF(MAX(I189,AP189)&gt;=5,7,IF(MAX(I189,AP189)&gt;=2,3,0)))+IF(K189="High",10,IF(K189="Medium",5,0))))</x:f>
      </x:c>
      <x:c r="AC189" s="73" t="str">
        <x:f>IF(A189="","",IF(NOT(ISNUMBER(AB189)),"Review inputs",IF(AB189&gt;=70,"P0 - Immediate",IF(AB189&gt;=50,"P1 - High",IF(AB189&gt;=30,"P2 - Medium",IF(AB189&gt;=15,"P3 - Low","P4 - Monitor"))))))</x:f>
      </x:c>
      <x:c r="AD189" s="73"/>
      <x:c r="AE189" s="73"/>
      <x:c r="AF189" s="73"/>
      <x:c r="AG189" s="77"/>
      <x:c r="AH189" s="73"/>
      <x:c r="AI189" s="91"/>
      <x:c r="AJ189" s="91"/>
      <x:c r="AK189" s="91"/>
      <x:c r="AL189" s="92"/>
      <x:c r="AM189" s="91"/>
      <x:c r="AN189" s="91"/>
      <x:c r="AO189" s="93"/>
      <x:c r="AP189" s="94"/>
      <x:c r="AQ189" s="91"/>
      <x:c r="AR189" s="91"/>
      <x:c r="AS189" s="91"/>
      <x:c r="AT189" s="91"/>
      <x:c r="AU189" s="91"/>
      <x:c r="AV189" s="91"/>
      <x:c r="AW189" s="91"/>
      <x:c r="AX189" s="91"/>
      <x:c r="AY189" s="91"/>
      <x:c r="AZ189" s="92"/>
      <x:c r="BA189" s="94"/>
      <x:c r="BB189" s="91"/>
      <x:c r="BC189" s="92"/>
      <x:c r="BD189" s="92"/>
      <x:c r="BE189" s="91"/>
      <x:c r="BF189" s="91"/>
      <x:c r="BG189" s="91"/>
      <x:c r="BH189" s="91"/>
      <x:c r="BI189" s="91"/>
      <x:c r="BJ189" s="91"/>
      <x:c r="BK189" s="91"/>
      <x:c r="BL189" s="91"/>
      <x:c r="BM189" s="73" t="str">
        <x:f>IF(A189="","",IF(AI189="Example","Example only",IF(AI189&lt;&gt;"Actual","Set record type",IF(COUNTIF($A$2:$A$1001,A189)&gt;1,"Duplicate record ID",IF(OR(D189="",E189="",AF189="",NOT(ISNUMBER(AG189)),AJ189="",AK189="",NOT(ISNUMBER(AL189)),AND(AM189&lt;&gt;"Observed",AM189&lt;&gt;"Corroborated",AM189&lt;&gt;"Declared"),OR(AN189="",AN189="Unknown"),OR(AQ189="",AQ189="Unknown"),OR(AR189="",AR189="Unknown",AR189="TBD"),OR(BC189="",NOT(ISNUMBER(BC189)))),"Evidence incomplete","Evidence recorded; review scope")))))</x:f>
      </x:c>
      <x:c r="BN189" s="73"/>
    </x:row>
    <x:row r="190" ht="34" customHeight="1">
      <x:c r="A190" s="73"/>
      <x:c r="B190" s="73"/>
      <x:c r="C190" s="73"/>
      <x:c r="D190" s="73"/>
      <x:c r="E190" s="73"/>
      <x:c r="F190" s="73"/>
      <x:c r="G190" s="73"/>
      <x:c r="H190" s="73"/>
      <x:c r="I190" s="75"/>
      <x:c r="J190" s="73"/>
      <x:c r="K190" s="73"/>
      <x:c r="L190" s="76"/>
      <x:c r="M190" s="73"/>
      <x:c r="N190" s="73"/>
      <x:c r="O190" s="73"/>
      <x:c r="P190" s="73"/>
      <x:c r="Q190" s="76"/>
      <x:c r="R190" s="73"/>
      <x:c r="S190" s="73"/>
      <x:c r="T190" s="73"/>
      <x:c r="U190" s="73"/>
      <x:c r="V190" s="73"/>
      <x:c r="W190" s="73"/>
      <x:c r="X190" s="73"/>
      <x:c r="Y190" s="73"/>
      <x:c r="Z190" s="73"/>
      <x:c r="AA190" s="73"/>
      <x:c r="AB190" s="76" t="str">
        <x:f>IF(A190="","",IF(OR(NOT(ISNUMBER(I190)),I190&lt;0,NOT(ISNUMBER(AP190)),AP190&lt;0,NOT(ISNUMBER(L190)),L190&lt;1,L190&gt;5,L190&lt;&gt;INT(L190),AND(J190&lt;&gt;"Public",J190&lt;&gt;"Partner",J190&lt;&gt;"Internal",J190&lt;&gt;"None"),AND(K190&lt;&gt;"High",K190&lt;&gt;"Medium",K190&lt;&gt;"Low",K190&lt;&gt;"None"),AND(W190&lt;&gt;"Hard-coded",W190&lt;&gt;"Configurable",W190&lt;&gt;"Policy-managed",W190&lt;&gt;"API/Library abstraction",W190&lt;&gt;"Automated"),AND(Z190&lt;&gt;"Y",Z190&lt;&gt;"N"),AND(AA190&lt;&gt;"Y",AA190&lt;&gt;"N")),"Incomplete",IF(Z190="Y",20,0)+L190*5+IF(AA190="Y",15,0)+IF(J190="Public",10,IF(J190="Partner",7,IF(J190="Internal",3,0)))+IF(W190="Hard-coded",10,IF(W190="Configurable",3,0))+IF(MAX(I190,AP190)&gt;=10,10,IF(MAX(I190,AP190)&gt;=5,7,IF(MAX(I190,AP190)&gt;=2,3,0)))+IF(K190="High",10,IF(K190="Medium",5,0))))</x:f>
      </x:c>
      <x:c r="AC190" s="73" t="str">
        <x:f>IF(A190="","",IF(NOT(ISNUMBER(AB190)),"Review inputs",IF(AB190&gt;=70,"P0 - Immediate",IF(AB190&gt;=50,"P1 - High",IF(AB190&gt;=30,"P2 - Medium",IF(AB190&gt;=15,"P3 - Low","P4 - Monitor"))))))</x:f>
      </x:c>
      <x:c r="AD190" s="73"/>
      <x:c r="AE190" s="73"/>
      <x:c r="AF190" s="73"/>
      <x:c r="AG190" s="77"/>
      <x:c r="AH190" s="73"/>
      <x:c r="AI190" s="91"/>
      <x:c r="AJ190" s="91"/>
      <x:c r="AK190" s="91"/>
      <x:c r="AL190" s="92"/>
      <x:c r="AM190" s="91"/>
      <x:c r="AN190" s="91"/>
      <x:c r="AO190" s="93"/>
      <x:c r="AP190" s="94"/>
      <x:c r="AQ190" s="91"/>
      <x:c r="AR190" s="91"/>
      <x:c r="AS190" s="91"/>
      <x:c r="AT190" s="91"/>
      <x:c r="AU190" s="91"/>
      <x:c r="AV190" s="91"/>
      <x:c r="AW190" s="91"/>
      <x:c r="AX190" s="91"/>
      <x:c r="AY190" s="91"/>
      <x:c r="AZ190" s="92"/>
      <x:c r="BA190" s="94"/>
      <x:c r="BB190" s="91"/>
      <x:c r="BC190" s="92"/>
      <x:c r="BD190" s="92"/>
      <x:c r="BE190" s="91"/>
      <x:c r="BF190" s="91"/>
      <x:c r="BG190" s="91"/>
      <x:c r="BH190" s="91"/>
      <x:c r="BI190" s="91"/>
      <x:c r="BJ190" s="91"/>
      <x:c r="BK190" s="91"/>
      <x:c r="BL190" s="91"/>
      <x:c r="BM190" s="73" t="str">
        <x:f>IF(A190="","",IF(AI190="Example","Example only",IF(AI190&lt;&gt;"Actual","Set record type",IF(COUNTIF($A$2:$A$1001,A190)&gt;1,"Duplicate record ID",IF(OR(D190="",E190="",AF190="",NOT(ISNUMBER(AG190)),AJ190="",AK190="",NOT(ISNUMBER(AL190)),AND(AM190&lt;&gt;"Observed",AM190&lt;&gt;"Corroborated",AM190&lt;&gt;"Declared"),OR(AN190="",AN190="Unknown"),OR(AQ190="",AQ190="Unknown"),OR(AR190="",AR190="Unknown",AR190="TBD"),OR(BC190="",NOT(ISNUMBER(BC190)))),"Evidence incomplete","Evidence recorded; review scope")))))</x:f>
      </x:c>
      <x:c r="BN190" s="73"/>
    </x:row>
    <x:row r="191" ht="34" customHeight="1">
      <x:c r="A191" s="73"/>
      <x:c r="B191" s="73"/>
      <x:c r="C191" s="73"/>
      <x:c r="D191" s="73"/>
      <x:c r="E191" s="73"/>
      <x:c r="F191" s="73"/>
      <x:c r="G191" s="73"/>
      <x:c r="H191" s="73"/>
      <x:c r="I191" s="75"/>
      <x:c r="J191" s="73"/>
      <x:c r="K191" s="73"/>
      <x:c r="L191" s="76"/>
      <x:c r="M191" s="73"/>
      <x:c r="N191" s="73"/>
      <x:c r="O191" s="73"/>
      <x:c r="P191" s="73"/>
      <x:c r="Q191" s="76"/>
      <x:c r="R191" s="73"/>
      <x:c r="S191" s="73"/>
      <x:c r="T191" s="73"/>
      <x:c r="U191" s="73"/>
      <x:c r="V191" s="73"/>
      <x:c r="W191" s="73"/>
      <x:c r="X191" s="73"/>
      <x:c r="Y191" s="73"/>
      <x:c r="Z191" s="73"/>
      <x:c r="AA191" s="73"/>
      <x:c r="AB191" s="76" t="str">
        <x:f>IF(A191="","",IF(OR(NOT(ISNUMBER(I191)),I191&lt;0,NOT(ISNUMBER(AP191)),AP191&lt;0,NOT(ISNUMBER(L191)),L191&lt;1,L191&gt;5,L191&lt;&gt;INT(L191),AND(J191&lt;&gt;"Public",J191&lt;&gt;"Partner",J191&lt;&gt;"Internal",J191&lt;&gt;"None"),AND(K191&lt;&gt;"High",K191&lt;&gt;"Medium",K191&lt;&gt;"Low",K191&lt;&gt;"None"),AND(W191&lt;&gt;"Hard-coded",W191&lt;&gt;"Configurable",W191&lt;&gt;"Policy-managed",W191&lt;&gt;"API/Library abstraction",W191&lt;&gt;"Automated"),AND(Z191&lt;&gt;"Y",Z191&lt;&gt;"N"),AND(AA191&lt;&gt;"Y",AA191&lt;&gt;"N")),"Incomplete",IF(Z191="Y",20,0)+L191*5+IF(AA191="Y",15,0)+IF(J191="Public",10,IF(J191="Partner",7,IF(J191="Internal",3,0)))+IF(W191="Hard-coded",10,IF(W191="Configurable",3,0))+IF(MAX(I191,AP191)&gt;=10,10,IF(MAX(I191,AP191)&gt;=5,7,IF(MAX(I191,AP191)&gt;=2,3,0)))+IF(K191="High",10,IF(K191="Medium",5,0))))</x:f>
      </x:c>
      <x:c r="AC191" s="73" t="str">
        <x:f>IF(A191="","",IF(NOT(ISNUMBER(AB191)),"Review inputs",IF(AB191&gt;=70,"P0 - Immediate",IF(AB191&gt;=50,"P1 - High",IF(AB191&gt;=30,"P2 - Medium",IF(AB191&gt;=15,"P3 - Low","P4 - Monitor"))))))</x:f>
      </x:c>
      <x:c r="AD191" s="73"/>
      <x:c r="AE191" s="73"/>
      <x:c r="AF191" s="73"/>
      <x:c r="AG191" s="77"/>
      <x:c r="AH191" s="73"/>
      <x:c r="AI191" s="91"/>
      <x:c r="AJ191" s="91"/>
      <x:c r="AK191" s="91"/>
      <x:c r="AL191" s="92"/>
      <x:c r="AM191" s="91"/>
      <x:c r="AN191" s="91"/>
      <x:c r="AO191" s="93"/>
      <x:c r="AP191" s="94"/>
      <x:c r="AQ191" s="91"/>
      <x:c r="AR191" s="91"/>
      <x:c r="AS191" s="91"/>
      <x:c r="AT191" s="91"/>
      <x:c r="AU191" s="91"/>
      <x:c r="AV191" s="91"/>
      <x:c r="AW191" s="91"/>
      <x:c r="AX191" s="91"/>
      <x:c r="AY191" s="91"/>
      <x:c r="AZ191" s="92"/>
      <x:c r="BA191" s="94"/>
      <x:c r="BB191" s="91"/>
      <x:c r="BC191" s="92"/>
      <x:c r="BD191" s="92"/>
      <x:c r="BE191" s="91"/>
      <x:c r="BF191" s="91"/>
      <x:c r="BG191" s="91"/>
      <x:c r="BH191" s="91"/>
      <x:c r="BI191" s="91"/>
      <x:c r="BJ191" s="91"/>
      <x:c r="BK191" s="91"/>
      <x:c r="BL191" s="91"/>
      <x:c r="BM191" s="73" t="str">
        <x:f>IF(A191="","",IF(AI191="Example","Example only",IF(AI191&lt;&gt;"Actual","Set record type",IF(COUNTIF($A$2:$A$1001,A191)&gt;1,"Duplicate record ID",IF(OR(D191="",E191="",AF191="",NOT(ISNUMBER(AG191)),AJ191="",AK191="",NOT(ISNUMBER(AL191)),AND(AM191&lt;&gt;"Observed",AM191&lt;&gt;"Corroborated",AM191&lt;&gt;"Declared"),OR(AN191="",AN191="Unknown"),OR(AQ191="",AQ191="Unknown"),OR(AR191="",AR191="Unknown",AR191="TBD"),OR(BC191="",NOT(ISNUMBER(BC191)))),"Evidence incomplete","Evidence recorded; review scope")))))</x:f>
      </x:c>
      <x:c r="BN191" s="73"/>
    </x:row>
    <x:row r="192" ht="34" customHeight="1">
      <x:c r="A192" s="73"/>
      <x:c r="B192" s="73"/>
      <x:c r="C192" s="73"/>
      <x:c r="D192" s="73"/>
      <x:c r="E192" s="73"/>
      <x:c r="F192" s="73"/>
      <x:c r="G192" s="73"/>
      <x:c r="H192" s="73"/>
      <x:c r="I192" s="75"/>
      <x:c r="J192" s="73"/>
      <x:c r="K192" s="73"/>
      <x:c r="L192" s="76"/>
      <x:c r="M192" s="73"/>
      <x:c r="N192" s="73"/>
      <x:c r="O192" s="73"/>
      <x:c r="P192" s="73"/>
      <x:c r="Q192" s="76"/>
      <x:c r="R192" s="73"/>
      <x:c r="S192" s="73"/>
      <x:c r="T192" s="73"/>
      <x:c r="U192" s="73"/>
      <x:c r="V192" s="73"/>
      <x:c r="W192" s="73"/>
      <x:c r="X192" s="73"/>
      <x:c r="Y192" s="73"/>
      <x:c r="Z192" s="73"/>
      <x:c r="AA192" s="73"/>
      <x:c r="AB192" s="76" t="str">
        <x:f>IF(A192="","",IF(OR(NOT(ISNUMBER(I192)),I192&lt;0,NOT(ISNUMBER(AP192)),AP192&lt;0,NOT(ISNUMBER(L192)),L192&lt;1,L192&gt;5,L192&lt;&gt;INT(L192),AND(J192&lt;&gt;"Public",J192&lt;&gt;"Partner",J192&lt;&gt;"Internal",J192&lt;&gt;"None"),AND(K192&lt;&gt;"High",K192&lt;&gt;"Medium",K192&lt;&gt;"Low",K192&lt;&gt;"None"),AND(W192&lt;&gt;"Hard-coded",W192&lt;&gt;"Configurable",W192&lt;&gt;"Policy-managed",W192&lt;&gt;"API/Library abstraction",W192&lt;&gt;"Automated"),AND(Z192&lt;&gt;"Y",Z192&lt;&gt;"N"),AND(AA192&lt;&gt;"Y",AA192&lt;&gt;"N")),"Incomplete",IF(Z192="Y",20,0)+L192*5+IF(AA192="Y",15,0)+IF(J192="Public",10,IF(J192="Partner",7,IF(J192="Internal",3,0)))+IF(W192="Hard-coded",10,IF(W192="Configurable",3,0))+IF(MAX(I192,AP192)&gt;=10,10,IF(MAX(I192,AP192)&gt;=5,7,IF(MAX(I192,AP192)&gt;=2,3,0)))+IF(K192="High",10,IF(K192="Medium",5,0))))</x:f>
      </x:c>
      <x:c r="AC192" s="73" t="str">
        <x:f>IF(A192="","",IF(NOT(ISNUMBER(AB192)),"Review inputs",IF(AB192&gt;=70,"P0 - Immediate",IF(AB192&gt;=50,"P1 - High",IF(AB192&gt;=30,"P2 - Medium",IF(AB192&gt;=15,"P3 - Low","P4 - Monitor"))))))</x:f>
      </x:c>
      <x:c r="AD192" s="73"/>
      <x:c r="AE192" s="73"/>
      <x:c r="AF192" s="73"/>
      <x:c r="AG192" s="77"/>
      <x:c r="AH192" s="73"/>
      <x:c r="AI192" s="91"/>
      <x:c r="AJ192" s="91"/>
      <x:c r="AK192" s="91"/>
      <x:c r="AL192" s="92"/>
      <x:c r="AM192" s="91"/>
      <x:c r="AN192" s="91"/>
      <x:c r="AO192" s="93"/>
      <x:c r="AP192" s="94"/>
      <x:c r="AQ192" s="91"/>
      <x:c r="AR192" s="91"/>
      <x:c r="AS192" s="91"/>
      <x:c r="AT192" s="91"/>
      <x:c r="AU192" s="91"/>
      <x:c r="AV192" s="91"/>
      <x:c r="AW192" s="91"/>
      <x:c r="AX192" s="91"/>
      <x:c r="AY192" s="91"/>
      <x:c r="AZ192" s="92"/>
      <x:c r="BA192" s="94"/>
      <x:c r="BB192" s="91"/>
      <x:c r="BC192" s="92"/>
      <x:c r="BD192" s="92"/>
      <x:c r="BE192" s="91"/>
      <x:c r="BF192" s="91"/>
      <x:c r="BG192" s="91"/>
      <x:c r="BH192" s="91"/>
      <x:c r="BI192" s="91"/>
      <x:c r="BJ192" s="91"/>
      <x:c r="BK192" s="91"/>
      <x:c r="BL192" s="91"/>
      <x:c r="BM192" s="73" t="str">
        <x:f>IF(A192="","",IF(AI192="Example","Example only",IF(AI192&lt;&gt;"Actual","Set record type",IF(COUNTIF($A$2:$A$1001,A192)&gt;1,"Duplicate record ID",IF(OR(D192="",E192="",AF192="",NOT(ISNUMBER(AG192)),AJ192="",AK192="",NOT(ISNUMBER(AL192)),AND(AM192&lt;&gt;"Observed",AM192&lt;&gt;"Corroborated",AM192&lt;&gt;"Declared"),OR(AN192="",AN192="Unknown"),OR(AQ192="",AQ192="Unknown"),OR(AR192="",AR192="Unknown",AR192="TBD"),OR(BC192="",NOT(ISNUMBER(BC192)))),"Evidence incomplete","Evidence recorded; review scope")))))</x:f>
      </x:c>
      <x:c r="BN192" s="73"/>
    </x:row>
    <x:row r="193" ht="34" customHeight="1">
      <x:c r="A193" s="73"/>
      <x:c r="B193" s="73"/>
      <x:c r="C193" s="73"/>
      <x:c r="D193" s="73"/>
      <x:c r="E193" s="73"/>
      <x:c r="F193" s="73"/>
      <x:c r="G193" s="73"/>
      <x:c r="H193" s="73"/>
      <x:c r="I193" s="75"/>
      <x:c r="J193" s="73"/>
      <x:c r="K193" s="73"/>
      <x:c r="L193" s="76"/>
      <x:c r="M193" s="73"/>
      <x:c r="N193" s="73"/>
      <x:c r="O193" s="73"/>
      <x:c r="P193" s="73"/>
      <x:c r="Q193" s="76"/>
      <x:c r="R193" s="73"/>
      <x:c r="S193" s="73"/>
      <x:c r="T193" s="73"/>
      <x:c r="U193" s="73"/>
      <x:c r="V193" s="73"/>
      <x:c r="W193" s="73"/>
      <x:c r="X193" s="73"/>
      <x:c r="Y193" s="73"/>
      <x:c r="Z193" s="73"/>
      <x:c r="AA193" s="73"/>
      <x:c r="AB193" s="76" t="str">
        <x:f>IF(A193="","",IF(OR(NOT(ISNUMBER(I193)),I193&lt;0,NOT(ISNUMBER(AP193)),AP193&lt;0,NOT(ISNUMBER(L193)),L193&lt;1,L193&gt;5,L193&lt;&gt;INT(L193),AND(J193&lt;&gt;"Public",J193&lt;&gt;"Partner",J193&lt;&gt;"Internal",J193&lt;&gt;"None"),AND(K193&lt;&gt;"High",K193&lt;&gt;"Medium",K193&lt;&gt;"Low",K193&lt;&gt;"None"),AND(W193&lt;&gt;"Hard-coded",W193&lt;&gt;"Configurable",W193&lt;&gt;"Policy-managed",W193&lt;&gt;"API/Library abstraction",W193&lt;&gt;"Automated"),AND(Z193&lt;&gt;"Y",Z193&lt;&gt;"N"),AND(AA193&lt;&gt;"Y",AA193&lt;&gt;"N")),"Incomplete",IF(Z193="Y",20,0)+L193*5+IF(AA193="Y",15,0)+IF(J193="Public",10,IF(J193="Partner",7,IF(J193="Internal",3,0)))+IF(W193="Hard-coded",10,IF(W193="Configurable",3,0))+IF(MAX(I193,AP193)&gt;=10,10,IF(MAX(I193,AP193)&gt;=5,7,IF(MAX(I193,AP193)&gt;=2,3,0)))+IF(K193="High",10,IF(K193="Medium",5,0))))</x:f>
      </x:c>
      <x:c r="AC193" s="73" t="str">
        <x:f>IF(A193="","",IF(NOT(ISNUMBER(AB193)),"Review inputs",IF(AB193&gt;=70,"P0 - Immediate",IF(AB193&gt;=50,"P1 - High",IF(AB193&gt;=30,"P2 - Medium",IF(AB193&gt;=15,"P3 - Low","P4 - Monitor"))))))</x:f>
      </x:c>
      <x:c r="AD193" s="73"/>
      <x:c r="AE193" s="73"/>
      <x:c r="AF193" s="73"/>
      <x:c r="AG193" s="77"/>
      <x:c r="AH193" s="73"/>
      <x:c r="AI193" s="91"/>
      <x:c r="AJ193" s="91"/>
      <x:c r="AK193" s="91"/>
      <x:c r="AL193" s="92"/>
      <x:c r="AM193" s="91"/>
      <x:c r="AN193" s="91"/>
      <x:c r="AO193" s="93"/>
      <x:c r="AP193" s="94"/>
      <x:c r="AQ193" s="91"/>
      <x:c r="AR193" s="91"/>
      <x:c r="AS193" s="91"/>
      <x:c r="AT193" s="91"/>
      <x:c r="AU193" s="91"/>
      <x:c r="AV193" s="91"/>
      <x:c r="AW193" s="91"/>
      <x:c r="AX193" s="91"/>
      <x:c r="AY193" s="91"/>
      <x:c r="AZ193" s="92"/>
      <x:c r="BA193" s="94"/>
      <x:c r="BB193" s="91"/>
      <x:c r="BC193" s="92"/>
      <x:c r="BD193" s="92"/>
      <x:c r="BE193" s="91"/>
      <x:c r="BF193" s="91"/>
      <x:c r="BG193" s="91"/>
      <x:c r="BH193" s="91"/>
      <x:c r="BI193" s="91"/>
      <x:c r="BJ193" s="91"/>
      <x:c r="BK193" s="91"/>
      <x:c r="BL193" s="91"/>
      <x:c r="BM193" s="73" t="str">
        <x:f>IF(A193="","",IF(AI193="Example","Example only",IF(AI193&lt;&gt;"Actual","Set record type",IF(COUNTIF($A$2:$A$1001,A193)&gt;1,"Duplicate record ID",IF(OR(D193="",E193="",AF193="",NOT(ISNUMBER(AG193)),AJ193="",AK193="",NOT(ISNUMBER(AL193)),AND(AM193&lt;&gt;"Observed",AM193&lt;&gt;"Corroborated",AM193&lt;&gt;"Declared"),OR(AN193="",AN193="Unknown"),OR(AQ193="",AQ193="Unknown"),OR(AR193="",AR193="Unknown",AR193="TBD"),OR(BC193="",NOT(ISNUMBER(BC193)))),"Evidence incomplete","Evidence recorded; review scope")))))</x:f>
      </x:c>
      <x:c r="BN193" s="73"/>
    </x:row>
    <x:row r="194" ht="34" customHeight="1">
      <x:c r="A194" s="73"/>
      <x:c r="B194" s="73"/>
      <x:c r="C194" s="73"/>
      <x:c r="D194" s="73"/>
      <x:c r="E194" s="73"/>
      <x:c r="F194" s="73"/>
      <x:c r="G194" s="73"/>
      <x:c r="H194" s="73"/>
      <x:c r="I194" s="75"/>
      <x:c r="J194" s="73"/>
      <x:c r="K194" s="73"/>
      <x:c r="L194" s="76"/>
      <x:c r="M194" s="73"/>
      <x:c r="N194" s="73"/>
      <x:c r="O194" s="73"/>
      <x:c r="P194" s="73"/>
      <x:c r="Q194" s="76"/>
      <x:c r="R194" s="73"/>
      <x:c r="S194" s="73"/>
      <x:c r="T194" s="73"/>
      <x:c r="U194" s="73"/>
      <x:c r="V194" s="73"/>
      <x:c r="W194" s="73"/>
      <x:c r="X194" s="73"/>
      <x:c r="Y194" s="73"/>
      <x:c r="Z194" s="73"/>
      <x:c r="AA194" s="73"/>
      <x:c r="AB194" s="76" t="str">
        <x:f>IF(A194="","",IF(OR(NOT(ISNUMBER(I194)),I194&lt;0,NOT(ISNUMBER(AP194)),AP194&lt;0,NOT(ISNUMBER(L194)),L194&lt;1,L194&gt;5,L194&lt;&gt;INT(L194),AND(J194&lt;&gt;"Public",J194&lt;&gt;"Partner",J194&lt;&gt;"Internal",J194&lt;&gt;"None"),AND(K194&lt;&gt;"High",K194&lt;&gt;"Medium",K194&lt;&gt;"Low",K194&lt;&gt;"None"),AND(W194&lt;&gt;"Hard-coded",W194&lt;&gt;"Configurable",W194&lt;&gt;"Policy-managed",W194&lt;&gt;"API/Library abstraction",W194&lt;&gt;"Automated"),AND(Z194&lt;&gt;"Y",Z194&lt;&gt;"N"),AND(AA194&lt;&gt;"Y",AA194&lt;&gt;"N")),"Incomplete",IF(Z194="Y",20,0)+L194*5+IF(AA194="Y",15,0)+IF(J194="Public",10,IF(J194="Partner",7,IF(J194="Internal",3,0)))+IF(W194="Hard-coded",10,IF(W194="Configurable",3,0))+IF(MAX(I194,AP194)&gt;=10,10,IF(MAX(I194,AP194)&gt;=5,7,IF(MAX(I194,AP194)&gt;=2,3,0)))+IF(K194="High",10,IF(K194="Medium",5,0))))</x:f>
      </x:c>
      <x:c r="AC194" s="73" t="str">
        <x:f>IF(A194="","",IF(NOT(ISNUMBER(AB194)),"Review inputs",IF(AB194&gt;=70,"P0 - Immediate",IF(AB194&gt;=50,"P1 - High",IF(AB194&gt;=30,"P2 - Medium",IF(AB194&gt;=15,"P3 - Low","P4 - Monitor"))))))</x:f>
      </x:c>
      <x:c r="AD194" s="73"/>
      <x:c r="AE194" s="73"/>
      <x:c r="AF194" s="73"/>
      <x:c r="AG194" s="77"/>
      <x:c r="AH194" s="73"/>
      <x:c r="AI194" s="91"/>
      <x:c r="AJ194" s="91"/>
      <x:c r="AK194" s="91"/>
      <x:c r="AL194" s="92"/>
      <x:c r="AM194" s="91"/>
      <x:c r="AN194" s="91"/>
      <x:c r="AO194" s="93"/>
      <x:c r="AP194" s="94"/>
      <x:c r="AQ194" s="91"/>
      <x:c r="AR194" s="91"/>
      <x:c r="AS194" s="91"/>
      <x:c r="AT194" s="91"/>
      <x:c r="AU194" s="91"/>
      <x:c r="AV194" s="91"/>
      <x:c r="AW194" s="91"/>
      <x:c r="AX194" s="91"/>
      <x:c r="AY194" s="91"/>
      <x:c r="AZ194" s="92"/>
      <x:c r="BA194" s="94"/>
      <x:c r="BB194" s="91"/>
      <x:c r="BC194" s="92"/>
      <x:c r="BD194" s="92"/>
      <x:c r="BE194" s="91"/>
      <x:c r="BF194" s="91"/>
      <x:c r="BG194" s="91"/>
      <x:c r="BH194" s="91"/>
      <x:c r="BI194" s="91"/>
      <x:c r="BJ194" s="91"/>
      <x:c r="BK194" s="91"/>
      <x:c r="BL194" s="91"/>
      <x:c r="BM194" s="73" t="str">
        <x:f>IF(A194="","",IF(AI194="Example","Example only",IF(AI194&lt;&gt;"Actual","Set record type",IF(COUNTIF($A$2:$A$1001,A194)&gt;1,"Duplicate record ID",IF(OR(D194="",E194="",AF194="",NOT(ISNUMBER(AG194)),AJ194="",AK194="",NOT(ISNUMBER(AL194)),AND(AM194&lt;&gt;"Observed",AM194&lt;&gt;"Corroborated",AM194&lt;&gt;"Declared"),OR(AN194="",AN194="Unknown"),OR(AQ194="",AQ194="Unknown"),OR(AR194="",AR194="Unknown",AR194="TBD"),OR(BC194="",NOT(ISNUMBER(BC194)))),"Evidence incomplete","Evidence recorded; review scope")))))</x:f>
      </x:c>
      <x:c r="BN194" s="73"/>
    </x:row>
    <x:row r="195" ht="34" customHeight="1">
      <x:c r="A195" s="73"/>
      <x:c r="B195" s="73"/>
      <x:c r="C195" s="73"/>
      <x:c r="D195" s="73"/>
      <x:c r="E195" s="73"/>
      <x:c r="F195" s="73"/>
      <x:c r="G195" s="73"/>
      <x:c r="H195" s="73"/>
      <x:c r="I195" s="75"/>
      <x:c r="J195" s="73"/>
      <x:c r="K195" s="73"/>
      <x:c r="L195" s="76"/>
      <x:c r="M195" s="73"/>
      <x:c r="N195" s="73"/>
      <x:c r="O195" s="73"/>
      <x:c r="P195" s="73"/>
      <x:c r="Q195" s="76"/>
      <x:c r="R195" s="73"/>
      <x:c r="S195" s="73"/>
      <x:c r="T195" s="73"/>
      <x:c r="U195" s="73"/>
      <x:c r="V195" s="73"/>
      <x:c r="W195" s="73"/>
      <x:c r="X195" s="73"/>
      <x:c r="Y195" s="73"/>
      <x:c r="Z195" s="73"/>
      <x:c r="AA195" s="73"/>
      <x:c r="AB195" s="76" t="str">
        <x:f>IF(A195="","",IF(OR(NOT(ISNUMBER(I195)),I195&lt;0,NOT(ISNUMBER(AP195)),AP195&lt;0,NOT(ISNUMBER(L195)),L195&lt;1,L195&gt;5,L195&lt;&gt;INT(L195),AND(J195&lt;&gt;"Public",J195&lt;&gt;"Partner",J195&lt;&gt;"Internal",J195&lt;&gt;"None"),AND(K195&lt;&gt;"High",K195&lt;&gt;"Medium",K195&lt;&gt;"Low",K195&lt;&gt;"None"),AND(W195&lt;&gt;"Hard-coded",W195&lt;&gt;"Configurable",W195&lt;&gt;"Policy-managed",W195&lt;&gt;"API/Library abstraction",W195&lt;&gt;"Automated"),AND(Z195&lt;&gt;"Y",Z195&lt;&gt;"N"),AND(AA195&lt;&gt;"Y",AA195&lt;&gt;"N")),"Incomplete",IF(Z195="Y",20,0)+L195*5+IF(AA195="Y",15,0)+IF(J195="Public",10,IF(J195="Partner",7,IF(J195="Internal",3,0)))+IF(W195="Hard-coded",10,IF(W195="Configurable",3,0))+IF(MAX(I195,AP195)&gt;=10,10,IF(MAX(I195,AP195)&gt;=5,7,IF(MAX(I195,AP195)&gt;=2,3,0)))+IF(K195="High",10,IF(K195="Medium",5,0))))</x:f>
      </x:c>
      <x:c r="AC195" s="73" t="str">
        <x:f>IF(A195="","",IF(NOT(ISNUMBER(AB195)),"Review inputs",IF(AB195&gt;=70,"P0 - Immediate",IF(AB195&gt;=50,"P1 - High",IF(AB195&gt;=30,"P2 - Medium",IF(AB195&gt;=15,"P3 - Low","P4 - Monitor"))))))</x:f>
      </x:c>
      <x:c r="AD195" s="73"/>
      <x:c r="AE195" s="73"/>
      <x:c r="AF195" s="73"/>
      <x:c r="AG195" s="77"/>
      <x:c r="AH195" s="73"/>
      <x:c r="AI195" s="91"/>
      <x:c r="AJ195" s="91"/>
      <x:c r="AK195" s="91"/>
      <x:c r="AL195" s="92"/>
      <x:c r="AM195" s="91"/>
      <x:c r="AN195" s="91"/>
      <x:c r="AO195" s="93"/>
      <x:c r="AP195" s="94"/>
      <x:c r="AQ195" s="91"/>
      <x:c r="AR195" s="91"/>
      <x:c r="AS195" s="91"/>
      <x:c r="AT195" s="91"/>
      <x:c r="AU195" s="91"/>
      <x:c r="AV195" s="91"/>
      <x:c r="AW195" s="91"/>
      <x:c r="AX195" s="91"/>
      <x:c r="AY195" s="91"/>
      <x:c r="AZ195" s="92"/>
      <x:c r="BA195" s="94"/>
      <x:c r="BB195" s="91"/>
      <x:c r="BC195" s="92"/>
      <x:c r="BD195" s="92"/>
      <x:c r="BE195" s="91"/>
      <x:c r="BF195" s="91"/>
      <x:c r="BG195" s="91"/>
      <x:c r="BH195" s="91"/>
      <x:c r="BI195" s="91"/>
      <x:c r="BJ195" s="91"/>
      <x:c r="BK195" s="91"/>
      <x:c r="BL195" s="91"/>
      <x:c r="BM195" s="73" t="str">
        <x:f>IF(A195="","",IF(AI195="Example","Example only",IF(AI195&lt;&gt;"Actual","Set record type",IF(COUNTIF($A$2:$A$1001,A195)&gt;1,"Duplicate record ID",IF(OR(D195="",E195="",AF195="",NOT(ISNUMBER(AG195)),AJ195="",AK195="",NOT(ISNUMBER(AL195)),AND(AM195&lt;&gt;"Observed",AM195&lt;&gt;"Corroborated",AM195&lt;&gt;"Declared"),OR(AN195="",AN195="Unknown"),OR(AQ195="",AQ195="Unknown"),OR(AR195="",AR195="Unknown",AR195="TBD"),OR(BC195="",NOT(ISNUMBER(BC195)))),"Evidence incomplete","Evidence recorded; review scope")))))</x:f>
      </x:c>
      <x:c r="BN195" s="73"/>
    </x:row>
    <x:row r="196" ht="34" customHeight="1">
      <x:c r="A196" s="73"/>
      <x:c r="B196" s="73"/>
      <x:c r="C196" s="73"/>
      <x:c r="D196" s="73"/>
      <x:c r="E196" s="73"/>
      <x:c r="F196" s="73"/>
      <x:c r="G196" s="73"/>
      <x:c r="H196" s="73"/>
      <x:c r="I196" s="75"/>
      <x:c r="J196" s="73"/>
      <x:c r="K196" s="73"/>
      <x:c r="L196" s="76"/>
      <x:c r="M196" s="73"/>
      <x:c r="N196" s="73"/>
      <x:c r="O196" s="73"/>
      <x:c r="P196" s="73"/>
      <x:c r="Q196" s="76"/>
      <x:c r="R196" s="73"/>
      <x:c r="S196" s="73"/>
      <x:c r="T196" s="73"/>
      <x:c r="U196" s="73"/>
      <x:c r="V196" s="73"/>
      <x:c r="W196" s="73"/>
      <x:c r="X196" s="73"/>
      <x:c r="Y196" s="73"/>
      <x:c r="Z196" s="73"/>
      <x:c r="AA196" s="73"/>
      <x:c r="AB196" s="76" t="str">
        <x:f>IF(A196="","",IF(OR(NOT(ISNUMBER(I196)),I196&lt;0,NOT(ISNUMBER(AP196)),AP196&lt;0,NOT(ISNUMBER(L196)),L196&lt;1,L196&gt;5,L196&lt;&gt;INT(L196),AND(J196&lt;&gt;"Public",J196&lt;&gt;"Partner",J196&lt;&gt;"Internal",J196&lt;&gt;"None"),AND(K196&lt;&gt;"High",K196&lt;&gt;"Medium",K196&lt;&gt;"Low",K196&lt;&gt;"None"),AND(W196&lt;&gt;"Hard-coded",W196&lt;&gt;"Configurable",W196&lt;&gt;"Policy-managed",W196&lt;&gt;"API/Library abstraction",W196&lt;&gt;"Automated"),AND(Z196&lt;&gt;"Y",Z196&lt;&gt;"N"),AND(AA196&lt;&gt;"Y",AA196&lt;&gt;"N")),"Incomplete",IF(Z196="Y",20,0)+L196*5+IF(AA196="Y",15,0)+IF(J196="Public",10,IF(J196="Partner",7,IF(J196="Internal",3,0)))+IF(W196="Hard-coded",10,IF(W196="Configurable",3,0))+IF(MAX(I196,AP196)&gt;=10,10,IF(MAX(I196,AP196)&gt;=5,7,IF(MAX(I196,AP196)&gt;=2,3,0)))+IF(K196="High",10,IF(K196="Medium",5,0))))</x:f>
      </x:c>
      <x:c r="AC196" s="73" t="str">
        <x:f>IF(A196="","",IF(NOT(ISNUMBER(AB196)),"Review inputs",IF(AB196&gt;=70,"P0 - Immediate",IF(AB196&gt;=50,"P1 - High",IF(AB196&gt;=30,"P2 - Medium",IF(AB196&gt;=15,"P3 - Low","P4 - Monitor"))))))</x:f>
      </x:c>
      <x:c r="AD196" s="73"/>
      <x:c r="AE196" s="73"/>
      <x:c r="AF196" s="73"/>
      <x:c r="AG196" s="77"/>
      <x:c r="AH196" s="73"/>
      <x:c r="AI196" s="91"/>
      <x:c r="AJ196" s="91"/>
      <x:c r="AK196" s="91"/>
      <x:c r="AL196" s="92"/>
      <x:c r="AM196" s="91"/>
      <x:c r="AN196" s="91"/>
      <x:c r="AO196" s="93"/>
      <x:c r="AP196" s="94"/>
      <x:c r="AQ196" s="91"/>
      <x:c r="AR196" s="91"/>
      <x:c r="AS196" s="91"/>
      <x:c r="AT196" s="91"/>
      <x:c r="AU196" s="91"/>
      <x:c r="AV196" s="91"/>
      <x:c r="AW196" s="91"/>
      <x:c r="AX196" s="91"/>
      <x:c r="AY196" s="91"/>
      <x:c r="AZ196" s="92"/>
      <x:c r="BA196" s="94"/>
      <x:c r="BB196" s="91"/>
      <x:c r="BC196" s="92"/>
      <x:c r="BD196" s="92"/>
      <x:c r="BE196" s="91"/>
      <x:c r="BF196" s="91"/>
      <x:c r="BG196" s="91"/>
      <x:c r="BH196" s="91"/>
      <x:c r="BI196" s="91"/>
      <x:c r="BJ196" s="91"/>
      <x:c r="BK196" s="91"/>
      <x:c r="BL196" s="91"/>
      <x:c r="BM196" s="73" t="str">
        <x:f>IF(A196="","",IF(AI196="Example","Example only",IF(AI196&lt;&gt;"Actual","Set record type",IF(COUNTIF($A$2:$A$1001,A196)&gt;1,"Duplicate record ID",IF(OR(D196="",E196="",AF196="",NOT(ISNUMBER(AG196)),AJ196="",AK196="",NOT(ISNUMBER(AL196)),AND(AM196&lt;&gt;"Observed",AM196&lt;&gt;"Corroborated",AM196&lt;&gt;"Declared"),OR(AN196="",AN196="Unknown"),OR(AQ196="",AQ196="Unknown"),OR(AR196="",AR196="Unknown",AR196="TBD"),OR(BC196="",NOT(ISNUMBER(BC196)))),"Evidence incomplete","Evidence recorded; review scope")))))</x:f>
      </x:c>
      <x:c r="BN196" s="73"/>
    </x:row>
    <x:row r="197" ht="34" customHeight="1">
      <x:c r="A197" s="73"/>
      <x:c r="B197" s="73"/>
      <x:c r="C197" s="73"/>
      <x:c r="D197" s="73"/>
      <x:c r="E197" s="73"/>
      <x:c r="F197" s="73"/>
      <x:c r="G197" s="73"/>
      <x:c r="H197" s="73"/>
      <x:c r="I197" s="75"/>
      <x:c r="J197" s="73"/>
      <x:c r="K197" s="73"/>
      <x:c r="L197" s="76"/>
      <x:c r="M197" s="73"/>
      <x:c r="N197" s="73"/>
      <x:c r="O197" s="73"/>
      <x:c r="P197" s="73"/>
      <x:c r="Q197" s="76"/>
      <x:c r="R197" s="73"/>
      <x:c r="S197" s="73"/>
      <x:c r="T197" s="73"/>
      <x:c r="U197" s="73"/>
      <x:c r="V197" s="73"/>
      <x:c r="W197" s="73"/>
      <x:c r="X197" s="73"/>
      <x:c r="Y197" s="73"/>
      <x:c r="Z197" s="73"/>
      <x:c r="AA197" s="73"/>
      <x:c r="AB197" s="76" t="str">
        <x:f>IF(A197="","",IF(OR(NOT(ISNUMBER(I197)),I197&lt;0,NOT(ISNUMBER(AP197)),AP197&lt;0,NOT(ISNUMBER(L197)),L197&lt;1,L197&gt;5,L197&lt;&gt;INT(L197),AND(J197&lt;&gt;"Public",J197&lt;&gt;"Partner",J197&lt;&gt;"Internal",J197&lt;&gt;"None"),AND(K197&lt;&gt;"High",K197&lt;&gt;"Medium",K197&lt;&gt;"Low",K197&lt;&gt;"None"),AND(W197&lt;&gt;"Hard-coded",W197&lt;&gt;"Configurable",W197&lt;&gt;"Policy-managed",W197&lt;&gt;"API/Library abstraction",W197&lt;&gt;"Automated"),AND(Z197&lt;&gt;"Y",Z197&lt;&gt;"N"),AND(AA197&lt;&gt;"Y",AA197&lt;&gt;"N")),"Incomplete",IF(Z197="Y",20,0)+L197*5+IF(AA197="Y",15,0)+IF(J197="Public",10,IF(J197="Partner",7,IF(J197="Internal",3,0)))+IF(W197="Hard-coded",10,IF(W197="Configurable",3,0))+IF(MAX(I197,AP197)&gt;=10,10,IF(MAX(I197,AP197)&gt;=5,7,IF(MAX(I197,AP197)&gt;=2,3,0)))+IF(K197="High",10,IF(K197="Medium",5,0))))</x:f>
      </x:c>
      <x:c r="AC197" s="73" t="str">
        <x:f>IF(A197="","",IF(NOT(ISNUMBER(AB197)),"Review inputs",IF(AB197&gt;=70,"P0 - Immediate",IF(AB197&gt;=50,"P1 - High",IF(AB197&gt;=30,"P2 - Medium",IF(AB197&gt;=15,"P3 - Low","P4 - Monitor"))))))</x:f>
      </x:c>
      <x:c r="AD197" s="73"/>
      <x:c r="AE197" s="73"/>
      <x:c r="AF197" s="73"/>
      <x:c r="AG197" s="77"/>
      <x:c r="AH197" s="73"/>
      <x:c r="AI197" s="91"/>
      <x:c r="AJ197" s="91"/>
      <x:c r="AK197" s="91"/>
      <x:c r="AL197" s="92"/>
      <x:c r="AM197" s="91"/>
      <x:c r="AN197" s="91"/>
      <x:c r="AO197" s="93"/>
      <x:c r="AP197" s="94"/>
      <x:c r="AQ197" s="91"/>
      <x:c r="AR197" s="91"/>
      <x:c r="AS197" s="91"/>
      <x:c r="AT197" s="91"/>
      <x:c r="AU197" s="91"/>
      <x:c r="AV197" s="91"/>
      <x:c r="AW197" s="91"/>
      <x:c r="AX197" s="91"/>
      <x:c r="AY197" s="91"/>
      <x:c r="AZ197" s="92"/>
      <x:c r="BA197" s="94"/>
      <x:c r="BB197" s="91"/>
      <x:c r="BC197" s="92"/>
      <x:c r="BD197" s="92"/>
      <x:c r="BE197" s="91"/>
      <x:c r="BF197" s="91"/>
      <x:c r="BG197" s="91"/>
      <x:c r="BH197" s="91"/>
      <x:c r="BI197" s="91"/>
      <x:c r="BJ197" s="91"/>
      <x:c r="BK197" s="91"/>
      <x:c r="BL197" s="91"/>
      <x:c r="BM197" s="73" t="str">
        <x:f>IF(A197="","",IF(AI197="Example","Example only",IF(AI197&lt;&gt;"Actual","Set record type",IF(COUNTIF($A$2:$A$1001,A197)&gt;1,"Duplicate record ID",IF(OR(D197="",E197="",AF197="",NOT(ISNUMBER(AG197)),AJ197="",AK197="",NOT(ISNUMBER(AL197)),AND(AM197&lt;&gt;"Observed",AM197&lt;&gt;"Corroborated",AM197&lt;&gt;"Declared"),OR(AN197="",AN197="Unknown"),OR(AQ197="",AQ197="Unknown"),OR(AR197="",AR197="Unknown",AR197="TBD"),OR(BC197="",NOT(ISNUMBER(BC197)))),"Evidence incomplete","Evidence recorded; review scope")))))</x:f>
      </x:c>
      <x:c r="BN197" s="73"/>
    </x:row>
    <x:row r="198" ht="34" customHeight="1">
      <x:c r="A198" s="73"/>
      <x:c r="B198" s="73"/>
      <x:c r="C198" s="73"/>
      <x:c r="D198" s="73"/>
      <x:c r="E198" s="73"/>
      <x:c r="F198" s="73"/>
      <x:c r="G198" s="73"/>
      <x:c r="H198" s="73"/>
      <x:c r="I198" s="75"/>
      <x:c r="J198" s="73"/>
      <x:c r="K198" s="73"/>
      <x:c r="L198" s="76"/>
      <x:c r="M198" s="73"/>
      <x:c r="N198" s="73"/>
      <x:c r="O198" s="73"/>
      <x:c r="P198" s="73"/>
      <x:c r="Q198" s="76"/>
      <x:c r="R198" s="73"/>
      <x:c r="S198" s="73"/>
      <x:c r="T198" s="73"/>
      <x:c r="U198" s="73"/>
      <x:c r="V198" s="73"/>
      <x:c r="W198" s="73"/>
      <x:c r="X198" s="73"/>
      <x:c r="Y198" s="73"/>
      <x:c r="Z198" s="73"/>
      <x:c r="AA198" s="73"/>
      <x:c r="AB198" s="76" t="str">
        <x:f>IF(A198="","",IF(OR(NOT(ISNUMBER(I198)),I198&lt;0,NOT(ISNUMBER(AP198)),AP198&lt;0,NOT(ISNUMBER(L198)),L198&lt;1,L198&gt;5,L198&lt;&gt;INT(L198),AND(J198&lt;&gt;"Public",J198&lt;&gt;"Partner",J198&lt;&gt;"Internal",J198&lt;&gt;"None"),AND(K198&lt;&gt;"High",K198&lt;&gt;"Medium",K198&lt;&gt;"Low",K198&lt;&gt;"None"),AND(W198&lt;&gt;"Hard-coded",W198&lt;&gt;"Configurable",W198&lt;&gt;"Policy-managed",W198&lt;&gt;"API/Library abstraction",W198&lt;&gt;"Automated"),AND(Z198&lt;&gt;"Y",Z198&lt;&gt;"N"),AND(AA198&lt;&gt;"Y",AA198&lt;&gt;"N")),"Incomplete",IF(Z198="Y",20,0)+L198*5+IF(AA198="Y",15,0)+IF(J198="Public",10,IF(J198="Partner",7,IF(J198="Internal",3,0)))+IF(W198="Hard-coded",10,IF(W198="Configurable",3,0))+IF(MAX(I198,AP198)&gt;=10,10,IF(MAX(I198,AP198)&gt;=5,7,IF(MAX(I198,AP198)&gt;=2,3,0)))+IF(K198="High",10,IF(K198="Medium",5,0))))</x:f>
      </x:c>
      <x:c r="AC198" s="73" t="str">
        <x:f>IF(A198="","",IF(NOT(ISNUMBER(AB198)),"Review inputs",IF(AB198&gt;=70,"P0 - Immediate",IF(AB198&gt;=50,"P1 - High",IF(AB198&gt;=30,"P2 - Medium",IF(AB198&gt;=15,"P3 - Low","P4 - Monitor"))))))</x:f>
      </x:c>
      <x:c r="AD198" s="73"/>
      <x:c r="AE198" s="73"/>
      <x:c r="AF198" s="73"/>
      <x:c r="AG198" s="77"/>
      <x:c r="AH198" s="73"/>
      <x:c r="AI198" s="91"/>
      <x:c r="AJ198" s="91"/>
      <x:c r="AK198" s="91"/>
      <x:c r="AL198" s="92"/>
      <x:c r="AM198" s="91"/>
      <x:c r="AN198" s="91"/>
      <x:c r="AO198" s="93"/>
      <x:c r="AP198" s="94"/>
      <x:c r="AQ198" s="91"/>
      <x:c r="AR198" s="91"/>
      <x:c r="AS198" s="91"/>
      <x:c r="AT198" s="91"/>
      <x:c r="AU198" s="91"/>
      <x:c r="AV198" s="91"/>
      <x:c r="AW198" s="91"/>
      <x:c r="AX198" s="91"/>
      <x:c r="AY198" s="91"/>
      <x:c r="AZ198" s="92"/>
      <x:c r="BA198" s="94"/>
      <x:c r="BB198" s="91"/>
      <x:c r="BC198" s="92"/>
      <x:c r="BD198" s="92"/>
      <x:c r="BE198" s="91"/>
      <x:c r="BF198" s="91"/>
      <x:c r="BG198" s="91"/>
      <x:c r="BH198" s="91"/>
      <x:c r="BI198" s="91"/>
      <x:c r="BJ198" s="91"/>
      <x:c r="BK198" s="91"/>
      <x:c r="BL198" s="91"/>
      <x:c r="BM198" s="73" t="str">
        <x:f>IF(A198="","",IF(AI198="Example","Example only",IF(AI198&lt;&gt;"Actual","Set record type",IF(COUNTIF($A$2:$A$1001,A198)&gt;1,"Duplicate record ID",IF(OR(D198="",E198="",AF198="",NOT(ISNUMBER(AG198)),AJ198="",AK198="",NOT(ISNUMBER(AL198)),AND(AM198&lt;&gt;"Observed",AM198&lt;&gt;"Corroborated",AM198&lt;&gt;"Declared"),OR(AN198="",AN198="Unknown"),OR(AQ198="",AQ198="Unknown"),OR(AR198="",AR198="Unknown",AR198="TBD"),OR(BC198="",NOT(ISNUMBER(BC198)))),"Evidence incomplete","Evidence recorded; review scope")))))</x:f>
      </x:c>
      <x:c r="BN198" s="73"/>
    </x:row>
    <x:row r="199" ht="34" customHeight="1">
      <x:c r="A199" s="73"/>
      <x:c r="B199" s="73"/>
      <x:c r="C199" s="73"/>
      <x:c r="D199" s="73"/>
      <x:c r="E199" s="73"/>
      <x:c r="F199" s="73"/>
      <x:c r="G199" s="73"/>
      <x:c r="H199" s="73"/>
      <x:c r="I199" s="75"/>
      <x:c r="J199" s="73"/>
      <x:c r="K199" s="73"/>
      <x:c r="L199" s="76"/>
      <x:c r="M199" s="73"/>
      <x:c r="N199" s="73"/>
      <x:c r="O199" s="73"/>
      <x:c r="P199" s="73"/>
      <x:c r="Q199" s="76"/>
      <x:c r="R199" s="73"/>
      <x:c r="S199" s="73"/>
      <x:c r="T199" s="73"/>
      <x:c r="U199" s="73"/>
      <x:c r="V199" s="73"/>
      <x:c r="W199" s="73"/>
      <x:c r="X199" s="73"/>
      <x:c r="Y199" s="73"/>
      <x:c r="Z199" s="73"/>
      <x:c r="AA199" s="73"/>
      <x:c r="AB199" s="76" t="str">
        <x:f>IF(A199="","",IF(OR(NOT(ISNUMBER(I199)),I199&lt;0,NOT(ISNUMBER(AP199)),AP199&lt;0,NOT(ISNUMBER(L199)),L199&lt;1,L199&gt;5,L199&lt;&gt;INT(L199),AND(J199&lt;&gt;"Public",J199&lt;&gt;"Partner",J199&lt;&gt;"Internal",J199&lt;&gt;"None"),AND(K199&lt;&gt;"High",K199&lt;&gt;"Medium",K199&lt;&gt;"Low",K199&lt;&gt;"None"),AND(W199&lt;&gt;"Hard-coded",W199&lt;&gt;"Configurable",W199&lt;&gt;"Policy-managed",W199&lt;&gt;"API/Library abstraction",W199&lt;&gt;"Automated"),AND(Z199&lt;&gt;"Y",Z199&lt;&gt;"N"),AND(AA199&lt;&gt;"Y",AA199&lt;&gt;"N")),"Incomplete",IF(Z199="Y",20,0)+L199*5+IF(AA199="Y",15,0)+IF(J199="Public",10,IF(J199="Partner",7,IF(J199="Internal",3,0)))+IF(W199="Hard-coded",10,IF(W199="Configurable",3,0))+IF(MAX(I199,AP199)&gt;=10,10,IF(MAX(I199,AP199)&gt;=5,7,IF(MAX(I199,AP199)&gt;=2,3,0)))+IF(K199="High",10,IF(K199="Medium",5,0))))</x:f>
      </x:c>
      <x:c r="AC199" s="73" t="str">
        <x:f>IF(A199="","",IF(NOT(ISNUMBER(AB199)),"Review inputs",IF(AB199&gt;=70,"P0 - Immediate",IF(AB199&gt;=50,"P1 - High",IF(AB199&gt;=30,"P2 - Medium",IF(AB199&gt;=15,"P3 - Low","P4 - Monitor"))))))</x:f>
      </x:c>
      <x:c r="AD199" s="73"/>
      <x:c r="AE199" s="73"/>
      <x:c r="AF199" s="73"/>
      <x:c r="AG199" s="77"/>
      <x:c r="AH199" s="73"/>
      <x:c r="AI199" s="91"/>
      <x:c r="AJ199" s="91"/>
      <x:c r="AK199" s="91"/>
      <x:c r="AL199" s="92"/>
      <x:c r="AM199" s="91"/>
      <x:c r="AN199" s="91"/>
      <x:c r="AO199" s="93"/>
      <x:c r="AP199" s="94"/>
      <x:c r="AQ199" s="91"/>
      <x:c r="AR199" s="91"/>
      <x:c r="AS199" s="91"/>
      <x:c r="AT199" s="91"/>
      <x:c r="AU199" s="91"/>
      <x:c r="AV199" s="91"/>
      <x:c r="AW199" s="91"/>
      <x:c r="AX199" s="91"/>
      <x:c r="AY199" s="91"/>
      <x:c r="AZ199" s="92"/>
      <x:c r="BA199" s="94"/>
      <x:c r="BB199" s="91"/>
      <x:c r="BC199" s="92"/>
      <x:c r="BD199" s="92"/>
      <x:c r="BE199" s="91"/>
      <x:c r="BF199" s="91"/>
      <x:c r="BG199" s="91"/>
      <x:c r="BH199" s="91"/>
      <x:c r="BI199" s="91"/>
      <x:c r="BJ199" s="91"/>
      <x:c r="BK199" s="91"/>
      <x:c r="BL199" s="91"/>
      <x:c r="BM199" s="73" t="str">
        <x:f>IF(A199="","",IF(AI199="Example","Example only",IF(AI199&lt;&gt;"Actual","Set record type",IF(COUNTIF($A$2:$A$1001,A199)&gt;1,"Duplicate record ID",IF(OR(D199="",E199="",AF199="",NOT(ISNUMBER(AG199)),AJ199="",AK199="",NOT(ISNUMBER(AL199)),AND(AM199&lt;&gt;"Observed",AM199&lt;&gt;"Corroborated",AM199&lt;&gt;"Declared"),OR(AN199="",AN199="Unknown"),OR(AQ199="",AQ199="Unknown"),OR(AR199="",AR199="Unknown",AR199="TBD"),OR(BC199="",NOT(ISNUMBER(BC199)))),"Evidence incomplete","Evidence recorded; review scope")))))</x:f>
      </x:c>
      <x:c r="BN199" s="73"/>
    </x:row>
    <x:row r="200" ht="34" customHeight="1">
      <x:c r="A200" s="73"/>
      <x:c r="B200" s="73"/>
      <x:c r="C200" s="73"/>
      <x:c r="D200" s="73"/>
      <x:c r="E200" s="73"/>
      <x:c r="F200" s="73"/>
      <x:c r="G200" s="73"/>
      <x:c r="H200" s="73"/>
      <x:c r="I200" s="75"/>
      <x:c r="J200" s="73"/>
      <x:c r="K200" s="73"/>
      <x:c r="L200" s="76"/>
      <x:c r="M200" s="73"/>
      <x:c r="N200" s="73"/>
      <x:c r="O200" s="73"/>
      <x:c r="P200" s="73"/>
      <x:c r="Q200" s="76"/>
      <x:c r="R200" s="73"/>
      <x:c r="S200" s="73"/>
      <x:c r="T200" s="73"/>
      <x:c r="U200" s="73"/>
      <x:c r="V200" s="73"/>
      <x:c r="W200" s="73"/>
      <x:c r="X200" s="73"/>
      <x:c r="Y200" s="73"/>
      <x:c r="Z200" s="73"/>
      <x:c r="AA200" s="73"/>
      <x:c r="AB200" s="76" t="str">
        <x:f>IF(A200="","",IF(OR(NOT(ISNUMBER(I200)),I200&lt;0,NOT(ISNUMBER(AP200)),AP200&lt;0,NOT(ISNUMBER(L200)),L200&lt;1,L200&gt;5,L200&lt;&gt;INT(L200),AND(J200&lt;&gt;"Public",J200&lt;&gt;"Partner",J200&lt;&gt;"Internal",J200&lt;&gt;"None"),AND(K200&lt;&gt;"High",K200&lt;&gt;"Medium",K200&lt;&gt;"Low",K200&lt;&gt;"None"),AND(W200&lt;&gt;"Hard-coded",W200&lt;&gt;"Configurable",W200&lt;&gt;"Policy-managed",W200&lt;&gt;"API/Library abstraction",W200&lt;&gt;"Automated"),AND(Z200&lt;&gt;"Y",Z200&lt;&gt;"N"),AND(AA200&lt;&gt;"Y",AA200&lt;&gt;"N")),"Incomplete",IF(Z200="Y",20,0)+L200*5+IF(AA200="Y",15,0)+IF(J200="Public",10,IF(J200="Partner",7,IF(J200="Internal",3,0)))+IF(W200="Hard-coded",10,IF(W200="Configurable",3,0))+IF(MAX(I200,AP200)&gt;=10,10,IF(MAX(I200,AP200)&gt;=5,7,IF(MAX(I200,AP200)&gt;=2,3,0)))+IF(K200="High",10,IF(K200="Medium",5,0))))</x:f>
      </x:c>
      <x:c r="AC200" s="73" t="str">
        <x:f>IF(A200="","",IF(NOT(ISNUMBER(AB200)),"Review inputs",IF(AB200&gt;=70,"P0 - Immediate",IF(AB200&gt;=50,"P1 - High",IF(AB200&gt;=30,"P2 - Medium",IF(AB200&gt;=15,"P3 - Low","P4 - Monitor"))))))</x:f>
      </x:c>
      <x:c r="AD200" s="73"/>
      <x:c r="AE200" s="73"/>
      <x:c r="AF200" s="73"/>
      <x:c r="AG200" s="77"/>
      <x:c r="AH200" s="73"/>
      <x:c r="AI200" s="91"/>
      <x:c r="AJ200" s="91"/>
      <x:c r="AK200" s="91"/>
      <x:c r="AL200" s="92"/>
      <x:c r="AM200" s="91"/>
      <x:c r="AN200" s="91"/>
      <x:c r="AO200" s="93"/>
      <x:c r="AP200" s="94"/>
      <x:c r="AQ200" s="91"/>
      <x:c r="AR200" s="91"/>
      <x:c r="AS200" s="91"/>
      <x:c r="AT200" s="91"/>
      <x:c r="AU200" s="91"/>
      <x:c r="AV200" s="91"/>
      <x:c r="AW200" s="91"/>
      <x:c r="AX200" s="91"/>
      <x:c r="AY200" s="91"/>
      <x:c r="AZ200" s="92"/>
      <x:c r="BA200" s="94"/>
      <x:c r="BB200" s="91"/>
      <x:c r="BC200" s="92"/>
      <x:c r="BD200" s="92"/>
      <x:c r="BE200" s="91"/>
      <x:c r="BF200" s="91"/>
      <x:c r="BG200" s="91"/>
      <x:c r="BH200" s="91"/>
      <x:c r="BI200" s="91"/>
      <x:c r="BJ200" s="91"/>
      <x:c r="BK200" s="91"/>
      <x:c r="BL200" s="91"/>
      <x:c r="BM200" s="73" t="str">
        <x:f>IF(A200="","",IF(AI200="Example","Example only",IF(AI200&lt;&gt;"Actual","Set record type",IF(COUNTIF($A$2:$A$1001,A200)&gt;1,"Duplicate record ID",IF(OR(D200="",E200="",AF200="",NOT(ISNUMBER(AG200)),AJ200="",AK200="",NOT(ISNUMBER(AL200)),AND(AM200&lt;&gt;"Observed",AM200&lt;&gt;"Corroborated",AM200&lt;&gt;"Declared"),OR(AN200="",AN200="Unknown"),OR(AQ200="",AQ200="Unknown"),OR(AR200="",AR200="Unknown",AR200="TBD"),OR(BC200="",NOT(ISNUMBER(BC200)))),"Evidence incomplete","Evidence recorded; review scope")))))</x:f>
      </x:c>
      <x:c r="BN200" s="73"/>
    </x:row>
    <x:row r="201" ht="34" customHeight="1">
      <x:c r="A201" s="73"/>
      <x:c r="B201" s="73"/>
      <x:c r="C201" s="73"/>
      <x:c r="D201" s="73"/>
      <x:c r="E201" s="73"/>
      <x:c r="F201" s="73"/>
      <x:c r="G201" s="73"/>
      <x:c r="H201" s="73"/>
      <x:c r="I201" s="75"/>
      <x:c r="J201" s="73"/>
      <x:c r="K201" s="73"/>
      <x:c r="L201" s="76"/>
      <x:c r="M201" s="73"/>
      <x:c r="N201" s="73"/>
      <x:c r="O201" s="73"/>
      <x:c r="P201" s="73"/>
      <x:c r="Q201" s="76"/>
      <x:c r="R201" s="73"/>
      <x:c r="S201" s="73"/>
      <x:c r="T201" s="73"/>
      <x:c r="U201" s="73"/>
      <x:c r="V201" s="73"/>
      <x:c r="W201" s="73"/>
      <x:c r="X201" s="73"/>
      <x:c r="Y201" s="73"/>
      <x:c r="Z201" s="73"/>
      <x:c r="AA201" s="73"/>
      <x:c r="AB201" s="76" t="str">
        <x:f>IF(A201="","",IF(OR(NOT(ISNUMBER(I201)),I201&lt;0,NOT(ISNUMBER(AP201)),AP201&lt;0,NOT(ISNUMBER(L201)),L201&lt;1,L201&gt;5,L201&lt;&gt;INT(L201),AND(J201&lt;&gt;"Public",J201&lt;&gt;"Partner",J201&lt;&gt;"Internal",J201&lt;&gt;"None"),AND(K201&lt;&gt;"High",K201&lt;&gt;"Medium",K201&lt;&gt;"Low",K201&lt;&gt;"None"),AND(W201&lt;&gt;"Hard-coded",W201&lt;&gt;"Configurable",W201&lt;&gt;"Policy-managed",W201&lt;&gt;"API/Library abstraction",W201&lt;&gt;"Automated"),AND(Z201&lt;&gt;"Y",Z201&lt;&gt;"N"),AND(AA201&lt;&gt;"Y",AA201&lt;&gt;"N")),"Incomplete",IF(Z201="Y",20,0)+L201*5+IF(AA201="Y",15,0)+IF(J201="Public",10,IF(J201="Partner",7,IF(J201="Internal",3,0)))+IF(W201="Hard-coded",10,IF(W201="Configurable",3,0))+IF(MAX(I201,AP201)&gt;=10,10,IF(MAX(I201,AP201)&gt;=5,7,IF(MAX(I201,AP201)&gt;=2,3,0)))+IF(K201="High",10,IF(K201="Medium",5,0))))</x:f>
      </x:c>
      <x:c r="AC201" s="73" t="str">
        <x:f>IF(A201="","",IF(NOT(ISNUMBER(AB201)),"Review inputs",IF(AB201&gt;=70,"P0 - Immediate",IF(AB201&gt;=50,"P1 - High",IF(AB201&gt;=30,"P2 - Medium",IF(AB201&gt;=15,"P3 - Low","P4 - Monitor"))))))</x:f>
      </x:c>
      <x:c r="AD201" s="73"/>
      <x:c r="AE201" s="73"/>
      <x:c r="AF201" s="73"/>
      <x:c r="AG201" s="77"/>
      <x:c r="AH201" s="73"/>
      <x:c r="AI201" s="91"/>
      <x:c r="AJ201" s="91"/>
      <x:c r="AK201" s="91"/>
      <x:c r="AL201" s="92"/>
      <x:c r="AM201" s="91"/>
      <x:c r="AN201" s="91"/>
      <x:c r="AO201" s="93"/>
      <x:c r="AP201" s="94"/>
      <x:c r="AQ201" s="91"/>
      <x:c r="AR201" s="91"/>
      <x:c r="AS201" s="91"/>
      <x:c r="AT201" s="91"/>
      <x:c r="AU201" s="91"/>
      <x:c r="AV201" s="91"/>
      <x:c r="AW201" s="91"/>
      <x:c r="AX201" s="91"/>
      <x:c r="AY201" s="91"/>
      <x:c r="AZ201" s="92"/>
      <x:c r="BA201" s="94"/>
      <x:c r="BB201" s="91"/>
      <x:c r="BC201" s="92"/>
      <x:c r="BD201" s="92"/>
      <x:c r="BE201" s="91"/>
      <x:c r="BF201" s="91"/>
      <x:c r="BG201" s="91"/>
      <x:c r="BH201" s="91"/>
      <x:c r="BI201" s="91"/>
      <x:c r="BJ201" s="91"/>
      <x:c r="BK201" s="91"/>
      <x:c r="BL201" s="91"/>
      <x:c r="BM201" s="73" t="str">
        <x:f>IF(A201="","",IF(AI201="Example","Example only",IF(AI201&lt;&gt;"Actual","Set record type",IF(COUNTIF($A$2:$A$1001,A201)&gt;1,"Duplicate record ID",IF(OR(D201="",E201="",AF201="",NOT(ISNUMBER(AG201)),AJ201="",AK201="",NOT(ISNUMBER(AL201)),AND(AM201&lt;&gt;"Observed",AM201&lt;&gt;"Corroborated",AM201&lt;&gt;"Declared"),OR(AN201="",AN201="Unknown"),OR(AQ201="",AQ201="Unknown"),OR(AR201="",AR201="Unknown",AR201="TBD"),OR(BC201="",NOT(ISNUMBER(BC201)))),"Evidence incomplete","Evidence recorded; review scope")))))</x:f>
      </x:c>
      <x:c r="BN201" s="73"/>
    </x:row>
    <x:row r="202" ht="34" customHeight="1">
      <x:c r="A202" s="73"/>
      <x:c r="B202" s="73"/>
      <x:c r="C202" s="73"/>
      <x:c r="D202" s="73"/>
      <x:c r="E202" s="73"/>
      <x:c r="F202" s="73"/>
      <x:c r="G202" s="73"/>
      <x:c r="H202" s="73"/>
      <x:c r="I202" s="75"/>
      <x:c r="J202" s="73"/>
      <x:c r="K202" s="73"/>
      <x:c r="L202" s="76"/>
      <x:c r="M202" s="73"/>
      <x:c r="N202" s="73"/>
      <x:c r="O202" s="73"/>
      <x:c r="P202" s="73"/>
      <x:c r="Q202" s="76"/>
      <x:c r="R202" s="73"/>
      <x:c r="S202" s="73"/>
      <x:c r="T202" s="73"/>
      <x:c r="U202" s="73"/>
      <x:c r="V202" s="73"/>
      <x:c r="W202" s="73"/>
      <x:c r="X202" s="73"/>
      <x:c r="Y202" s="73"/>
      <x:c r="Z202" s="73"/>
      <x:c r="AA202" s="73"/>
      <x:c r="AB202" s="76" t="str">
        <x:f>IF(A202="","",IF(OR(NOT(ISNUMBER(I202)),I202&lt;0,NOT(ISNUMBER(AP202)),AP202&lt;0,NOT(ISNUMBER(L202)),L202&lt;1,L202&gt;5,L202&lt;&gt;INT(L202),AND(J202&lt;&gt;"Public",J202&lt;&gt;"Partner",J202&lt;&gt;"Internal",J202&lt;&gt;"None"),AND(K202&lt;&gt;"High",K202&lt;&gt;"Medium",K202&lt;&gt;"Low",K202&lt;&gt;"None"),AND(W202&lt;&gt;"Hard-coded",W202&lt;&gt;"Configurable",W202&lt;&gt;"Policy-managed",W202&lt;&gt;"API/Library abstraction",W202&lt;&gt;"Automated"),AND(Z202&lt;&gt;"Y",Z202&lt;&gt;"N"),AND(AA202&lt;&gt;"Y",AA202&lt;&gt;"N")),"Incomplete",IF(Z202="Y",20,0)+L202*5+IF(AA202="Y",15,0)+IF(J202="Public",10,IF(J202="Partner",7,IF(J202="Internal",3,0)))+IF(W202="Hard-coded",10,IF(W202="Configurable",3,0))+IF(MAX(I202,AP202)&gt;=10,10,IF(MAX(I202,AP202)&gt;=5,7,IF(MAX(I202,AP202)&gt;=2,3,0)))+IF(K202="High",10,IF(K202="Medium",5,0))))</x:f>
      </x:c>
      <x:c r="AC202" s="73" t="str">
        <x:f>IF(A202="","",IF(NOT(ISNUMBER(AB202)),"Review inputs",IF(AB202&gt;=70,"P0 - Immediate",IF(AB202&gt;=50,"P1 - High",IF(AB202&gt;=30,"P2 - Medium",IF(AB202&gt;=15,"P3 - Low","P4 - Monitor"))))))</x:f>
      </x:c>
      <x:c r="AD202" s="73"/>
      <x:c r="AE202" s="73"/>
      <x:c r="AF202" s="73"/>
      <x:c r="AG202" s="77"/>
      <x:c r="AH202" s="73"/>
      <x:c r="AI202" s="91"/>
      <x:c r="AJ202" s="91"/>
      <x:c r="AK202" s="91"/>
      <x:c r="AL202" s="92"/>
      <x:c r="AM202" s="91"/>
      <x:c r="AN202" s="91"/>
      <x:c r="AO202" s="93"/>
      <x:c r="AP202" s="94"/>
      <x:c r="AQ202" s="91"/>
      <x:c r="AR202" s="91"/>
      <x:c r="AS202" s="91"/>
      <x:c r="AT202" s="91"/>
      <x:c r="AU202" s="91"/>
      <x:c r="AV202" s="91"/>
      <x:c r="AW202" s="91"/>
      <x:c r="AX202" s="91"/>
      <x:c r="AY202" s="91"/>
      <x:c r="AZ202" s="92"/>
      <x:c r="BA202" s="94"/>
      <x:c r="BB202" s="91"/>
      <x:c r="BC202" s="92"/>
      <x:c r="BD202" s="92"/>
      <x:c r="BE202" s="91"/>
      <x:c r="BF202" s="91"/>
      <x:c r="BG202" s="91"/>
      <x:c r="BH202" s="91"/>
      <x:c r="BI202" s="91"/>
      <x:c r="BJ202" s="91"/>
      <x:c r="BK202" s="91"/>
      <x:c r="BL202" s="91"/>
      <x:c r="BM202" s="73" t="str">
        <x:f>IF(A202="","",IF(AI202="Example","Example only",IF(AI202&lt;&gt;"Actual","Set record type",IF(COUNTIF($A$2:$A$1001,A202)&gt;1,"Duplicate record ID",IF(OR(D202="",E202="",AF202="",NOT(ISNUMBER(AG202)),AJ202="",AK202="",NOT(ISNUMBER(AL202)),AND(AM202&lt;&gt;"Observed",AM202&lt;&gt;"Corroborated",AM202&lt;&gt;"Declared"),OR(AN202="",AN202="Unknown"),OR(AQ202="",AQ202="Unknown"),OR(AR202="",AR202="Unknown",AR202="TBD"),OR(BC202="",NOT(ISNUMBER(BC202)))),"Evidence incomplete","Evidence recorded; review scope")))))</x:f>
      </x:c>
      <x:c r="BN202" s="73"/>
    </x:row>
    <x:row r="203" ht="34" customHeight="1">
      <x:c r="A203" s="73"/>
      <x:c r="B203" s="73"/>
      <x:c r="C203" s="73"/>
      <x:c r="D203" s="73"/>
      <x:c r="E203" s="73"/>
      <x:c r="F203" s="73"/>
      <x:c r="G203" s="73"/>
      <x:c r="H203" s="73"/>
      <x:c r="I203" s="75"/>
      <x:c r="J203" s="73"/>
      <x:c r="K203" s="73"/>
      <x:c r="L203" s="76"/>
      <x:c r="M203" s="73"/>
      <x:c r="N203" s="73"/>
      <x:c r="O203" s="73"/>
      <x:c r="P203" s="73"/>
      <x:c r="Q203" s="76"/>
      <x:c r="R203" s="73"/>
      <x:c r="S203" s="73"/>
      <x:c r="T203" s="73"/>
      <x:c r="U203" s="73"/>
      <x:c r="V203" s="73"/>
      <x:c r="W203" s="73"/>
      <x:c r="X203" s="73"/>
      <x:c r="Y203" s="73"/>
      <x:c r="Z203" s="73"/>
      <x:c r="AA203" s="73"/>
      <x:c r="AB203" s="76" t="str">
        <x:f>IF(A203="","",IF(OR(NOT(ISNUMBER(I203)),I203&lt;0,NOT(ISNUMBER(AP203)),AP203&lt;0,NOT(ISNUMBER(L203)),L203&lt;1,L203&gt;5,L203&lt;&gt;INT(L203),AND(J203&lt;&gt;"Public",J203&lt;&gt;"Partner",J203&lt;&gt;"Internal",J203&lt;&gt;"None"),AND(K203&lt;&gt;"High",K203&lt;&gt;"Medium",K203&lt;&gt;"Low",K203&lt;&gt;"None"),AND(W203&lt;&gt;"Hard-coded",W203&lt;&gt;"Configurable",W203&lt;&gt;"Policy-managed",W203&lt;&gt;"API/Library abstraction",W203&lt;&gt;"Automated"),AND(Z203&lt;&gt;"Y",Z203&lt;&gt;"N"),AND(AA203&lt;&gt;"Y",AA203&lt;&gt;"N")),"Incomplete",IF(Z203="Y",20,0)+L203*5+IF(AA203="Y",15,0)+IF(J203="Public",10,IF(J203="Partner",7,IF(J203="Internal",3,0)))+IF(W203="Hard-coded",10,IF(W203="Configurable",3,0))+IF(MAX(I203,AP203)&gt;=10,10,IF(MAX(I203,AP203)&gt;=5,7,IF(MAX(I203,AP203)&gt;=2,3,0)))+IF(K203="High",10,IF(K203="Medium",5,0))))</x:f>
      </x:c>
      <x:c r="AC203" s="73" t="str">
        <x:f>IF(A203="","",IF(NOT(ISNUMBER(AB203)),"Review inputs",IF(AB203&gt;=70,"P0 - Immediate",IF(AB203&gt;=50,"P1 - High",IF(AB203&gt;=30,"P2 - Medium",IF(AB203&gt;=15,"P3 - Low","P4 - Monitor"))))))</x:f>
      </x:c>
      <x:c r="AD203" s="73"/>
      <x:c r="AE203" s="73"/>
      <x:c r="AF203" s="73"/>
      <x:c r="AG203" s="77"/>
      <x:c r="AH203" s="73"/>
      <x:c r="AI203" s="91"/>
      <x:c r="AJ203" s="91"/>
      <x:c r="AK203" s="91"/>
      <x:c r="AL203" s="92"/>
      <x:c r="AM203" s="91"/>
      <x:c r="AN203" s="91"/>
      <x:c r="AO203" s="93"/>
      <x:c r="AP203" s="94"/>
      <x:c r="AQ203" s="91"/>
      <x:c r="AR203" s="91"/>
      <x:c r="AS203" s="91"/>
      <x:c r="AT203" s="91"/>
      <x:c r="AU203" s="91"/>
      <x:c r="AV203" s="91"/>
      <x:c r="AW203" s="91"/>
      <x:c r="AX203" s="91"/>
      <x:c r="AY203" s="91"/>
      <x:c r="AZ203" s="92"/>
      <x:c r="BA203" s="94"/>
      <x:c r="BB203" s="91"/>
      <x:c r="BC203" s="92"/>
      <x:c r="BD203" s="92"/>
      <x:c r="BE203" s="91"/>
      <x:c r="BF203" s="91"/>
      <x:c r="BG203" s="91"/>
      <x:c r="BH203" s="91"/>
      <x:c r="BI203" s="91"/>
      <x:c r="BJ203" s="91"/>
      <x:c r="BK203" s="91"/>
      <x:c r="BL203" s="91"/>
      <x:c r="BM203" s="73" t="str">
        <x:f>IF(A203="","",IF(AI203="Example","Example only",IF(AI203&lt;&gt;"Actual","Set record type",IF(COUNTIF($A$2:$A$1001,A203)&gt;1,"Duplicate record ID",IF(OR(D203="",E203="",AF203="",NOT(ISNUMBER(AG203)),AJ203="",AK203="",NOT(ISNUMBER(AL203)),AND(AM203&lt;&gt;"Observed",AM203&lt;&gt;"Corroborated",AM203&lt;&gt;"Declared"),OR(AN203="",AN203="Unknown"),OR(AQ203="",AQ203="Unknown"),OR(AR203="",AR203="Unknown",AR203="TBD"),OR(BC203="",NOT(ISNUMBER(BC203)))),"Evidence incomplete","Evidence recorded; review scope")))))</x:f>
      </x:c>
      <x:c r="BN203" s="73"/>
    </x:row>
    <x:row r="204" ht="34" customHeight="1">
      <x:c r="A204" s="73"/>
      <x:c r="B204" s="73"/>
      <x:c r="C204" s="73"/>
      <x:c r="D204" s="73"/>
      <x:c r="E204" s="73"/>
      <x:c r="F204" s="73"/>
      <x:c r="G204" s="73"/>
      <x:c r="H204" s="73"/>
      <x:c r="I204" s="75"/>
      <x:c r="J204" s="73"/>
      <x:c r="K204" s="73"/>
      <x:c r="L204" s="76"/>
      <x:c r="M204" s="73"/>
      <x:c r="N204" s="73"/>
      <x:c r="O204" s="73"/>
      <x:c r="P204" s="73"/>
      <x:c r="Q204" s="76"/>
      <x:c r="R204" s="73"/>
      <x:c r="S204" s="73"/>
      <x:c r="T204" s="73"/>
      <x:c r="U204" s="73"/>
      <x:c r="V204" s="73"/>
      <x:c r="W204" s="73"/>
      <x:c r="X204" s="73"/>
      <x:c r="Y204" s="73"/>
      <x:c r="Z204" s="73"/>
      <x:c r="AA204" s="73"/>
      <x:c r="AB204" s="76" t="str">
        <x:f>IF(A204="","",IF(OR(NOT(ISNUMBER(I204)),I204&lt;0,NOT(ISNUMBER(AP204)),AP204&lt;0,NOT(ISNUMBER(L204)),L204&lt;1,L204&gt;5,L204&lt;&gt;INT(L204),AND(J204&lt;&gt;"Public",J204&lt;&gt;"Partner",J204&lt;&gt;"Internal",J204&lt;&gt;"None"),AND(K204&lt;&gt;"High",K204&lt;&gt;"Medium",K204&lt;&gt;"Low",K204&lt;&gt;"None"),AND(W204&lt;&gt;"Hard-coded",W204&lt;&gt;"Configurable",W204&lt;&gt;"Policy-managed",W204&lt;&gt;"API/Library abstraction",W204&lt;&gt;"Automated"),AND(Z204&lt;&gt;"Y",Z204&lt;&gt;"N"),AND(AA204&lt;&gt;"Y",AA204&lt;&gt;"N")),"Incomplete",IF(Z204="Y",20,0)+L204*5+IF(AA204="Y",15,0)+IF(J204="Public",10,IF(J204="Partner",7,IF(J204="Internal",3,0)))+IF(W204="Hard-coded",10,IF(W204="Configurable",3,0))+IF(MAX(I204,AP204)&gt;=10,10,IF(MAX(I204,AP204)&gt;=5,7,IF(MAX(I204,AP204)&gt;=2,3,0)))+IF(K204="High",10,IF(K204="Medium",5,0))))</x:f>
      </x:c>
      <x:c r="AC204" s="73" t="str">
        <x:f>IF(A204="","",IF(NOT(ISNUMBER(AB204)),"Review inputs",IF(AB204&gt;=70,"P0 - Immediate",IF(AB204&gt;=50,"P1 - High",IF(AB204&gt;=30,"P2 - Medium",IF(AB204&gt;=15,"P3 - Low","P4 - Monitor"))))))</x:f>
      </x:c>
      <x:c r="AD204" s="73"/>
      <x:c r="AE204" s="73"/>
      <x:c r="AF204" s="73"/>
      <x:c r="AG204" s="77"/>
      <x:c r="AH204" s="73"/>
      <x:c r="AI204" s="91"/>
      <x:c r="AJ204" s="91"/>
      <x:c r="AK204" s="91"/>
      <x:c r="AL204" s="92"/>
      <x:c r="AM204" s="91"/>
      <x:c r="AN204" s="91"/>
      <x:c r="AO204" s="93"/>
      <x:c r="AP204" s="94"/>
      <x:c r="AQ204" s="91"/>
      <x:c r="AR204" s="91"/>
      <x:c r="AS204" s="91"/>
      <x:c r="AT204" s="91"/>
      <x:c r="AU204" s="91"/>
      <x:c r="AV204" s="91"/>
      <x:c r="AW204" s="91"/>
      <x:c r="AX204" s="91"/>
      <x:c r="AY204" s="91"/>
      <x:c r="AZ204" s="92"/>
      <x:c r="BA204" s="94"/>
      <x:c r="BB204" s="91"/>
      <x:c r="BC204" s="92"/>
      <x:c r="BD204" s="92"/>
      <x:c r="BE204" s="91"/>
      <x:c r="BF204" s="91"/>
      <x:c r="BG204" s="91"/>
      <x:c r="BH204" s="91"/>
      <x:c r="BI204" s="91"/>
      <x:c r="BJ204" s="91"/>
      <x:c r="BK204" s="91"/>
      <x:c r="BL204" s="91"/>
      <x:c r="BM204" s="73" t="str">
        <x:f>IF(A204="","",IF(AI204="Example","Example only",IF(AI204&lt;&gt;"Actual","Set record type",IF(COUNTIF($A$2:$A$1001,A204)&gt;1,"Duplicate record ID",IF(OR(D204="",E204="",AF204="",NOT(ISNUMBER(AG204)),AJ204="",AK204="",NOT(ISNUMBER(AL204)),AND(AM204&lt;&gt;"Observed",AM204&lt;&gt;"Corroborated",AM204&lt;&gt;"Declared"),OR(AN204="",AN204="Unknown"),OR(AQ204="",AQ204="Unknown"),OR(AR204="",AR204="Unknown",AR204="TBD"),OR(BC204="",NOT(ISNUMBER(BC204)))),"Evidence incomplete","Evidence recorded; review scope")))))</x:f>
      </x:c>
      <x:c r="BN204" s="73"/>
    </x:row>
    <x:row r="205" ht="34" customHeight="1">
      <x:c r="A205" s="73"/>
      <x:c r="B205" s="73"/>
      <x:c r="C205" s="73"/>
      <x:c r="D205" s="73"/>
      <x:c r="E205" s="73"/>
      <x:c r="F205" s="73"/>
      <x:c r="G205" s="73"/>
      <x:c r="H205" s="73"/>
      <x:c r="I205" s="75"/>
      <x:c r="J205" s="73"/>
      <x:c r="K205" s="73"/>
      <x:c r="L205" s="76"/>
      <x:c r="M205" s="73"/>
      <x:c r="N205" s="73"/>
      <x:c r="O205" s="73"/>
      <x:c r="P205" s="73"/>
      <x:c r="Q205" s="76"/>
      <x:c r="R205" s="73"/>
      <x:c r="S205" s="73"/>
      <x:c r="T205" s="73"/>
      <x:c r="U205" s="73"/>
      <x:c r="V205" s="73"/>
      <x:c r="W205" s="73"/>
      <x:c r="X205" s="73"/>
      <x:c r="Y205" s="73"/>
      <x:c r="Z205" s="73"/>
      <x:c r="AA205" s="73"/>
      <x:c r="AB205" s="76" t="str">
        <x:f>IF(A205="","",IF(OR(NOT(ISNUMBER(I205)),I205&lt;0,NOT(ISNUMBER(AP205)),AP205&lt;0,NOT(ISNUMBER(L205)),L205&lt;1,L205&gt;5,L205&lt;&gt;INT(L205),AND(J205&lt;&gt;"Public",J205&lt;&gt;"Partner",J205&lt;&gt;"Internal",J205&lt;&gt;"None"),AND(K205&lt;&gt;"High",K205&lt;&gt;"Medium",K205&lt;&gt;"Low",K205&lt;&gt;"None"),AND(W205&lt;&gt;"Hard-coded",W205&lt;&gt;"Configurable",W205&lt;&gt;"Policy-managed",W205&lt;&gt;"API/Library abstraction",W205&lt;&gt;"Automated"),AND(Z205&lt;&gt;"Y",Z205&lt;&gt;"N"),AND(AA205&lt;&gt;"Y",AA205&lt;&gt;"N")),"Incomplete",IF(Z205="Y",20,0)+L205*5+IF(AA205="Y",15,0)+IF(J205="Public",10,IF(J205="Partner",7,IF(J205="Internal",3,0)))+IF(W205="Hard-coded",10,IF(W205="Configurable",3,0))+IF(MAX(I205,AP205)&gt;=10,10,IF(MAX(I205,AP205)&gt;=5,7,IF(MAX(I205,AP205)&gt;=2,3,0)))+IF(K205="High",10,IF(K205="Medium",5,0))))</x:f>
      </x:c>
      <x:c r="AC205" s="73" t="str">
        <x:f>IF(A205="","",IF(NOT(ISNUMBER(AB205)),"Review inputs",IF(AB205&gt;=70,"P0 - Immediate",IF(AB205&gt;=50,"P1 - High",IF(AB205&gt;=30,"P2 - Medium",IF(AB205&gt;=15,"P3 - Low","P4 - Monitor"))))))</x:f>
      </x:c>
      <x:c r="AD205" s="73"/>
      <x:c r="AE205" s="73"/>
      <x:c r="AF205" s="73"/>
      <x:c r="AG205" s="77"/>
      <x:c r="AH205" s="73"/>
      <x:c r="AI205" s="91"/>
      <x:c r="AJ205" s="91"/>
      <x:c r="AK205" s="91"/>
      <x:c r="AL205" s="92"/>
      <x:c r="AM205" s="91"/>
      <x:c r="AN205" s="91"/>
      <x:c r="AO205" s="93"/>
      <x:c r="AP205" s="94"/>
      <x:c r="AQ205" s="91"/>
      <x:c r="AR205" s="91"/>
      <x:c r="AS205" s="91"/>
      <x:c r="AT205" s="91"/>
      <x:c r="AU205" s="91"/>
      <x:c r="AV205" s="91"/>
      <x:c r="AW205" s="91"/>
      <x:c r="AX205" s="91"/>
      <x:c r="AY205" s="91"/>
      <x:c r="AZ205" s="92"/>
      <x:c r="BA205" s="94"/>
      <x:c r="BB205" s="91"/>
      <x:c r="BC205" s="92"/>
      <x:c r="BD205" s="92"/>
      <x:c r="BE205" s="91"/>
      <x:c r="BF205" s="91"/>
      <x:c r="BG205" s="91"/>
      <x:c r="BH205" s="91"/>
      <x:c r="BI205" s="91"/>
      <x:c r="BJ205" s="91"/>
      <x:c r="BK205" s="91"/>
      <x:c r="BL205" s="91"/>
      <x:c r="BM205" s="73" t="str">
        <x:f>IF(A205="","",IF(AI205="Example","Example only",IF(AI205&lt;&gt;"Actual","Set record type",IF(COUNTIF($A$2:$A$1001,A205)&gt;1,"Duplicate record ID",IF(OR(D205="",E205="",AF205="",NOT(ISNUMBER(AG205)),AJ205="",AK205="",NOT(ISNUMBER(AL205)),AND(AM205&lt;&gt;"Observed",AM205&lt;&gt;"Corroborated",AM205&lt;&gt;"Declared"),OR(AN205="",AN205="Unknown"),OR(AQ205="",AQ205="Unknown"),OR(AR205="",AR205="Unknown",AR205="TBD"),OR(BC205="",NOT(ISNUMBER(BC205)))),"Evidence incomplete","Evidence recorded; review scope")))))</x:f>
      </x:c>
      <x:c r="BN205" s="73"/>
    </x:row>
    <x:row r="206" ht="34" customHeight="1">
      <x:c r="A206" s="73"/>
      <x:c r="B206" s="73"/>
      <x:c r="C206" s="73"/>
      <x:c r="D206" s="73"/>
      <x:c r="E206" s="73"/>
      <x:c r="F206" s="73"/>
      <x:c r="G206" s="73"/>
      <x:c r="H206" s="73"/>
      <x:c r="I206" s="75"/>
      <x:c r="J206" s="73"/>
      <x:c r="K206" s="73"/>
      <x:c r="L206" s="76"/>
      <x:c r="M206" s="73"/>
      <x:c r="N206" s="73"/>
      <x:c r="O206" s="73"/>
      <x:c r="P206" s="73"/>
      <x:c r="Q206" s="76"/>
      <x:c r="R206" s="73"/>
      <x:c r="S206" s="73"/>
      <x:c r="T206" s="73"/>
      <x:c r="U206" s="73"/>
      <x:c r="V206" s="73"/>
      <x:c r="W206" s="73"/>
      <x:c r="X206" s="73"/>
      <x:c r="Y206" s="73"/>
      <x:c r="Z206" s="73"/>
      <x:c r="AA206" s="73"/>
      <x:c r="AB206" s="76" t="str">
        <x:f>IF(A206="","",IF(OR(NOT(ISNUMBER(I206)),I206&lt;0,NOT(ISNUMBER(AP206)),AP206&lt;0,NOT(ISNUMBER(L206)),L206&lt;1,L206&gt;5,L206&lt;&gt;INT(L206),AND(J206&lt;&gt;"Public",J206&lt;&gt;"Partner",J206&lt;&gt;"Internal",J206&lt;&gt;"None"),AND(K206&lt;&gt;"High",K206&lt;&gt;"Medium",K206&lt;&gt;"Low",K206&lt;&gt;"None"),AND(W206&lt;&gt;"Hard-coded",W206&lt;&gt;"Configurable",W206&lt;&gt;"Policy-managed",W206&lt;&gt;"API/Library abstraction",W206&lt;&gt;"Automated"),AND(Z206&lt;&gt;"Y",Z206&lt;&gt;"N"),AND(AA206&lt;&gt;"Y",AA206&lt;&gt;"N")),"Incomplete",IF(Z206="Y",20,0)+L206*5+IF(AA206="Y",15,0)+IF(J206="Public",10,IF(J206="Partner",7,IF(J206="Internal",3,0)))+IF(W206="Hard-coded",10,IF(W206="Configurable",3,0))+IF(MAX(I206,AP206)&gt;=10,10,IF(MAX(I206,AP206)&gt;=5,7,IF(MAX(I206,AP206)&gt;=2,3,0)))+IF(K206="High",10,IF(K206="Medium",5,0))))</x:f>
      </x:c>
      <x:c r="AC206" s="73" t="str">
        <x:f>IF(A206="","",IF(NOT(ISNUMBER(AB206)),"Review inputs",IF(AB206&gt;=70,"P0 - Immediate",IF(AB206&gt;=50,"P1 - High",IF(AB206&gt;=30,"P2 - Medium",IF(AB206&gt;=15,"P3 - Low","P4 - Monitor"))))))</x:f>
      </x:c>
      <x:c r="AD206" s="73"/>
      <x:c r="AE206" s="73"/>
      <x:c r="AF206" s="73"/>
      <x:c r="AG206" s="77"/>
      <x:c r="AH206" s="73"/>
      <x:c r="AI206" s="91"/>
      <x:c r="AJ206" s="91"/>
      <x:c r="AK206" s="91"/>
      <x:c r="AL206" s="92"/>
      <x:c r="AM206" s="91"/>
      <x:c r="AN206" s="91"/>
      <x:c r="AO206" s="93"/>
      <x:c r="AP206" s="94"/>
      <x:c r="AQ206" s="91"/>
      <x:c r="AR206" s="91"/>
      <x:c r="AS206" s="91"/>
      <x:c r="AT206" s="91"/>
      <x:c r="AU206" s="91"/>
      <x:c r="AV206" s="91"/>
      <x:c r="AW206" s="91"/>
      <x:c r="AX206" s="91"/>
      <x:c r="AY206" s="91"/>
      <x:c r="AZ206" s="92"/>
      <x:c r="BA206" s="94"/>
      <x:c r="BB206" s="91"/>
      <x:c r="BC206" s="92"/>
      <x:c r="BD206" s="92"/>
      <x:c r="BE206" s="91"/>
      <x:c r="BF206" s="91"/>
      <x:c r="BG206" s="91"/>
      <x:c r="BH206" s="91"/>
      <x:c r="BI206" s="91"/>
      <x:c r="BJ206" s="91"/>
      <x:c r="BK206" s="91"/>
      <x:c r="BL206" s="91"/>
      <x:c r="BM206" s="73" t="str">
        <x:f>IF(A206="","",IF(AI206="Example","Example only",IF(AI206&lt;&gt;"Actual","Set record type",IF(COUNTIF($A$2:$A$1001,A206)&gt;1,"Duplicate record ID",IF(OR(D206="",E206="",AF206="",NOT(ISNUMBER(AG206)),AJ206="",AK206="",NOT(ISNUMBER(AL206)),AND(AM206&lt;&gt;"Observed",AM206&lt;&gt;"Corroborated",AM206&lt;&gt;"Declared"),OR(AN206="",AN206="Unknown"),OR(AQ206="",AQ206="Unknown"),OR(AR206="",AR206="Unknown",AR206="TBD"),OR(BC206="",NOT(ISNUMBER(BC206)))),"Evidence incomplete","Evidence recorded; review scope")))))</x:f>
      </x:c>
      <x:c r="BN206" s="73"/>
    </x:row>
    <x:row r="207" ht="34" customHeight="1">
      <x:c r="A207" s="73"/>
      <x:c r="B207" s="73"/>
      <x:c r="C207" s="73"/>
      <x:c r="D207" s="73"/>
      <x:c r="E207" s="73"/>
      <x:c r="F207" s="73"/>
      <x:c r="G207" s="73"/>
      <x:c r="H207" s="73"/>
      <x:c r="I207" s="75"/>
      <x:c r="J207" s="73"/>
      <x:c r="K207" s="73"/>
      <x:c r="L207" s="76"/>
      <x:c r="M207" s="73"/>
      <x:c r="N207" s="73"/>
      <x:c r="O207" s="73"/>
      <x:c r="P207" s="73"/>
      <x:c r="Q207" s="76"/>
      <x:c r="R207" s="73"/>
      <x:c r="S207" s="73"/>
      <x:c r="T207" s="73"/>
      <x:c r="U207" s="73"/>
      <x:c r="V207" s="73"/>
      <x:c r="W207" s="73"/>
      <x:c r="X207" s="73"/>
      <x:c r="Y207" s="73"/>
      <x:c r="Z207" s="73"/>
      <x:c r="AA207" s="73"/>
      <x:c r="AB207" s="76" t="str">
        <x:f>IF(A207="","",IF(OR(NOT(ISNUMBER(I207)),I207&lt;0,NOT(ISNUMBER(AP207)),AP207&lt;0,NOT(ISNUMBER(L207)),L207&lt;1,L207&gt;5,L207&lt;&gt;INT(L207),AND(J207&lt;&gt;"Public",J207&lt;&gt;"Partner",J207&lt;&gt;"Internal",J207&lt;&gt;"None"),AND(K207&lt;&gt;"High",K207&lt;&gt;"Medium",K207&lt;&gt;"Low",K207&lt;&gt;"None"),AND(W207&lt;&gt;"Hard-coded",W207&lt;&gt;"Configurable",W207&lt;&gt;"Policy-managed",W207&lt;&gt;"API/Library abstraction",W207&lt;&gt;"Automated"),AND(Z207&lt;&gt;"Y",Z207&lt;&gt;"N"),AND(AA207&lt;&gt;"Y",AA207&lt;&gt;"N")),"Incomplete",IF(Z207="Y",20,0)+L207*5+IF(AA207="Y",15,0)+IF(J207="Public",10,IF(J207="Partner",7,IF(J207="Internal",3,0)))+IF(W207="Hard-coded",10,IF(W207="Configurable",3,0))+IF(MAX(I207,AP207)&gt;=10,10,IF(MAX(I207,AP207)&gt;=5,7,IF(MAX(I207,AP207)&gt;=2,3,0)))+IF(K207="High",10,IF(K207="Medium",5,0))))</x:f>
      </x:c>
      <x:c r="AC207" s="73" t="str">
        <x:f>IF(A207="","",IF(NOT(ISNUMBER(AB207)),"Review inputs",IF(AB207&gt;=70,"P0 - Immediate",IF(AB207&gt;=50,"P1 - High",IF(AB207&gt;=30,"P2 - Medium",IF(AB207&gt;=15,"P3 - Low","P4 - Monitor"))))))</x:f>
      </x:c>
      <x:c r="AD207" s="73"/>
      <x:c r="AE207" s="73"/>
      <x:c r="AF207" s="73"/>
      <x:c r="AG207" s="77"/>
      <x:c r="AH207" s="73"/>
      <x:c r="AI207" s="91"/>
      <x:c r="AJ207" s="91"/>
      <x:c r="AK207" s="91"/>
      <x:c r="AL207" s="92"/>
      <x:c r="AM207" s="91"/>
      <x:c r="AN207" s="91"/>
      <x:c r="AO207" s="93"/>
      <x:c r="AP207" s="94"/>
      <x:c r="AQ207" s="91"/>
      <x:c r="AR207" s="91"/>
      <x:c r="AS207" s="91"/>
      <x:c r="AT207" s="91"/>
      <x:c r="AU207" s="91"/>
      <x:c r="AV207" s="91"/>
      <x:c r="AW207" s="91"/>
      <x:c r="AX207" s="91"/>
      <x:c r="AY207" s="91"/>
      <x:c r="AZ207" s="92"/>
      <x:c r="BA207" s="94"/>
      <x:c r="BB207" s="91"/>
      <x:c r="BC207" s="92"/>
      <x:c r="BD207" s="92"/>
      <x:c r="BE207" s="91"/>
      <x:c r="BF207" s="91"/>
      <x:c r="BG207" s="91"/>
      <x:c r="BH207" s="91"/>
      <x:c r="BI207" s="91"/>
      <x:c r="BJ207" s="91"/>
      <x:c r="BK207" s="91"/>
      <x:c r="BL207" s="91"/>
      <x:c r="BM207" s="73" t="str">
        <x:f>IF(A207="","",IF(AI207="Example","Example only",IF(AI207&lt;&gt;"Actual","Set record type",IF(COUNTIF($A$2:$A$1001,A207)&gt;1,"Duplicate record ID",IF(OR(D207="",E207="",AF207="",NOT(ISNUMBER(AG207)),AJ207="",AK207="",NOT(ISNUMBER(AL207)),AND(AM207&lt;&gt;"Observed",AM207&lt;&gt;"Corroborated",AM207&lt;&gt;"Declared"),OR(AN207="",AN207="Unknown"),OR(AQ207="",AQ207="Unknown"),OR(AR207="",AR207="Unknown",AR207="TBD"),OR(BC207="",NOT(ISNUMBER(BC207)))),"Evidence incomplete","Evidence recorded; review scope")))))</x:f>
      </x:c>
      <x:c r="BN207" s="73"/>
    </x:row>
    <x:row r="208" ht="34" customHeight="1">
      <x:c r="A208" s="73"/>
      <x:c r="B208" s="73"/>
      <x:c r="C208" s="73"/>
      <x:c r="D208" s="73"/>
      <x:c r="E208" s="73"/>
      <x:c r="F208" s="73"/>
      <x:c r="G208" s="73"/>
      <x:c r="H208" s="73"/>
      <x:c r="I208" s="75"/>
      <x:c r="J208" s="73"/>
      <x:c r="K208" s="73"/>
      <x:c r="L208" s="76"/>
      <x:c r="M208" s="73"/>
      <x:c r="N208" s="73"/>
      <x:c r="O208" s="73"/>
      <x:c r="P208" s="73"/>
      <x:c r="Q208" s="76"/>
      <x:c r="R208" s="73"/>
      <x:c r="S208" s="73"/>
      <x:c r="T208" s="73"/>
      <x:c r="U208" s="73"/>
      <x:c r="V208" s="73"/>
      <x:c r="W208" s="73"/>
      <x:c r="X208" s="73"/>
      <x:c r="Y208" s="73"/>
      <x:c r="Z208" s="73"/>
      <x:c r="AA208" s="73"/>
      <x:c r="AB208" s="76" t="str">
        <x:f>IF(A208="","",IF(OR(NOT(ISNUMBER(I208)),I208&lt;0,NOT(ISNUMBER(AP208)),AP208&lt;0,NOT(ISNUMBER(L208)),L208&lt;1,L208&gt;5,L208&lt;&gt;INT(L208),AND(J208&lt;&gt;"Public",J208&lt;&gt;"Partner",J208&lt;&gt;"Internal",J208&lt;&gt;"None"),AND(K208&lt;&gt;"High",K208&lt;&gt;"Medium",K208&lt;&gt;"Low",K208&lt;&gt;"None"),AND(W208&lt;&gt;"Hard-coded",W208&lt;&gt;"Configurable",W208&lt;&gt;"Policy-managed",W208&lt;&gt;"API/Library abstraction",W208&lt;&gt;"Automated"),AND(Z208&lt;&gt;"Y",Z208&lt;&gt;"N"),AND(AA208&lt;&gt;"Y",AA208&lt;&gt;"N")),"Incomplete",IF(Z208="Y",20,0)+L208*5+IF(AA208="Y",15,0)+IF(J208="Public",10,IF(J208="Partner",7,IF(J208="Internal",3,0)))+IF(W208="Hard-coded",10,IF(W208="Configurable",3,0))+IF(MAX(I208,AP208)&gt;=10,10,IF(MAX(I208,AP208)&gt;=5,7,IF(MAX(I208,AP208)&gt;=2,3,0)))+IF(K208="High",10,IF(K208="Medium",5,0))))</x:f>
      </x:c>
      <x:c r="AC208" s="73" t="str">
        <x:f>IF(A208="","",IF(NOT(ISNUMBER(AB208)),"Review inputs",IF(AB208&gt;=70,"P0 - Immediate",IF(AB208&gt;=50,"P1 - High",IF(AB208&gt;=30,"P2 - Medium",IF(AB208&gt;=15,"P3 - Low","P4 - Monitor"))))))</x:f>
      </x:c>
      <x:c r="AD208" s="73"/>
      <x:c r="AE208" s="73"/>
      <x:c r="AF208" s="73"/>
      <x:c r="AG208" s="77"/>
      <x:c r="AH208" s="73"/>
      <x:c r="AI208" s="91"/>
      <x:c r="AJ208" s="91"/>
      <x:c r="AK208" s="91"/>
      <x:c r="AL208" s="92"/>
      <x:c r="AM208" s="91"/>
      <x:c r="AN208" s="91"/>
      <x:c r="AO208" s="93"/>
      <x:c r="AP208" s="94"/>
      <x:c r="AQ208" s="91"/>
      <x:c r="AR208" s="91"/>
      <x:c r="AS208" s="91"/>
      <x:c r="AT208" s="91"/>
      <x:c r="AU208" s="91"/>
      <x:c r="AV208" s="91"/>
      <x:c r="AW208" s="91"/>
      <x:c r="AX208" s="91"/>
      <x:c r="AY208" s="91"/>
      <x:c r="AZ208" s="92"/>
      <x:c r="BA208" s="94"/>
      <x:c r="BB208" s="91"/>
      <x:c r="BC208" s="92"/>
      <x:c r="BD208" s="92"/>
      <x:c r="BE208" s="91"/>
      <x:c r="BF208" s="91"/>
      <x:c r="BG208" s="91"/>
      <x:c r="BH208" s="91"/>
      <x:c r="BI208" s="91"/>
      <x:c r="BJ208" s="91"/>
      <x:c r="BK208" s="91"/>
      <x:c r="BL208" s="91"/>
      <x:c r="BM208" s="73" t="str">
        <x:f>IF(A208="","",IF(AI208="Example","Example only",IF(AI208&lt;&gt;"Actual","Set record type",IF(COUNTIF($A$2:$A$1001,A208)&gt;1,"Duplicate record ID",IF(OR(D208="",E208="",AF208="",NOT(ISNUMBER(AG208)),AJ208="",AK208="",NOT(ISNUMBER(AL208)),AND(AM208&lt;&gt;"Observed",AM208&lt;&gt;"Corroborated",AM208&lt;&gt;"Declared"),OR(AN208="",AN208="Unknown"),OR(AQ208="",AQ208="Unknown"),OR(AR208="",AR208="Unknown",AR208="TBD"),OR(BC208="",NOT(ISNUMBER(BC208)))),"Evidence incomplete","Evidence recorded; review scope")))))</x:f>
      </x:c>
      <x:c r="BN208" s="73"/>
    </x:row>
    <x:row r="209" ht="34" customHeight="1">
      <x:c r="A209" s="73"/>
      <x:c r="B209" s="73"/>
      <x:c r="C209" s="73"/>
      <x:c r="D209" s="73"/>
      <x:c r="E209" s="73"/>
      <x:c r="F209" s="73"/>
      <x:c r="G209" s="73"/>
      <x:c r="H209" s="73"/>
      <x:c r="I209" s="75"/>
      <x:c r="J209" s="73"/>
      <x:c r="K209" s="73"/>
      <x:c r="L209" s="76"/>
      <x:c r="M209" s="73"/>
      <x:c r="N209" s="73"/>
      <x:c r="O209" s="73"/>
      <x:c r="P209" s="73"/>
      <x:c r="Q209" s="76"/>
      <x:c r="R209" s="73"/>
      <x:c r="S209" s="73"/>
      <x:c r="T209" s="73"/>
      <x:c r="U209" s="73"/>
      <x:c r="V209" s="73"/>
      <x:c r="W209" s="73"/>
      <x:c r="X209" s="73"/>
      <x:c r="Y209" s="73"/>
      <x:c r="Z209" s="73"/>
      <x:c r="AA209" s="73"/>
      <x:c r="AB209" s="76" t="str">
        <x:f>IF(A209="","",IF(OR(NOT(ISNUMBER(I209)),I209&lt;0,NOT(ISNUMBER(AP209)),AP209&lt;0,NOT(ISNUMBER(L209)),L209&lt;1,L209&gt;5,L209&lt;&gt;INT(L209),AND(J209&lt;&gt;"Public",J209&lt;&gt;"Partner",J209&lt;&gt;"Internal",J209&lt;&gt;"None"),AND(K209&lt;&gt;"High",K209&lt;&gt;"Medium",K209&lt;&gt;"Low",K209&lt;&gt;"None"),AND(W209&lt;&gt;"Hard-coded",W209&lt;&gt;"Configurable",W209&lt;&gt;"Policy-managed",W209&lt;&gt;"API/Library abstraction",W209&lt;&gt;"Automated"),AND(Z209&lt;&gt;"Y",Z209&lt;&gt;"N"),AND(AA209&lt;&gt;"Y",AA209&lt;&gt;"N")),"Incomplete",IF(Z209="Y",20,0)+L209*5+IF(AA209="Y",15,0)+IF(J209="Public",10,IF(J209="Partner",7,IF(J209="Internal",3,0)))+IF(W209="Hard-coded",10,IF(W209="Configurable",3,0))+IF(MAX(I209,AP209)&gt;=10,10,IF(MAX(I209,AP209)&gt;=5,7,IF(MAX(I209,AP209)&gt;=2,3,0)))+IF(K209="High",10,IF(K209="Medium",5,0))))</x:f>
      </x:c>
      <x:c r="AC209" s="73" t="str">
        <x:f>IF(A209="","",IF(NOT(ISNUMBER(AB209)),"Review inputs",IF(AB209&gt;=70,"P0 - Immediate",IF(AB209&gt;=50,"P1 - High",IF(AB209&gt;=30,"P2 - Medium",IF(AB209&gt;=15,"P3 - Low","P4 - Monitor"))))))</x:f>
      </x:c>
      <x:c r="AD209" s="73"/>
      <x:c r="AE209" s="73"/>
      <x:c r="AF209" s="73"/>
      <x:c r="AG209" s="77"/>
      <x:c r="AH209" s="73"/>
      <x:c r="AI209" s="91"/>
      <x:c r="AJ209" s="91"/>
      <x:c r="AK209" s="91"/>
      <x:c r="AL209" s="92"/>
      <x:c r="AM209" s="91"/>
      <x:c r="AN209" s="91"/>
      <x:c r="AO209" s="93"/>
      <x:c r="AP209" s="94"/>
      <x:c r="AQ209" s="91"/>
      <x:c r="AR209" s="91"/>
      <x:c r="AS209" s="91"/>
      <x:c r="AT209" s="91"/>
      <x:c r="AU209" s="91"/>
      <x:c r="AV209" s="91"/>
      <x:c r="AW209" s="91"/>
      <x:c r="AX209" s="91"/>
      <x:c r="AY209" s="91"/>
      <x:c r="AZ209" s="92"/>
      <x:c r="BA209" s="94"/>
      <x:c r="BB209" s="91"/>
      <x:c r="BC209" s="92"/>
      <x:c r="BD209" s="92"/>
      <x:c r="BE209" s="91"/>
      <x:c r="BF209" s="91"/>
      <x:c r="BG209" s="91"/>
      <x:c r="BH209" s="91"/>
      <x:c r="BI209" s="91"/>
      <x:c r="BJ209" s="91"/>
      <x:c r="BK209" s="91"/>
      <x:c r="BL209" s="91"/>
      <x:c r="BM209" s="73" t="str">
        <x:f>IF(A209="","",IF(AI209="Example","Example only",IF(AI209&lt;&gt;"Actual","Set record type",IF(COUNTIF($A$2:$A$1001,A209)&gt;1,"Duplicate record ID",IF(OR(D209="",E209="",AF209="",NOT(ISNUMBER(AG209)),AJ209="",AK209="",NOT(ISNUMBER(AL209)),AND(AM209&lt;&gt;"Observed",AM209&lt;&gt;"Corroborated",AM209&lt;&gt;"Declared"),OR(AN209="",AN209="Unknown"),OR(AQ209="",AQ209="Unknown"),OR(AR209="",AR209="Unknown",AR209="TBD"),OR(BC209="",NOT(ISNUMBER(BC209)))),"Evidence incomplete","Evidence recorded; review scope")))))</x:f>
      </x:c>
      <x:c r="BN209" s="73"/>
    </x:row>
    <x:row r="210" ht="34" customHeight="1">
      <x:c r="A210" s="73"/>
      <x:c r="B210" s="73"/>
      <x:c r="C210" s="73"/>
      <x:c r="D210" s="73"/>
      <x:c r="E210" s="73"/>
      <x:c r="F210" s="73"/>
      <x:c r="G210" s="73"/>
      <x:c r="H210" s="73"/>
      <x:c r="I210" s="75"/>
      <x:c r="J210" s="73"/>
      <x:c r="K210" s="73"/>
      <x:c r="L210" s="76"/>
      <x:c r="M210" s="73"/>
      <x:c r="N210" s="73"/>
      <x:c r="O210" s="73"/>
      <x:c r="P210" s="73"/>
      <x:c r="Q210" s="76"/>
      <x:c r="R210" s="73"/>
      <x:c r="S210" s="73"/>
      <x:c r="T210" s="73"/>
      <x:c r="U210" s="73"/>
      <x:c r="V210" s="73"/>
      <x:c r="W210" s="73"/>
      <x:c r="X210" s="73"/>
      <x:c r="Y210" s="73"/>
      <x:c r="Z210" s="73"/>
      <x:c r="AA210" s="73"/>
      <x:c r="AB210" s="76" t="str">
        <x:f>IF(A210="","",IF(OR(NOT(ISNUMBER(I210)),I210&lt;0,NOT(ISNUMBER(AP210)),AP210&lt;0,NOT(ISNUMBER(L210)),L210&lt;1,L210&gt;5,L210&lt;&gt;INT(L210),AND(J210&lt;&gt;"Public",J210&lt;&gt;"Partner",J210&lt;&gt;"Internal",J210&lt;&gt;"None"),AND(K210&lt;&gt;"High",K210&lt;&gt;"Medium",K210&lt;&gt;"Low",K210&lt;&gt;"None"),AND(W210&lt;&gt;"Hard-coded",W210&lt;&gt;"Configurable",W210&lt;&gt;"Policy-managed",W210&lt;&gt;"API/Library abstraction",W210&lt;&gt;"Automated"),AND(Z210&lt;&gt;"Y",Z210&lt;&gt;"N"),AND(AA210&lt;&gt;"Y",AA210&lt;&gt;"N")),"Incomplete",IF(Z210="Y",20,0)+L210*5+IF(AA210="Y",15,0)+IF(J210="Public",10,IF(J210="Partner",7,IF(J210="Internal",3,0)))+IF(W210="Hard-coded",10,IF(W210="Configurable",3,0))+IF(MAX(I210,AP210)&gt;=10,10,IF(MAX(I210,AP210)&gt;=5,7,IF(MAX(I210,AP210)&gt;=2,3,0)))+IF(K210="High",10,IF(K210="Medium",5,0))))</x:f>
      </x:c>
      <x:c r="AC210" s="73" t="str">
        <x:f>IF(A210="","",IF(NOT(ISNUMBER(AB210)),"Review inputs",IF(AB210&gt;=70,"P0 - Immediate",IF(AB210&gt;=50,"P1 - High",IF(AB210&gt;=30,"P2 - Medium",IF(AB210&gt;=15,"P3 - Low","P4 - Monitor"))))))</x:f>
      </x:c>
      <x:c r="AD210" s="73"/>
      <x:c r="AE210" s="73"/>
      <x:c r="AF210" s="73"/>
      <x:c r="AG210" s="77"/>
      <x:c r="AH210" s="73"/>
      <x:c r="AI210" s="91"/>
      <x:c r="AJ210" s="91"/>
      <x:c r="AK210" s="91"/>
      <x:c r="AL210" s="92"/>
      <x:c r="AM210" s="91"/>
      <x:c r="AN210" s="91"/>
      <x:c r="AO210" s="93"/>
      <x:c r="AP210" s="94"/>
      <x:c r="AQ210" s="91"/>
      <x:c r="AR210" s="91"/>
      <x:c r="AS210" s="91"/>
      <x:c r="AT210" s="91"/>
      <x:c r="AU210" s="91"/>
      <x:c r="AV210" s="91"/>
      <x:c r="AW210" s="91"/>
      <x:c r="AX210" s="91"/>
      <x:c r="AY210" s="91"/>
      <x:c r="AZ210" s="92"/>
      <x:c r="BA210" s="94"/>
      <x:c r="BB210" s="91"/>
      <x:c r="BC210" s="92"/>
      <x:c r="BD210" s="92"/>
      <x:c r="BE210" s="91"/>
      <x:c r="BF210" s="91"/>
      <x:c r="BG210" s="91"/>
      <x:c r="BH210" s="91"/>
      <x:c r="BI210" s="91"/>
      <x:c r="BJ210" s="91"/>
      <x:c r="BK210" s="91"/>
      <x:c r="BL210" s="91"/>
      <x:c r="BM210" s="73" t="str">
        <x:f>IF(A210="","",IF(AI210="Example","Example only",IF(AI210&lt;&gt;"Actual","Set record type",IF(COUNTIF($A$2:$A$1001,A210)&gt;1,"Duplicate record ID",IF(OR(D210="",E210="",AF210="",NOT(ISNUMBER(AG210)),AJ210="",AK210="",NOT(ISNUMBER(AL210)),AND(AM210&lt;&gt;"Observed",AM210&lt;&gt;"Corroborated",AM210&lt;&gt;"Declared"),OR(AN210="",AN210="Unknown"),OR(AQ210="",AQ210="Unknown"),OR(AR210="",AR210="Unknown",AR210="TBD"),OR(BC210="",NOT(ISNUMBER(BC210)))),"Evidence incomplete","Evidence recorded; review scope")))))</x:f>
      </x:c>
      <x:c r="BN210" s="73"/>
    </x:row>
    <x:row r="211" ht="34" customHeight="1">
      <x:c r="A211" s="73"/>
      <x:c r="B211" s="73"/>
      <x:c r="C211" s="73"/>
      <x:c r="D211" s="73"/>
      <x:c r="E211" s="73"/>
      <x:c r="F211" s="73"/>
      <x:c r="G211" s="73"/>
      <x:c r="H211" s="73"/>
      <x:c r="I211" s="75"/>
      <x:c r="J211" s="73"/>
      <x:c r="K211" s="73"/>
      <x:c r="L211" s="76"/>
      <x:c r="M211" s="73"/>
      <x:c r="N211" s="73"/>
      <x:c r="O211" s="73"/>
      <x:c r="P211" s="73"/>
      <x:c r="Q211" s="76"/>
      <x:c r="R211" s="73"/>
      <x:c r="S211" s="73"/>
      <x:c r="T211" s="73"/>
      <x:c r="U211" s="73"/>
      <x:c r="V211" s="73"/>
      <x:c r="W211" s="73"/>
      <x:c r="X211" s="73"/>
      <x:c r="Y211" s="73"/>
      <x:c r="Z211" s="73"/>
      <x:c r="AA211" s="73"/>
      <x:c r="AB211" s="76" t="str">
        <x:f>IF(A211="","",IF(OR(NOT(ISNUMBER(I211)),I211&lt;0,NOT(ISNUMBER(AP211)),AP211&lt;0,NOT(ISNUMBER(L211)),L211&lt;1,L211&gt;5,L211&lt;&gt;INT(L211),AND(J211&lt;&gt;"Public",J211&lt;&gt;"Partner",J211&lt;&gt;"Internal",J211&lt;&gt;"None"),AND(K211&lt;&gt;"High",K211&lt;&gt;"Medium",K211&lt;&gt;"Low",K211&lt;&gt;"None"),AND(W211&lt;&gt;"Hard-coded",W211&lt;&gt;"Configurable",W211&lt;&gt;"Policy-managed",W211&lt;&gt;"API/Library abstraction",W211&lt;&gt;"Automated"),AND(Z211&lt;&gt;"Y",Z211&lt;&gt;"N"),AND(AA211&lt;&gt;"Y",AA211&lt;&gt;"N")),"Incomplete",IF(Z211="Y",20,0)+L211*5+IF(AA211="Y",15,0)+IF(J211="Public",10,IF(J211="Partner",7,IF(J211="Internal",3,0)))+IF(W211="Hard-coded",10,IF(W211="Configurable",3,0))+IF(MAX(I211,AP211)&gt;=10,10,IF(MAX(I211,AP211)&gt;=5,7,IF(MAX(I211,AP211)&gt;=2,3,0)))+IF(K211="High",10,IF(K211="Medium",5,0))))</x:f>
      </x:c>
      <x:c r="AC211" s="73" t="str">
        <x:f>IF(A211="","",IF(NOT(ISNUMBER(AB211)),"Review inputs",IF(AB211&gt;=70,"P0 - Immediate",IF(AB211&gt;=50,"P1 - High",IF(AB211&gt;=30,"P2 - Medium",IF(AB211&gt;=15,"P3 - Low","P4 - Monitor"))))))</x:f>
      </x:c>
      <x:c r="AD211" s="73"/>
      <x:c r="AE211" s="73"/>
      <x:c r="AF211" s="73"/>
      <x:c r="AG211" s="77"/>
      <x:c r="AH211" s="73"/>
      <x:c r="AI211" s="91"/>
      <x:c r="AJ211" s="91"/>
      <x:c r="AK211" s="91"/>
      <x:c r="AL211" s="92"/>
      <x:c r="AM211" s="91"/>
      <x:c r="AN211" s="91"/>
      <x:c r="AO211" s="93"/>
      <x:c r="AP211" s="94"/>
      <x:c r="AQ211" s="91"/>
      <x:c r="AR211" s="91"/>
      <x:c r="AS211" s="91"/>
      <x:c r="AT211" s="91"/>
      <x:c r="AU211" s="91"/>
      <x:c r="AV211" s="91"/>
      <x:c r="AW211" s="91"/>
      <x:c r="AX211" s="91"/>
      <x:c r="AY211" s="91"/>
      <x:c r="AZ211" s="92"/>
      <x:c r="BA211" s="94"/>
      <x:c r="BB211" s="91"/>
      <x:c r="BC211" s="92"/>
      <x:c r="BD211" s="92"/>
      <x:c r="BE211" s="91"/>
      <x:c r="BF211" s="91"/>
      <x:c r="BG211" s="91"/>
      <x:c r="BH211" s="91"/>
      <x:c r="BI211" s="91"/>
      <x:c r="BJ211" s="91"/>
      <x:c r="BK211" s="91"/>
      <x:c r="BL211" s="91"/>
      <x:c r="BM211" s="73" t="str">
        <x:f>IF(A211="","",IF(AI211="Example","Example only",IF(AI211&lt;&gt;"Actual","Set record type",IF(COUNTIF($A$2:$A$1001,A211)&gt;1,"Duplicate record ID",IF(OR(D211="",E211="",AF211="",NOT(ISNUMBER(AG211)),AJ211="",AK211="",NOT(ISNUMBER(AL211)),AND(AM211&lt;&gt;"Observed",AM211&lt;&gt;"Corroborated",AM211&lt;&gt;"Declared"),OR(AN211="",AN211="Unknown"),OR(AQ211="",AQ211="Unknown"),OR(AR211="",AR211="Unknown",AR211="TBD"),OR(BC211="",NOT(ISNUMBER(BC211)))),"Evidence incomplete","Evidence recorded; review scope")))))</x:f>
      </x:c>
      <x:c r="BN211" s="73"/>
    </x:row>
    <x:row r="212" ht="34" customHeight="1">
      <x:c r="A212" s="73"/>
      <x:c r="B212" s="73"/>
      <x:c r="C212" s="73"/>
      <x:c r="D212" s="73"/>
      <x:c r="E212" s="73"/>
      <x:c r="F212" s="73"/>
      <x:c r="G212" s="73"/>
      <x:c r="H212" s="73"/>
      <x:c r="I212" s="75"/>
      <x:c r="J212" s="73"/>
      <x:c r="K212" s="73"/>
      <x:c r="L212" s="76"/>
      <x:c r="M212" s="73"/>
      <x:c r="N212" s="73"/>
      <x:c r="O212" s="73"/>
      <x:c r="P212" s="73"/>
      <x:c r="Q212" s="76"/>
      <x:c r="R212" s="73"/>
      <x:c r="S212" s="73"/>
      <x:c r="T212" s="73"/>
      <x:c r="U212" s="73"/>
      <x:c r="V212" s="73"/>
      <x:c r="W212" s="73"/>
      <x:c r="X212" s="73"/>
      <x:c r="Y212" s="73"/>
      <x:c r="Z212" s="73"/>
      <x:c r="AA212" s="73"/>
      <x:c r="AB212" s="76" t="str">
        <x:f>IF(A212="","",IF(OR(NOT(ISNUMBER(I212)),I212&lt;0,NOT(ISNUMBER(AP212)),AP212&lt;0,NOT(ISNUMBER(L212)),L212&lt;1,L212&gt;5,L212&lt;&gt;INT(L212),AND(J212&lt;&gt;"Public",J212&lt;&gt;"Partner",J212&lt;&gt;"Internal",J212&lt;&gt;"None"),AND(K212&lt;&gt;"High",K212&lt;&gt;"Medium",K212&lt;&gt;"Low",K212&lt;&gt;"None"),AND(W212&lt;&gt;"Hard-coded",W212&lt;&gt;"Configurable",W212&lt;&gt;"Policy-managed",W212&lt;&gt;"API/Library abstraction",W212&lt;&gt;"Automated"),AND(Z212&lt;&gt;"Y",Z212&lt;&gt;"N"),AND(AA212&lt;&gt;"Y",AA212&lt;&gt;"N")),"Incomplete",IF(Z212="Y",20,0)+L212*5+IF(AA212="Y",15,0)+IF(J212="Public",10,IF(J212="Partner",7,IF(J212="Internal",3,0)))+IF(W212="Hard-coded",10,IF(W212="Configurable",3,0))+IF(MAX(I212,AP212)&gt;=10,10,IF(MAX(I212,AP212)&gt;=5,7,IF(MAX(I212,AP212)&gt;=2,3,0)))+IF(K212="High",10,IF(K212="Medium",5,0))))</x:f>
      </x:c>
      <x:c r="AC212" s="73" t="str">
        <x:f>IF(A212="","",IF(NOT(ISNUMBER(AB212)),"Review inputs",IF(AB212&gt;=70,"P0 - Immediate",IF(AB212&gt;=50,"P1 - High",IF(AB212&gt;=30,"P2 - Medium",IF(AB212&gt;=15,"P3 - Low","P4 - Monitor"))))))</x:f>
      </x:c>
      <x:c r="AD212" s="73"/>
      <x:c r="AE212" s="73"/>
      <x:c r="AF212" s="73"/>
      <x:c r="AG212" s="77"/>
      <x:c r="AH212" s="73"/>
      <x:c r="AI212" s="91"/>
      <x:c r="AJ212" s="91"/>
      <x:c r="AK212" s="91"/>
      <x:c r="AL212" s="92"/>
      <x:c r="AM212" s="91"/>
      <x:c r="AN212" s="91"/>
      <x:c r="AO212" s="93"/>
      <x:c r="AP212" s="94"/>
      <x:c r="AQ212" s="91"/>
      <x:c r="AR212" s="91"/>
      <x:c r="AS212" s="91"/>
      <x:c r="AT212" s="91"/>
      <x:c r="AU212" s="91"/>
      <x:c r="AV212" s="91"/>
      <x:c r="AW212" s="91"/>
      <x:c r="AX212" s="91"/>
      <x:c r="AY212" s="91"/>
      <x:c r="AZ212" s="92"/>
      <x:c r="BA212" s="94"/>
      <x:c r="BB212" s="91"/>
      <x:c r="BC212" s="92"/>
      <x:c r="BD212" s="92"/>
      <x:c r="BE212" s="91"/>
      <x:c r="BF212" s="91"/>
      <x:c r="BG212" s="91"/>
      <x:c r="BH212" s="91"/>
      <x:c r="BI212" s="91"/>
      <x:c r="BJ212" s="91"/>
      <x:c r="BK212" s="91"/>
      <x:c r="BL212" s="91"/>
      <x:c r="BM212" s="73" t="str">
        <x:f>IF(A212="","",IF(AI212="Example","Example only",IF(AI212&lt;&gt;"Actual","Set record type",IF(COUNTIF($A$2:$A$1001,A212)&gt;1,"Duplicate record ID",IF(OR(D212="",E212="",AF212="",NOT(ISNUMBER(AG212)),AJ212="",AK212="",NOT(ISNUMBER(AL212)),AND(AM212&lt;&gt;"Observed",AM212&lt;&gt;"Corroborated",AM212&lt;&gt;"Declared"),OR(AN212="",AN212="Unknown"),OR(AQ212="",AQ212="Unknown"),OR(AR212="",AR212="Unknown",AR212="TBD"),OR(BC212="",NOT(ISNUMBER(BC212)))),"Evidence incomplete","Evidence recorded; review scope")))))</x:f>
      </x:c>
      <x:c r="BN212" s="73"/>
    </x:row>
    <x:row r="213" ht="34" customHeight="1">
      <x:c r="A213" s="73"/>
      <x:c r="B213" s="73"/>
      <x:c r="C213" s="73"/>
      <x:c r="D213" s="73"/>
      <x:c r="E213" s="73"/>
      <x:c r="F213" s="73"/>
      <x:c r="G213" s="73"/>
      <x:c r="H213" s="73"/>
      <x:c r="I213" s="75"/>
      <x:c r="J213" s="73"/>
      <x:c r="K213" s="73"/>
      <x:c r="L213" s="76"/>
      <x:c r="M213" s="73"/>
      <x:c r="N213" s="73"/>
      <x:c r="O213" s="73"/>
      <x:c r="P213" s="73"/>
      <x:c r="Q213" s="76"/>
      <x:c r="R213" s="73"/>
      <x:c r="S213" s="73"/>
      <x:c r="T213" s="73"/>
      <x:c r="U213" s="73"/>
      <x:c r="V213" s="73"/>
      <x:c r="W213" s="73"/>
      <x:c r="X213" s="73"/>
      <x:c r="Y213" s="73"/>
      <x:c r="Z213" s="73"/>
      <x:c r="AA213" s="73"/>
      <x:c r="AB213" s="76" t="str">
        <x:f>IF(A213="","",IF(OR(NOT(ISNUMBER(I213)),I213&lt;0,NOT(ISNUMBER(AP213)),AP213&lt;0,NOT(ISNUMBER(L213)),L213&lt;1,L213&gt;5,L213&lt;&gt;INT(L213),AND(J213&lt;&gt;"Public",J213&lt;&gt;"Partner",J213&lt;&gt;"Internal",J213&lt;&gt;"None"),AND(K213&lt;&gt;"High",K213&lt;&gt;"Medium",K213&lt;&gt;"Low",K213&lt;&gt;"None"),AND(W213&lt;&gt;"Hard-coded",W213&lt;&gt;"Configurable",W213&lt;&gt;"Policy-managed",W213&lt;&gt;"API/Library abstraction",W213&lt;&gt;"Automated"),AND(Z213&lt;&gt;"Y",Z213&lt;&gt;"N"),AND(AA213&lt;&gt;"Y",AA213&lt;&gt;"N")),"Incomplete",IF(Z213="Y",20,0)+L213*5+IF(AA213="Y",15,0)+IF(J213="Public",10,IF(J213="Partner",7,IF(J213="Internal",3,0)))+IF(W213="Hard-coded",10,IF(W213="Configurable",3,0))+IF(MAX(I213,AP213)&gt;=10,10,IF(MAX(I213,AP213)&gt;=5,7,IF(MAX(I213,AP213)&gt;=2,3,0)))+IF(K213="High",10,IF(K213="Medium",5,0))))</x:f>
      </x:c>
      <x:c r="AC213" s="73" t="str">
        <x:f>IF(A213="","",IF(NOT(ISNUMBER(AB213)),"Review inputs",IF(AB213&gt;=70,"P0 - Immediate",IF(AB213&gt;=50,"P1 - High",IF(AB213&gt;=30,"P2 - Medium",IF(AB213&gt;=15,"P3 - Low","P4 - Monitor"))))))</x:f>
      </x:c>
      <x:c r="AD213" s="73"/>
      <x:c r="AE213" s="73"/>
      <x:c r="AF213" s="73"/>
      <x:c r="AG213" s="77"/>
      <x:c r="AH213" s="73"/>
      <x:c r="AI213" s="91"/>
      <x:c r="AJ213" s="91"/>
      <x:c r="AK213" s="91"/>
      <x:c r="AL213" s="92"/>
      <x:c r="AM213" s="91"/>
      <x:c r="AN213" s="91"/>
      <x:c r="AO213" s="93"/>
      <x:c r="AP213" s="94"/>
      <x:c r="AQ213" s="91"/>
      <x:c r="AR213" s="91"/>
      <x:c r="AS213" s="91"/>
      <x:c r="AT213" s="91"/>
      <x:c r="AU213" s="91"/>
      <x:c r="AV213" s="91"/>
      <x:c r="AW213" s="91"/>
      <x:c r="AX213" s="91"/>
      <x:c r="AY213" s="91"/>
      <x:c r="AZ213" s="92"/>
      <x:c r="BA213" s="94"/>
      <x:c r="BB213" s="91"/>
      <x:c r="BC213" s="92"/>
      <x:c r="BD213" s="92"/>
      <x:c r="BE213" s="91"/>
      <x:c r="BF213" s="91"/>
      <x:c r="BG213" s="91"/>
      <x:c r="BH213" s="91"/>
      <x:c r="BI213" s="91"/>
      <x:c r="BJ213" s="91"/>
      <x:c r="BK213" s="91"/>
      <x:c r="BL213" s="91"/>
      <x:c r="BM213" s="73" t="str">
        <x:f>IF(A213="","",IF(AI213="Example","Example only",IF(AI213&lt;&gt;"Actual","Set record type",IF(COUNTIF($A$2:$A$1001,A213)&gt;1,"Duplicate record ID",IF(OR(D213="",E213="",AF213="",NOT(ISNUMBER(AG213)),AJ213="",AK213="",NOT(ISNUMBER(AL213)),AND(AM213&lt;&gt;"Observed",AM213&lt;&gt;"Corroborated",AM213&lt;&gt;"Declared"),OR(AN213="",AN213="Unknown"),OR(AQ213="",AQ213="Unknown"),OR(AR213="",AR213="Unknown",AR213="TBD"),OR(BC213="",NOT(ISNUMBER(BC213)))),"Evidence incomplete","Evidence recorded; review scope")))))</x:f>
      </x:c>
      <x:c r="BN213" s="73"/>
    </x:row>
    <x:row r="214" ht="34" customHeight="1">
      <x:c r="A214" s="73"/>
      <x:c r="B214" s="73"/>
      <x:c r="C214" s="73"/>
      <x:c r="D214" s="73"/>
      <x:c r="E214" s="73"/>
      <x:c r="F214" s="73"/>
      <x:c r="G214" s="73"/>
      <x:c r="H214" s="73"/>
      <x:c r="I214" s="75"/>
      <x:c r="J214" s="73"/>
      <x:c r="K214" s="73"/>
      <x:c r="L214" s="76"/>
      <x:c r="M214" s="73"/>
      <x:c r="N214" s="73"/>
      <x:c r="O214" s="73"/>
      <x:c r="P214" s="73"/>
      <x:c r="Q214" s="76"/>
      <x:c r="R214" s="73"/>
      <x:c r="S214" s="73"/>
      <x:c r="T214" s="73"/>
      <x:c r="U214" s="73"/>
      <x:c r="V214" s="73"/>
      <x:c r="W214" s="73"/>
      <x:c r="X214" s="73"/>
      <x:c r="Y214" s="73"/>
      <x:c r="Z214" s="73"/>
      <x:c r="AA214" s="73"/>
      <x:c r="AB214" s="76" t="str">
        <x:f>IF(A214="","",IF(OR(NOT(ISNUMBER(I214)),I214&lt;0,NOT(ISNUMBER(AP214)),AP214&lt;0,NOT(ISNUMBER(L214)),L214&lt;1,L214&gt;5,L214&lt;&gt;INT(L214),AND(J214&lt;&gt;"Public",J214&lt;&gt;"Partner",J214&lt;&gt;"Internal",J214&lt;&gt;"None"),AND(K214&lt;&gt;"High",K214&lt;&gt;"Medium",K214&lt;&gt;"Low",K214&lt;&gt;"None"),AND(W214&lt;&gt;"Hard-coded",W214&lt;&gt;"Configurable",W214&lt;&gt;"Policy-managed",W214&lt;&gt;"API/Library abstraction",W214&lt;&gt;"Automated"),AND(Z214&lt;&gt;"Y",Z214&lt;&gt;"N"),AND(AA214&lt;&gt;"Y",AA214&lt;&gt;"N")),"Incomplete",IF(Z214="Y",20,0)+L214*5+IF(AA214="Y",15,0)+IF(J214="Public",10,IF(J214="Partner",7,IF(J214="Internal",3,0)))+IF(W214="Hard-coded",10,IF(W214="Configurable",3,0))+IF(MAX(I214,AP214)&gt;=10,10,IF(MAX(I214,AP214)&gt;=5,7,IF(MAX(I214,AP214)&gt;=2,3,0)))+IF(K214="High",10,IF(K214="Medium",5,0))))</x:f>
      </x:c>
      <x:c r="AC214" s="73" t="str">
        <x:f>IF(A214="","",IF(NOT(ISNUMBER(AB214)),"Review inputs",IF(AB214&gt;=70,"P0 - Immediate",IF(AB214&gt;=50,"P1 - High",IF(AB214&gt;=30,"P2 - Medium",IF(AB214&gt;=15,"P3 - Low","P4 - Monitor"))))))</x:f>
      </x:c>
      <x:c r="AD214" s="73"/>
      <x:c r="AE214" s="73"/>
      <x:c r="AF214" s="73"/>
      <x:c r="AG214" s="77"/>
      <x:c r="AH214" s="73"/>
      <x:c r="AI214" s="91"/>
      <x:c r="AJ214" s="91"/>
      <x:c r="AK214" s="91"/>
      <x:c r="AL214" s="92"/>
      <x:c r="AM214" s="91"/>
      <x:c r="AN214" s="91"/>
      <x:c r="AO214" s="93"/>
      <x:c r="AP214" s="94"/>
      <x:c r="AQ214" s="91"/>
      <x:c r="AR214" s="91"/>
      <x:c r="AS214" s="91"/>
      <x:c r="AT214" s="91"/>
      <x:c r="AU214" s="91"/>
      <x:c r="AV214" s="91"/>
      <x:c r="AW214" s="91"/>
      <x:c r="AX214" s="91"/>
      <x:c r="AY214" s="91"/>
      <x:c r="AZ214" s="92"/>
      <x:c r="BA214" s="94"/>
      <x:c r="BB214" s="91"/>
      <x:c r="BC214" s="92"/>
      <x:c r="BD214" s="92"/>
      <x:c r="BE214" s="91"/>
      <x:c r="BF214" s="91"/>
      <x:c r="BG214" s="91"/>
      <x:c r="BH214" s="91"/>
      <x:c r="BI214" s="91"/>
      <x:c r="BJ214" s="91"/>
      <x:c r="BK214" s="91"/>
      <x:c r="BL214" s="91"/>
      <x:c r="BM214" s="73" t="str">
        <x:f>IF(A214="","",IF(AI214="Example","Example only",IF(AI214&lt;&gt;"Actual","Set record type",IF(COUNTIF($A$2:$A$1001,A214)&gt;1,"Duplicate record ID",IF(OR(D214="",E214="",AF214="",NOT(ISNUMBER(AG214)),AJ214="",AK214="",NOT(ISNUMBER(AL214)),AND(AM214&lt;&gt;"Observed",AM214&lt;&gt;"Corroborated",AM214&lt;&gt;"Declared"),OR(AN214="",AN214="Unknown"),OR(AQ214="",AQ214="Unknown"),OR(AR214="",AR214="Unknown",AR214="TBD"),OR(BC214="",NOT(ISNUMBER(BC214)))),"Evidence incomplete","Evidence recorded; review scope")))))</x:f>
      </x:c>
      <x:c r="BN214" s="73"/>
    </x:row>
    <x:row r="215" ht="34" customHeight="1">
      <x:c r="A215" s="73"/>
      <x:c r="B215" s="73"/>
      <x:c r="C215" s="73"/>
      <x:c r="D215" s="73"/>
      <x:c r="E215" s="73"/>
      <x:c r="F215" s="73"/>
      <x:c r="G215" s="73"/>
      <x:c r="H215" s="73"/>
      <x:c r="I215" s="75"/>
      <x:c r="J215" s="73"/>
      <x:c r="K215" s="73"/>
      <x:c r="L215" s="76"/>
      <x:c r="M215" s="73"/>
      <x:c r="N215" s="73"/>
      <x:c r="O215" s="73"/>
      <x:c r="P215" s="73"/>
      <x:c r="Q215" s="76"/>
      <x:c r="R215" s="73"/>
      <x:c r="S215" s="73"/>
      <x:c r="T215" s="73"/>
      <x:c r="U215" s="73"/>
      <x:c r="V215" s="73"/>
      <x:c r="W215" s="73"/>
      <x:c r="X215" s="73"/>
      <x:c r="Y215" s="73"/>
      <x:c r="Z215" s="73"/>
      <x:c r="AA215" s="73"/>
      <x:c r="AB215" s="76" t="str">
        <x:f>IF(A215="","",IF(OR(NOT(ISNUMBER(I215)),I215&lt;0,NOT(ISNUMBER(AP215)),AP215&lt;0,NOT(ISNUMBER(L215)),L215&lt;1,L215&gt;5,L215&lt;&gt;INT(L215),AND(J215&lt;&gt;"Public",J215&lt;&gt;"Partner",J215&lt;&gt;"Internal",J215&lt;&gt;"None"),AND(K215&lt;&gt;"High",K215&lt;&gt;"Medium",K215&lt;&gt;"Low",K215&lt;&gt;"None"),AND(W215&lt;&gt;"Hard-coded",W215&lt;&gt;"Configurable",W215&lt;&gt;"Policy-managed",W215&lt;&gt;"API/Library abstraction",W215&lt;&gt;"Automated"),AND(Z215&lt;&gt;"Y",Z215&lt;&gt;"N"),AND(AA215&lt;&gt;"Y",AA215&lt;&gt;"N")),"Incomplete",IF(Z215="Y",20,0)+L215*5+IF(AA215="Y",15,0)+IF(J215="Public",10,IF(J215="Partner",7,IF(J215="Internal",3,0)))+IF(W215="Hard-coded",10,IF(W215="Configurable",3,0))+IF(MAX(I215,AP215)&gt;=10,10,IF(MAX(I215,AP215)&gt;=5,7,IF(MAX(I215,AP215)&gt;=2,3,0)))+IF(K215="High",10,IF(K215="Medium",5,0))))</x:f>
      </x:c>
      <x:c r="AC215" s="73" t="str">
        <x:f>IF(A215="","",IF(NOT(ISNUMBER(AB215)),"Review inputs",IF(AB215&gt;=70,"P0 - Immediate",IF(AB215&gt;=50,"P1 - High",IF(AB215&gt;=30,"P2 - Medium",IF(AB215&gt;=15,"P3 - Low","P4 - Monitor"))))))</x:f>
      </x:c>
      <x:c r="AD215" s="73"/>
      <x:c r="AE215" s="73"/>
      <x:c r="AF215" s="73"/>
      <x:c r="AG215" s="77"/>
      <x:c r="AH215" s="73"/>
      <x:c r="AI215" s="91"/>
      <x:c r="AJ215" s="91"/>
      <x:c r="AK215" s="91"/>
      <x:c r="AL215" s="92"/>
      <x:c r="AM215" s="91"/>
      <x:c r="AN215" s="91"/>
      <x:c r="AO215" s="93"/>
      <x:c r="AP215" s="94"/>
      <x:c r="AQ215" s="91"/>
      <x:c r="AR215" s="91"/>
      <x:c r="AS215" s="91"/>
      <x:c r="AT215" s="91"/>
      <x:c r="AU215" s="91"/>
      <x:c r="AV215" s="91"/>
      <x:c r="AW215" s="91"/>
      <x:c r="AX215" s="91"/>
      <x:c r="AY215" s="91"/>
      <x:c r="AZ215" s="92"/>
      <x:c r="BA215" s="94"/>
      <x:c r="BB215" s="91"/>
      <x:c r="BC215" s="92"/>
      <x:c r="BD215" s="92"/>
      <x:c r="BE215" s="91"/>
      <x:c r="BF215" s="91"/>
      <x:c r="BG215" s="91"/>
      <x:c r="BH215" s="91"/>
      <x:c r="BI215" s="91"/>
      <x:c r="BJ215" s="91"/>
      <x:c r="BK215" s="91"/>
      <x:c r="BL215" s="91"/>
      <x:c r="BM215" s="73" t="str">
        <x:f>IF(A215="","",IF(AI215="Example","Example only",IF(AI215&lt;&gt;"Actual","Set record type",IF(COUNTIF($A$2:$A$1001,A215)&gt;1,"Duplicate record ID",IF(OR(D215="",E215="",AF215="",NOT(ISNUMBER(AG215)),AJ215="",AK215="",NOT(ISNUMBER(AL215)),AND(AM215&lt;&gt;"Observed",AM215&lt;&gt;"Corroborated",AM215&lt;&gt;"Declared"),OR(AN215="",AN215="Unknown"),OR(AQ215="",AQ215="Unknown"),OR(AR215="",AR215="Unknown",AR215="TBD"),OR(BC215="",NOT(ISNUMBER(BC215)))),"Evidence incomplete","Evidence recorded; review scope")))))</x:f>
      </x:c>
      <x:c r="BN215" s="73"/>
    </x:row>
    <x:row r="216" ht="34" customHeight="1">
      <x:c r="A216" s="73"/>
      <x:c r="B216" s="73"/>
      <x:c r="C216" s="73"/>
      <x:c r="D216" s="73"/>
      <x:c r="E216" s="73"/>
      <x:c r="F216" s="73"/>
      <x:c r="G216" s="73"/>
      <x:c r="H216" s="73"/>
      <x:c r="I216" s="75"/>
      <x:c r="J216" s="73"/>
      <x:c r="K216" s="73"/>
      <x:c r="L216" s="76"/>
      <x:c r="M216" s="73"/>
      <x:c r="N216" s="73"/>
      <x:c r="O216" s="73"/>
      <x:c r="P216" s="73"/>
      <x:c r="Q216" s="76"/>
      <x:c r="R216" s="73"/>
      <x:c r="S216" s="73"/>
      <x:c r="T216" s="73"/>
      <x:c r="U216" s="73"/>
      <x:c r="V216" s="73"/>
      <x:c r="W216" s="73"/>
      <x:c r="X216" s="73"/>
      <x:c r="Y216" s="73"/>
      <x:c r="Z216" s="73"/>
      <x:c r="AA216" s="73"/>
      <x:c r="AB216" s="76" t="str">
        <x:f>IF(A216="","",IF(OR(NOT(ISNUMBER(I216)),I216&lt;0,NOT(ISNUMBER(AP216)),AP216&lt;0,NOT(ISNUMBER(L216)),L216&lt;1,L216&gt;5,L216&lt;&gt;INT(L216),AND(J216&lt;&gt;"Public",J216&lt;&gt;"Partner",J216&lt;&gt;"Internal",J216&lt;&gt;"None"),AND(K216&lt;&gt;"High",K216&lt;&gt;"Medium",K216&lt;&gt;"Low",K216&lt;&gt;"None"),AND(W216&lt;&gt;"Hard-coded",W216&lt;&gt;"Configurable",W216&lt;&gt;"Policy-managed",W216&lt;&gt;"API/Library abstraction",W216&lt;&gt;"Automated"),AND(Z216&lt;&gt;"Y",Z216&lt;&gt;"N"),AND(AA216&lt;&gt;"Y",AA216&lt;&gt;"N")),"Incomplete",IF(Z216="Y",20,0)+L216*5+IF(AA216="Y",15,0)+IF(J216="Public",10,IF(J216="Partner",7,IF(J216="Internal",3,0)))+IF(W216="Hard-coded",10,IF(W216="Configurable",3,0))+IF(MAX(I216,AP216)&gt;=10,10,IF(MAX(I216,AP216)&gt;=5,7,IF(MAX(I216,AP216)&gt;=2,3,0)))+IF(K216="High",10,IF(K216="Medium",5,0))))</x:f>
      </x:c>
      <x:c r="AC216" s="73" t="str">
        <x:f>IF(A216="","",IF(NOT(ISNUMBER(AB216)),"Review inputs",IF(AB216&gt;=70,"P0 - Immediate",IF(AB216&gt;=50,"P1 - High",IF(AB216&gt;=30,"P2 - Medium",IF(AB216&gt;=15,"P3 - Low","P4 - Monitor"))))))</x:f>
      </x:c>
      <x:c r="AD216" s="73"/>
      <x:c r="AE216" s="73"/>
      <x:c r="AF216" s="73"/>
      <x:c r="AG216" s="77"/>
      <x:c r="AH216" s="73"/>
      <x:c r="AI216" s="91"/>
      <x:c r="AJ216" s="91"/>
      <x:c r="AK216" s="91"/>
      <x:c r="AL216" s="92"/>
      <x:c r="AM216" s="91"/>
      <x:c r="AN216" s="91"/>
      <x:c r="AO216" s="93"/>
      <x:c r="AP216" s="94"/>
      <x:c r="AQ216" s="91"/>
      <x:c r="AR216" s="91"/>
      <x:c r="AS216" s="91"/>
      <x:c r="AT216" s="91"/>
      <x:c r="AU216" s="91"/>
      <x:c r="AV216" s="91"/>
      <x:c r="AW216" s="91"/>
      <x:c r="AX216" s="91"/>
      <x:c r="AY216" s="91"/>
      <x:c r="AZ216" s="92"/>
      <x:c r="BA216" s="94"/>
      <x:c r="BB216" s="91"/>
      <x:c r="BC216" s="92"/>
      <x:c r="BD216" s="92"/>
      <x:c r="BE216" s="91"/>
      <x:c r="BF216" s="91"/>
      <x:c r="BG216" s="91"/>
      <x:c r="BH216" s="91"/>
      <x:c r="BI216" s="91"/>
      <x:c r="BJ216" s="91"/>
      <x:c r="BK216" s="91"/>
      <x:c r="BL216" s="91"/>
      <x:c r="BM216" s="73" t="str">
        <x:f>IF(A216="","",IF(AI216="Example","Example only",IF(AI216&lt;&gt;"Actual","Set record type",IF(COUNTIF($A$2:$A$1001,A216)&gt;1,"Duplicate record ID",IF(OR(D216="",E216="",AF216="",NOT(ISNUMBER(AG216)),AJ216="",AK216="",NOT(ISNUMBER(AL216)),AND(AM216&lt;&gt;"Observed",AM216&lt;&gt;"Corroborated",AM216&lt;&gt;"Declared"),OR(AN216="",AN216="Unknown"),OR(AQ216="",AQ216="Unknown"),OR(AR216="",AR216="Unknown",AR216="TBD"),OR(BC216="",NOT(ISNUMBER(BC216)))),"Evidence incomplete","Evidence recorded; review scope")))))</x:f>
      </x:c>
      <x:c r="BN216" s="73"/>
    </x:row>
    <x:row r="217" ht="34" customHeight="1">
      <x:c r="A217" s="73"/>
      <x:c r="B217" s="73"/>
      <x:c r="C217" s="73"/>
      <x:c r="D217" s="73"/>
      <x:c r="E217" s="73"/>
      <x:c r="F217" s="73"/>
      <x:c r="G217" s="73"/>
      <x:c r="H217" s="73"/>
      <x:c r="I217" s="75"/>
      <x:c r="J217" s="73"/>
      <x:c r="K217" s="73"/>
      <x:c r="L217" s="76"/>
      <x:c r="M217" s="73"/>
      <x:c r="N217" s="73"/>
      <x:c r="O217" s="73"/>
      <x:c r="P217" s="73"/>
      <x:c r="Q217" s="76"/>
      <x:c r="R217" s="73"/>
      <x:c r="S217" s="73"/>
      <x:c r="T217" s="73"/>
      <x:c r="U217" s="73"/>
      <x:c r="V217" s="73"/>
      <x:c r="W217" s="73"/>
      <x:c r="X217" s="73"/>
      <x:c r="Y217" s="73"/>
      <x:c r="Z217" s="73"/>
      <x:c r="AA217" s="73"/>
      <x:c r="AB217" s="76" t="str">
        <x:f>IF(A217="","",IF(OR(NOT(ISNUMBER(I217)),I217&lt;0,NOT(ISNUMBER(AP217)),AP217&lt;0,NOT(ISNUMBER(L217)),L217&lt;1,L217&gt;5,L217&lt;&gt;INT(L217),AND(J217&lt;&gt;"Public",J217&lt;&gt;"Partner",J217&lt;&gt;"Internal",J217&lt;&gt;"None"),AND(K217&lt;&gt;"High",K217&lt;&gt;"Medium",K217&lt;&gt;"Low",K217&lt;&gt;"None"),AND(W217&lt;&gt;"Hard-coded",W217&lt;&gt;"Configurable",W217&lt;&gt;"Policy-managed",W217&lt;&gt;"API/Library abstraction",W217&lt;&gt;"Automated"),AND(Z217&lt;&gt;"Y",Z217&lt;&gt;"N"),AND(AA217&lt;&gt;"Y",AA217&lt;&gt;"N")),"Incomplete",IF(Z217="Y",20,0)+L217*5+IF(AA217="Y",15,0)+IF(J217="Public",10,IF(J217="Partner",7,IF(J217="Internal",3,0)))+IF(W217="Hard-coded",10,IF(W217="Configurable",3,0))+IF(MAX(I217,AP217)&gt;=10,10,IF(MAX(I217,AP217)&gt;=5,7,IF(MAX(I217,AP217)&gt;=2,3,0)))+IF(K217="High",10,IF(K217="Medium",5,0))))</x:f>
      </x:c>
      <x:c r="AC217" s="73" t="str">
        <x:f>IF(A217="","",IF(NOT(ISNUMBER(AB217)),"Review inputs",IF(AB217&gt;=70,"P0 - Immediate",IF(AB217&gt;=50,"P1 - High",IF(AB217&gt;=30,"P2 - Medium",IF(AB217&gt;=15,"P3 - Low","P4 - Monitor"))))))</x:f>
      </x:c>
      <x:c r="AD217" s="73"/>
      <x:c r="AE217" s="73"/>
      <x:c r="AF217" s="73"/>
      <x:c r="AG217" s="77"/>
      <x:c r="AH217" s="73"/>
      <x:c r="AI217" s="91"/>
      <x:c r="AJ217" s="91"/>
      <x:c r="AK217" s="91"/>
      <x:c r="AL217" s="92"/>
      <x:c r="AM217" s="91"/>
      <x:c r="AN217" s="91"/>
      <x:c r="AO217" s="93"/>
      <x:c r="AP217" s="94"/>
      <x:c r="AQ217" s="91"/>
      <x:c r="AR217" s="91"/>
      <x:c r="AS217" s="91"/>
      <x:c r="AT217" s="91"/>
      <x:c r="AU217" s="91"/>
      <x:c r="AV217" s="91"/>
      <x:c r="AW217" s="91"/>
      <x:c r="AX217" s="91"/>
      <x:c r="AY217" s="91"/>
      <x:c r="AZ217" s="92"/>
      <x:c r="BA217" s="94"/>
      <x:c r="BB217" s="91"/>
      <x:c r="BC217" s="92"/>
      <x:c r="BD217" s="92"/>
      <x:c r="BE217" s="91"/>
      <x:c r="BF217" s="91"/>
      <x:c r="BG217" s="91"/>
      <x:c r="BH217" s="91"/>
      <x:c r="BI217" s="91"/>
      <x:c r="BJ217" s="91"/>
      <x:c r="BK217" s="91"/>
      <x:c r="BL217" s="91"/>
      <x:c r="BM217" s="73" t="str">
        <x:f>IF(A217="","",IF(AI217="Example","Example only",IF(AI217&lt;&gt;"Actual","Set record type",IF(COUNTIF($A$2:$A$1001,A217)&gt;1,"Duplicate record ID",IF(OR(D217="",E217="",AF217="",NOT(ISNUMBER(AG217)),AJ217="",AK217="",NOT(ISNUMBER(AL217)),AND(AM217&lt;&gt;"Observed",AM217&lt;&gt;"Corroborated",AM217&lt;&gt;"Declared"),OR(AN217="",AN217="Unknown"),OR(AQ217="",AQ217="Unknown"),OR(AR217="",AR217="Unknown",AR217="TBD"),OR(BC217="",NOT(ISNUMBER(BC217)))),"Evidence incomplete","Evidence recorded; review scope")))))</x:f>
      </x:c>
      <x:c r="BN217" s="73"/>
    </x:row>
    <x:row r="218" ht="34" customHeight="1">
      <x:c r="A218" s="73"/>
      <x:c r="B218" s="73"/>
      <x:c r="C218" s="73"/>
      <x:c r="D218" s="73"/>
      <x:c r="E218" s="73"/>
      <x:c r="F218" s="73"/>
      <x:c r="G218" s="73"/>
      <x:c r="H218" s="73"/>
      <x:c r="I218" s="75"/>
      <x:c r="J218" s="73"/>
      <x:c r="K218" s="73"/>
      <x:c r="L218" s="76"/>
      <x:c r="M218" s="73"/>
      <x:c r="N218" s="73"/>
      <x:c r="O218" s="73"/>
      <x:c r="P218" s="73"/>
      <x:c r="Q218" s="76"/>
      <x:c r="R218" s="73"/>
      <x:c r="S218" s="73"/>
      <x:c r="T218" s="73"/>
      <x:c r="U218" s="73"/>
      <x:c r="V218" s="73"/>
      <x:c r="W218" s="73"/>
      <x:c r="X218" s="73"/>
      <x:c r="Y218" s="73"/>
      <x:c r="Z218" s="73"/>
      <x:c r="AA218" s="73"/>
      <x:c r="AB218" s="76" t="str">
        <x:f>IF(A218="","",IF(OR(NOT(ISNUMBER(I218)),I218&lt;0,NOT(ISNUMBER(AP218)),AP218&lt;0,NOT(ISNUMBER(L218)),L218&lt;1,L218&gt;5,L218&lt;&gt;INT(L218),AND(J218&lt;&gt;"Public",J218&lt;&gt;"Partner",J218&lt;&gt;"Internal",J218&lt;&gt;"None"),AND(K218&lt;&gt;"High",K218&lt;&gt;"Medium",K218&lt;&gt;"Low",K218&lt;&gt;"None"),AND(W218&lt;&gt;"Hard-coded",W218&lt;&gt;"Configurable",W218&lt;&gt;"Policy-managed",W218&lt;&gt;"API/Library abstraction",W218&lt;&gt;"Automated"),AND(Z218&lt;&gt;"Y",Z218&lt;&gt;"N"),AND(AA218&lt;&gt;"Y",AA218&lt;&gt;"N")),"Incomplete",IF(Z218="Y",20,0)+L218*5+IF(AA218="Y",15,0)+IF(J218="Public",10,IF(J218="Partner",7,IF(J218="Internal",3,0)))+IF(W218="Hard-coded",10,IF(W218="Configurable",3,0))+IF(MAX(I218,AP218)&gt;=10,10,IF(MAX(I218,AP218)&gt;=5,7,IF(MAX(I218,AP218)&gt;=2,3,0)))+IF(K218="High",10,IF(K218="Medium",5,0))))</x:f>
      </x:c>
      <x:c r="AC218" s="73" t="str">
        <x:f>IF(A218="","",IF(NOT(ISNUMBER(AB218)),"Review inputs",IF(AB218&gt;=70,"P0 - Immediate",IF(AB218&gt;=50,"P1 - High",IF(AB218&gt;=30,"P2 - Medium",IF(AB218&gt;=15,"P3 - Low","P4 - Monitor"))))))</x:f>
      </x:c>
      <x:c r="AD218" s="73"/>
      <x:c r="AE218" s="73"/>
      <x:c r="AF218" s="73"/>
      <x:c r="AG218" s="77"/>
      <x:c r="AH218" s="73"/>
      <x:c r="AI218" s="91"/>
      <x:c r="AJ218" s="91"/>
      <x:c r="AK218" s="91"/>
      <x:c r="AL218" s="92"/>
      <x:c r="AM218" s="91"/>
      <x:c r="AN218" s="91"/>
      <x:c r="AO218" s="93"/>
      <x:c r="AP218" s="94"/>
      <x:c r="AQ218" s="91"/>
      <x:c r="AR218" s="91"/>
      <x:c r="AS218" s="91"/>
      <x:c r="AT218" s="91"/>
      <x:c r="AU218" s="91"/>
      <x:c r="AV218" s="91"/>
      <x:c r="AW218" s="91"/>
      <x:c r="AX218" s="91"/>
      <x:c r="AY218" s="91"/>
      <x:c r="AZ218" s="92"/>
      <x:c r="BA218" s="94"/>
      <x:c r="BB218" s="91"/>
      <x:c r="BC218" s="92"/>
      <x:c r="BD218" s="92"/>
      <x:c r="BE218" s="91"/>
      <x:c r="BF218" s="91"/>
      <x:c r="BG218" s="91"/>
      <x:c r="BH218" s="91"/>
      <x:c r="BI218" s="91"/>
      <x:c r="BJ218" s="91"/>
      <x:c r="BK218" s="91"/>
      <x:c r="BL218" s="91"/>
      <x:c r="BM218" s="73" t="str">
        <x:f>IF(A218="","",IF(AI218="Example","Example only",IF(AI218&lt;&gt;"Actual","Set record type",IF(COUNTIF($A$2:$A$1001,A218)&gt;1,"Duplicate record ID",IF(OR(D218="",E218="",AF218="",NOT(ISNUMBER(AG218)),AJ218="",AK218="",NOT(ISNUMBER(AL218)),AND(AM218&lt;&gt;"Observed",AM218&lt;&gt;"Corroborated",AM218&lt;&gt;"Declared"),OR(AN218="",AN218="Unknown"),OR(AQ218="",AQ218="Unknown"),OR(AR218="",AR218="Unknown",AR218="TBD"),OR(BC218="",NOT(ISNUMBER(BC218)))),"Evidence incomplete","Evidence recorded; review scope")))))</x:f>
      </x:c>
      <x:c r="BN218" s="73"/>
    </x:row>
    <x:row r="219" ht="34" customHeight="1">
      <x:c r="A219" s="73"/>
      <x:c r="B219" s="73"/>
      <x:c r="C219" s="73"/>
      <x:c r="D219" s="73"/>
      <x:c r="E219" s="73"/>
      <x:c r="F219" s="73"/>
      <x:c r="G219" s="73"/>
      <x:c r="H219" s="73"/>
      <x:c r="I219" s="75"/>
      <x:c r="J219" s="73"/>
      <x:c r="K219" s="73"/>
      <x:c r="L219" s="76"/>
      <x:c r="M219" s="73"/>
      <x:c r="N219" s="73"/>
      <x:c r="O219" s="73"/>
      <x:c r="P219" s="73"/>
      <x:c r="Q219" s="76"/>
      <x:c r="R219" s="73"/>
      <x:c r="S219" s="73"/>
      <x:c r="T219" s="73"/>
      <x:c r="U219" s="73"/>
      <x:c r="V219" s="73"/>
      <x:c r="W219" s="73"/>
      <x:c r="X219" s="73"/>
      <x:c r="Y219" s="73"/>
      <x:c r="Z219" s="73"/>
      <x:c r="AA219" s="73"/>
      <x:c r="AB219" s="76" t="str">
        <x:f>IF(A219="","",IF(OR(NOT(ISNUMBER(I219)),I219&lt;0,NOT(ISNUMBER(AP219)),AP219&lt;0,NOT(ISNUMBER(L219)),L219&lt;1,L219&gt;5,L219&lt;&gt;INT(L219),AND(J219&lt;&gt;"Public",J219&lt;&gt;"Partner",J219&lt;&gt;"Internal",J219&lt;&gt;"None"),AND(K219&lt;&gt;"High",K219&lt;&gt;"Medium",K219&lt;&gt;"Low",K219&lt;&gt;"None"),AND(W219&lt;&gt;"Hard-coded",W219&lt;&gt;"Configurable",W219&lt;&gt;"Policy-managed",W219&lt;&gt;"API/Library abstraction",W219&lt;&gt;"Automated"),AND(Z219&lt;&gt;"Y",Z219&lt;&gt;"N"),AND(AA219&lt;&gt;"Y",AA219&lt;&gt;"N")),"Incomplete",IF(Z219="Y",20,0)+L219*5+IF(AA219="Y",15,0)+IF(J219="Public",10,IF(J219="Partner",7,IF(J219="Internal",3,0)))+IF(W219="Hard-coded",10,IF(W219="Configurable",3,0))+IF(MAX(I219,AP219)&gt;=10,10,IF(MAX(I219,AP219)&gt;=5,7,IF(MAX(I219,AP219)&gt;=2,3,0)))+IF(K219="High",10,IF(K219="Medium",5,0))))</x:f>
      </x:c>
      <x:c r="AC219" s="73" t="str">
        <x:f>IF(A219="","",IF(NOT(ISNUMBER(AB219)),"Review inputs",IF(AB219&gt;=70,"P0 - Immediate",IF(AB219&gt;=50,"P1 - High",IF(AB219&gt;=30,"P2 - Medium",IF(AB219&gt;=15,"P3 - Low","P4 - Monitor"))))))</x:f>
      </x:c>
      <x:c r="AD219" s="73"/>
      <x:c r="AE219" s="73"/>
      <x:c r="AF219" s="73"/>
      <x:c r="AG219" s="77"/>
      <x:c r="AH219" s="73"/>
      <x:c r="AI219" s="91"/>
      <x:c r="AJ219" s="91"/>
      <x:c r="AK219" s="91"/>
      <x:c r="AL219" s="92"/>
      <x:c r="AM219" s="91"/>
      <x:c r="AN219" s="91"/>
      <x:c r="AO219" s="93"/>
      <x:c r="AP219" s="94"/>
      <x:c r="AQ219" s="91"/>
      <x:c r="AR219" s="91"/>
      <x:c r="AS219" s="91"/>
      <x:c r="AT219" s="91"/>
      <x:c r="AU219" s="91"/>
      <x:c r="AV219" s="91"/>
      <x:c r="AW219" s="91"/>
      <x:c r="AX219" s="91"/>
      <x:c r="AY219" s="91"/>
      <x:c r="AZ219" s="92"/>
      <x:c r="BA219" s="94"/>
      <x:c r="BB219" s="91"/>
      <x:c r="BC219" s="92"/>
      <x:c r="BD219" s="92"/>
      <x:c r="BE219" s="91"/>
      <x:c r="BF219" s="91"/>
      <x:c r="BG219" s="91"/>
      <x:c r="BH219" s="91"/>
      <x:c r="BI219" s="91"/>
      <x:c r="BJ219" s="91"/>
      <x:c r="BK219" s="91"/>
      <x:c r="BL219" s="91"/>
      <x:c r="BM219" s="73" t="str">
        <x:f>IF(A219="","",IF(AI219="Example","Example only",IF(AI219&lt;&gt;"Actual","Set record type",IF(COUNTIF($A$2:$A$1001,A219)&gt;1,"Duplicate record ID",IF(OR(D219="",E219="",AF219="",NOT(ISNUMBER(AG219)),AJ219="",AK219="",NOT(ISNUMBER(AL219)),AND(AM219&lt;&gt;"Observed",AM219&lt;&gt;"Corroborated",AM219&lt;&gt;"Declared"),OR(AN219="",AN219="Unknown"),OR(AQ219="",AQ219="Unknown"),OR(AR219="",AR219="Unknown",AR219="TBD"),OR(BC219="",NOT(ISNUMBER(BC219)))),"Evidence incomplete","Evidence recorded; review scope")))))</x:f>
      </x:c>
      <x:c r="BN219" s="73"/>
    </x:row>
    <x:row r="220" ht="34" customHeight="1">
      <x:c r="A220" s="73"/>
      <x:c r="B220" s="73"/>
      <x:c r="C220" s="73"/>
      <x:c r="D220" s="73"/>
      <x:c r="E220" s="73"/>
      <x:c r="F220" s="73"/>
      <x:c r="G220" s="73"/>
      <x:c r="H220" s="73"/>
      <x:c r="I220" s="75"/>
      <x:c r="J220" s="73"/>
      <x:c r="K220" s="73"/>
      <x:c r="L220" s="76"/>
      <x:c r="M220" s="73"/>
      <x:c r="N220" s="73"/>
      <x:c r="O220" s="73"/>
      <x:c r="P220" s="73"/>
      <x:c r="Q220" s="76"/>
      <x:c r="R220" s="73"/>
      <x:c r="S220" s="73"/>
      <x:c r="T220" s="73"/>
      <x:c r="U220" s="73"/>
      <x:c r="V220" s="73"/>
      <x:c r="W220" s="73"/>
      <x:c r="X220" s="73"/>
      <x:c r="Y220" s="73"/>
      <x:c r="Z220" s="73"/>
      <x:c r="AA220" s="73"/>
      <x:c r="AB220" s="76" t="str">
        <x:f>IF(A220="","",IF(OR(NOT(ISNUMBER(I220)),I220&lt;0,NOT(ISNUMBER(AP220)),AP220&lt;0,NOT(ISNUMBER(L220)),L220&lt;1,L220&gt;5,L220&lt;&gt;INT(L220),AND(J220&lt;&gt;"Public",J220&lt;&gt;"Partner",J220&lt;&gt;"Internal",J220&lt;&gt;"None"),AND(K220&lt;&gt;"High",K220&lt;&gt;"Medium",K220&lt;&gt;"Low",K220&lt;&gt;"None"),AND(W220&lt;&gt;"Hard-coded",W220&lt;&gt;"Configurable",W220&lt;&gt;"Policy-managed",W220&lt;&gt;"API/Library abstraction",W220&lt;&gt;"Automated"),AND(Z220&lt;&gt;"Y",Z220&lt;&gt;"N"),AND(AA220&lt;&gt;"Y",AA220&lt;&gt;"N")),"Incomplete",IF(Z220="Y",20,0)+L220*5+IF(AA220="Y",15,0)+IF(J220="Public",10,IF(J220="Partner",7,IF(J220="Internal",3,0)))+IF(W220="Hard-coded",10,IF(W220="Configurable",3,0))+IF(MAX(I220,AP220)&gt;=10,10,IF(MAX(I220,AP220)&gt;=5,7,IF(MAX(I220,AP220)&gt;=2,3,0)))+IF(K220="High",10,IF(K220="Medium",5,0))))</x:f>
      </x:c>
      <x:c r="AC220" s="73" t="str">
        <x:f>IF(A220="","",IF(NOT(ISNUMBER(AB220)),"Review inputs",IF(AB220&gt;=70,"P0 - Immediate",IF(AB220&gt;=50,"P1 - High",IF(AB220&gt;=30,"P2 - Medium",IF(AB220&gt;=15,"P3 - Low","P4 - Monitor"))))))</x:f>
      </x:c>
      <x:c r="AD220" s="73"/>
      <x:c r="AE220" s="73"/>
      <x:c r="AF220" s="73"/>
      <x:c r="AG220" s="77"/>
      <x:c r="AH220" s="73"/>
      <x:c r="AI220" s="91"/>
      <x:c r="AJ220" s="91"/>
      <x:c r="AK220" s="91"/>
      <x:c r="AL220" s="92"/>
      <x:c r="AM220" s="91"/>
      <x:c r="AN220" s="91"/>
      <x:c r="AO220" s="93"/>
      <x:c r="AP220" s="94"/>
      <x:c r="AQ220" s="91"/>
      <x:c r="AR220" s="91"/>
      <x:c r="AS220" s="91"/>
      <x:c r="AT220" s="91"/>
      <x:c r="AU220" s="91"/>
      <x:c r="AV220" s="91"/>
      <x:c r="AW220" s="91"/>
      <x:c r="AX220" s="91"/>
      <x:c r="AY220" s="91"/>
      <x:c r="AZ220" s="92"/>
      <x:c r="BA220" s="94"/>
      <x:c r="BB220" s="91"/>
      <x:c r="BC220" s="92"/>
      <x:c r="BD220" s="92"/>
      <x:c r="BE220" s="91"/>
      <x:c r="BF220" s="91"/>
      <x:c r="BG220" s="91"/>
      <x:c r="BH220" s="91"/>
      <x:c r="BI220" s="91"/>
      <x:c r="BJ220" s="91"/>
      <x:c r="BK220" s="91"/>
      <x:c r="BL220" s="91"/>
      <x:c r="BM220" s="73" t="str">
        <x:f>IF(A220="","",IF(AI220="Example","Example only",IF(AI220&lt;&gt;"Actual","Set record type",IF(COUNTIF($A$2:$A$1001,A220)&gt;1,"Duplicate record ID",IF(OR(D220="",E220="",AF220="",NOT(ISNUMBER(AG220)),AJ220="",AK220="",NOT(ISNUMBER(AL220)),AND(AM220&lt;&gt;"Observed",AM220&lt;&gt;"Corroborated",AM220&lt;&gt;"Declared"),OR(AN220="",AN220="Unknown"),OR(AQ220="",AQ220="Unknown"),OR(AR220="",AR220="Unknown",AR220="TBD"),OR(BC220="",NOT(ISNUMBER(BC220)))),"Evidence incomplete","Evidence recorded; review scope")))))</x:f>
      </x:c>
      <x:c r="BN220" s="73"/>
    </x:row>
    <x:row r="221" ht="34" customHeight="1">
      <x:c r="A221" s="73"/>
      <x:c r="B221" s="73"/>
      <x:c r="C221" s="73"/>
      <x:c r="D221" s="73"/>
      <x:c r="E221" s="73"/>
      <x:c r="F221" s="73"/>
      <x:c r="G221" s="73"/>
      <x:c r="H221" s="73"/>
      <x:c r="I221" s="75"/>
      <x:c r="J221" s="73"/>
      <x:c r="K221" s="73"/>
      <x:c r="L221" s="76"/>
      <x:c r="M221" s="73"/>
      <x:c r="N221" s="73"/>
      <x:c r="O221" s="73"/>
      <x:c r="P221" s="73"/>
      <x:c r="Q221" s="76"/>
      <x:c r="R221" s="73"/>
      <x:c r="S221" s="73"/>
      <x:c r="T221" s="73"/>
      <x:c r="U221" s="73"/>
      <x:c r="V221" s="73"/>
      <x:c r="W221" s="73"/>
      <x:c r="X221" s="73"/>
      <x:c r="Y221" s="73"/>
      <x:c r="Z221" s="73"/>
      <x:c r="AA221" s="73"/>
      <x:c r="AB221" s="76" t="str">
        <x:f>IF(A221="","",IF(OR(NOT(ISNUMBER(I221)),I221&lt;0,NOT(ISNUMBER(AP221)),AP221&lt;0,NOT(ISNUMBER(L221)),L221&lt;1,L221&gt;5,L221&lt;&gt;INT(L221),AND(J221&lt;&gt;"Public",J221&lt;&gt;"Partner",J221&lt;&gt;"Internal",J221&lt;&gt;"None"),AND(K221&lt;&gt;"High",K221&lt;&gt;"Medium",K221&lt;&gt;"Low",K221&lt;&gt;"None"),AND(W221&lt;&gt;"Hard-coded",W221&lt;&gt;"Configurable",W221&lt;&gt;"Policy-managed",W221&lt;&gt;"API/Library abstraction",W221&lt;&gt;"Automated"),AND(Z221&lt;&gt;"Y",Z221&lt;&gt;"N"),AND(AA221&lt;&gt;"Y",AA221&lt;&gt;"N")),"Incomplete",IF(Z221="Y",20,0)+L221*5+IF(AA221="Y",15,0)+IF(J221="Public",10,IF(J221="Partner",7,IF(J221="Internal",3,0)))+IF(W221="Hard-coded",10,IF(W221="Configurable",3,0))+IF(MAX(I221,AP221)&gt;=10,10,IF(MAX(I221,AP221)&gt;=5,7,IF(MAX(I221,AP221)&gt;=2,3,0)))+IF(K221="High",10,IF(K221="Medium",5,0))))</x:f>
      </x:c>
      <x:c r="AC221" s="73" t="str">
        <x:f>IF(A221="","",IF(NOT(ISNUMBER(AB221)),"Review inputs",IF(AB221&gt;=70,"P0 - Immediate",IF(AB221&gt;=50,"P1 - High",IF(AB221&gt;=30,"P2 - Medium",IF(AB221&gt;=15,"P3 - Low","P4 - Monitor"))))))</x:f>
      </x:c>
      <x:c r="AD221" s="73"/>
      <x:c r="AE221" s="73"/>
      <x:c r="AF221" s="73"/>
      <x:c r="AG221" s="77"/>
      <x:c r="AH221" s="73"/>
      <x:c r="AI221" s="91"/>
      <x:c r="AJ221" s="91"/>
      <x:c r="AK221" s="91"/>
      <x:c r="AL221" s="92"/>
      <x:c r="AM221" s="91"/>
      <x:c r="AN221" s="91"/>
      <x:c r="AO221" s="93"/>
      <x:c r="AP221" s="94"/>
      <x:c r="AQ221" s="91"/>
      <x:c r="AR221" s="91"/>
      <x:c r="AS221" s="91"/>
      <x:c r="AT221" s="91"/>
      <x:c r="AU221" s="91"/>
      <x:c r="AV221" s="91"/>
      <x:c r="AW221" s="91"/>
      <x:c r="AX221" s="91"/>
      <x:c r="AY221" s="91"/>
      <x:c r="AZ221" s="92"/>
      <x:c r="BA221" s="94"/>
      <x:c r="BB221" s="91"/>
      <x:c r="BC221" s="92"/>
      <x:c r="BD221" s="92"/>
      <x:c r="BE221" s="91"/>
      <x:c r="BF221" s="91"/>
      <x:c r="BG221" s="91"/>
      <x:c r="BH221" s="91"/>
      <x:c r="BI221" s="91"/>
      <x:c r="BJ221" s="91"/>
      <x:c r="BK221" s="91"/>
      <x:c r="BL221" s="91"/>
      <x:c r="BM221" s="73" t="str">
        <x:f>IF(A221="","",IF(AI221="Example","Example only",IF(AI221&lt;&gt;"Actual","Set record type",IF(COUNTIF($A$2:$A$1001,A221)&gt;1,"Duplicate record ID",IF(OR(D221="",E221="",AF221="",NOT(ISNUMBER(AG221)),AJ221="",AK221="",NOT(ISNUMBER(AL221)),AND(AM221&lt;&gt;"Observed",AM221&lt;&gt;"Corroborated",AM221&lt;&gt;"Declared"),OR(AN221="",AN221="Unknown"),OR(AQ221="",AQ221="Unknown"),OR(AR221="",AR221="Unknown",AR221="TBD"),OR(BC221="",NOT(ISNUMBER(BC221)))),"Evidence incomplete","Evidence recorded; review scope")))))</x:f>
      </x:c>
      <x:c r="BN221" s="73"/>
    </x:row>
    <x:row r="222" ht="34" customHeight="1">
      <x:c r="A222" s="73"/>
      <x:c r="B222" s="73"/>
      <x:c r="C222" s="73"/>
      <x:c r="D222" s="73"/>
      <x:c r="E222" s="73"/>
      <x:c r="F222" s="73"/>
      <x:c r="G222" s="73"/>
      <x:c r="H222" s="73"/>
      <x:c r="I222" s="75"/>
      <x:c r="J222" s="73"/>
      <x:c r="K222" s="73"/>
      <x:c r="L222" s="76"/>
      <x:c r="M222" s="73"/>
      <x:c r="N222" s="73"/>
      <x:c r="O222" s="73"/>
      <x:c r="P222" s="73"/>
      <x:c r="Q222" s="76"/>
      <x:c r="R222" s="73"/>
      <x:c r="S222" s="73"/>
      <x:c r="T222" s="73"/>
      <x:c r="U222" s="73"/>
      <x:c r="V222" s="73"/>
      <x:c r="W222" s="73"/>
      <x:c r="X222" s="73"/>
      <x:c r="Y222" s="73"/>
      <x:c r="Z222" s="73"/>
      <x:c r="AA222" s="73"/>
      <x:c r="AB222" s="76" t="str">
        <x:f>IF(A222="","",IF(OR(NOT(ISNUMBER(I222)),I222&lt;0,NOT(ISNUMBER(AP222)),AP222&lt;0,NOT(ISNUMBER(L222)),L222&lt;1,L222&gt;5,L222&lt;&gt;INT(L222),AND(J222&lt;&gt;"Public",J222&lt;&gt;"Partner",J222&lt;&gt;"Internal",J222&lt;&gt;"None"),AND(K222&lt;&gt;"High",K222&lt;&gt;"Medium",K222&lt;&gt;"Low",K222&lt;&gt;"None"),AND(W222&lt;&gt;"Hard-coded",W222&lt;&gt;"Configurable",W222&lt;&gt;"Policy-managed",W222&lt;&gt;"API/Library abstraction",W222&lt;&gt;"Automated"),AND(Z222&lt;&gt;"Y",Z222&lt;&gt;"N"),AND(AA222&lt;&gt;"Y",AA222&lt;&gt;"N")),"Incomplete",IF(Z222="Y",20,0)+L222*5+IF(AA222="Y",15,0)+IF(J222="Public",10,IF(J222="Partner",7,IF(J222="Internal",3,0)))+IF(W222="Hard-coded",10,IF(W222="Configurable",3,0))+IF(MAX(I222,AP222)&gt;=10,10,IF(MAX(I222,AP222)&gt;=5,7,IF(MAX(I222,AP222)&gt;=2,3,0)))+IF(K222="High",10,IF(K222="Medium",5,0))))</x:f>
      </x:c>
      <x:c r="AC222" s="73" t="str">
        <x:f>IF(A222="","",IF(NOT(ISNUMBER(AB222)),"Review inputs",IF(AB222&gt;=70,"P0 - Immediate",IF(AB222&gt;=50,"P1 - High",IF(AB222&gt;=30,"P2 - Medium",IF(AB222&gt;=15,"P3 - Low","P4 - Monitor"))))))</x:f>
      </x:c>
      <x:c r="AD222" s="73"/>
      <x:c r="AE222" s="73"/>
      <x:c r="AF222" s="73"/>
      <x:c r="AG222" s="77"/>
      <x:c r="AH222" s="73"/>
      <x:c r="AI222" s="91"/>
      <x:c r="AJ222" s="91"/>
      <x:c r="AK222" s="91"/>
      <x:c r="AL222" s="92"/>
      <x:c r="AM222" s="91"/>
      <x:c r="AN222" s="91"/>
      <x:c r="AO222" s="93"/>
      <x:c r="AP222" s="94"/>
      <x:c r="AQ222" s="91"/>
      <x:c r="AR222" s="91"/>
      <x:c r="AS222" s="91"/>
      <x:c r="AT222" s="91"/>
      <x:c r="AU222" s="91"/>
      <x:c r="AV222" s="91"/>
      <x:c r="AW222" s="91"/>
      <x:c r="AX222" s="91"/>
      <x:c r="AY222" s="91"/>
      <x:c r="AZ222" s="92"/>
      <x:c r="BA222" s="94"/>
      <x:c r="BB222" s="91"/>
      <x:c r="BC222" s="92"/>
      <x:c r="BD222" s="92"/>
      <x:c r="BE222" s="91"/>
      <x:c r="BF222" s="91"/>
      <x:c r="BG222" s="91"/>
      <x:c r="BH222" s="91"/>
      <x:c r="BI222" s="91"/>
      <x:c r="BJ222" s="91"/>
      <x:c r="BK222" s="91"/>
      <x:c r="BL222" s="91"/>
      <x:c r="BM222" s="73" t="str">
        <x:f>IF(A222="","",IF(AI222="Example","Example only",IF(AI222&lt;&gt;"Actual","Set record type",IF(COUNTIF($A$2:$A$1001,A222)&gt;1,"Duplicate record ID",IF(OR(D222="",E222="",AF222="",NOT(ISNUMBER(AG222)),AJ222="",AK222="",NOT(ISNUMBER(AL222)),AND(AM222&lt;&gt;"Observed",AM222&lt;&gt;"Corroborated",AM222&lt;&gt;"Declared"),OR(AN222="",AN222="Unknown"),OR(AQ222="",AQ222="Unknown"),OR(AR222="",AR222="Unknown",AR222="TBD"),OR(BC222="",NOT(ISNUMBER(BC222)))),"Evidence incomplete","Evidence recorded; review scope")))))</x:f>
      </x:c>
      <x:c r="BN222" s="73"/>
    </x:row>
    <x:row r="223" ht="34" customHeight="1">
      <x:c r="A223" s="73"/>
      <x:c r="B223" s="73"/>
      <x:c r="C223" s="73"/>
      <x:c r="D223" s="73"/>
      <x:c r="E223" s="73"/>
      <x:c r="F223" s="73"/>
      <x:c r="G223" s="73"/>
      <x:c r="H223" s="73"/>
      <x:c r="I223" s="75"/>
      <x:c r="J223" s="73"/>
      <x:c r="K223" s="73"/>
      <x:c r="L223" s="76"/>
      <x:c r="M223" s="73"/>
      <x:c r="N223" s="73"/>
      <x:c r="O223" s="73"/>
      <x:c r="P223" s="73"/>
      <x:c r="Q223" s="76"/>
      <x:c r="R223" s="73"/>
      <x:c r="S223" s="73"/>
      <x:c r="T223" s="73"/>
      <x:c r="U223" s="73"/>
      <x:c r="V223" s="73"/>
      <x:c r="W223" s="73"/>
      <x:c r="X223" s="73"/>
      <x:c r="Y223" s="73"/>
      <x:c r="Z223" s="73"/>
      <x:c r="AA223" s="73"/>
      <x:c r="AB223" s="76" t="str">
        <x:f>IF(A223="","",IF(OR(NOT(ISNUMBER(I223)),I223&lt;0,NOT(ISNUMBER(AP223)),AP223&lt;0,NOT(ISNUMBER(L223)),L223&lt;1,L223&gt;5,L223&lt;&gt;INT(L223),AND(J223&lt;&gt;"Public",J223&lt;&gt;"Partner",J223&lt;&gt;"Internal",J223&lt;&gt;"None"),AND(K223&lt;&gt;"High",K223&lt;&gt;"Medium",K223&lt;&gt;"Low",K223&lt;&gt;"None"),AND(W223&lt;&gt;"Hard-coded",W223&lt;&gt;"Configurable",W223&lt;&gt;"Policy-managed",W223&lt;&gt;"API/Library abstraction",W223&lt;&gt;"Automated"),AND(Z223&lt;&gt;"Y",Z223&lt;&gt;"N"),AND(AA223&lt;&gt;"Y",AA223&lt;&gt;"N")),"Incomplete",IF(Z223="Y",20,0)+L223*5+IF(AA223="Y",15,0)+IF(J223="Public",10,IF(J223="Partner",7,IF(J223="Internal",3,0)))+IF(W223="Hard-coded",10,IF(W223="Configurable",3,0))+IF(MAX(I223,AP223)&gt;=10,10,IF(MAX(I223,AP223)&gt;=5,7,IF(MAX(I223,AP223)&gt;=2,3,0)))+IF(K223="High",10,IF(K223="Medium",5,0))))</x:f>
      </x:c>
      <x:c r="AC223" s="73" t="str">
        <x:f>IF(A223="","",IF(NOT(ISNUMBER(AB223)),"Review inputs",IF(AB223&gt;=70,"P0 - Immediate",IF(AB223&gt;=50,"P1 - High",IF(AB223&gt;=30,"P2 - Medium",IF(AB223&gt;=15,"P3 - Low","P4 - Monitor"))))))</x:f>
      </x:c>
      <x:c r="AD223" s="73"/>
      <x:c r="AE223" s="73"/>
      <x:c r="AF223" s="73"/>
      <x:c r="AG223" s="77"/>
      <x:c r="AH223" s="73"/>
      <x:c r="AI223" s="91"/>
      <x:c r="AJ223" s="91"/>
      <x:c r="AK223" s="91"/>
      <x:c r="AL223" s="92"/>
      <x:c r="AM223" s="91"/>
      <x:c r="AN223" s="91"/>
      <x:c r="AO223" s="93"/>
      <x:c r="AP223" s="94"/>
      <x:c r="AQ223" s="91"/>
      <x:c r="AR223" s="91"/>
      <x:c r="AS223" s="91"/>
      <x:c r="AT223" s="91"/>
      <x:c r="AU223" s="91"/>
      <x:c r="AV223" s="91"/>
      <x:c r="AW223" s="91"/>
      <x:c r="AX223" s="91"/>
      <x:c r="AY223" s="91"/>
      <x:c r="AZ223" s="92"/>
      <x:c r="BA223" s="94"/>
      <x:c r="BB223" s="91"/>
      <x:c r="BC223" s="92"/>
      <x:c r="BD223" s="92"/>
      <x:c r="BE223" s="91"/>
      <x:c r="BF223" s="91"/>
      <x:c r="BG223" s="91"/>
      <x:c r="BH223" s="91"/>
      <x:c r="BI223" s="91"/>
      <x:c r="BJ223" s="91"/>
      <x:c r="BK223" s="91"/>
      <x:c r="BL223" s="91"/>
      <x:c r="BM223" s="73" t="str">
        <x:f>IF(A223="","",IF(AI223="Example","Example only",IF(AI223&lt;&gt;"Actual","Set record type",IF(COUNTIF($A$2:$A$1001,A223)&gt;1,"Duplicate record ID",IF(OR(D223="",E223="",AF223="",NOT(ISNUMBER(AG223)),AJ223="",AK223="",NOT(ISNUMBER(AL223)),AND(AM223&lt;&gt;"Observed",AM223&lt;&gt;"Corroborated",AM223&lt;&gt;"Declared"),OR(AN223="",AN223="Unknown"),OR(AQ223="",AQ223="Unknown"),OR(AR223="",AR223="Unknown",AR223="TBD"),OR(BC223="",NOT(ISNUMBER(BC223)))),"Evidence incomplete","Evidence recorded; review scope")))))</x:f>
      </x:c>
      <x:c r="BN223" s="73"/>
    </x:row>
    <x:row r="224" ht="34" customHeight="1">
      <x:c r="A224" s="73"/>
      <x:c r="B224" s="73"/>
      <x:c r="C224" s="73"/>
      <x:c r="D224" s="73"/>
      <x:c r="E224" s="73"/>
      <x:c r="F224" s="73"/>
      <x:c r="G224" s="73"/>
      <x:c r="H224" s="73"/>
      <x:c r="I224" s="75"/>
      <x:c r="J224" s="73"/>
      <x:c r="K224" s="73"/>
      <x:c r="L224" s="76"/>
      <x:c r="M224" s="73"/>
      <x:c r="N224" s="73"/>
      <x:c r="O224" s="73"/>
      <x:c r="P224" s="73"/>
      <x:c r="Q224" s="76"/>
      <x:c r="R224" s="73"/>
      <x:c r="S224" s="73"/>
      <x:c r="T224" s="73"/>
      <x:c r="U224" s="73"/>
      <x:c r="V224" s="73"/>
      <x:c r="W224" s="73"/>
      <x:c r="X224" s="73"/>
      <x:c r="Y224" s="73"/>
      <x:c r="Z224" s="73"/>
      <x:c r="AA224" s="73"/>
      <x:c r="AB224" s="76" t="str">
        <x:f>IF(A224="","",IF(OR(NOT(ISNUMBER(I224)),I224&lt;0,NOT(ISNUMBER(AP224)),AP224&lt;0,NOT(ISNUMBER(L224)),L224&lt;1,L224&gt;5,L224&lt;&gt;INT(L224),AND(J224&lt;&gt;"Public",J224&lt;&gt;"Partner",J224&lt;&gt;"Internal",J224&lt;&gt;"None"),AND(K224&lt;&gt;"High",K224&lt;&gt;"Medium",K224&lt;&gt;"Low",K224&lt;&gt;"None"),AND(W224&lt;&gt;"Hard-coded",W224&lt;&gt;"Configurable",W224&lt;&gt;"Policy-managed",W224&lt;&gt;"API/Library abstraction",W224&lt;&gt;"Automated"),AND(Z224&lt;&gt;"Y",Z224&lt;&gt;"N"),AND(AA224&lt;&gt;"Y",AA224&lt;&gt;"N")),"Incomplete",IF(Z224="Y",20,0)+L224*5+IF(AA224="Y",15,0)+IF(J224="Public",10,IF(J224="Partner",7,IF(J224="Internal",3,0)))+IF(W224="Hard-coded",10,IF(W224="Configurable",3,0))+IF(MAX(I224,AP224)&gt;=10,10,IF(MAX(I224,AP224)&gt;=5,7,IF(MAX(I224,AP224)&gt;=2,3,0)))+IF(K224="High",10,IF(K224="Medium",5,0))))</x:f>
      </x:c>
      <x:c r="AC224" s="73" t="str">
        <x:f>IF(A224="","",IF(NOT(ISNUMBER(AB224)),"Review inputs",IF(AB224&gt;=70,"P0 - Immediate",IF(AB224&gt;=50,"P1 - High",IF(AB224&gt;=30,"P2 - Medium",IF(AB224&gt;=15,"P3 - Low","P4 - Monitor"))))))</x:f>
      </x:c>
      <x:c r="AD224" s="73"/>
      <x:c r="AE224" s="73"/>
      <x:c r="AF224" s="73"/>
      <x:c r="AG224" s="77"/>
      <x:c r="AH224" s="73"/>
      <x:c r="AI224" s="91"/>
      <x:c r="AJ224" s="91"/>
      <x:c r="AK224" s="91"/>
      <x:c r="AL224" s="92"/>
      <x:c r="AM224" s="91"/>
      <x:c r="AN224" s="91"/>
      <x:c r="AO224" s="93"/>
      <x:c r="AP224" s="94"/>
      <x:c r="AQ224" s="91"/>
      <x:c r="AR224" s="91"/>
      <x:c r="AS224" s="91"/>
      <x:c r="AT224" s="91"/>
      <x:c r="AU224" s="91"/>
      <x:c r="AV224" s="91"/>
      <x:c r="AW224" s="91"/>
      <x:c r="AX224" s="91"/>
      <x:c r="AY224" s="91"/>
      <x:c r="AZ224" s="92"/>
      <x:c r="BA224" s="94"/>
      <x:c r="BB224" s="91"/>
      <x:c r="BC224" s="92"/>
      <x:c r="BD224" s="92"/>
      <x:c r="BE224" s="91"/>
      <x:c r="BF224" s="91"/>
      <x:c r="BG224" s="91"/>
      <x:c r="BH224" s="91"/>
      <x:c r="BI224" s="91"/>
      <x:c r="BJ224" s="91"/>
      <x:c r="BK224" s="91"/>
      <x:c r="BL224" s="91"/>
      <x:c r="BM224" s="73" t="str">
        <x:f>IF(A224="","",IF(AI224="Example","Example only",IF(AI224&lt;&gt;"Actual","Set record type",IF(COUNTIF($A$2:$A$1001,A224)&gt;1,"Duplicate record ID",IF(OR(D224="",E224="",AF224="",NOT(ISNUMBER(AG224)),AJ224="",AK224="",NOT(ISNUMBER(AL224)),AND(AM224&lt;&gt;"Observed",AM224&lt;&gt;"Corroborated",AM224&lt;&gt;"Declared"),OR(AN224="",AN224="Unknown"),OR(AQ224="",AQ224="Unknown"),OR(AR224="",AR224="Unknown",AR224="TBD"),OR(BC224="",NOT(ISNUMBER(BC224)))),"Evidence incomplete","Evidence recorded; review scope")))))</x:f>
      </x:c>
      <x:c r="BN224" s="73"/>
    </x:row>
    <x:row r="225" ht="34" customHeight="1">
      <x:c r="A225" s="73"/>
      <x:c r="B225" s="73"/>
      <x:c r="C225" s="73"/>
      <x:c r="D225" s="73"/>
      <x:c r="E225" s="73"/>
      <x:c r="F225" s="73"/>
      <x:c r="G225" s="73"/>
      <x:c r="H225" s="73"/>
      <x:c r="I225" s="75"/>
      <x:c r="J225" s="73"/>
      <x:c r="K225" s="73"/>
      <x:c r="L225" s="76"/>
      <x:c r="M225" s="73"/>
      <x:c r="N225" s="73"/>
      <x:c r="O225" s="73"/>
      <x:c r="P225" s="73"/>
      <x:c r="Q225" s="76"/>
      <x:c r="R225" s="73"/>
      <x:c r="S225" s="73"/>
      <x:c r="T225" s="73"/>
      <x:c r="U225" s="73"/>
      <x:c r="V225" s="73"/>
      <x:c r="W225" s="73"/>
      <x:c r="X225" s="73"/>
      <x:c r="Y225" s="73"/>
      <x:c r="Z225" s="73"/>
      <x:c r="AA225" s="73"/>
      <x:c r="AB225" s="76" t="str">
        <x:f>IF(A225="","",IF(OR(NOT(ISNUMBER(I225)),I225&lt;0,NOT(ISNUMBER(AP225)),AP225&lt;0,NOT(ISNUMBER(L225)),L225&lt;1,L225&gt;5,L225&lt;&gt;INT(L225),AND(J225&lt;&gt;"Public",J225&lt;&gt;"Partner",J225&lt;&gt;"Internal",J225&lt;&gt;"None"),AND(K225&lt;&gt;"High",K225&lt;&gt;"Medium",K225&lt;&gt;"Low",K225&lt;&gt;"None"),AND(W225&lt;&gt;"Hard-coded",W225&lt;&gt;"Configurable",W225&lt;&gt;"Policy-managed",W225&lt;&gt;"API/Library abstraction",W225&lt;&gt;"Automated"),AND(Z225&lt;&gt;"Y",Z225&lt;&gt;"N"),AND(AA225&lt;&gt;"Y",AA225&lt;&gt;"N")),"Incomplete",IF(Z225="Y",20,0)+L225*5+IF(AA225="Y",15,0)+IF(J225="Public",10,IF(J225="Partner",7,IF(J225="Internal",3,0)))+IF(W225="Hard-coded",10,IF(W225="Configurable",3,0))+IF(MAX(I225,AP225)&gt;=10,10,IF(MAX(I225,AP225)&gt;=5,7,IF(MAX(I225,AP225)&gt;=2,3,0)))+IF(K225="High",10,IF(K225="Medium",5,0))))</x:f>
      </x:c>
      <x:c r="AC225" s="73" t="str">
        <x:f>IF(A225="","",IF(NOT(ISNUMBER(AB225)),"Review inputs",IF(AB225&gt;=70,"P0 - Immediate",IF(AB225&gt;=50,"P1 - High",IF(AB225&gt;=30,"P2 - Medium",IF(AB225&gt;=15,"P3 - Low","P4 - Monitor"))))))</x:f>
      </x:c>
      <x:c r="AD225" s="73"/>
      <x:c r="AE225" s="73"/>
      <x:c r="AF225" s="73"/>
      <x:c r="AG225" s="77"/>
      <x:c r="AH225" s="73"/>
      <x:c r="AI225" s="91"/>
      <x:c r="AJ225" s="91"/>
      <x:c r="AK225" s="91"/>
      <x:c r="AL225" s="92"/>
      <x:c r="AM225" s="91"/>
      <x:c r="AN225" s="91"/>
      <x:c r="AO225" s="93"/>
      <x:c r="AP225" s="94"/>
      <x:c r="AQ225" s="91"/>
      <x:c r="AR225" s="91"/>
      <x:c r="AS225" s="91"/>
      <x:c r="AT225" s="91"/>
      <x:c r="AU225" s="91"/>
      <x:c r="AV225" s="91"/>
      <x:c r="AW225" s="91"/>
      <x:c r="AX225" s="91"/>
      <x:c r="AY225" s="91"/>
      <x:c r="AZ225" s="92"/>
      <x:c r="BA225" s="94"/>
      <x:c r="BB225" s="91"/>
      <x:c r="BC225" s="92"/>
      <x:c r="BD225" s="92"/>
      <x:c r="BE225" s="91"/>
      <x:c r="BF225" s="91"/>
      <x:c r="BG225" s="91"/>
      <x:c r="BH225" s="91"/>
      <x:c r="BI225" s="91"/>
      <x:c r="BJ225" s="91"/>
      <x:c r="BK225" s="91"/>
      <x:c r="BL225" s="91"/>
      <x:c r="BM225" s="73" t="str">
        <x:f>IF(A225="","",IF(AI225="Example","Example only",IF(AI225&lt;&gt;"Actual","Set record type",IF(COUNTIF($A$2:$A$1001,A225)&gt;1,"Duplicate record ID",IF(OR(D225="",E225="",AF225="",NOT(ISNUMBER(AG225)),AJ225="",AK225="",NOT(ISNUMBER(AL225)),AND(AM225&lt;&gt;"Observed",AM225&lt;&gt;"Corroborated",AM225&lt;&gt;"Declared"),OR(AN225="",AN225="Unknown"),OR(AQ225="",AQ225="Unknown"),OR(AR225="",AR225="Unknown",AR225="TBD"),OR(BC225="",NOT(ISNUMBER(BC225)))),"Evidence incomplete","Evidence recorded; review scope")))))</x:f>
      </x:c>
      <x:c r="BN225" s="73"/>
    </x:row>
    <x:row r="226" ht="34" customHeight="1">
      <x:c r="A226" s="73"/>
      <x:c r="B226" s="73"/>
      <x:c r="C226" s="73"/>
      <x:c r="D226" s="73"/>
      <x:c r="E226" s="73"/>
      <x:c r="F226" s="73"/>
      <x:c r="G226" s="73"/>
      <x:c r="H226" s="73"/>
      <x:c r="I226" s="75"/>
      <x:c r="J226" s="73"/>
      <x:c r="K226" s="73"/>
      <x:c r="L226" s="76"/>
      <x:c r="M226" s="73"/>
      <x:c r="N226" s="73"/>
      <x:c r="O226" s="73"/>
      <x:c r="P226" s="73"/>
      <x:c r="Q226" s="76"/>
      <x:c r="R226" s="73"/>
      <x:c r="S226" s="73"/>
      <x:c r="T226" s="73"/>
      <x:c r="U226" s="73"/>
      <x:c r="V226" s="73"/>
      <x:c r="W226" s="73"/>
      <x:c r="X226" s="73"/>
      <x:c r="Y226" s="73"/>
      <x:c r="Z226" s="73"/>
      <x:c r="AA226" s="73"/>
      <x:c r="AB226" s="76" t="str">
        <x:f>IF(A226="","",IF(OR(NOT(ISNUMBER(I226)),I226&lt;0,NOT(ISNUMBER(AP226)),AP226&lt;0,NOT(ISNUMBER(L226)),L226&lt;1,L226&gt;5,L226&lt;&gt;INT(L226),AND(J226&lt;&gt;"Public",J226&lt;&gt;"Partner",J226&lt;&gt;"Internal",J226&lt;&gt;"None"),AND(K226&lt;&gt;"High",K226&lt;&gt;"Medium",K226&lt;&gt;"Low",K226&lt;&gt;"None"),AND(W226&lt;&gt;"Hard-coded",W226&lt;&gt;"Configurable",W226&lt;&gt;"Policy-managed",W226&lt;&gt;"API/Library abstraction",W226&lt;&gt;"Automated"),AND(Z226&lt;&gt;"Y",Z226&lt;&gt;"N"),AND(AA226&lt;&gt;"Y",AA226&lt;&gt;"N")),"Incomplete",IF(Z226="Y",20,0)+L226*5+IF(AA226="Y",15,0)+IF(J226="Public",10,IF(J226="Partner",7,IF(J226="Internal",3,0)))+IF(W226="Hard-coded",10,IF(W226="Configurable",3,0))+IF(MAX(I226,AP226)&gt;=10,10,IF(MAX(I226,AP226)&gt;=5,7,IF(MAX(I226,AP226)&gt;=2,3,0)))+IF(K226="High",10,IF(K226="Medium",5,0))))</x:f>
      </x:c>
      <x:c r="AC226" s="73" t="str">
        <x:f>IF(A226="","",IF(NOT(ISNUMBER(AB226)),"Review inputs",IF(AB226&gt;=70,"P0 - Immediate",IF(AB226&gt;=50,"P1 - High",IF(AB226&gt;=30,"P2 - Medium",IF(AB226&gt;=15,"P3 - Low","P4 - Monitor"))))))</x:f>
      </x:c>
      <x:c r="AD226" s="73"/>
      <x:c r="AE226" s="73"/>
      <x:c r="AF226" s="73"/>
      <x:c r="AG226" s="77"/>
      <x:c r="AH226" s="73"/>
      <x:c r="AI226" s="91"/>
      <x:c r="AJ226" s="91"/>
      <x:c r="AK226" s="91"/>
      <x:c r="AL226" s="92"/>
      <x:c r="AM226" s="91"/>
      <x:c r="AN226" s="91"/>
      <x:c r="AO226" s="93"/>
      <x:c r="AP226" s="94"/>
      <x:c r="AQ226" s="91"/>
      <x:c r="AR226" s="91"/>
      <x:c r="AS226" s="91"/>
      <x:c r="AT226" s="91"/>
      <x:c r="AU226" s="91"/>
      <x:c r="AV226" s="91"/>
      <x:c r="AW226" s="91"/>
      <x:c r="AX226" s="91"/>
      <x:c r="AY226" s="91"/>
      <x:c r="AZ226" s="92"/>
      <x:c r="BA226" s="94"/>
      <x:c r="BB226" s="91"/>
      <x:c r="BC226" s="92"/>
      <x:c r="BD226" s="92"/>
      <x:c r="BE226" s="91"/>
      <x:c r="BF226" s="91"/>
      <x:c r="BG226" s="91"/>
      <x:c r="BH226" s="91"/>
      <x:c r="BI226" s="91"/>
      <x:c r="BJ226" s="91"/>
      <x:c r="BK226" s="91"/>
      <x:c r="BL226" s="91"/>
      <x:c r="BM226" s="73" t="str">
        <x:f>IF(A226="","",IF(AI226="Example","Example only",IF(AI226&lt;&gt;"Actual","Set record type",IF(COUNTIF($A$2:$A$1001,A226)&gt;1,"Duplicate record ID",IF(OR(D226="",E226="",AF226="",NOT(ISNUMBER(AG226)),AJ226="",AK226="",NOT(ISNUMBER(AL226)),AND(AM226&lt;&gt;"Observed",AM226&lt;&gt;"Corroborated",AM226&lt;&gt;"Declared"),OR(AN226="",AN226="Unknown"),OR(AQ226="",AQ226="Unknown"),OR(AR226="",AR226="Unknown",AR226="TBD"),OR(BC226="",NOT(ISNUMBER(BC226)))),"Evidence incomplete","Evidence recorded; review scope")))))</x:f>
      </x:c>
      <x:c r="BN226" s="73"/>
    </x:row>
    <x:row r="227" ht="34" customHeight="1">
      <x:c r="A227" s="73"/>
      <x:c r="B227" s="73"/>
      <x:c r="C227" s="73"/>
      <x:c r="D227" s="73"/>
      <x:c r="E227" s="73"/>
      <x:c r="F227" s="73"/>
      <x:c r="G227" s="73"/>
      <x:c r="H227" s="73"/>
      <x:c r="I227" s="75"/>
      <x:c r="J227" s="73"/>
      <x:c r="K227" s="73"/>
      <x:c r="L227" s="76"/>
      <x:c r="M227" s="73"/>
      <x:c r="N227" s="73"/>
      <x:c r="O227" s="73"/>
      <x:c r="P227" s="73"/>
      <x:c r="Q227" s="76"/>
      <x:c r="R227" s="73"/>
      <x:c r="S227" s="73"/>
      <x:c r="T227" s="73"/>
      <x:c r="U227" s="73"/>
      <x:c r="V227" s="73"/>
      <x:c r="W227" s="73"/>
      <x:c r="X227" s="73"/>
      <x:c r="Y227" s="73"/>
      <x:c r="Z227" s="73"/>
      <x:c r="AA227" s="73"/>
      <x:c r="AB227" s="76" t="str">
        <x:f>IF(A227="","",IF(OR(NOT(ISNUMBER(I227)),I227&lt;0,NOT(ISNUMBER(AP227)),AP227&lt;0,NOT(ISNUMBER(L227)),L227&lt;1,L227&gt;5,L227&lt;&gt;INT(L227),AND(J227&lt;&gt;"Public",J227&lt;&gt;"Partner",J227&lt;&gt;"Internal",J227&lt;&gt;"None"),AND(K227&lt;&gt;"High",K227&lt;&gt;"Medium",K227&lt;&gt;"Low",K227&lt;&gt;"None"),AND(W227&lt;&gt;"Hard-coded",W227&lt;&gt;"Configurable",W227&lt;&gt;"Policy-managed",W227&lt;&gt;"API/Library abstraction",W227&lt;&gt;"Automated"),AND(Z227&lt;&gt;"Y",Z227&lt;&gt;"N"),AND(AA227&lt;&gt;"Y",AA227&lt;&gt;"N")),"Incomplete",IF(Z227="Y",20,0)+L227*5+IF(AA227="Y",15,0)+IF(J227="Public",10,IF(J227="Partner",7,IF(J227="Internal",3,0)))+IF(W227="Hard-coded",10,IF(W227="Configurable",3,0))+IF(MAX(I227,AP227)&gt;=10,10,IF(MAX(I227,AP227)&gt;=5,7,IF(MAX(I227,AP227)&gt;=2,3,0)))+IF(K227="High",10,IF(K227="Medium",5,0))))</x:f>
      </x:c>
      <x:c r="AC227" s="73" t="str">
        <x:f>IF(A227="","",IF(NOT(ISNUMBER(AB227)),"Review inputs",IF(AB227&gt;=70,"P0 - Immediate",IF(AB227&gt;=50,"P1 - High",IF(AB227&gt;=30,"P2 - Medium",IF(AB227&gt;=15,"P3 - Low","P4 - Monitor"))))))</x:f>
      </x:c>
      <x:c r="AD227" s="73"/>
      <x:c r="AE227" s="73"/>
      <x:c r="AF227" s="73"/>
      <x:c r="AG227" s="77"/>
      <x:c r="AH227" s="73"/>
      <x:c r="AI227" s="91"/>
      <x:c r="AJ227" s="91"/>
      <x:c r="AK227" s="91"/>
      <x:c r="AL227" s="92"/>
      <x:c r="AM227" s="91"/>
      <x:c r="AN227" s="91"/>
      <x:c r="AO227" s="93"/>
      <x:c r="AP227" s="94"/>
      <x:c r="AQ227" s="91"/>
      <x:c r="AR227" s="91"/>
      <x:c r="AS227" s="91"/>
      <x:c r="AT227" s="91"/>
      <x:c r="AU227" s="91"/>
      <x:c r="AV227" s="91"/>
      <x:c r="AW227" s="91"/>
      <x:c r="AX227" s="91"/>
      <x:c r="AY227" s="91"/>
      <x:c r="AZ227" s="92"/>
      <x:c r="BA227" s="94"/>
      <x:c r="BB227" s="91"/>
      <x:c r="BC227" s="92"/>
      <x:c r="BD227" s="92"/>
      <x:c r="BE227" s="91"/>
      <x:c r="BF227" s="91"/>
      <x:c r="BG227" s="91"/>
      <x:c r="BH227" s="91"/>
      <x:c r="BI227" s="91"/>
      <x:c r="BJ227" s="91"/>
      <x:c r="BK227" s="91"/>
      <x:c r="BL227" s="91"/>
      <x:c r="BM227" s="73" t="str">
        <x:f>IF(A227="","",IF(AI227="Example","Example only",IF(AI227&lt;&gt;"Actual","Set record type",IF(COUNTIF($A$2:$A$1001,A227)&gt;1,"Duplicate record ID",IF(OR(D227="",E227="",AF227="",NOT(ISNUMBER(AG227)),AJ227="",AK227="",NOT(ISNUMBER(AL227)),AND(AM227&lt;&gt;"Observed",AM227&lt;&gt;"Corroborated",AM227&lt;&gt;"Declared"),OR(AN227="",AN227="Unknown"),OR(AQ227="",AQ227="Unknown"),OR(AR227="",AR227="Unknown",AR227="TBD"),OR(BC227="",NOT(ISNUMBER(BC227)))),"Evidence incomplete","Evidence recorded; review scope")))))</x:f>
      </x:c>
      <x:c r="BN227" s="73"/>
    </x:row>
    <x:row r="228" ht="34" customHeight="1">
      <x:c r="A228" s="73"/>
      <x:c r="B228" s="73"/>
      <x:c r="C228" s="73"/>
      <x:c r="D228" s="73"/>
      <x:c r="E228" s="73"/>
      <x:c r="F228" s="73"/>
      <x:c r="G228" s="73"/>
      <x:c r="H228" s="73"/>
      <x:c r="I228" s="75"/>
      <x:c r="J228" s="73"/>
      <x:c r="K228" s="73"/>
      <x:c r="L228" s="76"/>
      <x:c r="M228" s="73"/>
      <x:c r="N228" s="73"/>
      <x:c r="O228" s="73"/>
      <x:c r="P228" s="73"/>
      <x:c r="Q228" s="76"/>
      <x:c r="R228" s="73"/>
      <x:c r="S228" s="73"/>
      <x:c r="T228" s="73"/>
      <x:c r="U228" s="73"/>
      <x:c r="V228" s="73"/>
      <x:c r="W228" s="73"/>
      <x:c r="X228" s="73"/>
      <x:c r="Y228" s="73"/>
      <x:c r="Z228" s="73"/>
      <x:c r="AA228" s="73"/>
      <x:c r="AB228" s="76" t="str">
        <x:f>IF(A228="","",IF(OR(NOT(ISNUMBER(I228)),I228&lt;0,NOT(ISNUMBER(AP228)),AP228&lt;0,NOT(ISNUMBER(L228)),L228&lt;1,L228&gt;5,L228&lt;&gt;INT(L228),AND(J228&lt;&gt;"Public",J228&lt;&gt;"Partner",J228&lt;&gt;"Internal",J228&lt;&gt;"None"),AND(K228&lt;&gt;"High",K228&lt;&gt;"Medium",K228&lt;&gt;"Low",K228&lt;&gt;"None"),AND(W228&lt;&gt;"Hard-coded",W228&lt;&gt;"Configurable",W228&lt;&gt;"Policy-managed",W228&lt;&gt;"API/Library abstraction",W228&lt;&gt;"Automated"),AND(Z228&lt;&gt;"Y",Z228&lt;&gt;"N"),AND(AA228&lt;&gt;"Y",AA228&lt;&gt;"N")),"Incomplete",IF(Z228="Y",20,0)+L228*5+IF(AA228="Y",15,0)+IF(J228="Public",10,IF(J228="Partner",7,IF(J228="Internal",3,0)))+IF(W228="Hard-coded",10,IF(W228="Configurable",3,0))+IF(MAX(I228,AP228)&gt;=10,10,IF(MAX(I228,AP228)&gt;=5,7,IF(MAX(I228,AP228)&gt;=2,3,0)))+IF(K228="High",10,IF(K228="Medium",5,0))))</x:f>
      </x:c>
      <x:c r="AC228" s="73" t="str">
        <x:f>IF(A228="","",IF(NOT(ISNUMBER(AB228)),"Review inputs",IF(AB228&gt;=70,"P0 - Immediate",IF(AB228&gt;=50,"P1 - High",IF(AB228&gt;=30,"P2 - Medium",IF(AB228&gt;=15,"P3 - Low","P4 - Monitor"))))))</x:f>
      </x:c>
      <x:c r="AD228" s="73"/>
      <x:c r="AE228" s="73"/>
      <x:c r="AF228" s="73"/>
      <x:c r="AG228" s="77"/>
      <x:c r="AH228" s="73"/>
      <x:c r="AI228" s="91"/>
      <x:c r="AJ228" s="91"/>
      <x:c r="AK228" s="91"/>
      <x:c r="AL228" s="92"/>
      <x:c r="AM228" s="91"/>
      <x:c r="AN228" s="91"/>
      <x:c r="AO228" s="93"/>
      <x:c r="AP228" s="94"/>
      <x:c r="AQ228" s="91"/>
      <x:c r="AR228" s="91"/>
      <x:c r="AS228" s="91"/>
      <x:c r="AT228" s="91"/>
      <x:c r="AU228" s="91"/>
      <x:c r="AV228" s="91"/>
      <x:c r="AW228" s="91"/>
      <x:c r="AX228" s="91"/>
      <x:c r="AY228" s="91"/>
      <x:c r="AZ228" s="92"/>
      <x:c r="BA228" s="94"/>
      <x:c r="BB228" s="91"/>
      <x:c r="BC228" s="92"/>
      <x:c r="BD228" s="92"/>
      <x:c r="BE228" s="91"/>
      <x:c r="BF228" s="91"/>
      <x:c r="BG228" s="91"/>
      <x:c r="BH228" s="91"/>
      <x:c r="BI228" s="91"/>
      <x:c r="BJ228" s="91"/>
      <x:c r="BK228" s="91"/>
      <x:c r="BL228" s="91"/>
      <x:c r="BM228" s="73" t="str">
        <x:f>IF(A228="","",IF(AI228="Example","Example only",IF(AI228&lt;&gt;"Actual","Set record type",IF(COUNTIF($A$2:$A$1001,A228)&gt;1,"Duplicate record ID",IF(OR(D228="",E228="",AF228="",NOT(ISNUMBER(AG228)),AJ228="",AK228="",NOT(ISNUMBER(AL228)),AND(AM228&lt;&gt;"Observed",AM228&lt;&gt;"Corroborated",AM228&lt;&gt;"Declared"),OR(AN228="",AN228="Unknown"),OR(AQ228="",AQ228="Unknown"),OR(AR228="",AR228="Unknown",AR228="TBD"),OR(BC228="",NOT(ISNUMBER(BC228)))),"Evidence incomplete","Evidence recorded; review scope")))))</x:f>
      </x:c>
      <x:c r="BN228" s="73"/>
    </x:row>
    <x:row r="229" ht="34" customHeight="1">
      <x:c r="A229" s="73"/>
      <x:c r="B229" s="73"/>
      <x:c r="C229" s="73"/>
      <x:c r="D229" s="73"/>
      <x:c r="E229" s="73"/>
      <x:c r="F229" s="73"/>
      <x:c r="G229" s="73"/>
      <x:c r="H229" s="73"/>
      <x:c r="I229" s="75"/>
      <x:c r="J229" s="73"/>
      <x:c r="K229" s="73"/>
      <x:c r="L229" s="76"/>
      <x:c r="M229" s="73"/>
      <x:c r="N229" s="73"/>
      <x:c r="O229" s="73"/>
      <x:c r="P229" s="73"/>
      <x:c r="Q229" s="76"/>
      <x:c r="R229" s="73"/>
      <x:c r="S229" s="73"/>
      <x:c r="T229" s="73"/>
      <x:c r="U229" s="73"/>
      <x:c r="V229" s="73"/>
      <x:c r="W229" s="73"/>
      <x:c r="X229" s="73"/>
      <x:c r="Y229" s="73"/>
      <x:c r="Z229" s="73"/>
      <x:c r="AA229" s="73"/>
      <x:c r="AB229" s="76" t="str">
        <x:f>IF(A229="","",IF(OR(NOT(ISNUMBER(I229)),I229&lt;0,NOT(ISNUMBER(AP229)),AP229&lt;0,NOT(ISNUMBER(L229)),L229&lt;1,L229&gt;5,L229&lt;&gt;INT(L229),AND(J229&lt;&gt;"Public",J229&lt;&gt;"Partner",J229&lt;&gt;"Internal",J229&lt;&gt;"None"),AND(K229&lt;&gt;"High",K229&lt;&gt;"Medium",K229&lt;&gt;"Low",K229&lt;&gt;"None"),AND(W229&lt;&gt;"Hard-coded",W229&lt;&gt;"Configurable",W229&lt;&gt;"Policy-managed",W229&lt;&gt;"API/Library abstraction",W229&lt;&gt;"Automated"),AND(Z229&lt;&gt;"Y",Z229&lt;&gt;"N"),AND(AA229&lt;&gt;"Y",AA229&lt;&gt;"N")),"Incomplete",IF(Z229="Y",20,0)+L229*5+IF(AA229="Y",15,0)+IF(J229="Public",10,IF(J229="Partner",7,IF(J229="Internal",3,0)))+IF(W229="Hard-coded",10,IF(W229="Configurable",3,0))+IF(MAX(I229,AP229)&gt;=10,10,IF(MAX(I229,AP229)&gt;=5,7,IF(MAX(I229,AP229)&gt;=2,3,0)))+IF(K229="High",10,IF(K229="Medium",5,0))))</x:f>
      </x:c>
      <x:c r="AC229" s="73" t="str">
        <x:f>IF(A229="","",IF(NOT(ISNUMBER(AB229)),"Review inputs",IF(AB229&gt;=70,"P0 - Immediate",IF(AB229&gt;=50,"P1 - High",IF(AB229&gt;=30,"P2 - Medium",IF(AB229&gt;=15,"P3 - Low","P4 - Monitor"))))))</x:f>
      </x:c>
      <x:c r="AD229" s="73"/>
      <x:c r="AE229" s="73"/>
      <x:c r="AF229" s="73"/>
      <x:c r="AG229" s="77"/>
      <x:c r="AH229" s="73"/>
      <x:c r="AI229" s="91"/>
      <x:c r="AJ229" s="91"/>
      <x:c r="AK229" s="91"/>
      <x:c r="AL229" s="92"/>
      <x:c r="AM229" s="91"/>
      <x:c r="AN229" s="91"/>
      <x:c r="AO229" s="93"/>
      <x:c r="AP229" s="94"/>
      <x:c r="AQ229" s="91"/>
      <x:c r="AR229" s="91"/>
      <x:c r="AS229" s="91"/>
      <x:c r="AT229" s="91"/>
      <x:c r="AU229" s="91"/>
      <x:c r="AV229" s="91"/>
      <x:c r="AW229" s="91"/>
      <x:c r="AX229" s="91"/>
      <x:c r="AY229" s="91"/>
      <x:c r="AZ229" s="92"/>
      <x:c r="BA229" s="94"/>
      <x:c r="BB229" s="91"/>
      <x:c r="BC229" s="92"/>
      <x:c r="BD229" s="92"/>
      <x:c r="BE229" s="91"/>
      <x:c r="BF229" s="91"/>
      <x:c r="BG229" s="91"/>
      <x:c r="BH229" s="91"/>
      <x:c r="BI229" s="91"/>
      <x:c r="BJ229" s="91"/>
      <x:c r="BK229" s="91"/>
      <x:c r="BL229" s="91"/>
      <x:c r="BM229" s="73" t="str">
        <x:f>IF(A229="","",IF(AI229="Example","Example only",IF(AI229&lt;&gt;"Actual","Set record type",IF(COUNTIF($A$2:$A$1001,A229)&gt;1,"Duplicate record ID",IF(OR(D229="",E229="",AF229="",NOT(ISNUMBER(AG229)),AJ229="",AK229="",NOT(ISNUMBER(AL229)),AND(AM229&lt;&gt;"Observed",AM229&lt;&gt;"Corroborated",AM229&lt;&gt;"Declared"),OR(AN229="",AN229="Unknown"),OR(AQ229="",AQ229="Unknown"),OR(AR229="",AR229="Unknown",AR229="TBD"),OR(BC229="",NOT(ISNUMBER(BC229)))),"Evidence incomplete","Evidence recorded; review scope")))))</x:f>
      </x:c>
      <x:c r="BN229" s="73"/>
    </x:row>
    <x:row r="230" ht="34" customHeight="1">
      <x:c r="A230" s="73"/>
      <x:c r="B230" s="73"/>
      <x:c r="C230" s="73"/>
      <x:c r="D230" s="73"/>
      <x:c r="E230" s="73"/>
      <x:c r="F230" s="73"/>
      <x:c r="G230" s="73"/>
      <x:c r="H230" s="73"/>
      <x:c r="I230" s="75"/>
      <x:c r="J230" s="73"/>
      <x:c r="K230" s="73"/>
      <x:c r="L230" s="76"/>
      <x:c r="M230" s="73"/>
      <x:c r="N230" s="73"/>
      <x:c r="O230" s="73"/>
      <x:c r="P230" s="73"/>
      <x:c r="Q230" s="76"/>
      <x:c r="R230" s="73"/>
      <x:c r="S230" s="73"/>
      <x:c r="T230" s="73"/>
      <x:c r="U230" s="73"/>
      <x:c r="V230" s="73"/>
      <x:c r="W230" s="73"/>
      <x:c r="X230" s="73"/>
      <x:c r="Y230" s="73"/>
      <x:c r="Z230" s="73"/>
      <x:c r="AA230" s="73"/>
      <x:c r="AB230" s="76" t="str">
        <x:f>IF(A230="","",IF(OR(NOT(ISNUMBER(I230)),I230&lt;0,NOT(ISNUMBER(AP230)),AP230&lt;0,NOT(ISNUMBER(L230)),L230&lt;1,L230&gt;5,L230&lt;&gt;INT(L230),AND(J230&lt;&gt;"Public",J230&lt;&gt;"Partner",J230&lt;&gt;"Internal",J230&lt;&gt;"None"),AND(K230&lt;&gt;"High",K230&lt;&gt;"Medium",K230&lt;&gt;"Low",K230&lt;&gt;"None"),AND(W230&lt;&gt;"Hard-coded",W230&lt;&gt;"Configurable",W230&lt;&gt;"Policy-managed",W230&lt;&gt;"API/Library abstraction",W230&lt;&gt;"Automated"),AND(Z230&lt;&gt;"Y",Z230&lt;&gt;"N"),AND(AA230&lt;&gt;"Y",AA230&lt;&gt;"N")),"Incomplete",IF(Z230="Y",20,0)+L230*5+IF(AA230="Y",15,0)+IF(J230="Public",10,IF(J230="Partner",7,IF(J230="Internal",3,0)))+IF(W230="Hard-coded",10,IF(W230="Configurable",3,0))+IF(MAX(I230,AP230)&gt;=10,10,IF(MAX(I230,AP230)&gt;=5,7,IF(MAX(I230,AP230)&gt;=2,3,0)))+IF(K230="High",10,IF(K230="Medium",5,0))))</x:f>
      </x:c>
      <x:c r="AC230" s="73" t="str">
        <x:f>IF(A230="","",IF(NOT(ISNUMBER(AB230)),"Review inputs",IF(AB230&gt;=70,"P0 - Immediate",IF(AB230&gt;=50,"P1 - High",IF(AB230&gt;=30,"P2 - Medium",IF(AB230&gt;=15,"P3 - Low","P4 - Monitor"))))))</x:f>
      </x:c>
      <x:c r="AD230" s="73"/>
      <x:c r="AE230" s="73"/>
      <x:c r="AF230" s="73"/>
      <x:c r="AG230" s="77"/>
      <x:c r="AH230" s="73"/>
      <x:c r="AI230" s="91"/>
      <x:c r="AJ230" s="91"/>
      <x:c r="AK230" s="91"/>
      <x:c r="AL230" s="92"/>
      <x:c r="AM230" s="91"/>
      <x:c r="AN230" s="91"/>
      <x:c r="AO230" s="93"/>
      <x:c r="AP230" s="94"/>
      <x:c r="AQ230" s="91"/>
      <x:c r="AR230" s="91"/>
      <x:c r="AS230" s="91"/>
      <x:c r="AT230" s="91"/>
      <x:c r="AU230" s="91"/>
      <x:c r="AV230" s="91"/>
      <x:c r="AW230" s="91"/>
      <x:c r="AX230" s="91"/>
      <x:c r="AY230" s="91"/>
      <x:c r="AZ230" s="92"/>
      <x:c r="BA230" s="94"/>
      <x:c r="BB230" s="91"/>
      <x:c r="BC230" s="92"/>
      <x:c r="BD230" s="92"/>
      <x:c r="BE230" s="91"/>
      <x:c r="BF230" s="91"/>
      <x:c r="BG230" s="91"/>
      <x:c r="BH230" s="91"/>
      <x:c r="BI230" s="91"/>
      <x:c r="BJ230" s="91"/>
      <x:c r="BK230" s="91"/>
      <x:c r="BL230" s="91"/>
      <x:c r="BM230" s="73" t="str">
        <x:f>IF(A230="","",IF(AI230="Example","Example only",IF(AI230&lt;&gt;"Actual","Set record type",IF(COUNTIF($A$2:$A$1001,A230)&gt;1,"Duplicate record ID",IF(OR(D230="",E230="",AF230="",NOT(ISNUMBER(AG230)),AJ230="",AK230="",NOT(ISNUMBER(AL230)),AND(AM230&lt;&gt;"Observed",AM230&lt;&gt;"Corroborated",AM230&lt;&gt;"Declared"),OR(AN230="",AN230="Unknown"),OR(AQ230="",AQ230="Unknown"),OR(AR230="",AR230="Unknown",AR230="TBD"),OR(BC230="",NOT(ISNUMBER(BC230)))),"Evidence incomplete","Evidence recorded; review scope")))))</x:f>
      </x:c>
      <x:c r="BN230" s="73"/>
    </x:row>
    <x:row r="231" ht="34" customHeight="1">
      <x:c r="A231" s="73"/>
      <x:c r="B231" s="73"/>
      <x:c r="C231" s="73"/>
      <x:c r="D231" s="73"/>
      <x:c r="E231" s="73"/>
      <x:c r="F231" s="73"/>
      <x:c r="G231" s="73"/>
      <x:c r="H231" s="73"/>
      <x:c r="I231" s="75"/>
      <x:c r="J231" s="73"/>
      <x:c r="K231" s="73"/>
      <x:c r="L231" s="76"/>
      <x:c r="M231" s="73"/>
      <x:c r="N231" s="73"/>
      <x:c r="O231" s="73"/>
      <x:c r="P231" s="73"/>
      <x:c r="Q231" s="76"/>
      <x:c r="R231" s="73"/>
      <x:c r="S231" s="73"/>
      <x:c r="T231" s="73"/>
      <x:c r="U231" s="73"/>
      <x:c r="V231" s="73"/>
      <x:c r="W231" s="73"/>
      <x:c r="X231" s="73"/>
      <x:c r="Y231" s="73"/>
      <x:c r="Z231" s="73"/>
      <x:c r="AA231" s="73"/>
      <x:c r="AB231" s="76" t="str">
        <x:f>IF(A231="","",IF(OR(NOT(ISNUMBER(I231)),I231&lt;0,NOT(ISNUMBER(AP231)),AP231&lt;0,NOT(ISNUMBER(L231)),L231&lt;1,L231&gt;5,L231&lt;&gt;INT(L231),AND(J231&lt;&gt;"Public",J231&lt;&gt;"Partner",J231&lt;&gt;"Internal",J231&lt;&gt;"None"),AND(K231&lt;&gt;"High",K231&lt;&gt;"Medium",K231&lt;&gt;"Low",K231&lt;&gt;"None"),AND(W231&lt;&gt;"Hard-coded",W231&lt;&gt;"Configurable",W231&lt;&gt;"Policy-managed",W231&lt;&gt;"API/Library abstraction",W231&lt;&gt;"Automated"),AND(Z231&lt;&gt;"Y",Z231&lt;&gt;"N"),AND(AA231&lt;&gt;"Y",AA231&lt;&gt;"N")),"Incomplete",IF(Z231="Y",20,0)+L231*5+IF(AA231="Y",15,0)+IF(J231="Public",10,IF(J231="Partner",7,IF(J231="Internal",3,0)))+IF(W231="Hard-coded",10,IF(W231="Configurable",3,0))+IF(MAX(I231,AP231)&gt;=10,10,IF(MAX(I231,AP231)&gt;=5,7,IF(MAX(I231,AP231)&gt;=2,3,0)))+IF(K231="High",10,IF(K231="Medium",5,0))))</x:f>
      </x:c>
      <x:c r="AC231" s="73" t="str">
        <x:f>IF(A231="","",IF(NOT(ISNUMBER(AB231)),"Review inputs",IF(AB231&gt;=70,"P0 - Immediate",IF(AB231&gt;=50,"P1 - High",IF(AB231&gt;=30,"P2 - Medium",IF(AB231&gt;=15,"P3 - Low","P4 - Monitor"))))))</x:f>
      </x:c>
      <x:c r="AD231" s="73"/>
      <x:c r="AE231" s="73"/>
      <x:c r="AF231" s="73"/>
      <x:c r="AG231" s="77"/>
      <x:c r="AH231" s="73"/>
      <x:c r="AI231" s="91"/>
      <x:c r="AJ231" s="91"/>
      <x:c r="AK231" s="91"/>
      <x:c r="AL231" s="92"/>
      <x:c r="AM231" s="91"/>
      <x:c r="AN231" s="91"/>
      <x:c r="AO231" s="93"/>
      <x:c r="AP231" s="94"/>
      <x:c r="AQ231" s="91"/>
      <x:c r="AR231" s="91"/>
      <x:c r="AS231" s="91"/>
      <x:c r="AT231" s="91"/>
      <x:c r="AU231" s="91"/>
      <x:c r="AV231" s="91"/>
      <x:c r="AW231" s="91"/>
      <x:c r="AX231" s="91"/>
      <x:c r="AY231" s="91"/>
      <x:c r="AZ231" s="92"/>
      <x:c r="BA231" s="94"/>
      <x:c r="BB231" s="91"/>
      <x:c r="BC231" s="92"/>
      <x:c r="BD231" s="92"/>
      <x:c r="BE231" s="91"/>
      <x:c r="BF231" s="91"/>
      <x:c r="BG231" s="91"/>
      <x:c r="BH231" s="91"/>
      <x:c r="BI231" s="91"/>
      <x:c r="BJ231" s="91"/>
      <x:c r="BK231" s="91"/>
      <x:c r="BL231" s="91"/>
      <x:c r="BM231" s="73" t="str">
        <x:f>IF(A231="","",IF(AI231="Example","Example only",IF(AI231&lt;&gt;"Actual","Set record type",IF(COUNTIF($A$2:$A$1001,A231)&gt;1,"Duplicate record ID",IF(OR(D231="",E231="",AF231="",NOT(ISNUMBER(AG231)),AJ231="",AK231="",NOT(ISNUMBER(AL231)),AND(AM231&lt;&gt;"Observed",AM231&lt;&gt;"Corroborated",AM231&lt;&gt;"Declared"),OR(AN231="",AN231="Unknown"),OR(AQ231="",AQ231="Unknown"),OR(AR231="",AR231="Unknown",AR231="TBD"),OR(BC231="",NOT(ISNUMBER(BC231)))),"Evidence incomplete","Evidence recorded; review scope")))))</x:f>
      </x:c>
      <x:c r="BN231" s="73"/>
    </x:row>
    <x:row r="232" ht="34" customHeight="1">
      <x:c r="A232" s="73"/>
      <x:c r="B232" s="73"/>
      <x:c r="C232" s="73"/>
      <x:c r="D232" s="73"/>
      <x:c r="E232" s="73"/>
      <x:c r="F232" s="73"/>
      <x:c r="G232" s="73"/>
      <x:c r="H232" s="73"/>
      <x:c r="I232" s="75"/>
      <x:c r="J232" s="73"/>
      <x:c r="K232" s="73"/>
      <x:c r="L232" s="76"/>
      <x:c r="M232" s="73"/>
      <x:c r="N232" s="73"/>
      <x:c r="O232" s="73"/>
      <x:c r="P232" s="73"/>
      <x:c r="Q232" s="76"/>
      <x:c r="R232" s="73"/>
      <x:c r="S232" s="73"/>
      <x:c r="T232" s="73"/>
      <x:c r="U232" s="73"/>
      <x:c r="V232" s="73"/>
      <x:c r="W232" s="73"/>
      <x:c r="X232" s="73"/>
      <x:c r="Y232" s="73"/>
      <x:c r="Z232" s="73"/>
      <x:c r="AA232" s="73"/>
      <x:c r="AB232" s="76" t="str">
        <x:f>IF(A232="","",IF(OR(NOT(ISNUMBER(I232)),I232&lt;0,NOT(ISNUMBER(AP232)),AP232&lt;0,NOT(ISNUMBER(L232)),L232&lt;1,L232&gt;5,L232&lt;&gt;INT(L232),AND(J232&lt;&gt;"Public",J232&lt;&gt;"Partner",J232&lt;&gt;"Internal",J232&lt;&gt;"None"),AND(K232&lt;&gt;"High",K232&lt;&gt;"Medium",K232&lt;&gt;"Low",K232&lt;&gt;"None"),AND(W232&lt;&gt;"Hard-coded",W232&lt;&gt;"Configurable",W232&lt;&gt;"Policy-managed",W232&lt;&gt;"API/Library abstraction",W232&lt;&gt;"Automated"),AND(Z232&lt;&gt;"Y",Z232&lt;&gt;"N"),AND(AA232&lt;&gt;"Y",AA232&lt;&gt;"N")),"Incomplete",IF(Z232="Y",20,0)+L232*5+IF(AA232="Y",15,0)+IF(J232="Public",10,IF(J232="Partner",7,IF(J232="Internal",3,0)))+IF(W232="Hard-coded",10,IF(W232="Configurable",3,0))+IF(MAX(I232,AP232)&gt;=10,10,IF(MAX(I232,AP232)&gt;=5,7,IF(MAX(I232,AP232)&gt;=2,3,0)))+IF(K232="High",10,IF(K232="Medium",5,0))))</x:f>
      </x:c>
      <x:c r="AC232" s="73" t="str">
        <x:f>IF(A232="","",IF(NOT(ISNUMBER(AB232)),"Review inputs",IF(AB232&gt;=70,"P0 - Immediate",IF(AB232&gt;=50,"P1 - High",IF(AB232&gt;=30,"P2 - Medium",IF(AB232&gt;=15,"P3 - Low","P4 - Monitor"))))))</x:f>
      </x:c>
      <x:c r="AD232" s="73"/>
      <x:c r="AE232" s="73"/>
      <x:c r="AF232" s="73"/>
      <x:c r="AG232" s="77"/>
      <x:c r="AH232" s="73"/>
      <x:c r="AI232" s="91"/>
      <x:c r="AJ232" s="91"/>
      <x:c r="AK232" s="91"/>
      <x:c r="AL232" s="92"/>
      <x:c r="AM232" s="91"/>
      <x:c r="AN232" s="91"/>
      <x:c r="AO232" s="93"/>
      <x:c r="AP232" s="94"/>
      <x:c r="AQ232" s="91"/>
      <x:c r="AR232" s="91"/>
      <x:c r="AS232" s="91"/>
      <x:c r="AT232" s="91"/>
      <x:c r="AU232" s="91"/>
      <x:c r="AV232" s="91"/>
      <x:c r="AW232" s="91"/>
      <x:c r="AX232" s="91"/>
      <x:c r="AY232" s="91"/>
      <x:c r="AZ232" s="92"/>
      <x:c r="BA232" s="94"/>
      <x:c r="BB232" s="91"/>
      <x:c r="BC232" s="92"/>
      <x:c r="BD232" s="92"/>
      <x:c r="BE232" s="91"/>
      <x:c r="BF232" s="91"/>
      <x:c r="BG232" s="91"/>
      <x:c r="BH232" s="91"/>
      <x:c r="BI232" s="91"/>
      <x:c r="BJ232" s="91"/>
      <x:c r="BK232" s="91"/>
      <x:c r="BL232" s="91"/>
      <x:c r="BM232" s="73" t="str">
        <x:f>IF(A232="","",IF(AI232="Example","Example only",IF(AI232&lt;&gt;"Actual","Set record type",IF(COUNTIF($A$2:$A$1001,A232)&gt;1,"Duplicate record ID",IF(OR(D232="",E232="",AF232="",NOT(ISNUMBER(AG232)),AJ232="",AK232="",NOT(ISNUMBER(AL232)),AND(AM232&lt;&gt;"Observed",AM232&lt;&gt;"Corroborated",AM232&lt;&gt;"Declared"),OR(AN232="",AN232="Unknown"),OR(AQ232="",AQ232="Unknown"),OR(AR232="",AR232="Unknown",AR232="TBD"),OR(BC232="",NOT(ISNUMBER(BC232)))),"Evidence incomplete","Evidence recorded; review scope")))))</x:f>
      </x:c>
      <x:c r="BN232" s="73"/>
    </x:row>
    <x:row r="233" ht="34" customHeight="1">
      <x:c r="A233" s="73"/>
      <x:c r="B233" s="73"/>
      <x:c r="C233" s="73"/>
      <x:c r="D233" s="73"/>
      <x:c r="E233" s="73"/>
      <x:c r="F233" s="73"/>
      <x:c r="G233" s="73"/>
      <x:c r="H233" s="73"/>
      <x:c r="I233" s="75"/>
      <x:c r="J233" s="73"/>
      <x:c r="K233" s="73"/>
      <x:c r="L233" s="76"/>
      <x:c r="M233" s="73"/>
      <x:c r="N233" s="73"/>
      <x:c r="O233" s="73"/>
      <x:c r="P233" s="73"/>
      <x:c r="Q233" s="76"/>
      <x:c r="R233" s="73"/>
      <x:c r="S233" s="73"/>
      <x:c r="T233" s="73"/>
      <x:c r="U233" s="73"/>
      <x:c r="V233" s="73"/>
      <x:c r="W233" s="73"/>
      <x:c r="X233" s="73"/>
      <x:c r="Y233" s="73"/>
      <x:c r="Z233" s="73"/>
      <x:c r="AA233" s="73"/>
      <x:c r="AB233" s="76" t="str">
        <x:f>IF(A233="","",IF(OR(NOT(ISNUMBER(I233)),I233&lt;0,NOT(ISNUMBER(AP233)),AP233&lt;0,NOT(ISNUMBER(L233)),L233&lt;1,L233&gt;5,L233&lt;&gt;INT(L233),AND(J233&lt;&gt;"Public",J233&lt;&gt;"Partner",J233&lt;&gt;"Internal",J233&lt;&gt;"None"),AND(K233&lt;&gt;"High",K233&lt;&gt;"Medium",K233&lt;&gt;"Low",K233&lt;&gt;"None"),AND(W233&lt;&gt;"Hard-coded",W233&lt;&gt;"Configurable",W233&lt;&gt;"Policy-managed",W233&lt;&gt;"API/Library abstraction",W233&lt;&gt;"Automated"),AND(Z233&lt;&gt;"Y",Z233&lt;&gt;"N"),AND(AA233&lt;&gt;"Y",AA233&lt;&gt;"N")),"Incomplete",IF(Z233="Y",20,0)+L233*5+IF(AA233="Y",15,0)+IF(J233="Public",10,IF(J233="Partner",7,IF(J233="Internal",3,0)))+IF(W233="Hard-coded",10,IF(W233="Configurable",3,0))+IF(MAX(I233,AP233)&gt;=10,10,IF(MAX(I233,AP233)&gt;=5,7,IF(MAX(I233,AP233)&gt;=2,3,0)))+IF(K233="High",10,IF(K233="Medium",5,0))))</x:f>
      </x:c>
      <x:c r="AC233" s="73" t="str">
        <x:f>IF(A233="","",IF(NOT(ISNUMBER(AB233)),"Review inputs",IF(AB233&gt;=70,"P0 - Immediate",IF(AB233&gt;=50,"P1 - High",IF(AB233&gt;=30,"P2 - Medium",IF(AB233&gt;=15,"P3 - Low","P4 - Monitor"))))))</x:f>
      </x:c>
      <x:c r="AD233" s="73"/>
      <x:c r="AE233" s="73"/>
      <x:c r="AF233" s="73"/>
      <x:c r="AG233" s="77"/>
      <x:c r="AH233" s="73"/>
      <x:c r="AI233" s="91"/>
      <x:c r="AJ233" s="91"/>
      <x:c r="AK233" s="91"/>
      <x:c r="AL233" s="92"/>
      <x:c r="AM233" s="91"/>
      <x:c r="AN233" s="91"/>
      <x:c r="AO233" s="93"/>
      <x:c r="AP233" s="94"/>
      <x:c r="AQ233" s="91"/>
      <x:c r="AR233" s="91"/>
      <x:c r="AS233" s="91"/>
      <x:c r="AT233" s="91"/>
      <x:c r="AU233" s="91"/>
      <x:c r="AV233" s="91"/>
      <x:c r="AW233" s="91"/>
      <x:c r="AX233" s="91"/>
      <x:c r="AY233" s="91"/>
      <x:c r="AZ233" s="92"/>
      <x:c r="BA233" s="94"/>
      <x:c r="BB233" s="91"/>
      <x:c r="BC233" s="92"/>
      <x:c r="BD233" s="92"/>
      <x:c r="BE233" s="91"/>
      <x:c r="BF233" s="91"/>
      <x:c r="BG233" s="91"/>
      <x:c r="BH233" s="91"/>
      <x:c r="BI233" s="91"/>
      <x:c r="BJ233" s="91"/>
      <x:c r="BK233" s="91"/>
      <x:c r="BL233" s="91"/>
      <x:c r="BM233" s="73" t="str">
        <x:f>IF(A233="","",IF(AI233="Example","Example only",IF(AI233&lt;&gt;"Actual","Set record type",IF(COUNTIF($A$2:$A$1001,A233)&gt;1,"Duplicate record ID",IF(OR(D233="",E233="",AF233="",NOT(ISNUMBER(AG233)),AJ233="",AK233="",NOT(ISNUMBER(AL233)),AND(AM233&lt;&gt;"Observed",AM233&lt;&gt;"Corroborated",AM233&lt;&gt;"Declared"),OR(AN233="",AN233="Unknown"),OR(AQ233="",AQ233="Unknown"),OR(AR233="",AR233="Unknown",AR233="TBD"),OR(BC233="",NOT(ISNUMBER(BC233)))),"Evidence incomplete","Evidence recorded; review scope")))))</x:f>
      </x:c>
      <x:c r="BN233" s="73"/>
    </x:row>
    <x:row r="234" ht="34" customHeight="1">
      <x:c r="A234" s="73"/>
      <x:c r="B234" s="73"/>
      <x:c r="C234" s="73"/>
      <x:c r="D234" s="73"/>
      <x:c r="E234" s="73"/>
      <x:c r="F234" s="73"/>
      <x:c r="G234" s="73"/>
      <x:c r="H234" s="73"/>
      <x:c r="I234" s="75"/>
      <x:c r="J234" s="73"/>
      <x:c r="K234" s="73"/>
      <x:c r="L234" s="76"/>
      <x:c r="M234" s="73"/>
      <x:c r="N234" s="73"/>
      <x:c r="O234" s="73"/>
      <x:c r="P234" s="73"/>
      <x:c r="Q234" s="76"/>
      <x:c r="R234" s="73"/>
      <x:c r="S234" s="73"/>
      <x:c r="T234" s="73"/>
      <x:c r="U234" s="73"/>
      <x:c r="V234" s="73"/>
      <x:c r="W234" s="73"/>
      <x:c r="X234" s="73"/>
      <x:c r="Y234" s="73"/>
      <x:c r="Z234" s="73"/>
      <x:c r="AA234" s="73"/>
      <x:c r="AB234" s="76" t="str">
        <x:f>IF(A234="","",IF(OR(NOT(ISNUMBER(I234)),I234&lt;0,NOT(ISNUMBER(AP234)),AP234&lt;0,NOT(ISNUMBER(L234)),L234&lt;1,L234&gt;5,L234&lt;&gt;INT(L234),AND(J234&lt;&gt;"Public",J234&lt;&gt;"Partner",J234&lt;&gt;"Internal",J234&lt;&gt;"None"),AND(K234&lt;&gt;"High",K234&lt;&gt;"Medium",K234&lt;&gt;"Low",K234&lt;&gt;"None"),AND(W234&lt;&gt;"Hard-coded",W234&lt;&gt;"Configurable",W234&lt;&gt;"Policy-managed",W234&lt;&gt;"API/Library abstraction",W234&lt;&gt;"Automated"),AND(Z234&lt;&gt;"Y",Z234&lt;&gt;"N"),AND(AA234&lt;&gt;"Y",AA234&lt;&gt;"N")),"Incomplete",IF(Z234="Y",20,0)+L234*5+IF(AA234="Y",15,0)+IF(J234="Public",10,IF(J234="Partner",7,IF(J234="Internal",3,0)))+IF(W234="Hard-coded",10,IF(W234="Configurable",3,0))+IF(MAX(I234,AP234)&gt;=10,10,IF(MAX(I234,AP234)&gt;=5,7,IF(MAX(I234,AP234)&gt;=2,3,0)))+IF(K234="High",10,IF(K234="Medium",5,0))))</x:f>
      </x:c>
      <x:c r="AC234" s="73" t="str">
        <x:f>IF(A234="","",IF(NOT(ISNUMBER(AB234)),"Review inputs",IF(AB234&gt;=70,"P0 - Immediate",IF(AB234&gt;=50,"P1 - High",IF(AB234&gt;=30,"P2 - Medium",IF(AB234&gt;=15,"P3 - Low","P4 - Monitor"))))))</x:f>
      </x:c>
      <x:c r="AD234" s="73"/>
      <x:c r="AE234" s="73"/>
      <x:c r="AF234" s="73"/>
      <x:c r="AG234" s="77"/>
      <x:c r="AH234" s="73"/>
      <x:c r="AI234" s="91"/>
      <x:c r="AJ234" s="91"/>
      <x:c r="AK234" s="91"/>
      <x:c r="AL234" s="92"/>
      <x:c r="AM234" s="91"/>
      <x:c r="AN234" s="91"/>
      <x:c r="AO234" s="93"/>
      <x:c r="AP234" s="94"/>
      <x:c r="AQ234" s="91"/>
      <x:c r="AR234" s="91"/>
      <x:c r="AS234" s="91"/>
      <x:c r="AT234" s="91"/>
      <x:c r="AU234" s="91"/>
      <x:c r="AV234" s="91"/>
      <x:c r="AW234" s="91"/>
      <x:c r="AX234" s="91"/>
      <x:c r="AY234" s="91"/>
      <x:c r="AZ234" s="92"/>
      <x:c r="BA234" s="94"/>
      <x:c r="BB234" s="91"/>
      <x:c r="BC234" s="92"/>
      <x:c r="BD234" s="92"/>
      <x:c r="BE234" s="91"/>
      <x:c r="BF234" s="91"/>
      <x:c r="BG234" s="91"/>
      <x:c r="BH234" s="91"/>
      <x:c r="BI234" s="91"/>
      <x:c r="BJ234" s="91"/>
      <x:c r="BK234" s="91"/>
      <x:c r="BL234" s="91"/>
      <x:c r="BM234" s="73" t="str">
        <x:f>IF(A234="","",IF(AI234="Example","Example only",IF(AI234&lt;&gt;"Actual","Set record type",IF(COUNTIF($A$2:$A$1001,A234)&gt;1,"Duplicate record ID",IF(OR(D234="",E234="",AF234="",NOT(ISNUMBER(AG234)),AJ234="",AK234="",NOT(ISNUMBER(AL234)),AND(AM234&lt;&gt;"Observed",AM234&lt;&gt;"Corroborated",AM234&lt;&gt;"Declared"),OR(AN234="",AN234="Unknown"),OR(AQ234="",AQ234="Unknown"),OR(AR234="",AR234="Unknown",AR234="TBD"),OR(BC234="",NOT(ISNUMBER(BC234)))),"Evidence incomplete","Evidence recorded; review scope")))))</x:f>
      </x:c>
      <x:c r="BN234" s="73"/>
    </x:row>
    <x:row r="235" ht="34" customHeight="1">
      <x:c r="A235" s="73"/>
      <x:c r="B235" s="73"/>
      <x:c r="C235" s="73"/>
      <x:c r="D235" s="73"/>
      <x:c r="E235" s="73"/>
      <x:c r="F235" s="73"/>
      <x:c r="G235" s="73"/>
      <x:c r="H235" s="73"/>
      <x:c r="I235" s="75"/>
      <x:c r="J235" s="73"/>
      <x:c r="K235" s="73"/>
      <x:c r="L235" s="76"/>
      <x:c r="M235" s="73"/>
      <x:c r="N235" s="73"/>
      <x:c r="O235" s="73"/>
      <x:c r="P235" s="73"/>
      <x:c r="Q235" s="76"/>
      <x:c r="R235" s="73"/>
      <x:c r="S235" s="73"/>
      <x:c r="T235" s="73"/>
      <x:c r="U235" s="73"/>
      <x:c r="V235" s="73"/>
      <x:c r="W235" s="73"/>
      <x:c r="X235" s="73"/>
      <x:c r="Y235" s="73"/>
      <x:c r="Z235" s="73"/>
      <x:c r="AA235" s="73"/>
      <x:c r="AB235" s="76" t="str">
        <x:f>IF(A235="","",IF(OR(NOT(ISNUMBER(I235)),I235&lt;0,NOT(ISNUMBER(AP235)),AP235&lt;0,NOT(ISNUMBER(L235)),L235&lt;1,L235&gt;5,L235&lt;&gt;INT(L235),AND(J235&lt;&gt;"Public",J235&lt;&gt;"Partner",J235&lt;&gt;"Internal",J235&lt;&gt;"None"),AND(K235&lt;&gt;"High",K235&lt;&gt;"Medium",K235&lt;&gt;"Low",K235&lt;&gt;"None"),AND(W235&lt;&gt;"Hard-coded",W235&lt;&gt;"Configurable",W235&lt;&gt;"Policy-managed",W235&lt;&gt;"API/Library abstraction",W235&lt;&gt;"Automated"),AND(Z235&lt;&gt;"Y",Z235&lt;&gt;"N"),AND(AA235&lt;&gt;"Y",AA235&lt;&gt;"N")),"Incomplete",IF(Z235="Y",20,0)+L235*5+IF(AA235="Y",15,0)+IF(J235="Public",10,IF(J235="Partner",7,IF(J235="Internal",3,0)))+IF(W235="Hard-coded",10,IF(W235="Configurable",3,0))+IF(MAX(I235,AP235)&gt;=10,10,IF(MAX(I235,AP235)&gt;=5,7,IF(MAX(I235,AP235)&gt;=2,3,0)))+IF(K235="High",10,IF(K235="Medium",5,0))))</x:f>
      </x:c>
      <x:c r="AC235" s="73" t="str">
        <x:f>IF(A235="","",IF(NOT(ISNUMBER(AB235)),"Review inputs",IF(AB235&gt;=70,"P0 - Immediate",IF(AB235&gt;=50,"P1 - High",IF(AB235&gt;=30,"P2 - Medium",IF(AB235&gt;=15,"P3 - Low","P4 - Monitor"))))))</x:f>
      </x:c>
      <x:c r="AD235" s="73"/>
      <x:c r="AE235" s="73"/>
      <x:c r="AF235" s="73"/>
      <x:c r="AG235" s="77"/>
      <x:c r="AH235" s="73"/>
      <x:c r="AI235" s="91"/>
      <x:c r="AJ235" s="91"/>
      <x:c r="AK235" s="91"/>
      <x:c r="AL235" s="92"/>
      <x:c r="AM235" s="91"/>
      <x:c r="AN235" s="91"/>
      <x:c r="AO235" s="93"/>
      <x:c r="AP235" s="94"/>
      <x:c r="AQ235" s="91"/>
      <x:c r="AR235" s="91"/>
      <x:c r="AS235" s="91"/>
      <x:c r="AT235" s="91"/>
      <x:c r="AU235" s="91"/>
      <x:c r="AV235" s="91"/>
      <x:c r="AW235" s="91"/>
      <x:c r="AX235" s="91"/>
      <x:c r="AY235" s="91"/>
      <x:c r="AZ235" s="92"/>
      <x:c r="BA235" s="94"/>
      <x:c r="BB235" s="91"/>
      <x:c r="BC235" s="92"/>
      <x:c r="BD235" s="92"/>
      <x:c r="BE235" s="91"/>
      <x:c r="BF235" s="91"/>
      <x:c r="BG235" s="91"/>
      <x:c r="BH235" s="91"/>
      <x:c r="BI235" s="91"/>
      <x:c r="BJ235" s="91"/>
      <x:c r="BK235" s="91"/>
      <x:c r="BL235" s="91"/>
      <x:c r="BM235" s="73" t="str">
        <x:f>IF(A235="","",IF(AI235="Example","Example only",IF(AI235&lt;&gt;"Actual","Set record type",IF(COUNTIF($A$2:$A$1001,A235)&gt;1,"Duplicate record ID",IF(OR(D235="",E235="",AF235="",NOT(ISNUMBER(AG235)),AJ235="",AK235="",NOT(ISNUMBER(AL235)),AND(AM235&lt;&gt;"Observed",AM235&lt;&gt;"Corroborated",AM235&lt;&gt;"Declared"),OR(AN235="",AN235="Unknown"),OR(AQ235="",AQ235="Unknown"),OR(AR235="",AR235="Unknown",AR235="TBD"),OR(BC235="",NOT(ISNUMBER(BC235)))),"Evidence incomplete","Evidence recorded; review scope")))))</x:f>
      </x:c>
      <x:c r="BN235" s="73"/>
    </x:row>
    <x:row r="236" ht="34" customHeight="1">
      <x:c r="A236" s="73"/>
      <x:c r="B236" s="73"/>
      <x:c r="C236" s="73"/>
      <x:c r="D236" s="73"/>
      <x:c r="E236" s="73"/>
      <x:c r="F236" s="73"/>
      <x:c r="G236" s="73"/>
      <x:c r="H236" s="73"/>
      <x:c r="I236" s="75"/>
      <x:c r="J236" s="73"/>
      <x:c r="K236" s="73"/>
      <x:c r="L236" s="76"/>
      <x:c r="M236" s="73"/>
      <x:c r="N236" s="73"/>
      <x:c r="O236" s="73"/>
      <x:c r="P236" s="73"/>
      <x:c r="Q236" s="76"/>
      <x:c r="R236" s="73"/>
      <x:c r="S236" s="73"/>
      <x:c r="T236" s="73"/>
      <x:c r="U236" s="73"/>
      <x:c r="V236" s="73"/>
      <x:c r="W236" s="73"/>
      <x:c r="X236" s="73"/>
      <x:c r="Y236" s="73"/>
      <x:c r="Z236" s="73"/>
      <x:c r="AA236" s="73"/>
      <x:c r="AB236" s="76" t="str">
        <x:f>IF(A236="","",IF(OR(NOT(ISNUMBER(I236)),I236&lt;0,NOT(ISNUMBER(AP236)),AP236&lt;0,NOT(ISNUMBER(L236)),L236&lt;1,L236&gt;5,L236&lt;&gt;INT(L236),AND(J236&lt;&gt;"Public",J236&lt;&gt;"Partner",J236&lt;&gt;"Internal",J236&lt;&gt;"None"),AND(K236&lt;&gt;"High",K236&lt;&gt;"Medium",K236&lt;&gt;"Low",K236&lt;&gt;"None"),AND(W236&lt;&gt;"Hard-coded",W236&lt;&gt;"Configurable",W236&lt;&gt;"Policy-managed",W236&lt;&gt;"API/Library abstraction",W236&lt;&gt;"Automated"),AND(Z236&lt;&gt;"Y",Z236&lt;&gt;"N"),AND(AA236&lt;&gt;"Y",AA236&lt;&gt;"N")),"Incomplete",IF(Z236="Y",20,0)+L236*5+IF(AA236="Y",15,0)+IF(J236="Public",10,IF(J236="Partner",7,IF(J236="Internal",3,0)))+IF(W236="Hard-coded",10,IF(W236="Configurable",3,0))+IF(MAX(I236,AP236)&gt;=10,10,IF(MAX(I236,AP236)&gt;=5,7,IF(MAX(I236,AP236)&gt;=2,3,0)))+IF(K236="High",10,IF(K236="Medium",5,0))))</x:f>
      </x:c>
      <x:c r="AC236" s="73" t="str">
        <x:f>IF(A236="","",IF(NOT(ISNUMBER(AB236)),"Review inputs",IF(AB236&gt;=70,"P0 - Immediate",IF(AB236&gt;=50,"P1 - High",IF(AB236&gt;=30,"P2 - Medium",IF(AB236&gt;=15,"P3 - Low","P4 - Monitor"))))))</x:f>
      </x:c>
      <x:c r="AD236" s="73"/>
      <x:c r="AE236" s="73"/>
      <x:c r="AF236" s="73"/>
      <x:c r="AG236" s="77"/>
      <x:c r="AH236" s="73"/>
      <x:c r="AI236" s="91"/>
      <x:c r="AJ236" s="91"/>
      <x:c r="AK236" s="91"/>
      <x:c r="AL236" s="92"/>
      <x:c r="AM236" s="91"/>
      <x:c r="AN236" s="91"/>
      <x:c r="AO236" s="93"/>
      <x:c r="AP236" s="94"/>
      <x:c r="AQ236" s="91"/>
      <x:c r="AR236" s="91"/>
      <x:c r="AS236" s="91"/>
      <x:c r="AT236" s="91"/>
      <x:c r="AU236" s="91"/>
      <x:c r="AV236" s="91"/>
      <x:c r="AW236" s="91"/>
      <x:c r="AX236" s="91"/>
      <x:c r="AY236" s="91"/>
      <x:c r="AZ236" s="92"/>
      <x:c r="BA236" s="94"/>
      <x:c r="BB236" s="91"/>
      <x:c r="BC236" s="92"/>
      <x:c r="BD236" s="92"/>
      <x:c r="BE236" s="91"/>
      <x:c r="BF236" s="91"/>
      <x:c r="BG236" s="91"/>
      <x:c r="BH236" s="91"/>
      <x:c r="BI236" s="91"/>
      <x:c r="BJ236" s="91"/>
      <x:c r="BK236" s="91"/>
      <x:c r="BL236" s="91"/>
      <x:c r="BM236" s="73" t="str">
        <x:f>IF(A236="","",IF(AI236="Example","Example only",IF(AI236&lt;&gt;"Actual","Set record type",IF(COUNTIF($A$2:$A$1001,A236)&gt;1,"Duplicate record ID",IF(OR(D236="",E236="",AF236="",NOT(ISNUMBER(AG236)),AJ236="",AK236="",NOT(ISNUMBER(AL236)),AND(AM236&lt;&gt;"Observed",AM236&lt;&gt;"Corroborated",AM236&lt;&gt;"Declared"),OR(AN236="",AN236="Unknown"),OR(AQ236="",AQ236="Unknown"),OR(AR236="",AR236="Unknown",AR236="TBD"),OR(BC236="",NOT(ISNUMBER(BC236)))),"Evidence incomplete","Evidence recorded; review scope")))))</x:f>
      </x:c>
      <x:c r="BN236" s="73"/>
    </x:row>
    <x:row r="237" ht="34" customHeight="1">
      <x:c r="A237" s="73"/>
      <x:c r="B237" s="73"/>
      <x:c r="C237" s="73"/>
      <x:c r="D237" s="73"/>
      <x:c r="E237" s="73"/>
      <x:c r="F237" s="73"/>
      <x:c r="G237" s="73"/>
      <x:c r="H237" s="73"/>
      <x:c r="I237" s="75"/>
      <x:c r="J237" s="73"/>
      <x:c r="K237" s="73"/>
      <x:c r="L237" s="76"/>
      <x:c r="M237" s="73"/>
      <x:c r="N237" s="73"/>
      <x:c r="O237" s="73"/>
      <x:c r="P237" s="73"/>
      <x:c r="Q237" s="76"/>
      <x:c r="R237" s="73"/>
      <x:c r="S237" s="73"/>
      <x:c r="T237" s="73"/>
      <x:c r="U237" s="73"/>
      <x:c r="V237" s="73"/>
      <x:c r="W237" s="73"/>
      <x:c r="X237" s="73"/>
      <x:c r="Y237" s="73"/>
      <x:c r="Z237" s="73"/>
      <x:c r="AA237" s="73"/>
      <x:c r="AB237" s="76" t="str">
        <x:f>IF(A237="","",IF(OR(NOT(ISNUMBER(I237)),I237&lt;0,NOT(ISNUMBER(AP237)),AP237&lt;0,NOT(ISNUMBER(L237)),L237&lt;1,L237&gt;5,L237&lt;&gt;INT(L237),AND(J237&lt;&gt;"Public",J237&lt;&gt;"Partner",J237&lt;&gt;"Internal",J237&lt;&gt;"None"),AND(K237&lt;&gt;"High",K237&lt;&gt;"Medium",K237&lt;&gt;"Low",K237&lt;&gt;"None"),AND(W237&lt;&gt;"Hard-coded",W237&lt;&gt;"Configurable",W237&lt;&gt;"Policy-managed",W237&lt;&gt;"API/Library abstraction",W237&lt;&gt;"Automated"),AND(Z237&lt;&gt;"Y",Z237&lt;&gt;"N"),AND(AA237&lt;&gt;"Y",AA237&lt;&gt;"N")),"Incomplete",IF(Z237="Y",20,0)+L237*5+IF(AA237="Y",15,0)+IF(J237="Public",10,IF(J237="Partner",7,IF(J237="Internal",3,0)))+IF(W237="Hard-coded",10,IF(W237="Configurable",3,0))+IF(MAX(I237,AP237)&gt;=10,10,IF(MAX(I237,AP237)&gt;=5,7,IF(MAX(I237,AP237)&gt;=2,3,0)))+IF(K237="High",10,IF(K237="Medium",5,0))))</x:f>
      </x:c>
      <x:c r="AC237" s="73" t="str">
        <x:f>IF(A237="","",IF(NOT(ISNUMBER(AB237)),"Review inputs",IF(AB237&gt;=70,"P0 - Immediate",IF(AB237&gt;=50,"P1 - High",IF(AB237&gt;=30,"P2 - Medium",IF(AB237&gt;=15,"P3 - Low","P4 - Monitor"))))))</x:f>
      </x:c>
      <x:c r="AD237" s="73"/>
      <x:c r="AE237" s="73"/>
      <x:c r="AF237" s="73"/>
      <x:c r="AG237" s="77"/>
      <x:c r="AH237" s="73"/>
      <x:c r="AI237" s="91"/>
      <x:c r="AJ237" s="91"/>
      <x:c r="AK237" s="91"/>
      <x:c r="AL237" s="92"/>
      <x:c r="AM237" s="91"/>
      <x:c r="AN237" s="91"/>
      <x:c r="AO237" s="93"/>
      <x:c r="AP237" s="94"/>
      <x:c r="AQ237" s="91"/>
      <x:c r="AR237" s="91"/>
      <x:c r="AS237" s="91"/>
      <x:c r="AT237" s="91"/>
      <x:c r="AU237" s="91"/>
      <x:c r="AV237" s="91"/>
      <x:c r="AW237" s="91"/>
      <x:c r="AX237" s="91"/>
      <x:c r="AY237" s="91"/>
      <x:c r="AZ237" s="92"/>
      <x:c r="BA237" s="94"/>
      <x:c r="BB237" s="91"/>
      <x:c r="BC237" s="92"/>
      <x:c r="BD237" s="92"/>
      <x:c r="BE237" s="91"/>
      <x:c r="BF237" s="91"/>
      <x:c r="BG237" s="91"/>
      <x:c r="BH237" s="91"/>
      <x:c r="BI237" s="91"/>
      <x:c r="BJ237" s="91"/>
      <x:c r="BK237" s="91"/>
      <x:c r="BL237" s="91"/>
      <x:c r="BM237" s="73" t="str">
        <x:f>IF(A237="","",IF(AI237="Example","Example only",IF(AI237&lt;&gt;"Actual","Set record type",IF(COUNTIF($A$2:$A$1001,A237)&gt;1,"Duplicate record ID",IF(OR(D237="",E237="",AF237="",NOT(ISNUMBER(AG237)),AJ237="",AK237="",NOT(ISNUMBER(AL237)),AND(AM237&lt;&gt;"Observed",AM237&lt;&gt;"Corroborated",AM237&lt;&gt;"Declared"),OR(AN237="",AN237="Unknown"),OR(AQ237="",AQ237="Unknown"),OR(AR237="",AR237="Unknown",AR237="TBD"),OR(BC237="",NOT(ISNUMBER(BC237)))),"Evidence incomplete","Evidence recorded; review scope")))))</x:f>
      </x:c>
      <x:c r="BN237" s="73"/>
    </x:row>
    <x:row r="238" ht="34" customHeight="1">
      <x:c r="A238" s="73"/>
      <x:c r="B238" s="73"/>
      <x:c r="C238" s="73"/>
      <x:c r="D238" s="73"/>
      <x:c r="E238" s="73"/>
      <x:c r="F238" s="73"/>
      <x:c r="G238" s="73"/>
      <x:c r="H238" s="73"/>
      <x:c r="I238" s="75"/>
      <x:c r="J238" s="73"/>
      <x:c r="K238" s="73"/>
      <x:c r="L238" s="76"/>
      <x:c r="M238" s="73"/>
      <x:c r="N238" s="73"/>
      <x:c r="O238" s="73"/>
      <x:c r="P238" s="73"/>
      <x:c r="Q238" s="76"/>
      <x:c r="R238" s="73"/>
      <x:c r="S238" s="73"/>
      <x:c r="T238" s="73"/>
      <x:c r="U238" s="73"/>
      <x:c r="V238" s="73"/>
      <x:c r="W238" s="73"/>
      <x:c r="X238" s="73"/>
      <x:c r="Y238" s="73"/>
      <x:c r="Z238" s="73"/>
      <x:c r="AA238" s="73"/>
      <x:c r="AB238" s="76" t="str">
        <x:f>IF(A238="","",IF(OR(NOT(ISNUMBER(I238)),I238&lt;0,NOT(ISNUMBER(AP238)),AP238&lt;0,NOT(ISNUMBER(L238)),L238&lt;1,L238&gt;5,L238&lt;&gt;INT(L238),AND(J238&lt;&gt;"Public",J238&lt;&gt;"Partner",J238&lt;&gt;"Internal",J238&lt;&gt;"None"),AND(K238&lt;&gt;"High",K238&lt;&gt;"Medium",K238&lt;&gt;"Low",K238&lt;&gt;"None"),AND(W238&lt;&gt;"Hard-coded",W238&lt;&gt;"Configurable",W238&lt;&gt;"Policy-managed",W238&lt;&gt;"API/Library abstraction",W238&lt;&gt;"Automated"),AND(Z238&lt;&gt;"Y",Z238&lt;&gt;"N"),AND(AA238&lt;&gt;"Y",AA238&lt;&gt;"N")),"Incomplete",IF(Z238="Y",20,0)+L238*5+IF(AA238="Y",15,0)+IF(J238="Public",10,IF(J238="Partner",7,IF(J238="Internal",3,0)))+IF(W238="Hard-coded",10,IF(W238="Configurable",3,0))+IF(MAX(I238,AP238)&gt;=10,10,IF(MAX(I238,AP238)&gt;=5,7,IF(MAX(I238,AP238)&gt;=2,3,0)))+IF(K238="High",10,IF(K238="Medium",5,0))))</x:f>
      </x:c>
      <x:c r="AC238" s="73" t="str">
        <x:f>IF(A238="","",IF(NOT(ISNUMBER(AB238)),"Review inputs",IF(AB238&gt;=70,"P0 - Immediate",IF(AB238&gt;=50,"P1 - High",IF(AB238&gt;=30,"P2 - Medium",IF(AB238&gt;=15,"P3 - Low","P4 - Monitor"))))))</x:f>
      </x:c>
      <x:c r="AD238" s="73"/>
      <x:c r="AE238" s="73"/>
      <x:c r="AF238" s="73"/>
      <x:c r="AG238" s="77"/>
      <x:c r="AH238" s="73"/>
      <x:c r="AI238" s="91"/>
      <x:c r="AJ238" s="91"/>
      <x:c r="AK238" s="91"/>
      <x:c r="AL238" s="92"/>
      <x:c r="AM238" s="91"/>
      <x:c r="AN238" s="91"/>
      <x:c r="AO238" s="93"/>
      <x:c r="AP238" s="94"/>
      <x:c r="AQ238" s="91"/>
      <x:c r="AR238" s="91"/>
      <x:c r="AS238" s="91"/>
      <x:c r="AT238" s="91"/>
      <x:c r="AU238" s="91"/>
      <x:c r="AV238" s="91"/>
      <x:c r="AW238" s="91"/>
      <x:c r="AX238" s="91"/>
      <x:c r="AY238" s="91"/>
      <x:c r="AZ238" s="92"/>
      <x:c r="BA238" s="94"/>
      <x:c r="BB238" s="91"/>
      <x:c r="BC238" s="92"/>
      <x:c r="BD238" s="92"/>
      <x:c r="BE238" s="91"/>
      <x:c r="BF238" s="91"/>
      <x:c r="BG238" s="91"/>
      <x:c r="BH238" s="91"/>
      <x:c r="BI238" s="91"/>
      <x:c r="BJ238" s="91"/>
      <x:c r="BK238" s="91"/>
      <x:c r="BL238" s="91"/>
      <x:c r="BM238" s="73" t="str">
        <x:f>IF(A238="","",IF(AI238="Example","Example only",IF(AI238&lt;&gt;"Actual","Set record type",IF(COUNTIF($A$2:$A$1001,A238)&gt;1,"Duplicate record ID",IF(OR(D238="",E238="",AF238="",NOT(ISNUMBER(AG238)),AJ238="",AK238="",NOT(ISNUMBER(AL238)),AND(AM238&lt;&gt;"Observed",AM238&lt;&gt;"Corroborated",AM238&lt;&gt;"Declared"),OR(AN238="",AN238="Unknown"),OR(AQ238="",AQ238="Unknown"),OR(AR238="",AR238="Unknown",AR238="TBD"),OR(BC238="",NOT(ISNUMBER(BC238)))),"Evidence incomplete","Evidence recorded; review scope")))))</x:f>
      </x:c>
      <x:c r="BN238" s="73"/>
    </x:row>
    <x:row r="239" ht="34" customHeight="1">
      <x:c r="A239" s="73"/>
      <x:c r="B239" s="73"/>
      <x:c r="C239" s="73"/>
      <x:c r="D239" s="73"/>
      <x:c r="E239" s="73"/>
      <x:c r="F239" s="73"/>
      <x:c r="G239" s="73"/>
      <x:c r="H239" s="73"/>
      <x:c r="I239" s="75"/>
      <x:c r="J239" s="73"/>
      <x:c r="K239" s="73"/>
      <x:c r="L239" s="76"/>
      <x:c r="M239" s="73"/>
      <x:c r="N239" s="73"/>
      <x:c r="O239" s="73"/>
      <x:c r="P239" s="73"/>
      <x:c r="Q239" s="76"/>
      <x:c r="R239" s="73"/>
      <x:c r="S239" s="73"/>
      <x:c r="T239" s="73"/>
      <x:c r="U239" s="73"/>
      <x:c r="V239" s="73"/>
      <x:c r="W239" s="73"/>
      <x:c r="X239" s="73"/>
      <x:c r="Y239" s="73"/>
      <x:c r="Z239" s="73"/>
      <x:c r="AA239" s="73"/>
      <x:c r="AB239" s="76" t="str">
        <x:f>IF(A239="","",IF(OR(NOT(ISNUMBER(I239)),I239&lt;0,NOT(ISNUMBER(AP239)),AP239&lt;0,NOT(ISNUMBER(L239)),L239&lt;1,L239&gt;5,L239&lt;&gt;INT(L239),AND(J239&lt;&gt;"Public",J239&lt;&gt;"Partner",J239&lt;&gt;"Internal",J239&lt;&gt;"None"),AND(K239&lt;&gt;"High",K239&lt;&gt;"Medium",K239&lt;&gt;"Low",K239&lt;&gt;"None"),AND(W239&lt;&gt;"Hard-coded",W239&lt;&gt;"Configurable",W239&lt;&gt;"Policy-managed",W239&lt;&gt;"API/Library abstraction",W239&lt;&gt;"Automated"),AND(Z239&lt;&gt;"Y",Z239&lt;&gt;"N"),AND(AA239&lt;&gt;"Y",AA239&lt;&gt;"N")),"Incomplete",IF(Z239="Y",20,0)+L239*5+IF(AA239="Y",15,0)+IF(J239="Public",10,IF(J239="Partner",7,IF(J239="Internal",3,0)))+IF(W239="Hard-coded",10,IF(W239="Configurable",3,0))+IF(MAX(I239,AP239)&gt;=10,10,IF(MAX(I239,AP239)&gt;=5,7,IF(MAX(I239,AP239)&gt;=2,3,0)))+IF(K239="High",10,IF(K239="Medium",5,0))))</x:f>
      </x:c>
      <x:c r="AC239" s="73" t="str">
        <x:f>IF(A239="","",IF(NOT(ISNUMBER(AB239)),"Review inputs",IF(AB239&gt;=70,"P0 - Immediate",IF(AB239&gt;=50,"P1 - High",IF(AB239&gt;=30,"P2 - Medium",IF(AB239&gt;=15,"P3 - Low","P4 - Monitor"))))))</x:f>
      </x:c>
      <x:c r="AD239" s="73"/>
      <x:c r="AE239" s="73"/>
      <x:c r="AF239" s="73"/>
      <x:c r="AG239" s="77"/>
      <x:c r="AH239" s="73"/>
      <x:c r="AI239" s="91"/>
      <x:c r="AJ239" s="91"/>
      <x:c r="AK239" s="91"/>
      <x:c r="AL239" s="92"/>
      <x:c r="AM239" s="91"/>
      <x:c r="AN239" s="91"/>
      <x:c r="AO239" s="93"/>
      <x:c r="AP239" s="94"/>
      <x:c r="AQ239" s="91"/>
      <x:c r="AR239" s="91"/>
      <x:c r="AS239" s="91"/>
      <x:c r="AT239" s="91"/>
      <x:c r="AU239" s="91"/>
      <x:c r="AV239" s="91"/>
      <x:c r="AW239" s="91"/>
      <x:c r="AX239" s="91"/>
      <x:c r="AY239" s="91"/>
      <x:c r="AZ239" s="92"/>
      <x:c r="BA239" s="94"/>
      <x:c r="BB239" s="91"/>
      <x:c r="BC239" s="92"/>
      <x:c r="BD239" s="92"/>
      <x:c r="BE239" s="91"/>
      <x:c r="BF239" s="91"/>
      <x:c r="BG239" s="91"/>
      <x:c r="BH239" s="91"/>
      <x:c r="BI239" s="91"/>
      <x:c r="BJ239" s="91"/>
      <x:c r="BK239" s="91"/>
      <x:c r="BL239" s="91"/>
      <x:c r="BM239" s="73" t="str">
        <x:f>IF(A239="","",IF(AI239="Example","Example only",IF(AI239&lt;&gt;"Actual","Set record type",IF(COUNTIF($A$2:$A$1001,A239)&gt;1,"Duplicate record ID",IF(OR(D239="",E239="",AF239="",NOT(ISNUMBER(AG239)),AJ239="",AK239="",NOT(ISNUMBER(AL239)),AND(AM239&lt;&gt;"Observed",AM239&lt;&gt;"Corroborated",AM239&lt;&gt;"Declared"),OR(AN239="",AN239="Unknown"),OR(AQ239="",AQ239="Unknown"),OR(AR239="",AR239="Unknown",AR239="TBD"),OR(BC239="",NOT(ISNUMBER(BC239)))),"Evidence incomplete","Evidence recorded; review scope")))))</x:f>
      </x:c>
      <x:c r="BN239" s="73"/>
    </x:row>
    <x:row r="240" ht="34" customHeight="1">
      <x:c r="A240" s="73"/>
      <x:c r="B240" s="73"/>
      <x:c r="C240" s="73"/>
      <x:c r="D240" s="73"/>
      <x:c r="E240" s="73"/>
      <x:c r="F240" s="73"/>
      <x:c r="G240" s="73"/>
      <x:c r="H240" s="73"/>
      <x:c r="I240" s="75"/>
      <x:c r="J240" s="73"/>
      <x:c r="K240" s="73"/>
      <x:c r="L240" s="76"/>
      <x:c r="M240" s="73"/>
      <x:c r="N240" s="73"/>
      <x:c r="O240" s="73"/>
      <x:c r="P240" s="73"/>
      <x:c r="Q240" s="76"/>
      <x:c r="R240" s="73"/>
      <x:c r="S240" s="73"/>
      <x:c r="T240" s="73"/>
      <x:c r="U240" s="73"/>
      <x:c r="V240" s="73"/>
      <x:c r="W240" s="73"/>
      <x:c r="X240" s="73"/>
      <x:c r="Y240" s="73"/>
      <x:c r="Z240" s="73"/>
      <x:c r="AA240" s="73"/>
      <x:c r="AB240" s="76" t="str">
        <x:f>IF(A240="","",IF(OR(NOT(ISNUMBER(I240)),I240&lt;0,NOT(ISNUMBER(AP240)),AP240&lt;0,NOT(ISNUMBER(L240)),L240&lt;1,L240&gt;5,L240&lt;&gt;INT(L240),AND(J240&lt;&gt;"Public",J240&lt;&gt;"Partner",J240&lt;&gt;"Internal",J240&lt;&gt;"None"),AND(K240&lt;&gt;"High",K240&lt;&gt;"Medium",K240&lt;&gt;"Low",K240&lt;&gt;"None"),AND(W240&lt;&gt;"Hard-coded",W240&lt;&gt;"Configurable",W240&lt;&gt;"Policy-managed",W240&lt;&gt;"API/Library abstraction",W240&lt;&gt;"Automated"),AND(Z240&lt;&gt;"Y",Z240&lt;&gt;"N"),AND(AA240&lt;&gt;"Y",AA240&lt;&gt;"N")),"Incomplete",IF(Z240="Y",20,0)+L240*5+IF(AA240="Y",15,0)+IF(J240="Public",10,IF(J240="Partner",7,IF(J240="Internal",3,0)))+IF(W240="Hard-coded",10,IF(W240="Configurable",3,0))+IF(MAX(I240,AP240)&gt;=10,10,IF(MAX(I240,AP240)&gt;=5,7,IF(MAX(I240,AP240)&gt;=2,3,0)))+IF(K240="High",10,IF(K240="Medium",5,0))))</x:f>
      </x:c>
      <x:c r="AC240" s="73" t="str">
        <x:f>IF(A240="","",IF(NOT(ISNUMBER(AB240)),"Review inputs",IF(AB240&gt;=70,"P0 - Immediate",IF(AB240&gt;=50,"P1 - High",IF(AB240&gt;=30,"P2 - Medium",IF(AB240&gt;=15,"P3 - Low","P4 - Monitor"))))))</x:f>
      </x:c>
      <x:c r="AD240" s="73"/>
      <x:c r="AE240" s="73"/>
      <x:c r="AF240" s="73"/>
      <x:c r="AG240" s="77"/>
      <x:c r="AH240" s="73"/>
      <x:c r="AI240" s="91"/>
      <x:c r="AJ240" s="91"/>
      <x:c r="AK240" s="91"/>
      <x:c r="AL240" s="92"/>
      <x:c r="AM240" s="91"/>
      <x:c r="AN240" s="91"/>
      <x:c r="AO240" s="93"/>
      <x:c r="AP240" s="94"/>
      <x:c r="AQ240" s="91"/>
      <x:c r="AR240" s="91"/>
      <x:c r="AS240" s="91"/>
      <x:c r="AT240" s="91"/>
      <x:c r="AU240" s="91"/>
      <x:c r="AV240" s="91"/>
      <x:c r="AW240" s="91"/>
      <x:c r="AX240" s="91"/>
      <x:c r="AY240" s="91"/>
      <x:c r="AZ240" s="92"/>
      <x:c r="BA240" s="94"/>
      <x:c r="BB240" s="91"/>
      <x:c r="BC240" s="92"/>
      <x:c r="BD240" s="92"/>
      <x:c r="BE240" s="91"/>
      <x:c r="BF240" s="91"/>
      <x:c r="BG240" s="91"/>
      <x:c r="BH240" s="91"/>
      <x:c r="BI240" s="91"/>
      <x:c r="BJ240" s="91"/>
      <x:c r="BK240" s="91"/>
      <x:c r="BL240" s="91"/>
      <x:c r="BM240" s="73" t="str">
        <x:f>IF(A240="","",IF(AI240="Example","Example only",IF(AI240&lt;&gt;"Actual","Set record type",IF(COUNTIF($A$2:$A$1001,A240)&gt;1,"Duplicate record ID",IF(OR(D240="",E240="",AF240="",NOT(ISNUMBER(AG240)),AJ240="",AK240="",NOT(ISNUMBER(AL240)),AND(AM240&lt;&gt;"Observed",AM240&lt;&gt;"Corroborated",AM240&lt;&gt;"Declared"),OR(AN240="",AN240="Unknown"),OR(AQ240="",AQ240="Unknown"),OR(AR240="",AR240="Unknown",AR240="TBD"),OR(BC240="",NOT(ISNUMBER(BC240)))),"Evidence incomplete","Evidence recorded; review scope")))))</x:f>
      </x:c>
      <x:c r="BN240" s="73"/>
    </x:row>
    <x:row r="241" ht="34" customHeight="1">
      <x:c r="A241" s="73"/>
      <x:c r="B241" s="73"/>
      <x:c r="C241" s="73"/>
      <x:c r="D241" s="73"/>
      <x:c r="E241" s="73"/>
      <x:c r="F241" s="73"/>
      <x:c r="G241" s="73"/>
      <x:c r="H241" s="73"/>
      <x:c r="I241" s="75"/>
      <x:c r="J241" s="73"/>
      <x:c r="K241" s="73"/>
      <x:c r="L241" s="76"/>
      <x:c r="M241" s="73"/>
      <x:c r="N241" s="73"/>
      <x:c r="O241" s="73"/>
      <x:c r="P241" s="73"/>
      <x:c r="Q241" s="76"/>
      <x:c r="R241" s="73"/>
      <x:c r="S241" s="73"/>
      <x:c r="T241" s="73"/>
      <x:c r="U241" s="73"/>
      <x:c r="V241" s="73"/>
      <x:c r="W241" s="73"/>
      <x:c r="X241" s="73"/>
      <x:c r="Y241" s="73"/>
      <x:c r="Z241" s="73"/>
      <x:c r="AA241" s="73"/>
      <x:c r="AB241" s="76" t="str">
        <x:f>IF(A241="","",IF(OR(NOT(ISNUMBER(I241)),I241&lt;0,NOT(ISNUMBER(AP241)),AP241&lt;0,NOT(ISNUMBER(L241)),L241&lt;1,L241&gt;5,L241&lt;&gt;INT(L241),AND(J241&lt;&gt;"Public",J241&lt;&gt;"Partner",J241&lt;&gt;"Internal",J241&lt;&gt;"None"),AND(K241&lt;&gt;"High",K241&lt;&gt;"Medium",K241&lt;&gt;"Low",K241&lt;&gt;"None"),AND(W241&lt;&gt;"Hard-coded",W241&lt;&gt;"Configurable",W241&lt;&gt;"Policy-managed",W241&lt;&gt;"API/Library abstraction",W241&lt;&gt;"Automated"),AND(Z241&lt;&gt;"Y",Z241&lt;&gt;"N"),AND(AA241&lt;&gt;"Y",AA241&lt;&gt;"N")),"Incomplete",IF(Z241="Y",20,0)+L241*5+IF(AA241="Y",15,0)+IF(J241="Public",10,IF(J241="Partner",7,IF(J241="Internal",3,0)))+IF(W241="Hard-coded",10,IF(W241="Configurable",3,0))+IF(MAX(I241,AP241)&gt;=10,10,IF(MAX(I241,AP241)&gt;=5,7,IF(MAX(I241,AP241)&gt;=2,3,0)))+IF(K241="High",10,IF(K241="Medium",5,0))))</x:f>
      </x:c>
      <x:c r="AC241" s="73" t="str">
        <x:f>IF(A241="","",IF(NOT(ISNUMBER(AB241)),"Review inputs",IF(AB241&gt;=70,"P0 - Immediate",IF(AB241&gt;=50,"P1 - High",IF(AB241&gt;=30,"P2 - Medium",IF(AB241&gt;=15,"P3 - Low","P4 - Monitor"))))))</x:f>
      </x:c>
      <x:c r="AD241" s="73"/>
      <x:c r="AE241" s="73"/>
      <x:c r="AF241" s="73"/>
      <x:c r="AG241" s="77"/>
      <x:c r="AH241" s="73"/>
      <x:c r="AI241" s="91"/>
      <x:c r="AJ241" s="91"/>
      <x:c r="AK241" s="91"/>
      <x:c r="AL241" s="92"/>
      <x:c r="AM241" s="91"/>
      <x:c r="AN241" s="91"/>
      <x:c r="AO241" s="93"/>
      <x:c r="AP241" s="94"/>
      <x:c r="AQ241" s="91"/>
      <x:c r="AR241" s="91"/>
      <x:c r="AS241" s="91"/>
      <x:c r="AT241" s="91"/>
      <x:c r="AU241" s="91"/>
      <x:c r="AV241" s="91"/>
      <x:c r="AW241" s="91"/>
      <x:c r="AX241" s="91"/>
      <x:c r="AY241" s="91"/>
      <x:c r="AZ241" s="92"/>
      <x:c r="BA241" s="94"/>
      <x:c r="BB241" s="91"/>
      <x:c r="BC241" s="92"/>
      <x:c r="BD241" s="92"/>
      <x:c r="BE241" s="91"/>
      <x:c r="BF241" s="91"/>
      <x:c r="BG241" s="91"/>
      <x:c r="BH241" s="91"/>
      <x:c r="BI241" s="91"/>
      <x:c r="BJ241" s="91"/>
      <x:c r="BK241" s="91"/>
      <x:c r="BL241" s="91"/>
      <x:c r="BM241" s="73" t="str">
        <x:f>IF(A241="","",IF(AI241="Example","Example only",IF(AI241&lt;&gt;"Actual","Set record type",IF(COUNTIF($A$2:$A$1001,A241)&gt;1,"Duplicate record ID",IF(OR(D241="",E241="",AF241="",NOT(ISNUMBER(AG241)),AJ241="",AK241="",NOT(ISNUMBER(AL241)),AND(AM241&lt;&gt;"Observed",AM241&lt;&gt;"Corroborated",AM241&lt;&gt;"Declared"),OR(AN241="",AN241="Unknown"),OR(AQ241="",AQ241="Unknown"),OR(AR241="",AR241="Unknown",AR241="TBD"),OR(BC241="",NOT(ISNUMBER(BC241)))),"Evidence incomplete","Evidence recorded; review scope")))))</x:f>
      </x:c>
      <x:c r="BN241" s="73"/>
    </x:row>
    <x:row r="242" ht="34" customHeight="1">
      <x:c r="A242" s="73"/>
      <x:c r="B242" s="73"/>
      <x:c r="C242" s="73"/>
      <x:c r="D242" s="73"/>
      <x:c r="E242" s="73"/>
      <x:c r="F242" s="73"/>
      <x:c r="G242" s="73"/>
      <x:c r="H242" s="73"/>
      <x:c r="I242" s="75"/>
      <x:c r="J242" s="73"/>
      <x:c r="K242" s="73"/>
      <x:c r="L242" s="76"/>
      <x:c r="M242" s="73"/>
      <x:c r="N242" s="73"/>
      <x:c r="O242" s="73"/>
      <x:c r="P242" s="73"/>
      <x:c r="Q242" s="76"/>
      <x:c r="R242" s="73"/>
      <x:c r="S242" s="73"/>
      <x:c r="T242" s="73"/>
      <x:c r="U242" s="73"/>
      <x:c r="V242" s="73"/>
      <x:c r="W242" s="73"/>
      <x:c r="X242" s="73"/>
      <x:c r="Y242" s="73"/>
      <x:c r="Z242" s="73"/>
      <x:c r="AA242" s="73"/>
      <x:c r="AB242" s="76" t="str">
        <x:f>IF(A242="","",IF(OR(NOT(ISNUMBER(I242)),I242&lt;0,NOT(ISNUMBER(AP242)),AP242&lt;0,NOT(ISNUMBER(L242)),L242&lt;1,L242&gt;5,L242&lt;&gt;INT(L242),AND(J242&lt;&gt;"Public",J242&lt;&gt;"Partner",J242&lt;&gt;"Internal",J242&lt;&gt;"None"),AND(K242&lt;&gt;"High",K242&lt;&gt;"Medium",K242&lt;&gt;"Low",K242&lt;&gt;"None"),AND(W242&lt;&gt;"Hard-coded",W242&lt;&gt;"Configurable",W242&lt;&gt;"Policy-managed",W242&lt;&gt;"API/Library abstraction",W242&lt;&gt;"Automated"),AND(Z242&lt;&gt;"Y",Z242&lt;&gt;"N"),AND(AA242&lt;&gt;"Y",AA242&lt;&gt;"N")),"Incomplete",IF(Z242="Y",20,0)+L242*5+IF(AA242="Y",15,0)+IF(J242="Public",10,IF(J242="Partner",7,IF(J242="Internal",3,0)))+IF(W242="Hard-coded",10,IF(W242="Configurable",3,0))+IF(MAX(I242,AP242)&gt;=10,10,IF(MAX(I242,AP242)&gt;=5,7,IF(MAX(I242,AP242)&gt;=2,3,0)))+IF(K242="High",10,IF(K242="Medium",5,0))))</x:f>
      </x:c>
      <x:c r="AC242" s="73" t="str">
        <x:f>IF(A242="","",IF(NOT(ISNUMBER(AB242)),"Review inputs",IF(AB242&gt;=70,"P0 - Immediate",IF(AB242&gt;=50,"P1 - High",IF(AB242&gt;=30,"P2 - Medium",IF(AB242&gt;=15,"P3 - Low","P4 - Monitor"))))))</x:f>
      </x:c>
      <x:c r="AD242" s="73"/>
      <x:c r="AE242" s="73"/>
      <x:c r="AF242" s="73"/>
      <x:c r="AG242" s="77"/>
      <x:c r="AH242" s="73"/>
      <x:c r="AI242" s="91"/>
      <x:c r="AJ242" s="91"/>
      <x:c r="AK242" s="91"/>
      <x:c r="AL242" s="92"/>
      <x:c r="AM242" s="91"/>
      <x:c r="AN242" s="91"/>
      <x:c r="AO242" s="93"/>
      <x:c r="AP242" s="94"/>
      <x:c r="AQ242" s="91"/>
      <x:c r="AR242" s="91"/>
      <x:c r="AS242" s="91"/>
      <x:c r="AT242" s="91"/>
      <x:c r="AU242" s="91"/>
      <x:c r="AV242" s="91"/>
      <x:c r="AW242" s="91"/>
      <x:c r="AX242" s="91"/>
      <x:c r="AY242" s="91"/>
      <x:c r="AZ242" s="92"/>
      <x:c r="BA242" s="94"/>
      <x:c r="BB242" s="91"/>
      <x:c r="BC242" s="92"/>
      <x:c r="BD242" s="92"/>
      <x:c r="BE242" s="91"/>
      <x:c r="BF242" s="91"/>
      <x:c r="BG242" s="91"/>
      <x:c r="BH242" s="91"/>
      <x:c r="BI242" s="91"/>
      <x:c r="BJ242" s="91"/>
      <x:c r="BK242" s="91"/>
      <x:c r="BL242" s="91"/>
      <x:c r="BM242" s="73" t="str">
        <x:f>IF(A242="","",IF(AI242="Example","Example only",IF(AI242&lt;&gt;"Actual","Set record type",IF(COUNTIF($A$2:$A$1001,A242)&gt;1,"Duplicate record ID",IF(OR(D242="",E242="",AF242="",NOT(ISNUMBER(AG242)),AJ242="",AK242="",NOT(ISNUMBER(AL242)),AND(AM242&lt;&gt;"Observed",AM242&lt;&gt;"Corroborated",AM242&lt;&gt;"Declared"),OR(AN242="",AN242="Unknown"),OR(AQ242="",AQ242="Unknown"),OR(AR242="",AR242="Unknown",AR242="TBD"),OR(BC242="",NOT(ISNUMBER(BC242)))),"Evidence incomplete","Evidence recorded; review scope")))))</x:f>
      </x:c>
      <x:c r="BN242" s="73"/>
    </x:row>
    <x:row r="243" ht="34" customHeight="1">
      <x:c r="A243" s="73"/>
      <x:c r="B243" s="73"/>
      <x:c r="C243" s="73"/>
      <x:c r="D243" s="73"/>
      <x:c r="E243" s="73"/>
      <x:c r="F243" s="73"/>
      <x:c r="G243" s="73"/>
      <x:c r="H243" s="73"/>
      <x:c r="I243" s="75"/>
      <x:c r="J243" s="73"/>
      <x:c r="K243" s="73"/>
      <x:c r="L243" s="76"/>
      <x:c r="M243" s="73"/>
      <x:c r="N243" s="73"/>
      <x:c r="O243" s="73"/>
      <x:c r="P243" s="73"/>
      <x:c r="Q243" s="76"/>
      <x:c r="R243" s="73"/>
      <x:c r="S243" s="73"/>
      <x:c r="T243" s="73"/>
      <x:c r="U243" s="73"/>
      <x:c r="V243" s="73"/>
      <x:c r="W243" s="73"/>
      <x:c r="X243" s="73"/>
      <x:c r="Y243" s="73"/>
      <x:c r="Z243" s="73"/>
      <x:c r="AA243" s="73"/>
      <x:c r="AB243" s="76" t="str">
        <x:f>IF(A243="","",IF(OR(NOT(ISNUMBER(I243)),I243&lt;0,NOT(ISNUMBER(AP243)),AP243&lt;0,NOT(ISNUMBER(L243)),L243&lt;1,L243&gt;5,L243&lt;&gt;INT(L243),AND(J243&lt;&gt;"Public",J243&lt;&gt;"Partner",J243&lt;&gt;"Internal",J243&lt;&gt;"None"),AND(K243&lt;&gt;"High",K243&lt;&gt;"Medium",K243&lt;&gt;"Low",K243&lt;&gt;"None"),AND(W243&lt;&gt;"Hard-coded",W243&lt;&gt;"Configurable",W243&lt;&gt;"Policy-managed",W243&lt;&gt;"API/Library abstraction",W243&lt;&gt;"Automated"),AND(Z243&lt;&gt;"Y",Z243&lt;&gt;"N"),AND(AA243&lt;&gt;"Y",AA243&lt;&gt;"N")),"Incomplete",IF(Z243="Y",20,0)+L243*5+IF(AA243="Y",15,0)+IF(J243="Public",10,IF(J243="Partner",7,IF(J243="Internal",3,0)))+IF(W243="Hard-coded",10,IF(W243="Configurable",3,0))+IF(MAX(I243,AP243)&gt;=10,10,IF(MAX(I243,AP243)&gt;=5,7,IF(MAX(I243,AP243)&gt;=2,3,0)))+IF(K243="High",10,IF(K243="Medium",5,0))))</x:f>
      </x:c>
      <x:c r="AC243" s="73" t="str">
        <x:f>IF(A243="","",IF(NOT(ISNUMBER(AB243)),"Review inputs",IF(AB243&gt;=70,"P0 - Immediate",IF(AB243&gt;=50,"P1 - High",IF(AB243&gt;=30,"P2 - Medium",IF(AB243&gt;=15,"P3 - Low","P4 - Monitor"))))))</x:f>
      </x:c>
      <x:c r="AD243" s="73"/>
      <x:c r="AE243" s="73"/>
      <x:c r="AF243" s="73"/>
      <x:c r="AG243" s="77"/>
      <x:c r="AH243" s="73"/>
      <x:c r="AI243" s="91"/>
      <x:c r="AJ243" s="91"/>
      <x:c r="AK243" s="91"/>
      <x:c r="AL243" s="92"/>
      <x:c r="AM243" s="91"/>
      <x:c r="AN243" s="91"/>
      <x:c r="AO243" s="93"/>
      <x:c r="AP243" s="94"/>
      <x:c r="AQ243" s="91"/>
      <x:c r="AR243" s="91"/>
      <x:c r="AS243" s="91"/>
      <x:c r="AT243" s="91"/>
      <x:c r="AU243" s="91"/>
      <x:c r="AV243" s="91"/>
      <x:c r="AW243" s="91"/>
      <x:c r="AX243" s="91"/>
      <x:c r="AY243" s="91"/>
      <x:c r="AZ243" s="92"/>
      <x:c r="BA243" s="94"/>
      <x:c r="BB243" s="91"/>
      <x:c r="BC243" s="92"/>
      <x:c r="BD243" s="92"/>
      <x:c r="BE243" s="91"/>
      <x:c r="BF243" s="91"/>
      <x:c r="BG243" s="91"/>
      <x:c r="BH243" s="91"/>
      <x:c r="BI243" s="91"/>
      <x:c r="BJ243" s="91"/>
      <x:c r="BK243" s="91"/>
      <x:c r="BL243" s="91"/>
      <x:c r="BM243" s="73" t="str">
        <x:f>IF(A243="","",IF(AI243="Example","Example only",IF(AI243&lt;&gt;"Actual","Set record type",IF(COUNTIF($A$2:$A$1001,A243)&gt;1,"Duplicate record ID",IF(OR(D243="",E243="",AF243="",NOT(ISNUMBER(AG243)),AJ243="",AK243="",NOT(ISNUMBER(AL243)),AND(AM243&lt;&gt;"Observed",AM243&lt;&gt;"Corroborated",AM243&lt;&gt;"Declared"),OR(AN243="",AN243="Unknown"),OR(AQ243="",AQ243="Unknown"),OR(AR243="",AR243="Unknown",AR243="TBD"),OR(BC243="",NOT(ISNUMBER(BC243)))),"Evidence incomplete","Evidence recorded; review scope")))))</x:f>
      </x:c>
      <x:c r="BN243" s="73"/>
    </x:row>
    <x:row r="244" ht="34" customHeight="1">
      <x:c r="A244" s="73"/>
      <x:c r="B244" s="73"/>
      <x:c r="C244" s="73"/>
      <x:c r="D244" s="73"/>
      <x:c r="E244" s="73"/>
      <x:c r="F244" s="73"/>
      <x:c r="G244" s="73"/>
      <x:c r="H244" s="73"/>
      <x:c r="I244" s="75"/>
      <x:c r="J244" s="73"/>
      <x:c r="K244" s="73"/>
      <x:c r="L244" s="76"/>
      <x:c r="M244" s="73"/>
      <x:c r="N244" s="73"/>
      <x:c r="O244" s="73"/>
      <x:c r="P244" s="73"/>
      <x:c r="Q244" s="76"/>
      <x:c r="R244" s="73"/>
      <x:c r="S244" s="73"/>
      <x:c r="T244" s="73"/>
      <x:c r="U244" s="73"/>
      <x:c r="V244" s="73"/>
      <x:c r="W244" s="73"/>
      <x:c r="X244" s="73"/>
      <x:c r="Y244" s="73"/>
      <x:c r="Z244" s="73"/>
      <x:c r="AA244" s="73"/>
      <x:c r="AB244" s="76" t="str">
        <x:f>IF(A244="","",IF(OR(NOT(ISNUMBER(I244)),I244&lt;0,NOT(ISNUMBER(AP244)),AP244&lt;0,NOT(ISNUMBER(L244)),L244&lt;1,L244&gt;5,L244&lt;&gt;INT(L244),AND(J244&lt;&gt;"Public",J244&lt;&gt;"Partner",J244&lt;&gt;"Internal",J244&lt;&gt;"None"),AND(K244&lt;&gt;"High",K244&lt;&gt;"Medium",K244&lt;&gt;"Low",K244&lt;&gt;"None"),AND(W244&lt;&gt;"Hard-coded",W244&lt;&gt;"Configurable",W244&lt;&gt;"Policy-managed",W244&lt;&gt;"API/Library abstraction",W244&lt;&gt;"Automated"),AND(Z244&lt;&gt;"Y",Z244&lt;&gt;"N"),AND(AA244&lt;&gt;"Y",AA244&lt;&gt;"N")),"Incomplete",IF(Z244="Y",20,0)+L244*5+IF(AA244="Y",15,0)+IF(J244="Public",10,IF(J244="Partner",7,IF(J244="Internal",3,0)))+IF(W244="Hard-coded",10,IF(W244="Configurable",3,0))+IF(MAX(I244,AP244)&gt;=10,10,IF(MAX(I244,AP244)&gt;=5,7,IF(MAX(I244,AP244)&gt;=2,3,0)))+IF(K244="High",10,IF(K244="Medium",5,0))))</x:f>
      </x:c>
      <x:c r="AC244" s="73" t="str">
        <x:f>IF(A244="","",IF(NOT(ISNUMBER(AB244)),"Review inputs",IF(AB244&gt;=70,"P0 - Immediate",IF(AB244&gt;=50,"P1 - High",IF(AB244&gt;=30,"P2 - Medium",IF(AB244&gt;=15,"P3 - Low","P4 - Monitor"))))))</x:f>
      </x:c>
      <x:c r="AD244" s="73"/>
      <x:c r="AE244" s="73"/>
      <x:c r="AF244" s="73"/>
      <x:c r="AG244" s="77"/>
      <x:c r="AH244" s="73"/>
      <x:c r="AI244" s="91"/>
      <x:c r="AJ244" s="91"/>
      <x:c r="AK244" s="91"/>
      <x:c r="AL244" s="92"/>
      <x:c r="AM244" s="91"/>
      <x:c r="AN244" s="91"/>
      <x:c r="AO244" s="93"/>
      <x:c r="AP244" s="94"/>
      <x:c r="AQ244" s="91"/>
      <x:c r="AR244" s="91"/>
      <x:c r="AS244" s="91"/>
      <x:c r="AT244" s="91"/>
      <x:c r="AU244" s="91"/>
      <x:c r="AV244" s="91"/>
      <x:c r="AW244" s="91"/>
      <x:c r="AX244" s="91"/>
      <x:c r="AY244" s="91"/>
      <x:c r="AZ244" s="92"/>
      <x:c r="BA244" s="94"/>
      <x:c r="BB244" s="91"/>
      <x:c r="BC244" s="92"/>
      <x:c r="BD244" s="92"/>
      <x:c r="BE244" s="91"/>
      <x:c r="BF244" s="91"/>
      <x:c r="BG244" s="91"/>
      <x:c r="BH244" s="91"/>
      <x:c r="BI244" s="91"/>
      <x:c r="BJ244" s="91"/>
      <x:c r="BK244" s="91"/>
      <x:c r="BL244" s="91"/>
      <x:c r="BM244" s="73" t="str">
        <x:f>IF(A244="","",IF(AI244="Example","Example only",IF(AI244&lt;&gt;"Actual","Set record type",IF(COUNTIF($A$2:$A$1001,A244)&gt;1,"Duplicate record ID",IF(OR(D244="",E244="",AF244="",NOT(ISNUMBER(AG244)),AJ244="",AK244="",NOT(ISNUMBER(AL244)),AND(AM244&lt;&gt;"Observed",AM244&lt;&gt;"Corroborated",AM244&lt;&gt;"Declared"),OR(AN244="",AN244="Unknown"),OR(AQ244="",AQ244="Unknown"),OR(AR244="",AR244="Unknown",AR244="TBD"),OR(BC244="",NOT(ISNUMBER(BC244)))),"Evidence incomplete","Evidence recorded; review scope")))))</x:f>
      </x:c>
      <x:c r="BN244" s="73"/>
    </x:row>
    <x:row r="245" ht="34" customHeight="1">
      <x:c r="A245" s="73"/>
      <x:c r="B245" s="73"/>
      <x:c r="C245" s="73"/>
      <x:c r="D245" s="73"/>
      <x:c r="E245" s="73"/>
      <x:c r="F245" s="73"/>
      <x:c r="G245" s="73"/>
      <x:c r="H245" s="73"/>
      <x:c r="I245" s="75"/>
      <x:c r="J245" s="73"/>
      <x:c r="K245" s="73"/>
      <x:c r="L245" s="76"/>
      <x:c r="M245" s="73"/>
      <x:c r="N245" s="73"/>
      <x:c r="O245" s="73"/>
      <x:c r="P245" s="73"/>
      <x:c r="Q245" s="76"/>
      <x:c r="R245" s="73"/>
      <x:c r="S245" s="73"/>
      <x:c r="T245" s="73"/>
      <x:c r="U245" s="73"/>
      <x:c r="V245" s="73"/>
      <x:c r="W245" s="73"/>
      <x:c r="X245" s="73"/>
      <x:c r="Y245" s="73"/>
      <x:c r="Z245" s="73"/>
      <x:c r="AA245" s="73"/>
      <x:c r="AB245" s="76" t="str">
        <x:f>IF(A245="","",IF(OR(NOT(ISNUMBER(I245)),I245&lt;0,NOT(ISNUMBER(AP245)),AP245&lt;0,NOT(ISNUMBER(L245)),L245&lt;1,L245&gt;5,L245&lt;&gt;INT(L245),AND(J245&lt;&gt;"Public",J245&lt;&gt;"Partner",J245&lt;&gt;"Internal",J245&lt;&gt;"None"),AND(K245&lt;&gt;"High",K245&lt;&gt;"Medium",K245&lt;&gt;"Low",K245&lt;&gt;"None"),AND(W245&lt;&gt;"Hard-coded",W245&lt;&gt;"Configurable",W245&lt;&gt;"Policy-managed",W245&lt;&gt;"API/Library abstraction",W245&lt;&gt;"Automated"),AND(Z245&lt;&gt;"Y",Z245&lt;&gt;"N"),AND(AA245&lt;&gt;"Y",AA245&lt;&gt;"N")),"Incomplete",IF(Z245="Y",20,0)+L245*5+IF(AA245="Y",15,0)+IF(J245="Public",10,IF(J245="Partner",7,IF(J245="Internal",3,0)))+IF(W245="Hard-coded",10,IF(W245="Configurable",3,0))+IF(MAX(I245,AP245)&gt;=10,10,IF(MAX(I245,AP245)&gt;=5,7,IF(MAX(I245,AP245)&gt;=2,3,0)))+IF(K245="High",10,IF(K245="Medium",5,0))))</x:f>
      </x:c>
      <x:c r="AC245" s="73" t="str">
        <x:f>IF(A245="","",IF(NOT(ISNUMBER(AB245)),"Review inputs",IF(AB245&gt;=70,"P0 - Immediate",IF(AB245&gt;=50,"P1 - High",IF(AB245&gt;=30,"P2 - Medium",IF(AB245&gt;=15,"P3 - Low","P4 - Monitor"))))))</x:f>
      </x:c>
      <x:c r="AD245" s="73"/>
      <x:c r="AE245" s="73"/>
      <x:c r="AF245" s="73"/>
      <x:c r="AG245" s="77"/>
      <x:c r="AH245" s="73"/>
      <x:c r="AI245" s="91"/>
      <x:c r="AJ245" s="91"/>
      <x:c r="AK245" s="91"/>
      <x:c r="AL245" s="92"/>
      <x:c r="AM245" s="91"/>
      <x:c r="AN245" s="91"/>
      <x:c r="AO245" s="93"/>
      <x:c r="AP245" s="94"/>
      <x:c r="AQ245" s="91"/>
      <x:c r="AR245" s="91"/>
      <x:c r="AS245" s="91"/>
      <x:c r="AT245" s="91"/>
      <x:c r="AU245" s="91"/>
      <x:c r="AV245" s="91"/>
      <x:c r="AW245" s="91"/>
      <x:c r="AX245" s="91"/>
      <x:c r="AY245" s="91"/>
      <x:c r="AZ245" s="92"/>
      <x:c r="BA245" s="94"/>
      <x:c r="BB245" s="91"/>
      <x:c r="BC245" s="92"/>
      <x:c r="BD245" s="92"/>
      <x:c r="BE245" s="91"/>
      <x:c r="BF245" s="91"/>
      <x:c r="BG245" s="91"/>
      <x:c r="BH245" s="91"/>
      <x:c r="BI245" s="91"/>
      <x:c r="BJ245" s="91"/>
      <x:c r="BK245" s="91"/>
      <x:c r="BL245" s="91"/>
      <x:c r="BM245" s="73" t="str">
        <x:f>IF(A245="","",IF(AI245="Example","Example only",IF(AI245&lt;&gt;"Actual","Set record type",IF(COUNTIF($A$2:$A$1001,A245)&gt;1,"Duplicate record ID",IF(OR(D245="",E245="",AF245="",NOT(ISNUMBER(AG245)),AJ245="",AK245="",NOT(ISNUMBER(AL245)),AND(AM245&lt;&gt;"Observed",AM245&lt;&gt;"Corroborated",AM245&lt;&gt;"Declared"),OR(AN245="",AN245="Unknown"),OR(AQ245="",AQ245="Unknown"),OR(AR245="",AR245="Unknown",AR245="TBD"),OR(BC245="",NOT(ISNUMBER(BC245)))),"Evidence incomplete","Evidence recorded; review scope")))))</x:f>
      </x:c>
      <x:c r="BN245" s="73"/>
    </x:row>
    <x:row r="246" ht="34" customHeight="1">
      <x:c r="A246" s="73"/>
      <x:c r="B246" s="73"/>
      <x:c r="C246" s="73"/>
      <x:c r="D246" s="73"/>
      <x:c r="E246" s="73"/>
      <x:c r="F246" s="73"/>
      <x:c r="G246" s="73"/>
      <x:c r="H246" s="73"/>
      <x:c r="I246" s="75"/>
      <x:c r="J246" s="73"/>
      <x:c r="K246" s="73"/>
      <x:c r="L246" s="76"/>
      <x:c r="M246" s="73"/>
      <x:c r="N246" s="73"/>
      <x:c r="O246" s="73"/>
      <x:c r="P246" s="73"/>
      <x:c r="Q246" s="76"/>
      <x:c r="R246" s="73"/>
      <x:c r="S246" s="73"/>
      <x:c r="T246" s="73"/>
      <x:c r="U246" s="73"/>
      <x:c r="V246" s="73"/>
      <x:c r="W246" s="73"/>
      <x:c r="X246" s="73"/>
      <x:c r="Y246" s="73"/>
      <x:c r="Z246" s="73"/>
      <x:c r="AA246" s="73"/>
      <x:c r="AB246" s="76" t="str">
        <x:f>IF(A246="","",IF(OR(NOT(ISNUMBER(I246)),I246&lt;0,NOT(ISNUMBER(AP246)),AP246&lt;0,NOT(ISNUMBER(L246)),L246&lt;1,L246&gt;5,L246&lt;&gt;INT(L246),AND(J246&lt;&gt;"Public",J246&lt;&gt;"Partner",J246&lt;&gt;"Internal",J246&lt;&gt;"None"),AND(K246&lt;&gt;"High",K246&lt;&gt;"Medium",K246&lt;&gt;"Low",K246&lt;&gt;"None"),AND(W246&lt;&gt;"Hard-coded",W246&lt;&gt;"Configurable",W246&lt;&gt;"Policy-managed",W246&lt;&gt;"API/Library abstraction",W246&lt;&gt;"Automated"),AND(Z246&lt;&gt;"Y",Z246&lt;&gt;"N"),AND(AA246&lt;&gt;"Y",AA246&lt;&gt;"N")),"Incomplete",IF(Z246="Y",20,0)+L246*5+IF(AA246="Y",15,0)+IF(J246="Public",10,IF(J246="Partner",7,IF(J246="Internal",3,0)))+IF(W246="Hard-coded",10,IF(W246="Configurable",3,0))+IF(MAX(I246,AP246)&gt;=10,10,IF(MAX(I246,AP246)&gt;=5,7,IF(MAX(I246,AP246)&gt;=2,3,0)))+IF(K246="High",10,IF(K246="Medium",5,0))))</x:f>
      </x:c>
      <x:c r="AC246" s="73" t="str">
        <x:f>IF(A246="","",IF(NOT(ISNUMBER(AB246)),"Review inputs",IF(AB246&gt;=70,"P0 - Immediate",IF(AB246&gt;=50,"P1 - High",IF(AB246&gt;=30,"P2 - Medium",IF(AB246&gt;=15,"P3 - Low","P4 - Monitor"))))))</x:f>
      </x:c>
      <x:c r="AD246" s="73"/>
      <x:c r="AE246" s="73"/>
      <x:c r="AF246" s="73"/>
      <x:c r="AG246" s="77"/>
      <x:c r="AH246" s="73"/>
      <x:c r="AI246" s="91"/>
      <x:c r="AJ246" s="91"/>
      <x:c r="AK246" s="91"/>
      <x:c r="AL246" s="92"/>
      <x:c r="AM246" s="91"/>
      <x:c r="AN246" s="91"/>
      <x:c r="AO246" s="93"/>
      <x:c r="AP246" s="94"/>
      <x:c r="AQ246" s="91"/>
      <x:c r="AR246" s="91"/>
      <x:c r="AS246" s="91"/>
      <x:c r="AT246" s="91"/>
      <x:c r="AU246" s="91"/>
      <x:c r="AV246" s="91"/>
      <x:c r="AW246" s="91"/>
      <x:c r="AX246" s="91"/>
      <x:c r="AY246" s="91"/>
      <x:c r="AZ246" s="92"/>
      <x:c r="BA246" s="94"/>
      <x:c r="BB246" s="91"/>
      <x:c r="BC246" s="92"/>
      <x:c r="BD246" s="92"/>
      <x:c r="BE246" s="91"/>
      <x:c r="BF246" s="91"/>
      <x:c r="BG246" s="91"/>
      <x:c r="BH246" s="91"/>
      <x:c r="BI246" s="91"/>
      <x:c r="BJ246" s="91"/>
      <x:c r="BK246" s="91"/>
      <x:c r="BL246" s="91"/>
      <x:c r="BM246" s="73" t="str">
        <x:f>IF(A246="","",IF(AI246="Example","Example only",IF(AI246&lt;&gt;"Actual","Set record type",IF(COUNTIF($A$2:$A$1001,A246)&gt;1,"Duplicate record ID",IF(OR(D246="",E246="",AF246="",NOT(ISNUMBER(AG246)),AJ246="",AK246="",NOT(ISNUMBER(AL246)),AND(AM246&lt;&gt;"Observed",AM246&lt;&gt;"Corroborated",AM246&lt;&gt;"Declared"),OR(AN246="",AN246="Unknown"),OR(AQ246="",AQ246="Unknown"),OR(AR246="",AR246="Unknown",AR246="TBD"),OR(BC246="",NOT(ISNUMBER(BC246)))),"Evidence incomplete","Evidence recorded; review scope")))))</x:f>
      </x:c>
      <x:c r="BN246" s="73"/>
    </x:row>
    <x:row r="247" ht="34" customHeight="1">
      <x:c r="A247" s="73"/>
      <x:c r="B247" s="73"/>
      <x:c r="C247" s="73"/>
      <x:c r="D247" s="73"/>
      <x:c r="E247" s="73"/>
      <x:c r="F247" s="73"/>
      <x:c r="G247" s="73"/>
      <x:c r="H247" s="73"/>
      <x:c r="I247" s="75"/>
      <x:c r="J247" s="73"/>
      <x:c r="K247" s="73"/>
      <x:c r="L247" s="76"/>
      <x:c r="M247" s="73"/>
      <x:c r="N247" s="73"/>
      <x:c r="O247" s="73"/>
      <x:c r="P247" s="73"/>
      <x:c r="Q247" s="76"/>
      <x:c r="R247" s="73"/>
      <x:c r="S247" s="73"/>
      <x:c r="T247" s="73"/>
      <x:c r="U247" s="73"/>
      <x:c r="V247" s="73"/>
      <x:c r="W247" s="73"/>
      <x:c r="X247" s="73"/>
      <x:c r="Y247" s="73"/>
      <x:c r="Z247" s="73"/>
      <x:c r="AA247" s="73"/>
      <x:c r="AB247" s="76" t="str">
        <x:f>IF(A247="","",IF(OR(NOT(ISNUMBER(I247)),I247&lt;0,NOT(ISNUMBER(AP247)),AP247&lt;0,NOT(ISNUMBER(L247)),L247&lt;1,L247&gt;5,L247&lt;&gt;INT(L247),AND(J247&lt;&gt;"Public",J247&lt;&gt;"Partner",J247&lt;&gt;"Internal",J247&lt;&gt;"None"),AND(K247&lt;&gt;"High",K247&lt;&gt;"Medium",K247&lt;&gt;"Low",K247&lt;&gt;"None"),AND(W247&lt;&gt;"Hard-coded",W247&lt;&gt;"Configurable",W247&lt;&gt;"Policy-managed",W247&lt;&gt;"API/Library abstraction",W247&lt;&gt;"Automated"),AND(Z247&lt;&gt;"Y",Z247&lt;&gt;"N"),AND(AA247&lt;&gt;"Y",AA247&lt;&gt;"N")),"Incomplete",IF(Z247="Y",20,0)+L247*5+IF(AA247="Y",15,0)+IF(J247="Public",10,IF(J247="Partner",7,IF(J247="Internal",3,0)))+IF(W247="Hard-coded",10,IF(W247="Configurable",3,0))+IF(MAX(I247,AP247)&gt;=10,10,IF(MAX(I247,AP247)&gt;=5,7,IF(MAX(I247,AP247)&gt;=2,3,0)))+IF(K247="High",10,IF(K247="Medium",5,0))))</x:f>
      </x:c>
      <x:c r="AC247" s="73" t="str">
        <x:f>IF(A247="","",IF(NOT(ISNUMBER(AB247)),"Review inputs",IF(AB247&gt;=70,"P0 - Immediate",IF(AB247&gt;=50,"P1 - High",IF(AB247&gt;=30,"P2 - Medium",IF(AB247&gt;=15,"P3 - Low","P4 - Monitor"))))))</x:f>
      </x:c>
      <x:c r="AD247" s="73"/>
      <x:c r="AE247" s="73"/>
      <x:c r="AF247" s="73"/>
      <x:c r="AG247" s="77"/>
      <x:c r="AH247" s="73"/>
      <x:c r="AI247" s="91"/>
      <x:c r="AJ247" s="91"/>
      <x:c r="AK247" s="91"/>
      <x:c r="AL247" s="92"/>
      <x:c r="AM247" s="91"/>
      <x:c r="AN247" s="91"/>
      <x:c r="AO247" s="93"/>
      <x:c r="AP247" s="94"/>
      <x:c r="AQ247" s="91"/>
      <x:c r="AR247" s="91"/>
      <x:c r="AS247" s="91"/>
      <x:c r="AT247" s="91"/>
      <x:c r="AU247" s="91"/>
      <x:c r="AV247" s="91"/>
      <x:c r="AW247" s="91"/>
      <x:c r="AX247" s="91"/>
      <x:c r="AY247" s="91"/>
      <x:c r="AZ247" s="92"/>
      <x:c r="BA247" s="94"/>
      <x:c r="BB247" s="91"/>
      <x:c r="BC247" s="92"/>
      <x:c r="BD247" s="92"/>
      <x:c r="BE247" s="91"/>
      <x:c r="BF247" s="91"/>
      <x:c r="BG247" s="91"/>
      <x:c r="BH247" s="91"/>
      <x:c r="BI247" s="91"/>
      <x:c r="BJ247" s="91"/>
      <x:c r="BK247" s="91"/>
      <x:c r="BL247" s="91"/>
      <x:c r="BM247" s="73" t="str">
        <x:f>IF(A247="","",IF(AI247="Example","Example only",IF(AI247&lt;&gt;"Actual","Set record type",IF(COUNTIF($A$2:$A$1001,A247)&gt;1,"Duplicate record ID",IF(OR(D247="",E247="",AF247="",NOT(ISNUMBER(AG247)),AJ247="",AK247="",NOT(ISNUMBER(AL247)),AND(AM247&lt;&gt;"Observed",AM247&lt;&gt;"Corroborated",AM247&lt;&gt;"Declared"),OR(AN247="",AN247="Unknown"),OR(AQ247="",AQ247="Unknown"),OR(AR247="",AR247="Unknown",AR247="TBD"),OR(BC247="",NOT(ISNUMBER(BC247)))),"Evidence incomplete","Evidence recorded; review scope")))))</x:f>
      </x:c>
      <x:c r="BN247" s="73"/>
    </x:row>
    <x:row r="248" ht="34" customHeight="1">
      <x:c r="A248" s="73"/>
      <x:c r="B248" s="73"/>
      <x:c r="C248" s="73"/>
      <x:c r="D248" s="73"/>
      <x:c r="E248" s="73"/>
      <x:c r="F248" s="73"/>
      <x:c r="G248" s="73"/>
      <x:c r="H248" s="73"/>
      <x:c r="I248" s="75"/>
      <x:c r="J248" s="73"/>
      <x:c r="K248" s="73"/>
      <x:c r="L248" s="76"/>
      <x:c r="M248" s="73"/>
      <x:c r="N248" s="73"/>
      <x:c r="O248" s="73"/>
      <x:c r="P248" s="73"/>
      <x:c r="Q248" s="76"/>
      <x:c r="R248" s="73"/>
      <x:c r="S248" s="73"/>
      <x:c r="T248" s="73"/>
      <x:c r="U248" s="73"/>
      <x:c r="V248" s="73"/>
      <x:c r="W248" s="73"/>
      <x:c r="X248" s="73"/>
      <x:c r="Y248" s="73"/>
      <x:c r="Z248" s="73"/>
      <x:c r="AA248" s="73"/>
      <x:c r="AB248" s="76" t="str">
        <x:f>IF(A248="","",IF(OR(NOT(ISNUMBER(I248)),I248&lt;0,NOT(ISNUMBER(AP248)),AP248&lt;0,NOT(ISNUMBER(L248)),L248&lt;1,L248&gt;5,L248&lt;&gt;INT(L248),AND(J248&lt;&gt;"Public",J248&lt;&gt;"Partner",J248&lt;&gt;"Internal",J248&lt;&gt;"None"),AND(K248&lt;&gt;"High",K248&lt;&gt;"Medium",K248&lt;&gt;"Low",K248&lt;&gt;"None"),AND(W248&lt;&gt;"Hard-coded",W248&lt;&gt;"Configurable",W248&lt;&gt;"Policy-managed",W248&lt;&gt;"API/Library abstraction",W248&lt;&gt;"Automated"),AND(Z248&lt;&gt;"Y",Z248&lt;&gt;"N"),AND(AA248&lt;&gt;"Y",AA248&lt;&gt;"N")),"Incomplete",IF(Z248="Y",20,0)+L248*5+IF(AA248="Y",15,0)+IF(J248="Public",10,IF(J248="Partner",7,IF(J248="Internal",3,0)))+IF(W248="Hard-coded",10,IF(W248="Configurable",3,0))+IF(MAX(I248,AP248)&gt;=10,10,IF(MAX(I248,AP248)&gt;=5,7,IF(MAX(I248,AP248)&gt;=2,3,0)))+IF(K248="High",10,IF(K248="Medium",5,0))))</x:f>
      </x:c>
      <x:c r="AC248" s="73" t="str">
        <x:f>IF(A248="","",IF(NOT(ISNUMBER(AB248)),"Review inputs",IF(AB248&gt;=70,"P0 - Immediate",IF(AB248&gt;=50,"P1 - High",IF(AB248&gt;=30,"P2 - Medium",IF(AB248&gt;=15,"P3 - Low","P4 - Monitor"))))))</x:f>
      </x:c>
      <x:c r="AD248" s="73"/>
      <x:c r="AE248" s="73"/>
      <x:c r="AF248" s="73"/>
      <x:c r="AG248" s="77"/>
      <x:c r="AH248" s="73"/>
      <x:c r="AI248" s="91"/>
      <x:c r="AJ248" s="91"/>
      <x:c r="AK248" s="91"/>
      <x:c r="AL248" s="92"/>
      <x:c r="AM248" s="91"/>
      <x:c r="AN248" s="91"/>
      <x:c r="AO248" s="93"/>
      <x:c r="AP248" s="94"/>
      <x:c r="AQ248" s="91"/>
      <x:c r="AR248" s="91"/>
      <x:c r="AS248" s="91"/>
      <x:c r="AT248" s="91"/>
      <x:c r="AU248" s="91"/>
      <x:c r="AV248" s="91"/>
      <x:c r="AW248" s="91"/>
      <x:c r="AX248" s="91"/>
      <x:c r="AY248" s="91"/>
      <x:c r="AZ248" s="92"/>
      <x:c r="BA248" s="94"/>
      <x:c r="BB248" s="91"/>
      <x:c r="BC248" s="92"/>
      <x:c r="BD248" s="92"/>
      <x:c r="BE248" s="91"/>
      <x:c r="BF248" s="91"/>
      <x:c r="BG248" s="91"/>
      <x:c r="BH248" s="91"/>
      <x:c r="BI248" s="91"/>
      <x:c r="BJ248" s="91"/>
      <x:c r="BK248" s="91"/>
      <x:c r="BL248" s="91"/>
      <x:c r="BM248" s="73" t="str">
        <x:f>IF(A248="","",IF(AI248="Example","Example only",IF(AI248&lt;&gt;"Actual","Set record type",IF(COUNTIF($A$2:$A$1001,A248)&gt;1,"Duplicate record ID",IF(OR(D248="",E248="",AF248="",NOT(ISNUMBER(AG248)),AJ248="",AK248="",NOT(ISNUMBER(AL248)),AND(AM248&lt;&gt;"Observed",AM248&lt;&gt;"Corroborated",AM248&lt;&gt;"Declared"),OR(AN248="",AN248="Unknown"),OR(AQ248="",AQ248="Unknown"),OR(AR248="",AR248="Unknown",AR248="TBD"),OR(BC248="",NOT(ISNUMBER(BC248)))),"Evidence incomplete","Evidence recorded; review scope")))))</x:f>
      </x:c>
      <x:c r="BN248" s="73"/>
    </x:row>
    <x:row r="249" ht="34" customHeight="1">
      <x:c r="A249" s="73"/>
      <x:c r="B249" s="73"/>
      <x:c r="C249" s="73"/>
      <x:c r="D249" s="73"/>
      <x:c r="E249" s="73"/>
      <x:c r="F249" s="73"/>
      <x:c r="G249" s="73"/>
      <x:c r="H249" s="73"/>
      <x:c r="I249" s="75"/>
      <x:c r="J249" s="73"/>
      <x:c r="K249" s="73"/>
      <x:c r="L249" s="76"/>
      <x:c r="M249" s="73"/>
      <x:c r="N249" s="73"/>
      <x:c r="O249" s="73"/>
      <x:c r="P249" s="73"/>
      <x:c r="Q249" s="76"/>
      <x:c r="R249" s="73"/>
      <x:c r="S249" s="73"/>
      <x:c r="T249" s="73"/>
      <x:c r="U249" s="73"/>
      <x:c r="V249" s="73"/>
      <x:c r="W249" s="73"/>
      <x:c r="X249" s="73"/>
      <x:c r="Y249" s="73"/>
      <x:c r="Z249" s="73"/>
      <x:c r="AA249" s="73"/>
      <x:c r="AB249" s="76" t="str">
        <x:f>IF(A249="","",IF(OR(NOT(ISNUMBER(I249)),I249&lt;0,NOT(ISNUMBER(AP249)),AP249&lt;0,NOT(ISNUMBER(L249)),L249&lt;1,L249&gt;5,L249&lt;&gt;INT(L249),AND(J249&lt;&gt;"Public",J249&lt;&gt;"Partner",J249&lt;&gt;"Internal",J249&lt;&gt;"None"),AND(K249&lt;&gt;"High",K249&lt;&gt;"Medium",K249&lt;&gt;"Low",K249&lt;&gt;"None"),AND(W249&lt;&gt;"Hard-coded",W249&lt;&gt;"Configurable",W249&lt;&gt;"Policy-managed",W249&lt;&gt;"API/Library abstraction",W249&lt;&gt;"Automated"),AND(Z249&lt;&gt;"Y",Z249&lt;&gt;"N"),AND(AA249&lt;&gt;"Y",AA249&lt;&gt;"N")),"Incomplete",IF(Z249="Y",20,0)+L249*5+IF(AA249="Y",15,0)+IF(J249="Public",10,IF(J249="Partner",7,IF(J249="Internal",3,0)))+IF(W249="Hard-coded",10,IF(W249="Configurable",3,0))+IF(MAX(I249,AP249)&gt;=10,10,IF(MAX(I249,AP249)&gt;=5,7,IF(MAX(I249,AP249)&gt;=2,3,0)))+IF(K249="High",10,IF(K249="Medium",5,0))))</x:f>
      </x:c>
      <x:c r="AC249" s="73" t="str">
        <x:f>IF(A249="","",IF(NOT(ISNUMBER(AB249)),"Review inputs",IF(AB249&gt;=70,"P0 - Immediate",IF(AB249&gt;=50,"P1 - High",IF(AB249&gt;=30,"P2 - Medium",IF(AB249&gt;=15,"P3 - Low","P4 - Monitor"))))))</x:f>
      </x:c>
      <x:c r="AD249" s="73"/>
      <x:c r="AE249" s="73"/>
      <x:c r="AF249" s="73"/>
      <x:c r="AG249" s="77"/>
      <x:c r="AH249" s="73"/>
      <x:c r="AI249" s="91"/>
      <x:c r="AJ249" s="91"/>
      <x:c r="AK249" s="91"/>
      <x:c r="AL249" s="92"/>
      <x:c r="AM249" s="91"/>
      <x:c r="AN249" s="91"/>
      <x:c r="AO249" s="93"/>
      <x:c r="AP249" s="94"/>
      <x:c r="AQ249" s="91"/>
      <x:c r="AR249" s="91"/>
      <x:c r="AS249" s="91"/>
      <x:c r="AT249" s="91"/>
      <x:c r="AU249" s="91"/>
      <x:c r="AV249" s="91"/>
      <x:c r="AW249" s="91"/>
      <x:c r="AX249" s="91"/>
      <x:c r="AY249" s="91"/>
      <x:c r="AZ249" s="92"/>
      <x:c r="BA249" s="94"/>
      <x:c r="BB249" s="91"/>
      <x:c r="BC249" s="92"/>
      <x:c r="BD249" s="92"/>
      <x:c r="BE249" s="91"/>
      <x:c r="BF249" s="91"/>
      <x:c r="BG249" s="91"/>
      <x:c r="BH249" s="91"/>
      <x:c r="BI249" s="91"/>
      <x:c r="BJ249" s="91"/>
      <x:c r="BK249" s="91"/>
      <x:c r="BL249" s="91"/>
      <x:c r="BM249" s="73" t="str">
        <x:f>IF(A249="","",IF(AI249="Example","Example only",IF(AI249&lt;&gt;"Actual","Set record type",IF(COUNTIF($A$2:$A$1001,A249)&gt;1,"Duplicate record ID",IF(OR(D249="",E249="",AF249="",NOT(ISNUMBER(AG249)),AJ249="",AK249="",NOT(ISNUMBER(AL249)),AND(AM249&lt;&gt;"Observed",AM249&lt;&gt;"Corroborated",AM249&lt;&gt;"Declared"),OR(AN249="",AN249="Unknown"),OR(AQ249="",AQ249="Unknown"),OR(AR249="",AR249="Unknown",AR249="TBD"),OR(BC249="",NOT(ISNUMBER(BC249)))),"Evidence incomplete","Evidence recorded; review scope")))))</x:f>
      </x:c>
      <x:c r="BN249" s="73"/>
    </x:row>
    <x:row r="250" ht="34" customHeight="1">
      <x:c r="A250" s="73"/>
      <x:c r="B250" s="73"/>
      <x:c r="C250" s="73"/>
      <x:c r="D250" s="73"/>
      <x:c r="E250" s="73"/>
      <x:c r="F250" s="73"/>
      <x:c r="G250" s="73"/>
      <x:c r="H250" s="73"/>
      <x:c r="I250" s="75"/>
      <x:c r="J250" s="73"/>
      <x:c r="K250" s="73"/>
      <x:c r="L250" s="76"/>
      <x:c r="M250" s="73"/>
      <x:c r="N250" s="73"/>
      <x:c r="O250" s="73"/>
      <x:c r="P250" s="73"/>
      <x:c r="Q250" s="76"/>
      <x:c r="R250" s="73"/>
      <x:c r="S250" s="73"/>
      <x:c r="T250" s="73"/>
      <x:c r="U250" s="73"/>
      <x:c r="V250" s="73"/>
      <x:c r="W250" s="73"/>
      <x:c r="X250" s="73"/>
      <x:c r="Y250" s="73"/>
      <x:c r="Z250" s="73"/>
      <x:c r="AA250" s="73"/>
      <x:c r="AB250" s="76" t="str">
        <x:f>IF(A250="","",IF(OR(NOT(ISNUMBER(I250)),I250&lt;0,NOT(ISNUMBER(AP250)),AP250&lt;0,NOT(ISNUMBER(L250)),L250&lt;1,L250&gt;5,L250&lt;&gt;INT(L250),AND(J250&lt;&gt;"Public",J250&lt;&gt;"Partner",J250&lt;&gt;"Internal",J250&lt;&gt;"None"),AND(K250&lt;&gt;"High",K250&lt;&gt;"Medium",K250&lt;&gt;"Low",K250&lt;&gt;"None"),AND(W250&lt;&gt;"Hard-coded",W250&lt;&gt;"Configurable",W250&lt;&gt;"Policy-managed",W250&lt;&gt;"API/Library abstraction",W250&lt;&gt;"Automated"),AND(Z250&lt;&gt;"Y",Z250&lt;&gt;"N"),AND(AA250&lt;&gt;"Y",AA250&lt;&gt;"N")),"Incomplete",IF(Z250="Y",20,0)+L250*5+IF(AA250="Y",15,0)+IF(J250="Public",10,IF(J250="Partner",7,IF(J250="Internal",3,0)))+IF(W250="Hard-coded",10,IF(W250="Configurable",3,0))+IF(MAX(I250,AP250)&gt;=10,10,IF(MAX(I250,AP250)&gt;=5,7,IF(MAX(I250,AP250)&gt;=2,3,0)))+IF(K250="High",10,IF(K250="Medium",5,0))))</x:f>
      </x:c>
      <x:c r="AC250" s="73" t="str">
        <x:f>IF(A250="","",IF(NOT(ISNUMBER(AB250)),"Review inputs",IF(AB250&gt;=70,"P0 - Immediate",IF(AB250&gt;=50,"P1 - High",IF(AB250&gt;=30,"P2 - Medium",IF(AB250&gt;=15,"P3 - Low","P4 - Monitor"))))))</x:f>
      </x:c>
      <x:c r="AD250" s="73"/>
      <x:c r="AE250" s="73"/>
      <x:c r="AF250" s="73"/>
      <x:c r="AG250" s="77"/>
      <x:c r="AH250" s="73"/>
      <x:c r="AI250" s="91"/>
      <x:c r="AJ250" s="91"/>
      <x:c r="AK250" s="91"/>
      <x:c r="AL250" s="92"/>
      <x:c r="AM250" s="91"/>
      <x:c r="AN250" s="91"/>
      <x:c r="AO250" s="93"/>
      <x:c r="AP250" s="94"/>
      <x:c r="AQ250" s="91"/>
      <x:c r="AR250" s="91"/>
      <x:c r="AS250" s="91"/>
      <x:c r="AT250" s="91"/>
      <x:c r="AU250" s="91"/>
      <x:c r="AV250" s="91"/>
      <x:c r="AW250" s="91"/>
      <x:c r="AX250" s="91"/>
      <x:c r="AY250" s="91"/>
      <x:c r="AZ250" s="92"/>
      <x:c r="BA250" s="94"/>
      <x:c r="BB250" s="91"/>
      <x:c r="BC250" s="92"/>
      <x:c r="BD250" s="92"/>
      <x:c r="BE250" s="91"/>
      <x:c r="BF250" s="91"/>
      <x:c r="BG250" s="91"/>
      <x:c r="BH250" s="91"/>
      <x:c r="BI250" s="91"/>
      <x:c r="BJ250" s="91"/>
      <x:c r="BK250" s="91"/>
      <x:c r="BL250" s="91"/>
      <x:c r="BM250" s="73" t="str">
        <x:f>IF(A250="","",IF(AI250="Example","Example only",IF(AI250&lt;&gt;"Actual","Set record type",IF(COUNTIF($A$2:$A$1001,A250)&gt;1,"Duplicate record ID",IF(OR(D250="",E250="",AF250="",NOT(ISNUMBER(AG250)),AJ250="",AK250="",NOT(ISNUMBER(AL250)),AND(AM250&lt;&gt;"Observed",AM250&lt;&gt;"Corroborated",AM250&lt;&gt;"Declared"),OR(AN250="",AN250="Unknown"),OR(AQ250="",AQ250="Unknown"),OR(AR250="",AR250="Unknown",AR250="TBD"),OR(BC250="",NOT(ISNUMBER(BC250)))),"Evidence incomplete","Evidence recorded; review scope")))))</x:f>
      </x:c>
      <x:c r="BN250" s="73"/>
    </x:row>
    <x:row r="251" ht="34" customHeight="1">
      <x:c r="A251" s="73"/>
      <x:c r="B251" s="73"/>
      <x:c r="C251" s="73"/>
      <x:c r="D251" s="73"/>
      <x:c r="E251" s="73"/>
      <x:c r="F251" s="73"/>
      <x:c r="G251" s="73"/>
      <x:c r="H251" s="73"/>
      <x:c r="I251" s="75"/>
      <x:c r="J251" s="73"/>
      <x:c r="K251" s="73"/>
      <x:c r="L251" s="76"/>
      <x:c r="M251" s="73"/>
      <x:c r="N251" s="73"/>
      <x:c r="O251" s="73"/>
      <x:c r="P251" s="73"/>
      <x:c r="Q251" s="76"/>
      <x:c r="R251" s="73"/>
      <x:c r="S251" s="73"/>
      <x:c r="T251" s="73"/>
      <x:c r="U251" s="73"/>
      <x:c r="V251" s="73"/>
      <x:c r="W251" s="73"/>
      <x:c r="X251" s="73"/>
      <x:c r="Y251" s="73"/>
      <x:c r="Z251" s="73"/>
      <x:c r="AA251" s="73"/>
      <x:c r="AB251" s="76" t="str">
        <x:f>IF(A251="","",IF(OR(NOT(ISNUMBER(I251)),I251&lt;0,NOT(ISNUMBER(AP251)),AP251&lt;0,NOT(ISNUMBER(L251)),L251&lt;1,L251&gt;5,L251&lt;&gt;INT(L251),AND(J251&lt;&gt;"Public",J251&lt;&gt;"Partner",J251&lt;&gt;"Internal",J251&lt;&gt;"None"),AND(K251&lt;&gt;"High",K251&lt;&gt;"Medium",K251&lt;&gt;"Low",K251&lt;&gt;"None"),AND(W251&lt;&gt;"Hard-coded",W251&lt;&gt;"Configurable",W251&lt;&gt;"Policy-managed",W251&lt;&gt;"API/Library abstraction",W251&lt;&gt;"Automated"),AND(Z251&lt;&gt;"Y",Z251&lt;&gt;"N"),AND(AA251&lt;&gt;"Y",AA251&lt;&gt;"N")),"Incomplete",IF(Z251="Y",20,0)+L251*5+IF(AA251="Y",15,0)+IF(J251="Public",10,IF(J251="Partner",7,IF(J251="Internal",3,0)))+IF(W251="Hard-coded",10,IF(W251="Configurable",3,0))+IF(MAX(I251,AP251)&gt;=10,10,IF(MAX(I251,AP251)&gt;=5,7,IF(MAX(I251,AP251)&gt;=2,3,0)))+IF(K251="High",10,IF(K251="Medium",5,0))))</x:f>
      </x:c>
      <x:c r="AC251" s="73" t="str">
        <x:f>IF(A251="","",IF(NOT(ISNUMBER(AB251)),"Review inputs",IF(AB251&gt;=70,"P0 - Immediate",IF(AB251&gt;=50,"P1 - High",IF(AB251&gt;=30,"P2 - Medium",IF(AB251&gt;=15,"P3 - Low","P4 - Monitor"))))))</x:f>
      </x:c>
      <x:c r="AD251" s="73"/>
      <x:c r="AE251" s="73"/>
      <x:c r="AF251" s="73"/>
      <x:c r="AG251" s="77"/>
      <x:c r="AH251" s="73"/>
      <x:c r="AI251" s="91"/>
      <x:c r="AJ251" s="91"/>
      <x:c r="AK251" s="91"/>
      <x:c r="AL251" s="92"/>
      <x:c r="AM251" s="91"/>
      <x:c r="AN251" s="91"/>
      <x:c r="AO251" s="93"/>
      <x:c r="AP251" s="94"/>
      <x:c r="AQ251" s="91"/>
      <x:c r="AR251" s="91"/>
      <x:c r="AS251" s="91"/>
      <x:c r="AT251" s="91"/>
      <x:c r="AU251" s="91"/>
      <x:c r="AV251" s="91"/>
      <x:c r="AW251" s="91"/>
      <x:c r="AX251" s="91"/>
      <x:c r="AY251" s="91"/>
      <x:c r="AZ251" s="92"/>
      <x:c r="BA251" s="94"/>
      <x:c r="BB251" s="91"/>
      <x:c r="BC251" s="92"/>
      <x:c r="BD251" s="92"/>
      <x:c r="BE251" s="91"/>
      <x:c r="BF251" s="91"/>
      <x:c r="BG251" s="91"/>
      <x:c r="BH251" s="91"/>
      <x:c r="BI251" s="91"/>
      <x:c r="BJ251" s="91"/>
      <x:c r="BK251" s="91"/>
      <x:c r="BL251" s="91"/>
      <x:c r="BM251" s="73" t="str">
        <x:f>IF(A251="","",IF(AI251="Example","Example only",IF(AI251&lt;&gt;"Actual","Set record type",IF(COUNTIF($A$2:$A$1001,A251)&gt;1,"Duplicate record ID",IF(OR(D251="",E251="",AF251="",NOT(ISNUMBER(AG251)),AJ251="",AK251="",NOT(ISNUMBER(AL251)),AND(AM251&lt;&gt;"Observed",AM251&lt;&gt;"Corroborated",AM251&lt;&gt;"Declared"),OR(AN251="",AN251="Unknown"),OR(AQ251="",AQ251="Unknown"),OR(AR251="",AR251="Unknown",AR251="TBD"),OR(BC251="",NOT(ISNUMBER(BC251)))),"Evidence incomplete","Evidence recorded; review scope")))))</x:f>
      </x:c>
      <x:c r="BN251" s="73"/>
    </x:row>
    <x:row r="252" ht="34" customHeight="1">
      <x:c r="A252" s="73"/>
      <x:c r="B252" s="73"/>
      <x:c r="C252" s="73"/>
      <x:c r="D252" s="73"/>
      <x:c r="E252" s="73"/>
      <x:c r="F252" s="73"/>
      <x:c r="G252" s="73"/>
      <x:c r="H252" s="73"/>
      <x:c r="I252" s="75"/>
      <x:c r="J252" s="73"/>
      <x:c r="K252" s="73"/>
      <x:c r="L252" s="76"/>
      <x:c r="M252" s="73"/>
      <x:c r="N252" s="73"/>
      <x:c r="O252" s="73"/>
      <x:c r="P252" s="73"/>
      <x:c r="Q252" s="76"/>
      <x:c r="R252" s="73"/>
      <x:c r="S252" s="73"/>
      <x:c r="T252" s="73"/>
      <x:c r="U252" s="73"/>
      <x:c r="V252" s="73"/>
      <x:c r="W252" s="73"/>
      <x:c r="X252" s="73"/>
      <x:c r="Y252" s="73"/>
      <x:c r="Z252" s="73"/>
      <x:c r="AA252" s="73"/>
      <x:c r="AB252" s="76" t="str">
        <x:f>IF(A252="","",IF(OR(NOT(ISNUMBER(I252)),I252&lt;0,NOT(ISNUMBER(AP252)),AP252&lt;0,NOT(ISNUMBER(L252)),L252&lt;1,L252&gt;5,L252&lt;&gt;INT(L252),AND(J252&lt;&gt;"Public",J252&lt;&gt;"Partner",J252&lt;&gt;"Internal",J252&lt;&gt;"None"),AND(K252&lt;&gt;"High",K252&lt;&gt;"Medium",K252&lt;&gt;"Low",K252&lt;&gt;"None"),AND(W252&lt;&gt;"Hard-coded",W252&lt;&gt;"Configurable",W252&lt;&gt;"Policy-managed",W252&lt;&gt;"API/Library abstraction",W252&lt;&gt;"Automated"),AND(Z252&lt;&gt;"Y",Z252&lt;&gt;"N"),AND(AA252&lt;&gt;"Y",AA252&lt;&gt;"N")),"Incomplete",IF(Z252="Y",20,0)+L252*5+IF(AA252="Y",15,0)+IF(J252="Public",10,IF(J252="Partner",7,IF(J252="Internal",3,0)))+IF(W252="Hard-coded",10,IF(W252="Configurable",3,0))+IF(MAX(I252,AP252)&gt;=10,10,IF(MAX(I252,AP252)&gt;=5,7,IF(MAX(I252,AP252)&gt;=2,3,0)))+IF(K252="High",10,IF(K252="Medium",5,0))))</x:f>
      </x:c>
      <x:c r="AC252" s="73" t="str">
        <x:f>IF(A252="","",IF(NOT(ISNUMBER(AB252)),"Review inputs",IF(AB252&gt;=70,"P0 - Immediate",IF(AB252&gt;=50,"P1 - High",IF(AB252&gt;=30,"P2 - Medium",IF(AB252&gt;=15,"P3 - Low","P4 - Monitor"))))))</x:f>
      </x:c>
      <x:c r="AD252" s="73"/>
      <x:c r="AE252" s="73"/>
      <x:c r="AF252" s="73"/>
      <x:c r="AG252" s="77"/>
      <x:c r="AH252" s="73"/>
      <x:c r="AI252" s="91"/>
      <x:c r="AJ252" s="91"/>
      <x:c r="AK252" s="91"/>
      <x:c r="AL252" s="92"/>
      <x:c r="AM252" s="91"/>
      <x:c r="AN252" s="91"/>
      <x:c r="AO252" s="93"/>
      <x:c r="AP252" s="94"/>
      <x:c r="AQ252" s="91"/>
      <x:c r="AR252" s="91"/>
      <x:c r="AS252" s="91"/>
      <x:c r="AT252" s="91"/>
      <x:c r="AU252" s="91"/>
      <x:c r="AV252" s="91"/>
      <x:c r="AW252" s="91"/>
      <x:c r="AX252" s="91"/>
      <x:c r="AY252" s="91"/>
      <x:c r="AZ252" s="92"/>
      <x:c r="BA252" s="94"/>
      <x:c r="BB252" s="91"/>
      <x:c r="BC252" s="92"/>
      <x:c r="BD252" s="92"/>
      <x:c r="BE252" s="91"/>
      <x:c r="BF252" s="91"/>
      <x:c r="BG252" s="91"/>
      <x:c r="BH252" s="91"/>
      <x:c r="BI252" s="91"/>
      <x:c r="BJ252" s="91"/>
      <x:c r="BK252" s="91"/>
      <x:c r="BL252" s="91"/>
      <x:c r="BM252" s="73" t="str">
        <x:f>IF(A252="","",IF(AI252="Example","Example only",IF(AI252&lt;&gt;"Actual","Set record type",IF(COUNTIF($A$2:$A$1001,A252)&gt;1,"Duplicate record ID",IF(OR(D252="",E252="",AF252="",NOT(ISNUMBER(AG252)),AJ252="",AK252="",NOT(ISNUMBER(AL252)),AND(AM252&lt;&gt;"Observed",AM252&lt;&gt;"Corroborated",AM252&lt;&gt;"Declared"),OR(AN252="",AN252="Unknown"),OR(AQ252="",AQ252="Unknown"),OR(AR252="",AR252="Unknown",AR252="TBD"),OR(BC252="",NOT(ISNUMBER(BC252)))),"Evidence incomplete","Evidence recorded; review scope")))))</x:f>
      </x:c>
      <x:c r="BN252" s="73"/>
    </x:row>
    <x:row r="253" ht="34" customHeight="1">
      <x:c r="A253" s="73"/>
      <x:c r="B253" s="73"/>
      <x:c r="C253" s="73"/>
      <x:c r="D253" s="73"/>
      <x:c r="E253" s="73"/>
      <x:c r="F253" s="73"/>
      <x:c r="G253" s="73"/>
      <x:c r="H253" s="73"/>
      <x:c r="I253" s="75"/>
      <x:c r="J253" s="73"/>
      <x:c r="K253" s="73"/>
      <x:c r="L253" s="76"/>
      <x:c r="M253" s="73"/>
      <x:c r="N253" s="73"/>
      <x:c r="O253" s="73"/>
      <x:c r="P253" s="73"/>
      <x:c r="Q253" s="76"/>
      <x:c r="R253" s="73"/>
      <x:c r="S253" s="73"/>
      <x:c r="T253" s="73"/>
      <x:c r="U253" s="73"/>
      <x:c r="V253" s="73"/>
      <x:c r="W253" s="73"/>
      <x:c r="X253" s="73"/>
      <x:c r="Y253" s="73"/>
      <x:c r="Z253" s="73"/>
      <x:c r="AA253" s="73"/>
      <x:c r="AB253" s="76" t="str">
        <x:f>IF(A253="","",IF(OR(NOT(ISNUMBER(I253)),I253&lt;0,NOT(ISNUMBER(AP253)),AP253&lt;0,NOT(ISNUMBER(L253)),L253&lt;1,L253&gt;5,L253&lt;&gt;INT(L253),AND(J253&lt;&gt;"Public",J253&lt;&gt;"Partner",J253&lt;&gt;"Internal",J253&lt;&gt;"None"),AND(K253&lt;&gt;"High",K253&lt;&gt;"Medium",K253&lt;&gt;"Low",K253&lt;&gt;"None"),AND(W253&lt;&gt;"Hard-coded",W253&lt;&gt;"Configurable",W253&lt;&gt;"Policy-managed",W253&lt;&gt;"API/Library abstraction",W253&lt;&gt;"Automated"),AND(Z253&lt;&gt;"Y",Z253&lt;&gt;"N"),AND(AA253&lt;&gt;"Y",AA253&lt;&gt;"N")),"Incomplete",IF(Z253="Y",20,0)+L253*5+IF(AA253="Y",15,0)+IF(J253="Public",10,IF(J253="Partner",7,IF(J253="Internal",3,0)))+IF(W253="Hard-coded",10,IF(W253="Configurable",3,0))+IF(MAX(I253,AP253)&gt;=10,10,IF(MAX(I253,AP253)&gt;=5,7,IF(MAX(I253,AP253)&gt;=2,3,0)))+IF(K253="High",10,IF(K253="Medium",5,0))))</x:f>
      </x:c>
      <x:c r="AC253" s="73" t="str">
        <x:f>IF(A253="","",IF(NOT(ISNUMBER(AB253)),"Review inputs",IF(AB253&gt;=70,"P0 - Immediate",IF(AB253&gt;=50,"P1 - High",IF(AB253&gt;=30,"P2 - Medium",IF(AB253&gt;=15,"P3 - Low","P4 - Monitor"))))))</x:f>
      </x:c>
      <x:c r="AD253" s="73"/>
      <x:c r="AE253" s="73"/>
      <x:c r="AF253" s="73"/>
      <x:c r="AG253" s="77"/>
      <x:c r="AH253" s="73"/>
      <x:c r="AI253" s="91"/>
      <x:c r="AJ253" s="91"/>
      <x:c r="AK253" s="91"/>
      <x:c r="AL253" s="92"/>
      <x:c r="AM253" s="91"/>
      <x:c r="AN253" s="91"/>
      <x:c r="AO253" s="93"/>
      <x:c r="AP253" s="94"/>
      <x:c r="AQ253" s="91"/>
      <x:c r="AR253" s="91"/>
      <x:c r="AS253" s="91"/>
      <x:c r="AT253" s="91"/>
      <x:c r="AU253" s="91"/>
      <x:c r="AV253" s="91"/>
      <x:c r="AW253" s="91"/>
      <x:c r="AX253" s="91"/>
      <x:c r="AY253" s="91"/>
      <x:c r="AZ253" s="92"/>
      <x:c r="BA253" s="94"/>
      <x:c r="BB253" s="91"/>
      <x:c r="BC253" s="92"/>
      <x:c r="BD253" s="92"/>
      <x:c r="BE253" s="91"/>
      <x:c r="BF253" s="91"/>
      <x:c r="BG253" s="91"/>
      <x:c r="BH253" s="91"/>
      <x:c r="BI253" s="91"/>
      <x:c r="BJ253" s="91"/>
      <x:c r="BK253" s="91"/>
      <x:c r="BL253" s="91"/>
      <x:c r="BM253" s="73" t="str">
        <x:f>IF(A253="","",IF(AI253="Example","Example only",IF(AI253&lt;&gt;"Actual","Set record type",IF(COUNTIF($A$2:$A$1001,A253)&gt;1,"Duplicate record ID",IF(OR(D253="",E253="",AF253="",NOT(ISNUMBER(AG253)),AJ253="",AK253="",NOT(ISNUMBER(AL253)),AND(AM253&lt;&gt;"Observed",AM253&lt;&gt;"Corroborated",AM253&lt;&gt;"Declared"),OR(AN253="",AN253="Unknown"),OR(AQ253="",AQ253="Unknown"),OR(AR253="",AR253="Unknown",AR253="TBD"),OR(BC253="",NOT(ISNUMBER(BC253)))),"Evidence incomplete","Evidence recorded; review scope")))))</x:f>
      </x:c>
      <x:c r="BN253" s="73"/>
    </x:row>
    <x:row r="254" ht="34" customHeight="1">
      <x:c r="A254" s="73"/>
      <x:c r="B254" s="73"/>
      <x:c r="C254" s="73"/>
      <x:c r="D254" s="73"/>
      <x:c r="E254" s="73"/>
      <x:c r="F254" s="73"/>
      <x:c r="G254" s="73"/>
      <x:c r="H254" s="73"/>
      <x:c r="I254" s="75"/>
      <x:c r="J254" s="73"/>
      <x:c r="K254" s="73"/>
      <x:c r="L254" s="76"/>
      <x:c r="M254" s="73"/>
      <x:c r="N254" s="73"/>
      <x:c r="O254" s="73"/>
      <x:c r="P254" s="73"/>
      <x:c r="Q254" s="76"/>
      <x:c r="R254" s="73"/>
      <x:c r="S254" s="73"/>
      <x:c r="T254" s="73"/>
      <x:c r="U254" s="73"/>
      <x:c r="V254" s="73"/>
      <x:c r="W254" s="73"/>
      <x:c r="X254" s="73"/>
      <x:c r="Y254" s="73"/>
      <x:c r="Z254" s="73"/>
      <x:c r="AA254" s="73"/>
      <x:c r="AB254" s="76" t="str">
        <x:f>IF(A254="","",IF(OR(NOT(ISNUMBER(I254)),I254&lt;0,NOT(ISNUMBER(AP254)),AP254&lt;0,NOT(ISNUMBER(L254)),L254&lt;1,L254&gt;5,L254&lt;&gt;INT(L254),AND(J254&lt;&gt;"Public",J254&lt;&gt;"Partner",J254&lt;&gt;"Internal",J254&lt;&gt;"None"),AND(K254&lt;&gt;"High",K254&lt;&gt;"Medium",K254&lt;&gt;"Low",K254&lt;&gt;"None"),AND(W254&lt;&gt;"Hard-coded",W254&lt;&gt;"Configurable",W254&lt;&gt;"Policy-managed",W254&lt;&gt;"API/Library abstraction",W254&lt;&gt;"Automated"),AND(Z254&lt;&gt;"Y",Z254&lt;&gt;"N"),AND(AA254&lt;&gt;"Y",AA254&lt;&gt;"N")),"Incomplete",IF(Z254="Y",20,0)+L254*5+IF(AA254="Y",15,0)+IF(J254="Public",10,IF(J254="Partner",7,IF(J254="Internal",3,0)))+IF(W254="Hard-coded",10,IF(W254="Configurable",3,0))+IF(MAX(I254,AP254)&gt;=10,10,IF(MAX(I254,AP254)&gt;=5,7,IF(MAX(I254,AP254)&gt;=2,3,0)))+IF(K254="High",10,IF(K254="Medium",5,0))))</x:f>
      </x:c>
      <x:c r="AC254" s="73" t="str">
        <x:f>IF(A254="","",IF(NOT(ISNUMBER(AB254)),"Review inputs",IF(AB254&gt;=70,"P0 - Immediate",IF(AB254&gt;=50,"P1 - High",IF(AB254&gt;=30,"P2 - Medium",IF(AB254&gt;=15,"P3 - Low","P4 - Monitor"))))))</x:f>
      </x:c>
      <x:c r="AD254" s="73"/>
      <x:c r="AE254" s="73"/>
      <x:c r="AF254" s="73"/>
      <x:c r="AG254" s="77"/>
      <x:c r="AH254" s="73"/>
      <x:c r="AI254" s="91"/>
      <x:c r="AJ254" s="91"/>
      <x:c r="AK254" s="91"/>
      <x:c r="AL254" s="92"/>
      <x:c r="AM254" s="91"/>
      <x:c r="AN254" s="91"/>
      <x:c r="AO254" s="93"/>
      <x:c r="AP254" s="94"/>
      <x:c r="AQ254" s="91"/>
      <x:c r="AR254" s="91"/>
      <x:c r="AS254" s="91"/>
      <x:c r="AT254" s="91"/>
      <x:c r="AU254" s="91"/>
      <x:c r="AV254" s="91"/>
      <x:c r="AW254" s="91"/>
      <x:c r="AX254" s="91"/>
      <x:c r="AY254" s="91"/>
      <x:c r="AZ254" s="92"/>
      <x:c r="BA254" s="94"/>
      <x:c r="BB254" s="91"/>
      <x:c r="BC254" s="92"/>
      <x:c r="BD254" s="92"/>
      <x:c r="BE254" s="91"/>
      <x:c r="BF254" s="91"/>
      <x:c r="BG254" s="91"/>
      <x:c r="BH254" s="91"/>
      <x:c r="BI254" s="91"/>
      <x:c r="BJ254" s="91"/>
      <x:c r="BK254" s="91"/>
      <x:c r="BL254" s="91"/>
      <x:c r="BM254" s="73" t="str">
        <x:f>IF(A254="","",IF(AI254="Example","Example only",IF(AI254&lt;&gt;"Actual","Set record type",IF(COUNTIF($A$2:$A$1001,A254)&gt;1,"Duplicate record ID",IF(OR(D254="",E254="",AF254="",NOT(ISNUMBER(AG254)),AJ254="",AK254="",NOT(ISNUMBER(AL254)),AND(AM254&lt;&gt;"Observed",AM254&lt;&gt;"Corroborated",AM254&lt;&gt;"Declared"),OR(AN254="",AN254="Unknown"),OR(AQ254="",AQ254="Unknown"),OR(AR254="",AR254="Unknown",AR254="TBD"),OR(BC254="",NOT(ISNUMBER(BC254)))),"Evidence incomplete","Evidence recorded; review scope")))))</x:f>
      </x:c>
      <x:c r="BN254" s="73"/>
    </x:row>
    <x:row r="255" ht="34" customHeight="1">
      <x:c r="A255" s="73"/>
      <x:c r="B255" s="73"/>
      <x:c r="C255" s="73"/>
      <x:c r="D255" s="73"/>
      <x:c r="E255" s="73"/>
      <x:c r="F255" s="73"/>
      <x:c r="G255" s="73"/>
      <x:c r="H255" s="73"/>
      <x:c r="I255" s="75"/>
      <x:c r="J255" s="73"/>
      <x:c r="K255" s="73"/>
      <x:c r="L255" s="76"/>
      <x:c r="M255" s="73"/>
      <x:c r="N255" s="73"/>
      <x:c r="O255" s="73"/>
      <x:c r="P255" s="73"/>
      <x:c r="Q255" s="76"/>
      <x:c r="R255" s="73"/>
      <x:c r="S255" s="73"/>
      <x:c r="T255" s="73"/>
      <x:c r="U255" s="73"/>
      <x:c r="V255" s="73"/>
      <x:c r="W255" s="73"/>
      <x:c r="X255" s="73"/>
      <x:c r="Y255" s="73"/>
      <x:c r="Z255" s="73"/>
      <x:c r="AA255" s="73"/>
      <x:c r="AB255" s="76" t="str">
        <x:f>IF(A255="","",IF(OR(NOT(ISNUMBER(I255)),I255&lt;0,NOT(ISNUMBER(AP255)),AP255&lt;0,NOT(ISNUMBER(L255)),L255&lt;1,L255&gt;5,L255&lt;&gt;INT(L255),AND(J255&lt;&gt;"Public",J255&lt;&gt;"Partner",J255&lt;&gt;"Internal",J255&lt;&gt;"None"),AND(K255&lt;&gt;"High",K255&lt;&gt;"Medium",K255&lt;&gt;"Low",K255&lt;&gt;"None"),AND(W255&lt;&gt;"Hard-coded",W255&lt;&gt;"Configurable",W255&lt;&gt;"Policy-managed",W255&lt;&gt;"API/Library abstraction",W255&lt;&gt;"Automated"),AND(Z255&lt;&gt;"Y",Z255&lt;&gt;"N"),AND(AA255&lt;&gt;"Y",AA255&lt;&gt;"N")),"Incomplete",IF(Z255="Y",20,0)+L255*5+IF(AA255="Y",15,0)+IF(J255="Public",10,IF(J255="Partner",7,IF(J255="Internal",3,0)))+IF(W255="Hard-coded",10,IF(W255="Configurable",3,0))+IF(MAX(I255,AP255)&gt;=10,10,IF(MAX(I255,AP255)&gt;=5,7,IF(MAX(I255,AP255)&gt;=2,3,0)))+IF(K255="High",10,IF(K255="Medium",5,0))))</x:f>
      </x:c>
      <x:c r="AC255" s="73" t="str">
        <x:f>IF(A255="","",IF(NOT(ISNUMBER(AB255)),"Review inputs",IF(AB255&gt;=70,"P0 - Immediate",IF(AB255&gt;=50,"P1 - High",IF(AB255&gt;=30,"P2 - Medium",IF(AB255&gt;=15,"P3 - Low","P4 - Monitor"))))))</x:f>
      </x:c>
      <x:c r="AD255" s="73"/>
      <x:c r="AE255" s="73"/>
      <x:c r="AF255" s="73"/>
      <x:c r="AG255" s="77"/>
      <x:c r="AH255" s="73"/>
      <x:c r="AI255" s="91"/>
      <x:c r="AJ255" s="91"/>
      <x:c r="AK255" s="91"/>
      <x:c r="AL255" s="92"/>
      <x:c r="AM255" s="91"/>
      <x:c r="AN255" s="91"/>
      <x:c r="AO255" s="93"/>
      <x:c r="AP255" s="94"/>
      <x:c r="AQ255" s="91"/>
      <x:c r="AR255" s="91"/>
      <x:c r="AS255" s="91"/>
      <x:c r="AT255" s="91"/>
      <x:c r="AU255" s="91"/>
      <x:c r="AV255" s="91"/>
      <x:c r="AW255" s="91"/>
      <x:c r="AX255" s="91"/>
      <x:c r="AY255" s="91"/>
      <x:c r="AZ255" s="92"/>
      <x:c r="BA255" s="94"/>
      <x:c r="BB255" s="91"/>
      <x:c r="BC255" s="92"/>
      <x:c r="BD255" s="92"/>
      <x:c r="BE255" s="91"/>
      <x:c r="BF255" s="91"/>
      <x:c r="BG255" s="91"/>
      <x:c r="BH255" s="91"/>
      <x:c r="BI255" s="91"/>
      <x:c r="BJ255" s="91"/>
      <x:c r="BK255" s="91"/>
      <x:c r="BL255" s="91"/>
      <x:c r="BM255" s="73" t="str">
        <x:f>IF(A255="","",IF(AI255="Example","Example only",IF(AI255&lt;&gt;"Actual","Set record type",IF(COUNTIF($A$2:$A$1001,A255)&gt;1,"Duplicate record ID",IF(OR(D255="",E255="",AF255="",NOT(ISNUMBER(AG255)),AJ255="",AK255="",NOT(ISNUMBER(AL255)),AND(AM255&lt;&gt;"Observed",AM255&lt;&gt;"Corroborated",AM255&lt;&gt;"Declared"),OR(AN255="",AN255="Unknown"),OR(AQ255="",AQ255="Unknown"),OR(AR255="",AR255="Unknown",AR255="TBD"),OR(BC255="",NOT(ISNUMBER(BC255)))),"Evidence incomplete","Evidence recorded; review scope")))))</x:f>
      </x:c>
      <x:c r="BN255" s="73"/>
    </x:row>
    <x:row r="256" ht="34" customHeight="1">
      <x:c r="A256" s="73"/>
      <x:c r="B256" s="73"/>
      <x:c r="C256" s="73"/>
      <x:c r="D256" s="73"/>
      <x:c r="E256" s="73"/>
      <x:c r="F256" s="73"/>
      <x:c r="G256" s="73"/>
      <x:c r="H256" s="73"/>
      <x:c r="I256" s="75"/>
      <x:c r="J256" s="73"/>
      <x:c r="K256" s="73"/>
      <x:c r="L256" s="76"/>
      <x:c r="M256" s="73"/>
      <x:c r="N256" s="73"/>
      <x:c r="O256" s="73"/>
      <x:c r="P256" s="73"/>
      <x:c r="Q256" s="76"/>
      <x:c r="R256" s="73"/>
      <x:c r="S256" s="73"/>
      <x:c r="T256" s="73"/>
      <x:c r="U256" s="73"/>
      <x:c r="V256" s="73"/>
      <x:c r="W256" s="73"/>
      <x:c r="X256" s="73"/>
      <x:c r="Y256" s="73"/>
      <x:c r="Z256" s="73"/>
      <x:c r="AA256" s="73"/>
      <x:c r="AB256" s="76" t="str">
        <x:f>IF(A256="","",IF(OR(NOT(ISNUMBER(I256)),I256&lt;0,NOT(ISNUMBER(AP256)),AP256&lt;0,NOT(ISNUMBER(L256)),L256&lt;1,L256&gt;5,L256&lt;&gt;INT(L256),AND(J256&lt;&gt;"Public",J256&lt;&gt;"Partner",J256&lt;&gt;"Internal",J256&lt;&gt;"None"),AND(K256&lt;&gt;"High",K256&lt;&gt;"Medium",K256&lt;&gt;"Low",K256&lt;&gt;"None"),AND(W256&lt;&gt;"Hard-coded",W256&lt;&gt;"Configurable",W256&lt;&gt;"Policy-managed",W256&lt;&gt;"API/Library abstraction",W256&lt;&gt;"Automated"),AND(Z256&lt;&gt;"Y",Z256&lt;&gt;"N"),AND(AA256&lt;&gt;"Y",AA256&lt;&gt;"N")),"Incomplete",IF(Z256="Y",20,0)+L256*5+IF(AA256="Y",15,0)+IF(J256="Public",10,IF(J256="Partner",7,IF(J256="Internal",3,0)))+IF(W256="Hard-coded",10,IF(W256="Configurable",3,0))+IF(MAX(I256,AP256)&gt;=10,10,IF(MAX(I256,AP256)&gt;=5,7,IF(MAX(I256,AP256)&gt;=2,3,0)))+IF(K256="High",10,IF(K256="Medium",5,0))))</x:f>
      </x:c>
      <x:c r="AC256" s="73" t="str">
        <x:f>IF(A256="","",IF(NOT(ISNUMBER(AB256)),"Review inputs",IF(AB256&gt;=70,"P0 - Immediate",IF(AB256&gt;=50,"P1 - High",IF(AB256&gt;=30,"P2 - Medium",IF(AB256&gt;=15,"P3 - Low","P4 - Monitor"))))))</x:f>
      </x:c>
      <x:c r="AD256" s="73"/>
      <x:c r="AE256" s="73"/>
      <x:c r="AF256" s="73"/>
      <x:c r="AG256" s="77"/>
      <x:c r="AH256" s="73"/>
      <x:c r="AI256" s="91"/>
      <x:c r="AJ256" s="91"/>
      <x:c r="AK256" s="91"/>
      <x:c r="AL256" s="92"/>
      <x:c r="AM256" s="91"/>
      <x:c r="AN256" s="91"/>
      <x:c r="AO256" s="93"/>
      <x:c r="AP256" s="94"/>
      <x:c r="AQ256" s="91"/>
      <x:c r="AR256" s="91"/>
      <x:c r="AS256" s="91"/>
      <x:c r="AT256" s="91"/>
      <x:c r="AU256" s="91"/>
      <x:c r="AV256" s="91"/>
      <x:c r="AW256" s="91"/>
      <x:c r="AX256" s="91"/>
      <x:c r="AY256" s="91"/>
      <x:c r="AZ256" s="92"/>
      <x:c r="BA256" s="94"/>
      <x:c r="BB256" s="91"/>
      <x:c r="BC256" s="92"/>
      <x:c r="BD256" s="92"/>
      <x:c r="BE256" s="91"/>
      <x:c r="BF256" s="91"/>
      <x:c r="BG256" s="91"/>
      <x:c r="BH256" s="91"/>
      <x:c r="BI256" s="91"/>
      <x:c r="BJ256" s="91"/>
      <x:c r="BK256" s="91"/>
      <x:c r="BL256" s="91"/>
      <x:c r="BM256" s="73" t="str">
        <x:f>IF(A256="","",IF(AI256="Example","Example only",IF(AI256&lt;&gt;"Actual","Set record type",IF(COUNTIF($A$2:$A$1001,A256)&gt;1,"Duplicate record ID",IF(OR(D256="",E256="",AF256="",NOT(ISNUMBER(AG256)),AJ256="",AK256="",NOT(ISNUMBER(AL256)),AND(AM256&lt;&gt;"Observed",AM256&lt;&gt;"Corroborated",AM256&lt;&gt;"Declared"),OR(AN256="",AN256="Unknown"),OR(AQ256="",AQ256="Unknown"),OR(AR256="",AR256="Unknown",AR256="TBD"),OR(BC256="",NOT(ISNUMBER(BC256)))),"Evidence incomplete","Evidence recorded; review scope")))))</x:f>
      </x:c>
      <x:c r="BN256" s="73"/>
    </x:row>
    <x:row r="257" ht="34" customHeight="1">
      <x:c r="A257" s="73"/>
      <x:c r="B257" s="73"/>
      <x:c r="C257" s="73"/>
      <x:c r="D257" s="73"/>
      <x:c r="E257" s="73"/>
      <x:c r="F257" s="73"/>
      <x:c r="G257" s="73"/>
      <x:c r="H257" s="73"/>
      <x:c r="I257" s="75"/>
      <x:c r="J257" s="73"/>
      <x:c r="K257" s="73"/>
      <x:c r="L257" s="76"/>
      <x:c r="M257" s="73"/>
      <x:c r="N257" s="73"/>
      <x:c r="O257" s="73"/>
      <x:c r="P257" s="73"/>
      <x:c r="Q257" s="76"/>
      <x:c r="R257" s="73"/>
      <x:c r="S257" s="73"/>
      <x:c r="T257" s="73"/>
      <x:c r="U257" s="73"/>
      <x:c r="V257" s="73"/>
      <x:c r="W257" s="73"/>
      <x:c r="X257" s="73"/>
      <x:c r="Y257" s="73"/>
      <x:c r="Z257" s="73"/>
      <x:c r="AA257" s="73"/>
      <x:c r="AB257" s="76" t="str">
        <x:f>IF(A257="","",IF(OR(NOT(ISNUMBER(I257)),I257&lt;0,NOT(ISNUMBER(AP257)),AP257&lt;0,NOT(ISNUMBER(L257)),L257&lt;1,L257&gt;5,L257&lt;&gt;INT(L257),AND(J257&lt;&gt;"Public",J257&lt;&gt;"Partner",J257&lt;&gt;"Internal",J257&lt;&gt;"None"),AND(K257&lt;&gt;"High",K257&lt;&gt;"Medium",K257&lt;&gt;"Low",K257&lt;&gt;"None"),AND(W257&lt;&gt;"Hard-coded",W257&lt;&gt;"Configurable",W257&lt;&gt;"Policy-managed",W257&lt;&gt;"API/Library abstraction",W257&lt;&gt;"Automated"),AND(Z257&lt;&gt;"Y",Z257&lt;&gt;"N"),AND(AA257&lt;&gt;"Y",AA257&lt;&gt;"N")),"Incomplete",IF(Z257="Y",20,0)+L257*5+IF(AA257="Y",15,0)+IF(J257="Public",10,IF(J257="Partner",7,IF(J257="Internal",3,0)))+IF(W257="Hard-coded",10,IF(W257="Configurable",3,0))+IF(MAX(I257,AP257)&gt;=10,10,IF(MAX(I257,AP257)&gt;=5,7,IF(MAX(I257,AP257)&gt;=2,3,0)))+IF(K257="High",10,IF(K257="Medium",5,0))))</x:f>
      </x:c>
      <x:c r="AC257" s="73" t="str">
        <x:f>IF(A257="","",IF(NOT(ISNUMBER(AB257)),"Review inputs",IF(AB257&gt;=70,"P0 - Immediate",IF(AB257&gt;=50,"P1 - High",IF(AB257&gt;=30,"P2 - Medium",IF(AB257&gt;=15,"P3 - Low","P4 - Monitor"))))))</x:f>
      </x:c>
      <x:c r="AD257" s="73"/>
      <x:c r="AE257" s="73"/>
      <x:c r="AF257" s="73"/>
      <x:c r="AG257" s="77"/>
      <x:c r="AH257" s="73"/>
      <x:c r="AI257" s="91"/>
      <x:c r="AJ257" s="91"/>
      <x:c r="AK257" s="91"/>
      <x:c r="AL257" s="92"/>
      <x:c r="AM257" s="91"/>
      <x:c r="AN257" s="91"/>
      <x:c r="AO257" s="93"/>
      <x:c r="AP257" s="94"/>
      <x:c r="AQ257" s="91"/>
      <x:c r="AR257" s="91"/>
      <x:c r="AS257" s="91"/>
      <x:c r="AT257" s="91"/>
      <x:c r="AU257" s="91"/>
      <x:c r="AV257" s="91"/>
      <x:c r="AW257" s="91"/>
      <x:c r="AX257" s="91"/>
      <x:c r="AY257" s="91"/>
      <x:c r="AZ257" s="92"/>
      <x:c r="BA257" s="94"/>
      <x:c r="BB257" s="91"/>
      <x:c r="BC257" s="92"/>
      <x:c r="BD257" s="92"/>
      <x:c r="BE257" s="91"/>
      <x:c r="BF257" s="91"/>
      <x:c r="BG257" s="91"/>
      <x:c r="BH257" s="91"/>
      <x:c r="BI257" s="91"/>
      <x:c r="BJ257" s="91"/>
      <x:c r="BK257" s="91"/>
      <x:c r="BL257" s="91"/>
      <x:c r="BM257" s="73" t="str">
        <x:f>IF(A257="","",IF(AI257="Example","Example only",IF(AI257&lt;&gt;"Actual","Set record type",IF(COUNTIF($A$2:$A$1001,A257)&gt;1,"Duplicate record ID",IF(OR(D257="",E257="",AF257="",NOT(ISNUMBER(AG257)),AJ257="",AK257="",NOT(ISNUMBER(AL257)),AND(AM257&lt;&gt;"Observed",AM257&lt;&gt;"Corroborated",AM257&lt;&gt;"Declared"),OR(AN257="",AN257="Unknown"),OR(AQ257="",AQ257="Unknown"),OR(AR257="",AR257="Unknown",AR257="TBD"),OR(BC257="",NOT(ISNUMBER(BC257)))),"Evidence incomplete","Evidence recorded; review scope")))))</x:f>
      </x:c>
      <x:c r="BN257" s="73"/>
    </x:row>
    <x:row r="258" ht="34" customHeight="1">
      <x:c r="A258" s="73"/>
      <x:c r="B258" s="73"/>
      <x:c r="C258" s="73"/>
      <x:c r="D258" s="73"/>
      <x:c r="E258" s="73"/>
      <x:c r="F258" s="73"/>
      <x:c r="G258" s="73"/>
      <x:c r="H258" s="73"/>
      <x:c r="I258" s="75"/>
      <x:c r="J258" s="73"/>
      <x:c r="K258" s="73"/>
      <x:c r="L258" s="76"/>
      <x:c r="M258" s="73"/>
      <x:c r="N258" s="73"/>
      <x:c r="O258" s="73"/>
      <x:c r="P258" s="73"/>
      <x:c r="Q258" s="76"/>
      <x:c r="R258" s="73"/>
      <x:c r="S258" s="73"/>
      <x:c r="T258" s="73"/>
      <x:c r="U258" s="73"/>
      <x:c r="V258" s="73"/>
      <x:c r="W258" s="73"/>
      <x:c r="X258" s="73"/>
      <x:c r="Y258" s="73"/>
      <x:c r="Z258" s="73"/>
      <x:c r="AA258" s="73"/>
      <x:c r="AB258" s="76" t="str">
        <x:f>IF(A258="","",IF(OR(NOT(ISNUMBER(I258)),I258&lt;0,NOT(ISNUMBER(AP258)),AP258&lt;0,NOT(ISNUMBER(L258)),L258&lt;1,L258&gt;5,L258&lt;&gt;INT(L258),AND(J258&lt;&gt;"Public",J258&lt;&gt;"Partner",J258&lt;&gt;"Internal",J258&lt;&gt;"None"),AND(K258&lt;&gt;"High",K258&lt;&gt;"Medium",K258&lt;&gt;"Low",K258&lt;&gt;"None"),AND(W258&lt;&gt;"Hard-coded",W258&lt;&gt;"Configurable",W258&lt;&gt;"Policy-managed",W258&lt;&gt;"API/Library abstraction",W258&lt;&gt;"Automated"),AND(Z258&lt;&gt;"Y",Z258&lt;&gt;"N"),AND(AA258&lt;&gt;"Y",AA258&lt;&gt;"N")),"Incomplete",IF(Z258="Y",20,0)+L258*5+IF(AA258="Y",15,0)+IF(J258="Public",10,IF(J258="Partner",7,IF(J258="Internal",3,0)))+IF(W258="Hard-coded",10,IF(W258="Configurable",3,0))+IF(MAX(I258,AP258)&gt;=10,10,IF(MAX(I258,AP258)&gt;=5,7,IF(MAX(I258,AP258)&gt;=2,3,0)))+IF(K258="High",10,IF(K258="Medium",5,0))))</x:f>
      </x:c>
      <x:c r="AC258" s="73" t="str">
        <x:f>IF(A258="","",IF(NOT(ISNUMBER(AB258)),"Review inputs",IF(AB258&gt;=70,"P0 - Immediate",IF(AB258&gt;=50,"P1 - High",IF(AB258&gt;=30,"P2 - Medium",IF(AB258&gt;=15,"P3 - Low","P4 - Monitor"))))))</x:f>
      </x:c>
      <x:c r="AD258" s="73"/>
      <x:c r="AE258" s="73"/>
      <x:c r="AF258" s="73"/>
      <x:c r="AG258" s="77"/>
      <x:c r="AH258" s="73"/>
      <x:c r="AI258" s="91"/>
      <x:c r="AJ258" s="91"/>
      <x:c r="AK258" s="91"/>
      <x:c r="AL258" s="92"/>
      <x:c r="AM258" s="91"/>
      <x:c r="AN258" s="91"/>
      <x:c r="AO258" s="93"/>
      <x:c r="AP258" s="94"/>
      <x:c r="AQ258" s="91"/>
      <x:c r="AR258" s="91"/>
      <x:c r="AS258" s="91"/>
      <x:c r="AT258" s="91"/>
      <x:c r="AU258" s="91"/>
      <x:c r="AV258" s="91"/>
      <x:c r="AW258" s="91"/>
      <x:c r="AX258" s="91"/>
      <x:c r="AY258" s="91"/>
      <x:c r="AZ258" s="92"/>
      <x:c r="BA258" s="94"/>
      <x:c r="BB258" s="91"/>
      <x:c r="BC258" s="92"/>
      <x:c r="BD258" s="92"/>
      <x:c r="BE258" s="91"/>
      <x:c r="BF258" s="91"/>
      <x:c r="BG258" s="91"/>
      <x:c r="BH258" s="91"/>
      <x:c r="BI258" s="91"/>
      <x:c r="BJ258" s="91"/>
      <x:c r="BK258" s="91"/>
      <x:c r="BL258" s="91"/>
      <x:c r="BM258" s="73" t="str">
        <x:f>IF(A258="","",IF(AI258="Example","Example only",IF(AI258&lt;&gt;"Actual","Set record type",IF(COUNTIF($A$2:$A$1001,A258)&gt;1,"Duplicate record ID",IF(OR(D258="",E258="",AF258="",NOT(ISNUMBER(AG258)),AJ258="",AK258="",NOT(ISNUMBER(AL258)),AND(AM258&lt;&gt;"Observed",AM258&lt;&gt;"Corroborated",AM258&lt;&gt;"Declared"),OR(AN258="",AN258="Unknown"),OR(AQ258="",AQ258="Unknown"),OR(AR258="",AR258="Unknown",AR258="TBD"),OR(BC258="",NOT(ISNUMBER(BC258)))),"Evidence incomplete","Evidence recorded; review scope")))))</x:f>
      </x:c>
      <x:c r="BN258" s="73"/>
    </x:row>
    <x:row r="259" ht="34" customHeight="1">
      <x:c r="A259" s="73"/>
      <x:c r="B259" s="73"/>
      <x:c r="C259" s="73"/>
      <x:c r="D259" s="73"/>
      <x:c r="E259" s="73"/>
      <x:c r="F259" s="73"/>
      <x:c r="G259" s="73"/>
      <x:c r="H259" s="73"/>
      <x:c r="I259" s="75"/>
      <x:c r="J259" s="73"/>
      <x:c r="K259" s="73"/>
      <x:c r="L259" s="76"/>
      <x:c r="M259" s="73"/>
      <x:c r="N259" s="73"/>
      <x:c r="O259" s="73"/>
      <x:c r="P259" s="73"/>
      <x:c r="Q259" s="76"/>
      <x:c r="R259" s="73"/>
      <x:c r="S259" s="73"/>
      <x:c r="T259" s="73"/>
      <x:c r="U259" s="73"/>
      <x:c r="V259" s="73"/>
      <x:c r="W259" s="73"/>
      <x:c r="X259" s="73"/>
      <x:c r="Y259" s="73"/>
      <x:c r="Z259" s="73"/>
      <x:c r="AA259" s="73"/>
      <x:c r="AB259" s="76" t="str">
        <x:f>IF(A259="","",IF(OR(NOT(ISNUMBER(I259)),I259&lt;0,NOT(ISNUMBER(AP259)),AP259&lt;0,NOT(ISNUMBER(L259)),L259&lt;1,L259&gt;5,L259&lt;&gt;INT(L259),AND(J259&lt;&gt;"Public",J259&lt;&gt;"Partner",J259&lt;&gt;"Internal",J259&lt;&gt;"None"),AND(K259&lt;&gt;"High",K259&lt;&gt;"Medium",K259&lt;&gt;"Low",K259&lt;&gt;"None"),AND(W259&lt;&gt;"Hard-coded",W259&lt;&gt;"Configurable",W259&lt;&gt;"Policy-managed",W259&lt;&gt;"API/Library abstraction",W259&lt;&gt;"Automated"),AND(Z259&lt;&gt;"Y",Z259&lt;&gt;"N"),AND(AA259&lt;&gt;"Y",AA259&lt;&gt;"N")),"Incomplete",IF(Z259="Y",20,0)+L259*5+IF(AA259="Y",15,0)+IF(J259="Public",10,IF(J259="Partner",7,IF(J259="Internal",3,0)))+IF(W259="Hard-coded",10,IF(W259="Configurable",3,0))+IF(MAX(I259,AP259)&gt;=10,10,IF(MAX(I259,AP259)&gt;=5,7,IF(MAX(I259,AP259)&gt;=2,3,0)))+IF(K259="High",10,IF(K259="Medium",5,0))))</x:f>
      </x:c>
      <x:c r="AC259" s="73" t="str">
        <x:f>IF(A259="","",IF(NOT(ISNUMBER(AB259)),"Review inputs",IF(AB259&gt;=70,"P0 - Immediate",IF(AB259&gt;=50,"P1 - High",IF(AB259&gt;=30,"P2 - Medium",IF(AB259&gt;=15,"P3 - Low","P4 - Monitor"))))))</x:f>
      </x:c>
      <x:c r="AD259" s="73"/>
      <x:c r="AE259" s="73"/>
      <x:c r="AF259" s="73"/>
      <x:c r="AG259" s="77"/>
      <x:c r="AH259" s="73"/>
      <x:c r="AI259" s="91"/>
      <x:c r="AJ259" s="91"/>
      <x:c r="AK259" s="91"/>
      <x:c r="AL259" s="92"/>
      <x:c r="AM259" s="91"/>
      <x:c r="AN259" s="91"/>
      <x:c r="AO259" s="93"/>
      <x:c r="AP259" s="94"/>
      <x:c r="AQ259" s="91"/>
      <x:c r="AR259" s="91"/>
      <x:c r="AS259" s="91"/>
      <x:c r="AT259" s="91"/>
      <x:c r="AU259" s="91"/>
      <x:c r="AV259" s="91"/>
      <x:c r="AW259" s="91"/>
      <x:c r="AX259" s="91"/>
      <x:c r="AY259" s="91"/>
      <x:c r="AZ259" s="92"/>
      <x:c r="BA259" s="94"/>
      <x:c r="BB259" s="91"/>
      <x:c r="BC259" s="92"/>
      <x:c r="BD259" s="92"/>
      <x:c r="BE259" s="91"/>
      <x:c r="BF259" s="91"/>
      <x:c r="BG259" s="91"/>
      <x:c r="BH259" s="91"/>
      <x:c r="BI259" s="91"/>
      <x:c r="BJ259" s="91"/>
      <x:c r="BK259" s="91"/>
      <x:c r="BL259" s="91"/>
      <x:c r="BM259" s="73" t="str">
        <x:f>IF(A259="","",IF(AI259="Example","Example only",IF(AI259&lt;&gt;"Actual","Set record type",IF(COUNTIF($A$2:$A$1001,A259)&gt;1,"Duplicate record ID",IF(OR(D259="",E259="",AF259="",NOT(ISNUMBER(AG259)),AJ259="",AK259="",NOT(ISNUMBER(AL259)),AND(AM259&lt;&gt;"Observed",AM259&lt;&gt;"Corroborated",AM259&lt;&gt;"Declared"),OR(AN259="",AN259="Unknown"),OR(AQ259="",AQ259="Unknown"),OR(AR259="",AR259="Unknown",AR259="TBD"),OR(BC259="",NOT(ISNUMBER(BC259)))),"Evidence incomplete","Evidence recorded; review scope")))))</x:f>
      </x:c>
      <x:c r="BN259" s="73"/>
    </x:row>
    <x:row r="260" ht="34" customHeight="1">
      <x:c r="A260" s="73"/>
      <x:c r="B260" s="73"/>
      <x:c r="C260" s="73"/>
      <x:c r="D260" s="73"/>
      <x:c r="E260" s="73"/>
      <x:c r="F260" s="73"/>
      <x:c r="G260" s="73"/>
      <x:c r="H260" s="73"/>
      <x:c r="I260" s="75"/>
      <x:c r="J260" s="73"/>
      <x:c r="K260" s="73"/>
      <x:c r="L260" s="76"/>
      <x:c r="M260" s="73"/>
      <x:c r="N260" s="73"/>
      <x:c r="O260" s="73"/>
      <x:c r="P260" s="73"/>
      <x:c r="Q260" s="76"/>
      <x:c r="R260" s="73"/>
      <x:c r="S260" s="73"/>
      <x:c r="T260" s="73"/>
      <x:c r="U260" s="73"/>
      <x:c r="V260" s="73"/>
      <x:c r="W260" s="73"/>
      <x:c r="X260" s="73"/>
      <x:c r="Y260" s="73"/>
      <x:c r="Z260" s="73"/>
      <x:c r="AA260" s="73"/>
      <x:c r="AB260" s="76" t="str">
        <x:f>IF(A260="","",IF(OR(NOT(ISNUMBER(I260)),I260&lt;0,NOT(ISNUMBER(AP260)),AP260&lt;0,NOT(ISNUMBER(L260)),L260&lt;1,L260&gt;5,L260&lt;&gt;INT(L260),AND(J260&lt;&gt;"Public",J260&lt;&gt;"Partner",J260&lt;&gt;"Internal",J260&lt;&gt;"None"),AND(K260&lt;&gt;"High",K260&lt;&gt;"Medium",K260&lt;&gt;"Low",K260&lt;&gt;"None"),AND(W260&lt;&gt;"Hard-coded",W260&lt;&gt;"Configurable",W260&lt;&gt;"Policy-managed",W260&lt;&gt;"API/Library abstraction",W260&lt;&gt;"Automated"),AND(Z260&lt;&gt;"Y",Z260&lt;&gt;"N"),AND(AA260&lt;&gt;"Y",AA260&lt;&gt;"N")),"Incomplete",IF(Z260="Y",20,0)+L260*5+IF(AA260="Y",15,0)+IF(J260="Public",10,IF(J260="Partner",7,IF(J260="Internal",3,0)))+IF(W260="Hard-coded",10,IF(W260="Configurable",3,0))+IF(MAX(I260,AP260)&gt;=10,10,IF(MAX(I260,AP260)&gt;=5,7,IF(MAX(I260,AP260)&gt;=2,3,0)))+IF(K260="High",10,IF(K260="Medium",5,0))))</x:f>
      </x:c>
      <x:c r="AC260" s="73" t="str">
        <x:f>IF(A260="","",IF(NOT(ISNUMBER(AB260)),"Review inputs",IF(AB260&gt;=70,"P0 - Immediate",IF(AB260&gt;=50,"P1 - High",IF(AB260&gt;=30,"P2 - Medium",IF(AB260&gt;=15,"P3 - Low","P4 - Monitor"))))))</x:f>
      </x:c>
      <x:c r="AD260" s="73"/>
      <x:c r="AE260" s="73"/>
      <x:c r="AF260" s="73"/>
      <x:c r="AG260" s="77"/>
      <x:c r="AH260" s="73"/>
      <x:c r="AI260" s="91"/>
      <x:c r="AJ260" s="91"/>
      <x:c r="AK260" s="91"/>
      <x:c r="AL260" s="92"/>
      <x:c r="AM260" s="91"/>
      <x:c r="AN260" s="91"/>
      <x:c r="AO260" s="93"/>
      <x:c r="AP260" s="94"/>
      <x:c r="AQ260" s="91"/>
      <x:c r="AR260" s="91"/>
      <x:c r="AS260" s="91"/>
      <x:c r="AT260" s="91"/>
      <x:c r="AU260" s="91"/>
      <x:c r="AV260" s="91"/>
      <x:c r="AW260" s="91"/>
      <x:c r="AX260" s="91"/>
      <x:c r="AY260" s="91"/>
      <x:c r="AZ260" s="92"/>
      <x:c r="BA260" s="94"/>
      <x:c r="BB260" s="91"/>
      <x:c r="BC260" s="92"/>
      <x:c r="BD260" s="92"/>
      <x:c r="BE260" s="91"/>
      <x:c r="BF260" s="91"/>
      <x:c r="BG260" s="91"/>
      <x:c r="BH260" s="91"/>
      <x:c r="BI260" s="91"/>
      <x:c r="BJ260" s="91"/>
      <x:c r="BK260" s="91"/>
      <x:c r="BL260" s="91"/>
      <x:c r="BM260" s="73" t="str">
        <x:f>IF(A260="","",IF(AI260="Example","Example only",IF(AI260&lt;&gt;"Actual","Set record type",IF(COUNTIF($A$2:$A$1001,A260)&gt;1,"Duplicate record ID",IF(OR(D260="",E260="",AF260="",NOT(ISNUMBER(AG260)),AJ260="",AK260="",NOT(ISNUMBER(AL260)),AND(AM260&lt;&gt;"Observed",AM260&lt;&gt;"Corroborated",AM260&lt;&gt;"Declared"),OR(AN260="",AN260="Unknown"),OR(AQ260="",AQ260="Unknown"),OR(AR260="",AR260="Unknown",AR260="TBD"),OR(BC260="",NOT(ISNUMBER(BC260)))),"Evidence incomplete","Evidence recorded; review scope")))))</x:f>
      </x:c>
      <x:c r="BN260" s="73"/>
    </x:row>
    <x:row r="261" ht="34" customHeight="1">
      <x:c r="A261" s="73"/>
      <x:c r="B261" s="73"/>
      <x:c r="C261" s="73"/>
      <x:c r="D261" s="73"/>
      <x:c r="E261" s="73"/>
      <x:c r="F261" s="73"/>
      <x:c r="G261" s="73"/>
      <x:c r="H261" s="73"/>
      <x:c r="I261" s="75"/>
      <x:c r="J261" s="73"/>
      <x:c r="K261" s="73"/>
      <x:c r="L261" s="76"/>
      <x:c r="M261" s="73"/>
      <x:c r="N261" s="73"/>
      <x:c r="O261" s="73"/>
      <x:c r="P261" s="73"/>
      <x:c r="Q261" s="76"/>
      <x:c r="R261" s="73"/>
      <x:c r="S261" s="73"/>
      <x:c r="T261" s="73"/>
      <x:c r="U261" s="73"/>
      <x:c r="V261" s="73"/>
      <x:c r="W261" s="73"/>
      <x:c r="X261" s="73"/>
      <x:c r="Y261" s="73"/>
      <x:c r="Z261" s="73"/>
      <x:c r="AA261" s="73"/>
      <x:c r="AB261" s="76" t="str">
        <x:f>IF(A261="","",IF(OR(NOT(ISNUMBER(I261)),I261&lt;0,NOT(ISNUMBER(AP261)),AP261&lt;0,NOT(ISNUMBER(L261)),L261&lt;1,L261&gt;5,L261&lt;&gt;INT(L261),AND(J261&lt;&gt;"Public",J261&lt;&gt;"Partner",J261&lt;&gt;"Internal",J261&lt;&gt;"None"),AND(K261&lt;&gt;"High",K261&lt;&gt;"Medium",K261&lt;&gt;"Low",K261&lt;&gt;"None"),AND(W261&lt;&gt;"Hard-coded",W261&lt;&gt;"Configurable",W261&lt;&gt;"Policy-managed",W261&lt;&gt;"API/Library abstraction",W261&lt;&gt;"Automated"),AND(Z261&lt;&gt;"Y",Z261&lt;&gt;"N"),AND(AA261&lt;&gt;"Y",AA261&lt;&gt;"N")),"Incomplete",IF(Z261="Y",20,0)+L261*5+IF(AA261="Y",15,0)+IF(J261="Public",10,IF(J261="Partner",7,IF(J261="Internal",3,0)))+IF(W261="Hard-coded",10,IF(W261="Configurable",3,0))+IF(MAX(I261,AP261)&gt;=10,10,IF(MAX(I261,AP261)&gt;=5,7,IF(MAX(I261,AP261)&gt;=2,3,0)))+IF(K261="High",10,IF(K261="Medium",5,0))))</x:f>
      </x:c>
      <x:c r="AC261" s="73" t="str">
        <x:f>IF(A261="","",IF(NOT(ISNUMBER(AB261)),"Review inputs",IF(AB261&gt;=70,"P0 - Immediate",IF(AB261&gt;=50,"P1 - High",IF(AB261&gt;=30,"P2 - Medium",IF(AB261&gt;=15,"P3 - Low","P4 - Monitor"))))))</x:f>
      </x:c>
      <x:c r="AD261" s="73"/>
      <x:c r="AE261" s="73"/>
      <x:c r="AF261" s="73"/>
      <x:c r="AG261" s="77"/>
      <x:c r="AH261" s="73"/>
      <x:c r="AI261" s="91"/>
      <x:c r="AJ261" s="91"/>
      <x:c r="AK261" s="91"/>
      <x:c r="AL261" s="92"/>
      <x:c r="AM261" s="91"/>
      <x:c r="AN261" s="91"/>
      <x:c r="AO261" s="93"/>
      <x:c r="AP261" s="94"/>
      <x:c r="AQ261" s="91"/>
      <x:c r="AR261" s="91"/>
      <x:c r="AS261" s="91"/>
      <x:c r="AT261" s="91"/>
      <x:c r="AU261" s="91"/>
      <x:c r="AV261" s="91"/>
      <x:c r="AW261" s="91"/>
      <x:c r="AX261" s="91"/>
      <x:c r="AY261" s="91"/>
      <x:c r="AZ261" s="92"/>
      <x:c r="BA261" s="94"/>
      <x:c r="BB261" s="91"/>
      <x:c r="BC261" s="92"/>
      <x:c r="BD261" s="92"/>
      <x:c r="BE261" s="91"/>
      <x:c r="BF261" s="91"/>
      <x:c r="BG261" s="91"/>
      <x:c r="BH261" s="91"/>
      <x:c r="BI261" s="91"/>
      <x:c r="BJ261" s="91"/>
      <x:c r="BK261" s="91"/>
      <x:c r="BL261" s="91"/>
      <x:c r="BM261" s="73" t="str">
        <x:f>IF(A261="","",IF(AI261="Example","Example only",IF(AI261&lt;&gt;"Actual","Set record type",IF(COUNTIF($A$2:$A$1001,A261)&gt;1,"Duplicate record ID",IF(OR(D261="",E261="",AF261="",NOT(ISNUMBER(AG261)),AJ261="",AK261="",NOT(ISNUMBER(AL261)),AND(AM261&lt;&gt;"Observed",AM261&lt;&gt;"Corroborated",AM261&lt;&gt;"Declared"),OR(AN261="",AN261="Unknown"),OR(AQ261="",AQ261="Unknown"),OR(AR261="",AR261="Unknown",AR261="TBD"),OR(BC261="",NOT(ISNUMBER(BC261)))),"Evidence incomplete","Evidence recorded; review scope")))))</x:f>
      </x:c>
      <x:c r="BN261" s="73"/>
    </x:row>
    <x:row r="262" ht="34" customHeight="1">
      <x:c r="A262" s="73"/>
      <x:c r="B262" s="73"/>
      <x:c r="C262" s="73"/>
      <x:c r="D262" s="73"/>
      <x:c r="E262" s="73"/>
      <x:c r="F262" s="73"/>
      <x:c r="G262" s="73"/>
      <x:c r="H262" s="73"/>
      <x:c r="I262" s="75"/>
      <x:c r="J262" s="73"/>
      <x:c r="K262" s="73"/>
      <x:c r="L262" s="76"/>
      <x:c r="M262" s="73"/>
      <x:c r="N262" s="73"/>
      <x:c r="O262" s="73"/>
      <x:c r="P262" s="73"/>
      <x:c r="Q262" s="76"/>
      <x:c r="R262" s="73"/>
      <x:c r="S262" s="73"/>
      <x:c r="T262" s="73"/>
      <x:c r="U262" s="73"/>
      <x:c r="V262" s="73"/>
      <x:c r="W262" s="73"/>
      <x:c r="X262" s="73"/>
      <x:c r="Y262" s="73"/>
      <x:c r="Z262" s="73"/>
      <x:c r="AA262" s="73"/>
      <x:c r="AB262" s="76" t="str">
        <x:f>IF(A262="","",IF(OR(NOT(ISNUMBER(I262)),I262&lt;0,NOT(ISNUMBER(AP262)),AP262&lt;0,NOT(ISNUMBER(L262)),L262&lt;1,L262&gt;5,L262&lt;&gt;INT(L262),AND(J262&lt;&gt;"Public",J262&lt;&gt;"Partner",J262&lt;&gt;"Internal",J262&lt;&gt;"None"),AND(K262&lt;&gt;"High",K262&lt;&gt;"Medium",K262&lt;&gt;"Low",K262&lt;&gt;"None"),AND(W262&lt;&gt;"Hard-coded",W262&lt;&gt;"Configurable",W262&lt;&gt;"Policy-managed",W262&lt;&gt;"API/Library abstraction",W262&lt;&gt;"Automated"),AND(Z262&lt;&gt;"Y",Z262&lt;&gt;"N"),AND(AA262&lt;&gt;"Y",AA262&lt;&gt;"N")),"Incomplete",IF(Z262="Y",20,0)+L262*5+IF(AA262="Y",15,0)+IF(J262="Public",10,IF(J262="Partner",7,IF(J262="Internal",3,0)))+IF(W262="Hard-coded",10,IF(W262="Configurable",3,0))+IF(MAX(I262,AP262)&gt;=10,10,IF(MAX(I262,AP262)&gt;=5,7,IF(MAX(I262,AP262)&gt;=2,3,0)))+IF(K262="High",10,IF(K262="Medium",5,0))))</x:f>
      </x:c>
      <x:c r="AC262" s="73" t="str">
        <x:f>IF(A262="","",IF(NOT(ISNUMBER(AB262)),"Review inputs",IF(AB262&gt;=70,"P0 - Immediate",IF(AB262&gt;=50,"P1 - High",IF(AB262&gt;=30,"P2 - Medium",IF(AB262&gt;=15,"P3 - Low","P4 - Monitor"))))))</x:f>
      </x:c>
      <x:c r="AD262" s="73"/>
      <x:c r="AE262" s="73"/>
      <x:c r="AF262" s="73"/>
      <x:c r="AG262" s="77"/>
      <x:c r="AH262" s="73"/>
      <x:c r="AI262" s="91"/>
      <x:c r="AJ262" s="91"/>
      <x:c r="AK262" s="91"/>
      <x:c r="AL262" s="92"/>
      <x:c r="AM262" s="91"/>
      <x:c r="AN262" s="91"/>
      <x:c r="AO262" s="93"/>
      <x:c r="AP262" s="94"/>
      <x:c r="AQ262" s="91"/>
      <x:c r="AR262" s="91"/>
      <x:c r="AS262" s="91"/>
      <x:c r="AT262" s="91"/>
      <x:c r="AU262" s="91"/>
      <x:c r="AV262" s="91"/>
      <x:c r="AW262" s="91"/>
      <x:c r="AX262" s="91"/>
      <x:c r="AY262" s="91"/>
      <x:c r="AZ262" s="92"/>
      <x:c r="BA262" s="94"/>
      <x:c r="BB262" s="91"/>
      <x:c r="BC262" s="92"/>
      <x:c r="BD262" s="92"/>
      <x:c r="BE262" s="91"/>
      <x:c r="BF262" s="91"/>
      <x:c r="BG262" s="91"/>
      <x:c r="BH262" s="91"/>
      <x:c r="BI262" s="91"/>
      <x:c r="BJ262" s="91"/>
      <x:c r="BK262" s="91"/>
      <x:c r="BL262" s="91"/>
      <x:c r="BM262" s="73" t="str">
        <x:f>IF(A262="","",IF(AI262="Example","Example only",IF(AI262&lt;&gt;"Actual","Set record type",IF(COUNTIF($A$2:$A$1001,A262)&gt;1,"Duplicate record ID",IF(OR(D262="",E262="",AF262="",NOT(ISNUMBER(AG262)),AJ262="",AK262="",NOT(ISNUMBER(AL262)),AND(AM262&lt;&gt;"Observed",AM262&lt;&gt;"Corroborated",AM262&lt;&gt;"Declared"),OR(AN262="",AN262="Unknown"),OR(AQ262="",AQ262="Unknown"),OR(AR262="",AR262="Unknown",AR262="TBD"),OR(BC262="",NOT(ISNUMBER(BC262)))),"Evidence incomplete","Evidence recorded; review scope")))))</x:f>
      </x:c>
      <x:c r="BN262" s="73"/>
    </x:row>
    <x:row r="263" ht="34" customHeight="1">
      <x:c r="A263" s="73"/>
      <x:c r="B263" s="73"/>
      <x:c r="C263" s="73"/>
      <x:c r="D263" s="73"/>
      <x:c r="E263" s="73"/>
      <x:c r="F263" s="73"/>
      <x:c r="G263" s="73"/>
      <x:c r="H263" s="73"/>
      <x:c r="I263" s="75"/>
      <x:c r="J263" s="73"/>
      <x:c r="K263" s="73"/>
      <x:c r="L263" s="76"/>
      <x:c r="M263" s="73"/>
      <x:c r="N263" s="73"/>
      <x:c r="O263" s="73"/>
      <x:c r="P263" s="73"/>
      <x:c r="Q263" s="76"/>
      <x:c r="R263" s="73"/>
      <x:c r="S263" s="73"/>
      <x:c r="T263" s="73"/>
      <x:c r="U263" s="73"/>
      <x:c r="V263" s="73"/>
      <x:c r="W263" s="73"/>
      <x:c r="X263" s="73"/>
      <x:c r="Y263" s="73"/>
      <x:c r="Z263" s="73"/>
      <x:c r="AA263" s="73"/>
      <x:c r="AB263" s="76" t="str">
        <x:f>IF(A263="","",IF(OR(NOT(ISNUMBER(I263)),I263&lt;0,NOT(ISNUMBER(AP263)),AP263&lt;0,NOT(ISNUMBER(L263)),L263&lt;1,L263&gt;5,L263&lt;&gt;INT(L263),AND(J263&lt;&gt;"Public",J263&lt;&gt;"Partner",J263&lt;&gt;"Internal",J263&lt;&gt;"None"),AND(K263&lt;&gt;"High",K263&lt;&gt;"Medium",K263&lt;&gt;"Low",K263&lt;&gt;"None"),AND(W263&lt;&gt;"Hard-coded",W263&lt;&gt;"Configurable",W263&lt;&gt;"Policy-managed",W263&lt;&gt;"API/Library abstraction",W263&lt;&gt;"Automated"),AND(Z263&lt;&gt;"Y",Z263&lt;&gt;"N"),AND(AA263&lt;&gt;"Y",AA263&lt;&gt;"N")),"Incomplete",IF(Z263="Y",20,0)+L263*5+IF(AA263="Y",15,0)+IF(J263="Public",10,IF(J263="Partner",7,IF(J263="Internal",3,0)))+IF(W263="Hard-coded",10,IF(W263="Configurable",3,0))+IF(MAX(I263,AP263)&gt;=10,10,IF(MAX(I263,AP263)&gt;=5,7,IF(MAX(I263,AP263)&gt;=2,3,0)))+IF(K263="High",10,IF(K263="Medium",5,0))))</x:f>
      </x:c>
      <x:c r="AC263" s="73" t="str">
        <x:f>IF(A263="","",IF(NOT(ISNUMBER(AB263)),"Review inputs",IF(AB263&gt;=70,"P0 - Immediate",IF(AB263&gt;=50,"P1 - High",IF(AB263&gt;=30,"P2 - Medium",IF(AB263&gt;=15,"P3 - Low","P4 - Monitor"))))))</x:f>
      </x:c>
      <x:c r="AD263" s="73"/>
      <x:c r="AE263" s="73"/>
      <x:c r="AF263" s="73"/>
      <x:c r="AG263" s="77"/>
      <x:c r="AH263" s="73"/>
      <x:c r="AI263" s="91"/>
      <x:c r="AJ263" s="91"/>
      <x:c r="AK263" s="91"/>
      <x:c r="AL263" s="92"/>
      <x:c r="AM263" s="91"/>
      <x:c r="AN263" s="91"/>
      <x:c r="AO263" s="93"/>
      <x:c r="AP263" s="94"/>
      <x:c r="AQ263" s="91"/>
      <x:c r="AR263" s="91"/>
      <x:c r="AS263" s="91"/>
      <x:c r="AT263" s="91"/>
      <x:c r="AU263" s="91"/>
      <x:c r="AV263" s="91"/>
      <x:c r="AW263" s="91"/>
      <x:c r="AX263" s="91"/>
      <x:c r="AY263" s="91"/>
      <x:c r="AZ263" s="92"/>
      <x:c r="BA263" s="94"/>
      <x:c r="BB263" s="91"/>
      <x:c r="BC263" s="92"/>
      <x:c r="BD263" s="92"/>
      <x:c r="BE263" s="91"/>
      <x:c r="BF263" s="91"/>
      <x:c r="BG263" s="91"/>
      <x:c r="BH263" s="91"/>
      <x:c r="BI263" s="91"/>
      <x:c r="BJ263" s="91"/>
      <x:c r="BK263" s="91"/>
      <x:c r="BL263" s="91"/>
      <x:c r="BM263" s="73" t="str">
        <x:f>IF(A263="","",IF(AI263="Example","Example only",IF(AI263&lt;&gt;"Actual","Set record type",IF(COUNTIF($A$2:$A$1001,A263)&gt;1,"Duplicate record ID",IF(OR(D263="",E263="",AF263="",NOT(ISNUMBER(AG263)),AJ263="",AK263="",NOT(ISNUMBER(AL263)),AND(AM263&lt;&gt;"Observed",AM263&lt;&gt;"Corroborated",AM263&lt;&gt;"Declared"),OR(AN263="",AN263="Unknown"),OR(AQ263="",AQ263="Unknown"),OR(AR263="",AR263="Unknown",AR263="TBD"),OR(BC263="",NOT(ISNUMBER(BC263)))),"Evidence incomplete","Evidence recorded; review scope")))))</x:f>
      </x:c>
      <x:c r="BN263" s="73"/>
    </x:row>
    <x:row r="264" ht="34" customHeight="1">
      <x:c r="A264" s="73"/>
      <x:c r="B264" s="73"/>
      <x:c r="C264" s="73"/>
      <x:c r="D264" s="73"/>
      <x:c r="E264" s="73"/>
      <x:c r="F264" s="73"/>
      <x:c r="G264" s="73"/>
      <x:c r="H264" s="73"/>
      <x:c r="I264" s="75"/>
      <x:c r="J264" s="73"/>
      <x:c r="K264" s="73"/>
      <x:c r="L264" s="76"/>
      <x:c r="M264" s="73"/>
      <x:c r="N264" s="73"/>
      <x:c r="O264" s="73"/>
      <x:c r="P264" s="73"/>
      <x:c r="Q264" s="76"/>
      <x:c r="R264" s="73"/>
      <x:c r="S264" s="73"/>
      <x:c r="T264" s="73"/>
      <x:c r="U264" s="73"/>
      <x:c r="V264" s="73"/>
      <x:c r="W264" s="73"/>
      <x:c r="X264" s="73"/>
      <x:c r="Y264" s="73"/>
      <x:c r="Z264" s="73"/>
      <x:c r="AA264" s="73"/>
      <x:c r="AB264" s="76" t="str">
        <x:f>IF(A264="","",IF(OR(NOT(ISNUMBER(I264)),I264&lt;0,NOT(ISNUMBER(AP264)),AP264&lt;0,NOT(ISNUMBER(L264)),L264&lt;1,L264&gt;5,L264&lt;&gt;INT(L264),AND(J264&lt;&gt;"Public",J264&lt;&gt;"Partner",J264&lt;&gt;"Internal",J264&lt;&gt;"None"),AND(K264&lt;&gt;"High",K264&lt;&gt;"Medium",K264&lt;&gt;"Low",K264&lt;&gt;"None"),AND(W264&lt;&gt;"Hard-coded",W264&lt;&gt;"Configurable",W264&lt;&gt;"Policy-managed",W264&lt;&gt;"API/Library abstraction",W264&lt;&gt;"Automated"),AND(Z264&lt;&gt;"Y",Z264&lt;&gt;"N"),AND(AA264&lt;&gt;"Y",AA264&lt;&gt;"N")),"Incomplete",IF(Z264="Y",20,0)+L264*5+IF(AA264="Y",15,0)+IF(J264="Public",10,IF(J264="Partner",7,IF(J264="Internal",3,0)))+IF(W264="Hard-coded",10,IF(W264="Configurable",3,0))+IF(MAX(I264,AP264)&gt;=10,10,IF(MAX(I264,AP264)&gt;=5,7,IF(MAX(I264,AP264)&gt;=2,3,0)))+IF(K264="High",10,IF(K264="Medium",5,0))))</x:f>
      </x:c>
      <x:c r="AC264" s="73" t="str">
        <x:f>IF(A264="","",IF(NOT(ISNUMBER(AB264)),"Review inputs",IF(AB264&gt;=70,"P0 - Immediate",IF(AB264&gt;=50,"P1 - High",IF(AB264&gt;=30,"P2 - Medium",IF(AB264&gt;=15,"P3 - Low","P4 - Monitor"))))))</x:f>
      </x:c>
      <x:c r="AD264" s="73"/>
      <x:c r="AE264" s="73"/>
      <x:c r="AF264" s="73"/>
      <x:c r="AG264" s="77"/>
      <x:c r="AH264" s="73"/>
      <x:c r="AI264" s="91"/>
      <x:c r="AJ264" s="91"/>
      <x:c r="AK264" s="91"/>
      <x:c r="AL264" s="92"/>
      <x:c r="AM264" s="91"/>
      <x:c r="AN264" s="91"/>
      <x:c r="AO264" s="93"/>
      <x:c r="AP264" s="94"/>
      <x:c r="AQ264" s="91"/>
      <x:c r="AR264" s="91"/>
      <x:c r="AS264" s="91"/>
      <x:c r="AT264" s="91"/>
      <x:c r="AU264" s="91"/>
      <x:c r="AV264" s="91"/>
      <x:c r="AW264" s="91"/>
      <x:c r="AX264" s="91"/>
      <x:c r="AY264" s="91"/>
      <x:c r="AZ264" s="92"/>
      <x:c r="BA264" s="94"/>
      <x:c r="BB264" s="91"/>
      <x:c r="BC264" s="92"/>
      <x:c r="BD264" s="92"/>
      <x:c r="BE264" s="91"/>
      <x:c r="BF264" s="91"/>
      <x:c r="BG264" s="91"/>
      <x:c r="BH264" s="91"/>
      <x:c r="BI264" s="91"/>
      <x:c r="BJ264" s="91"/>
      <x:c r="BK264" s="91"/>
      <x:c r="BL264" s="91"/>
      <x:c r="BM264" s="73" t="str">
        <x:f>IF(A264="","",IF(AI264="Example","Example only",IF(AI264&lt;&gt;"Actual","Set record type",IF(COUNTIF($A$2:$A$1001,A264)&gt;1,"Duplicate record ID",IF(OR(D264="",E264="",AF264="",NOT(ISNUMBER(AG264)),AJ264="",AK264="",NOT(ISNUMBER(AL264)),AND(AM264&lt;&gt;"Observed",AM264&lt;&gt;"Corroborated",AM264&lt;&gt;"Declared"),OR(AN264="",AN264="Unknown"),OR(AQ264="",AQ264="Unknown"),OR(AR264="",AR264="Unknown",AR264="TBD"),OR(BC264="",NOT(ISNUMBER(BC264)))),"Evidence incomplete","Evidence recorded; review scope")))))</x:f>
      </x:c>
      <x:c r="BN264" s="73"/>
    </x:row>
    <x:row r="265" ht="34" customHeight="1">
      <x:c r="A265" s="73"/>
      <x:c r="B265" s="73"/>
      <x:c r="C265" s="73"/>
      <x:c r="D265" s="73"/>
      <x:c r="E265" s="73"/>
      <x:c r="F265" s="73"/>
      <x:c r="G265" s="73"/>
      <x:c r="H265" s="73"/>
      <x:c r="I265" s="75"/>
      <x:c r="J265" s="73"/>
      <x:c r="K265" s="73"/>
      <x:c r="L265" s="76"/>
      <x:c r="M265" s="73"/>
      <x:c r="N265" s="73"/>
      <x:c r="O265" s="73"/>
      <x:c r="P265" s="73"/>
      <x:c r="Q265" s="76"/>
      <x:c r="R265" s="73"/>
      <x:c r="S265" s="73"/>
      <x:c r="T265" s="73"/>
      <x:c r="U265" s="73"/>
      <x:c r="V265" s="73"/>
      <x:c r="W265" s="73"/>
      <x:c r="X265" s="73"/>
      <x:c r="Y265" s="73"/>
      <x:c r="Z265" s="73"/>
      <x:c r="AA265" s="73"/>
      <x:c r="AB265" s="76" t="str">
        <x:f>IF(A265="","",IF(OR(NOT(ISNUMBER(I265)),I265&lt;0,NOT(ISNUMBER(AP265)),AP265&lt;0,NOT(ISNUMBER(L265)),L265&lt;1,L265&gt;5,L265&lt;&gt;INT(L265),AND(J265&lt;&gt;"Public",J265&lt;&gt;"Partner",J265&lt;&gt;"Internal",J265&lt;&gt;"None"),AND(K265&lt;&gt;"High",K265&lt;&gt;"Medium",K265&lt;&gt;"Low",K265&lt;&gt;"None"),AND(W265&lt;&gt;"Hard-coded",W265&lt;&gt;"Configurable",W265&lt;&gt;"Policy-managed",W265&lt;&gt;"API/Library abstraction",W265&lt;&gt;"Automated"),AND(Z265&lt;&gt;"Y",Z265&lt;&gt;"N"),AND(AA265&lt;&gt;"Y",AA265&lt;&gt;"N")),"Incomplete",IF(Z265="Y",20,0)+L265*5+IF(AA265="Y",15,0)+IF(J265="Public",10,IF(J265="Partner",7,IF(J265="Internal",3,0)))+IF(W265="Hard-coded",10,IF(W265="Configurable",3,0))+IF(MAX(I265,AP265)&gt;=10,10,IF(MAX(I265,AP265)&gt;=5,7,IF(MAX(I265,AP265)&gt;=2,3,0)))+IF(K265="High",10,IF(K265="Medium",5,0))))</x:f>
      </x:c>
      <x:c r="AC265" s="73" t="str">
        <x:f>IF(A265="","",IF(NOT(ISNUMBER(AB265)),"Review inputs",IF(AB265&gt;=70,"P0 - Immediate",IF(AB265&gt;=50,"P1 - High",IF(AB265&gt;=30,"P2 - Medium",IF(AB265&gt;=15,"P3 - Low","P4 - Monitor"))))))</x:f>
      </x:c>
      <x:c r="AD265" s="73"/>
      <x:c r="AE265" s="73"/>
      <x:c r="AF265" s="73"/>
      <x:c r="AG265" s="77"/>
      <x:c r="AH265" s="73"/>
      <x:c r="AI265" s="91"/>
      <x:c r="AJ265" s="91"/>
      <x:c r="AK265" s="91"/>
      <x:c r="AL265" s="92"/>
      <x:c r="AM265" s="91"/>
      <x:c r="AN265" s="91"/>
      <x:c r="AO265" s="93"/>
      <x:c r="AP265" s="94"/>
      <x:c r="AQ265" s="91"/>
      <x:c r="AR265" s="91"/>
      <x:c r="AS265" s="91"/>
      <x:c r="AT265" s="91"/>
      <x:c r="AU265" s="91"/>
      <x:c r="AV265" s="91"/>
      <x:c r="AW265" s="91"/>
      <x:c r="AX265" s="91"/>
      <x:c r="AY265" s="91"/>
      <x:c r="AZ265" s="92"/>
      <x:c r="BA265" s="94"/>
      <x:c r="BB265" s="91"/>
      <x:c r="BC265" s="92"/>
      <x:c r="BD265" s="92"/>
      <x:c r="BE265" s="91"/>
      <x:c r="BF265" s="91"/>
      <x:c r="BG265" s="91"/>
      <x:c r="BH265" s="91"/>
      <x:c r="BI265" s="91"/>
      <x:c r="BJ265" s="91"/>
      <x:c r="BK265" s="91"/>
      <x:c r="BL265" s="91"/>
      <x:c r="BM265" s="73" t="str">
        <x:f>IF(A265="","",IF(AI265="Example","Example only",IF(AI265&lt;&gt;"Actual","Set record type",IF(COUNTIF($A$2:$A$1001,A265)&gt;1,"Duplicate record ID",IF(OR(D265="",E265="",AF265="",NOT(ISNUMBER(AG265)),AJ265="",AK265="",NOT(ISNUMBER(AL265)),AND(AM265&lt;&gt;"Observed",AM265&lt;&gt;"Corroborated",AM265&lt;&gt;"Declared"),OR(AN265="",AN265="Unknown"),OR(AQ265="",AQ265="Unknown"),OR(AR265="",AR265="Unknown",AR265="TBD"),OR(BC265="",NOT(ISNUMBER(BC265)))),"Evidence incomplete","Evidence recorded; review scope")))))</x:f>
      </x:c>
      <x:c r="BN265" s="73"/>
    </x:row>
    <x:row r="266" ht="34" customHeight="1">
      <x:c r="A266" s="73"/>
      <x:c r="B266" s="73"/>
      <x:c r="C266" s="73"/>
      <x:c r="D266" s="73"/>
      <x:c r="E266" s="73"/>
      <x:c r="F266" s="73"/>
      <x:c r="G266" s="73"/>
      <x:c r="H266" s="73"/>
      <x:c r="I266" s="75"/>
      <x:c r="J266" s="73"/>
      <x:c r="K266" s="73"/>
      <x:c r="L266" s="76"/>
      <x:c r="M266" s="73"/>
      <x:c r="N266" s="73"/>
      <x:c r="O266" s="73"/>
      <x:c r="P266" s="73"/>
      <x:c r="Q266" s="76"/>
      <x:c r="R266" s="73"/>
      <x:c r="S266" s="73"/>
      <x:c r="T266" s="73"/>
      <x:c r="U266" s="73"/>
      <x:c r="V266" s="73"/>
      <x:c r="W266" s="73"/>
      <x:c r="X266" s="73"/>
      <x:c r="Y266" s="73"/>
      <x:c r="Z266" s="73"/>
      <x:c r="AA266" s="73"/>
      <x:c r="AB266" s="76" t="str">
        <x:f>IF(A266="","",IF(OR(NOT(ISNUMBER(I266)),I266&lt;0,NOT(ISNUMBER(AP266)),AP266&lt;0,NOT(ISNUMBER(L266)),L266&lt;1,L266&gt;5,L266&lt;&gt;INT(L266),AND(J266&lt;&gt;"Public",J266&lt;&gt;"Partner",J266&lt;&gt;"Internal",J266&lt;&gt;"None"),AND(K266&lt;&gt;"High",K266&lt;&gt;"Medium",K266&lt;&gt;"Low",K266&lt;&gt;"None"),AND(W266&lt;&gt;"Hard-coded",W266&lt;&gt;"Configurable",W266&lt;&gt;"Policy-managed",W266&lt;&gt;"API/Library abstraction",W266&lt;&gt;"Automated"),AND(Z266&lt;&gt;"Y",Z266&lt;&gt;"N"),AND(AA266&lt;&gt;"Y",AA266&lt;&gt;"N")),"Incomplete",IF(Z266="Y",20,0)+L266*5+IF(AA266="Y",15,0)+IF(J266="Public",10,IF(J266="Partner",7,IF(J266="Internal",3,0)))+IF(W266="Hard-coded",10,IF(W266="Configurable",3,0))+IF(MAX(I266,AP266)&gt;=10,10,IF(MAX(I266,AP266)&gt;=5,7,IF(MAX(I266,AP266)&gt;=2,3,0)))+IF(K266="High",10,IF(K266="Medium",5,0))))</x:f>
      </x:c>
      <x:c r="AC266" s="73" t="str">
        <x:f>IF(A266="","",IF(NOT(ISNUMBER(AB266)),"Review inputs",IF(AB266&gt;=70,"P0 - Immediate",IF(AB266&gt;=50,"P1 - High",IF(AB266&gt;=30,"P2 - Medium",IF(AB266&gt;=15,"P3 - Low","P4 - Monitor"))))))</x:f>
      </x:c>
      <x:c r="AD266" s="73"/>
      <x:c r="AE266" s="73"/>
      <x:c r="AF266" s="73"/>
      <x:c r="AG266" s="77"/>
      <x:c r="AH266" s="73"/>
      <x:c r="AI266" s="91"/>
      <x:c r="AJ266" s="91"/>
      <x:c r="AK266" s="91"/>
      <x:c r="AL266" s="92"/>
      <x:c r="AM266" s="91"/>
      <x:c r="AN266" s="91"/>
      <x:c r="AO266" s="93"/>
      <x:c r="AP266" s="94"/>
      <x:c r="AQ266" s="91"/>
      <x:c r="AR266" s="91"/>
      <x:c r="AS266" s="91"/>
      <x:c r="AT266" s="91"/>
      <x:c r="AU266" s="91"/>
      <x:c r="AV266" s="91"/>
      <x:c r="AW266" s="91"/>
      <x:c r="AX266" s="91"/>
      <x:c r="AY266" s="91"/>
      <x:c r="AZ266" s="92"/>
      <x:c r="BA266" s="94"/>
      <x:c r="BB266" s="91"/>
      <x:c r="BC266" s="92"/>
      <x:c r="BD266" s="92"/>
      <x:c r="BE266" s="91"/>
      <x:c r="BF266" s="91"/>
      <x:c r="BG266" s="91"/>
      <x:c r="BH266" s="91"/>
      <x:c r="BI266" s="91"/>
      <x:c r="BJ266" s="91"/>
      <x:c r="BK266" s="91"/>
      <x:c r="BL266" s="91"/>
      <x:c r="BM266" s="73" t="str">
        <x:f>IF(A266="","",IF(AI266="Example","Example only",IF(AI266&lt;&gt;"Actual","Set record type",IF(COUNTIF($A$2:$A$1001,A266)&gt;1,"Duplicate record ID",IF(OR(D266="",E266="",AF266="",NOT(ISNUMBER(AG266)),AJ266="",AK266="",NOT(ISNUMBER(AL266)),AND(AM266&lt;&gt;"Observed",AM266&lt;&gt;"Corroborated",AM266&lt;&gt;"Declared"),OR(AN266="",AN266="Unknown"),OR(AQ266="",AQ266="Unknown"),OR(AR266="",AR266="Unknown",AR266="TBD"),OR(BC266="",NOT(ISNUMBER(BC266)))),"Evidence incomplete","Evidence recorded; review scope")))))</x:f>
      </x:c>
      <x:c r="BN266" s="73"/>
    </x:row>
    <x:row r="267" ht="34" customHeight="1">
      <x:c r="A267" s="73"/>
      <x:c r="B267" s="73"/>
      <x:c r="C267" s="73"/>
      <x:c r="D267" s="73"/>
      <x:c r="E267" s="73"/>
      <x:c r="F267" s="73"/>
      <x:c r="G267" s="73"/>
      <x:c r="H267" s="73"/>
      <x:c r="I267" s="75"/>
      <x:c r="J267" s="73"/>
      <x:c r="K267" s="73"/>
      <x:c r="L267" s="76"/>
      <x:c r="M267" s="73"/>
      <x:c r="N267" s="73"/>
      <x:c r="O267" s="73"/>
      <x:c r="P267" s="73"/>
      <x:c r="Q267" s="76"/>
      <x:c r="R267" s="73"/>
      <x:c r="S267" s="73"/>
      <x:c r="T267" s="73"/>
      <x:c r="U267" s="73"/>
      <x:c r="V267" s="73"/>
      <x:c r="W267" s="73"/>
      <x:c r="X267" s="73"/>
      <x:c r="Y267" s="73"/>
      <x:c r="Z267" s="73"/>
      <x:c r="AA267" s="73"/>
      <x:c r="AB267" s="76" t="str">
        <x:f>IF(A267="","",IF(OR(NOT(ISNUMBER(I267)),I267&lt;0,NOT(ISNUMBER(AP267)),AP267&lt;0,NOT(ISNUMBER(L267)),L267&lt;1,L267&gt;5,L267&lt;&gt;INT(L267),AND(J267&lt;&gt;"Public",J267&lt;&gt;"Partner",J267&lt;&gt;"Internal",J267&lt;&gt;"None"),AND(K267&lt;&gt;"High",K267&lt;&gt;"Medium",K267&lt;&gt;"Low",K267&lt;&gt;"None"),AND(W267&lt;&gt;"Hard-coded",W267&lt;&gt;"Configurable",W267&lt;&gt;"Policy-managed",W267&lt;&gt;"API/Library abstraction",W267&lt;&gt;"Automated"),AND(Z267&lt;&gt;"Y",Z267&lt;&gt;"N"),AND(AA267&lt;&gt;"Y",AA267&lt;&gt;"N")),"Incomplete",IF(Z267="Y",20,0)+L267*5+IF(AA267="Y",15,0)+IF(J267="Public",10,IF(J267="Partner",7,IF(J267="Internal",3,0)))+IF(W267="Hard-coded",10,IF(W267="Configurable",3,0))+IF(MAX(I267,AP267)&gt;=10,10,IF(MAX(I267,AP267)&gt;=5,7,IF(MAX(I267,AP267)&gt;=2,3,0)))+IF(K267="High",10,IF(K267="Medium",5,0))))</x:f>
      </x:c>
      <x:c r="AC267" s="73" t="str">
        <x:f>IF(A267="","",IF(NOT(ISNUMBER(AB267)),"Review inputs",IF(AB267&gt;=70,"P0 - Immediate",IF(AB267&gt;=50,"P1 - High",IF(AB267&gt;=30,"P2 - Medium",IF(AB267&gt;=15,"P3 - Low","P4 - Monitor"))))))</x:f>
      </x:c>
      <x:c r="AD267" s="73"/>
      <x:c r="AE267" s="73"/>
      <x:c r="AF267" s="73"/>
      <x:c r="AG267" s="77"/>
      <x:c r="AH267" s="73"/>
      <x:c r="AI267" s="91"/>
      <x:c r="AJ267" s="91"/>
      <x:c r="AK267" s="91"/>
      <x:c r="AL267" s="92"/>
      <x:c r="AM267" s="91"/>
      <x:c r="AN267" s="91"/>
      <x:c r="AO267" s="93"/>
      <x:c r="AP267" s="94"/>
      <x:c r="AQ267" s="91"/>
      <x:c r="AR267" s="91"/>
      <x:c r="AS267" s="91"/>
      <x:c r="AT267" s="91"/>
      <x:c r="AU267" s="91"/>
      <x:c r="AV267" s="91"/>
      <x:c r="AW267" s="91"/>
      <x:c r="AX267" s="91"/>
      <x:c r="AY267" s="91"/>
      <x:c r="AZ267" s="92"/>
      <x:c r="BA267" s="94"/>
      <x:c r="BB267" s="91"/>
      <x:c r="BC267" s="92"/>
      <x:c r="BD267" s="92"/>
      <x:c r="BE267" s="91"/>
      <x:c r="BF267" s="91"/>
      <x:c r="BG267" s="91"/>
      <x:c r="BH267" s="91"/>
      <x:c r="BI267" s="91"/>
      <x:c r="BJ267" s="91"/>
      <x:c r="BK267" s="91"/>
      <x:c r="BL267" s="91"/>
      <x:c r="BM267" s="73" t="str">
        <x:f>IF(A267="","",IF(AI267="Example","Example only",IF(AI267&lt;&gt;"Actual","Set record type",IF(COUNTIF($A$2:$A$1001,A267)&gt;1,"Duplicate record ID",IF(OR(D267="",E267="",AF267="",NOT(ISNUMBER(AG267)),AJ267="",AK267="",NOT(ISNUMBER(AL267)),AND(AM267&lt;&gt;"Observed",AM267&lt;&gt;"Corroborated",AM267&lt;&gt;"Declared"),OR(AN267="",AN267="Unknown"),OR(AQ267="",AQ267="Unknown"),OR(AR267="",AR267="Unknown",AR267="TBD"),OR(BC267="",NOT(ISNUMBER(BC267)))),"Evidence incomplete","Evidence recorded; review scope")))))</x:f>
      </x:c>
      <x:c r="BN267" s="73"/>
    </x:row>
    <x:row r="268" ht="34" customHeight="1">
      <x:c r="A268" s="73"/>
      <x:c r="B268" s="73"/>
      <x:c r="C268" s="73"/>
      <x:c r="D268" s="73"/>
      <x:c r="E268" s="73"/>
      <x:c r="F268" s="73"/>
      <x:c r="G268" s="73"/>
      <x:c r="H268" s="73"/>
      <x:c r="I268" s="75"/>
      <x:c r="J268" s="73"/>
      <x:c r="K268" s="73"/>
      <x:c r="L268" s="76"/>
      <x:c r="M268" s="73"/>
      <x:c r="N268" s="73"/>
      <x:c r="O268" s="73"/>
      <x:c r="P268" s="73"/>
      <x:c r="Q268" s="76"/>
      <x:c r="R268" s="73"/>
      <x:c r="S268" s="73"/>
      <x:c r="T268" s="73"/>
      <x:c r="U268" s="73"/>
      <x:c r="V268" s="73"/>
      <x:c r="W268" s="73"/>
      <x:c r="X268" s="73"/>
      <x:c r="Y268" s="73"/>
      <x:c r="Z268" s="73"/>
      <x:c r="AA268" s="73"/>
      <x:c r="AB268" s="76" t="str">
        <x:f>IF(A268="","",IF(OR(NOT(ISNUMBER(I268)),I268&lt;0,NOT(ISNUMBER(AP268)),AP268&lt;0,NOT(ISNUMBER(L268)),L268&lt;1,L268&gt;5,L268&lt;&gt;INT(L268),AND(J268&lt;&gt;"Public",J268&lt;&gt;"Partner",J268&lt;&gt;"Internal",J268&lt;&gt;"None"),AND(K268&lt;&gt;"High",K268&lt;&gt;"Medium",K268&lt;&gt;"Low",K268&lt;&gt;"None"),AND(W268&lt;&gt;"Hard-coded",W268&lt;&gt;"Configurable",W268&lt;&gt;"Policy-managed",W268&lt;&gt;"API/Library abstraction",W268&lt;&gt;"Automated"),AND(Z268&lt;&gt;"Y",Z268&lt;&gt;"N"),AND(AA268&lt;&gt;"Y",AA268&lt;&gt;"N")),"Incomplete",IF(Z268="Y",20,0)+L268*5+IF(AA268="Y",15,0)+IF(J268="Public",10,IF(J268="Partner",7,IF(J268="Internal",3,0)))+IF(W268="Hard-coded",10,IF(W268="Configurable",3,0))+IF(MAX(I268,AP268)&gt;=10,10,IF(MAX(I268,AP268)&gt;=5,7,IF(MAX(I268,AP268)&gt;=2,3,0)))+IF(K268="High",10,IF(K268="Medium",5,0))))</x:f>
      </x:c>
      <x:c r="AC268" s="73" t="str">
        <x:f>IF(A268="","",IF(NOT(ISNUMBER(AB268)),"Review inputs",IF(AB268&gt;=70,"P0 - Immediate",IF(AB268&gt;=50,"P1 - High",IF(AB268&gt;=30,"P2 - Medium",IF(AB268&gt;=15,"P3 - Low","P4 - Monitor"))))))</x:f>
      </x:c>
      <x:c r="AD268" s="73"/>
      <x:c r="AE268" s="73"/>
      <x:c r="AF268" s="73"/>
      <x:c r="AG268" s="77"/>
      <x:c r="AH268" s="73"/>
      <x:c r="AI268" s="91"/>
      <x:c r="AJ268" s="91"/>
      <x:c r="AK268" s="91"/>
      <x:c r="AL268" s="92"/>
      <x:c r="AM268" s="91"/>
      <x:c r="AN268" s="91"/>
      <x:c r="AO268" s="93"/>
      <x:c r="AP268" s="94"/>
      <x:c r="AQ268" s="91"/>
      <x:c r="AR268" s="91"/>
      <x:c r="AS268" s="91"/>
      <x:c r="AT268" s="91"/>
      <x:c r="AU268" s="91"/>
      <x:c r="AV268" s="91"/>
      <x:c r="AW268" s="91"/>
      <x:c r="AX268" s="91"/>
      <x:c r="AY268" s="91"/>
      <x:c r="AZ268" s="92"/>
      <x:c r="BA268" s="94"/>
      <x:c r="BB268" s="91"/>
      <x:c r="BC268" s="92"/>
      <x:c r="BD268" s="92"/>
      <x:c r="BE268" s="91"/>
      <x:c r="BF268" s="91"/>
      <x:c r="BG268" s="91"/>
      <x:c r="BH268" s="91"/>
      <x:c r="BI268" s="91"/>
      <x:c r="BJ268" s="91"/>
      <x:c r="BK268" s="91"/>
      <x:c r="BL268" s="91"/>
      <x:c r="BM268" s="73" t="str">
        <x:f>IF(A268="","",IF(AI268="Example","Example only",IF(AI268&lt;&gt;"Actual","Set record type",IF(COUNTIF($A$2:$A$1001,A268)&gt;1,"Duplicate record ID",IF(OR(D268="",E268="",AF268="",NOT(ISNUMBER(AG268)),AJ268="",AK268="",NOT(ISNUMBER(AL268)),AND(AM268&lt;&gt;"Observed",AM268&lt;&gt;"Corroborated",AM268&lt;&gt;"Declared"),OR(AN268="",AN268="Unknown"),OR(AQ268="",AQ268="Unknown"),OR(AR268="",AR268="Unknown",AR268="TBD"),OR(BC268="",NOT(ISNUMBER(BC268)))),"Evidence incomplete","Evidence recorded; review scope")))))</x:f>
      </x:c>
      <x:c r="BN268" s="73"/>
    </x:row>
    <x:row r="269" ht="34" customHeight="1">
      <x:c r="A269" s="73"/>
      <x:c r="B269" s="73"/>
      <x:c r="C269" s="73"/>
      <x:c r="D269" s="73"/>
      <x:c r="E269" s="73"/>
      <x:c r="F269" s="73"/>
      <x:c r="G269" s="73"/>
      <x:c r="H269" s="73"/>
      <x:c r="I269" s="75"/>
      <x:c r="J269" s="73"/>
      <x:c r="K269" s="73"/>
      <x:c r="L269" s="76"/>
      <x:c r="M269" s="73"/>
      <x:c r="N269" s="73"/>
      <x:c r="O269" s="73"/>
      <x:c r="P269" s="73"/>
      <x:c r="Q269" s="76"/>
      <x:c r="R269" s="73"/>
      <x:c r="S269" s="73"/>
      <x:c r="T269" s="73"/>
      <x:c r="U269" s="73"/>
      <x:c r="V269" s="73"/>
      <x:c r="W269" s="73"/>
      <x:c r="X269" s="73"/>
      <x:c r="Y269" s="73"/>
      <x:c r="Z269" s="73"/>
      <x:c r="AA269" s="73"/>
      <x:c r="AB269" s="76" t="str">
        <x:f>IF(A269="","",IF(OR(NOT(ISNUMBER(I269)),I269&lt;0,NOT(ISNUMBER(AP269)),AP269&lt;0,NOT(ISNUMBER(L269)),L269&lt;1,L269&gt;5,L269&lt;&gt;INT(L269),AND(J269&lt;&gt;"Public",J269&lt;&gt;"Partner",J269&lt;&gt;"Internal",J269&lt;&gt;"None"),AND(K269&lt;&gt;"High",K269&lt;&gt;"Medium",K269&lt;&gt;"Low",K269&lt;&gt;"None"),AND(W269&lt;&gt;"Hard-coded",W269&lt;&gt;"Configurable",W269&lt;&gt;"Policy-managed",W269&lt;&gt;"API/Library abstraction",W269&lt;&gt;"Automated"),AND(Z269&lt;&gt;"Y",Z269&lt;&gt;"N"),AND(AA269&lt;&gt;"Y",AA269&lt;&gt;"N")),"Incomplete",IF(Z269="Y",20,0)+L269*5+IF(AA269="Y",15,0)+IF(J269="Public",10,IF(J269="Partner",7,IF(J269="Internal",3,0)))+IF(W269="Hard-coded",10,IF(W269="Configurable",3,0))+IF(MAX(I269,AP269)&gt;=10,10,IF(MAX(I269,AP269)&gt;=5,7,IF(MAX(I269,AP269)&gt;=2,3,0)))+IF(K269="High",10,IF(K269="Medium",5,0))))</x:f>
      </x:c>
      <x:c r="AC269" s="73" t="str">
        <x:f>IF(A269="","",IF(NOT(ISNUMBER(AB269)),"Review inputs",IF(AB269&gt;=70,"P0 - Immediate",IF(AB269&gt;=50,"P1 - High",IF(AB269&gt;=30,"P2 - Medium",IF(AB269&gt;=15,"P3 - Low","P4 - Monitor"))))))</x:f>
      </x:c>
      <x:c r="AD269" s="73"/>
      <x:c r="AE269" s="73"/>
      <x:c r="AF269" s="73"/>
      <x:c r="AG269" s="77"/>
      <x:c r="AH269" s="73"/>
      <x:c r="AI269" s="91"/>
      <x:c r="AJ269" s="91"/>
      <x:c r="AK269" s="91"/>
      <x:c r="AL269" s="92"/>
      <x:c r="AM269" s="91"/>
      <x:c r="AN269" s="91"/>
      <x:c r="AO269" s="93"/>
      <x:c r="AP269" s="94"/>
      <x:c r="AQ269" s="91"/>
      <x:c r="AR269" s="91"/>
      <x:c r="AS269" s="91"/>
      <x:c r="AT269" s="91"/>
      <x:c r="AU269" s="91"/>
      <x:c r="AV269" s="91"/>
      <x:c r="AW269" s="91"/>
      <x:c r="AX269" s="91"/>
      <x:c r="AY269" s="91"/>
      <x:c r="AZ269" s="92"/>
      <x:c r="BA269" s="94"/>
      <x:c r="BB269" s="91"/>
      <x:c r="BC269" s="92"/>
      <x:c r="BD269" s="92"/>
      <x:c r="BE269" s="91"/>
      <x:c r="BF269" s="91"/>
      <x:c r="BG269" s="91"/>
      <x:c r="BH269" s="91"/>
      <x:c r="BI269" s="91"/>
      <x:c r="BJ269" s="91"/>
      <x:c r="BK269" s="91"/>
      <x:c r="BL269" s="91"/>
      <x:c r="BM269" s="73" t="str">
        <x:f>IF(A269="","",IF(AI269="Example","Example only",IF(AI269&lt;&gt;"Actual","Set record type",IF(COUNTIF($A$2:$A$1001,A269)&gt;1,"Duplicate record ID",IF(OR(D269="",E269="",AF269="",NOT(ISNUMBER(AG269)),AJ269="",AK269="",NOT(ISNUMBER(AL269)),AND(AM269&lt;&gt;"Observed",AM269&lt;&gt;"Corroborated",AM269&lt;&gt;"Declared"),OR(AN269="",AN269="Unknown"),OR(AQ269="",AQ269="Unknown"),OR(AR269="",AR269="Unknown",AR269="TBD"),OR(BC269="",NOT(ISNUMBER(BC269)))),"Evidence incomplete","Evidence recorded; review scope")))))</x:f>
      </x:c>
      <x:c r="BN269" s="73"/>
    </x:row>
    <x:row r="270" ht="34" customHeight="1">
      <x:c r="A270" s="73"/>
      <x:c r="B270" s="73"/>
      <x:c r="C270" s="73"/>
      <x:c r="D270" s="73"/>
      <x:c r="E270" s="73"/>
      <x:c r="F270" s="73"/>
      <x:c r="G270" s="73"/>
      <x:c r="H270" s="73"/>
      <x:c r="I270" s="75"/>
      <x:c r="J270" s="73"/>
      <x:c r="K270" s="73"/>
      <x:c r="L270" s="76"/>
      <x:c r="M270" s="73"/>
      <x:c r="N270" s="73"/>
      <x:c r="O270" s="73"/>
      <x:c r="P270" s="73"/>
      <x:c r="Q270" s="76"/>
      <x:c r="R270" s="73"/>
      <x:c r="S270" s="73"/>
      <x:c r="T270" s="73"/>
      <x:c r="U270" s="73"/>
      <x:c r="V270" s="73"/>
      <x:c r="W270" s="73"/>
      <x:c r="X270" s="73"/>
      <x:c r="Y270" s="73"/>
      <x:c r="Z270" s="73"/>
      <x:c r="AA270" s="73"/>
      <x:c r="AB270" s="76" t="str">
        <x:f>IF(A270="","",IF(OR(NOT(ISNUMBER(I270)),I270&lt;0,NOT(ISNUMBER(AP270)),AP270&lt;0,NOT(ISNUMBER(L270)),L270&lt;1,L270&gt;5,L270&lt;&gt;INT(L270),AND(J270&lt;&gt;"Public",J270&lt;&gt;"Partner",J270&lt;&gt;"Internal",J270&lt;&gt;"None"),AND(K270&lt;&gt;"High",K270&lt;&gt;"Medium",K270&lt;&gt;"Low",K270&lt;&gt;"None"),AND(W270&lt;&gt;"Hard-coded",W270&lt;&gt;"Configurable",W270&lt;&gt;"Policy-managed",W270&lt;&gt;"API/Library abstraction",W270&lt;&gt;"Automated"),AND(Z270&lt;&gt;"Y",Z270&lt;&gt;"N"),AND(AA270&lt;&gt;"Y",AA270&lt;&gt;"N")),"Incomplete",IF(Z270="Y",20,0)+L270*5+IF(AA270="Y",15,0)+IF(J270="Public",10,IF(J270="Partner",7,IF(J270="Internal",3,0)))+IF(W270="Hard-coded",10,IF(W270="Configurable",3,0))+IF(MAX(I270,AP270)&gt;=10,10,IF(MAX(I270,AP270)&gt;=5,7,IF(MAX(I270,AP270)&gt;=2,3,0)))+IF(K270="High",10,IF(K270="Medium",5,0))))</x:f>
      </x:c>
      <x:c r="AC270" s="73" t="str">
        <x:f>IF(A270="","",IF(NOT(ISNUMBER(AB270)),"Review inputs",IF(AB270&gt;=70,"P0 - Immediate",IF(AB270&gt;=50,"P1 - High",IF(AB270&gt;=30,"P2 - Medium",IF(AB270&gt;=15,"P3 - Low","P4 - Monitor"))))))</x:f>
      </x:c>
      <x:c r="AD270" s="73"/>
      <x:c r="AE270" s="73"/>
      <x:c r="AF270" s="73"/>
      <x:c r="AG270" s="77"/>
      <x:c r="AH270" s="73"/>
      <x:c r="AI270" s="91"/>
      <x:c r="AJ270" s="91"/>
      <x:c r="AK270" s="91"/>
      <x:c r="AL270" s="92"/>
      <x:c r="AM270" s="91"/>
      <x:c r="AN270" s="91"/>
      <x:c r="AO270" s="93"/>
      <x:c r="AP270" s="94"/>
      <x:c r="AQ270" s="91"/>
      <x:c r="AR270" s="91"/>
      <x:c r="AS270" s="91"/>
      <x:c r="AT270" s="91"/>
      <x:c r="AU270" s="91"/>
      <x:c r="AV270" s="91"/>
      <x:c r="AW270" s="91"/>
      <x:c r="AX270" s="91"/>
      <x:c r="AY270" s="91"/>
      <x:c r="AZ270" s="92"/>
      <x:c r="BA270" s="94"/>
      <x:c r="BB270" s="91"/>
      <x:c r="BC270" s="92"/>
      <x:c r="BD270" s="92"/>
      <x:c r="BE270" s="91"/>
      <x:c r="BF270" s="91"/>
      <x:c r="BG270" s="91"/>
      <x:c r="BH270" s="91"/>
      <x:c r="BI270" s="91"/>
      <x:c r="BJ270" s="91"/>
      <x:c r="BK270" s="91"/>
      <x:c r="BL270" s="91"/>
      <x:c r="BM270" s="73" t="str">
        <x:f>IF(A270="","",IF(AI270="Example","Example only",IF(AI270&lt;&gt;"Actual","Set record type",IF(COUNTIF($A$2:$A$1001,A270)&gt;1,"Duplicate record ID",IF(OR(D270="",E270="",AF270="",NOT(ISNUMBER(AG270)),AJ270="",AK270="",NOT(ISNUMBER(AL270)),AND(AM270&lt;&gt;"Observed",AM270&lt;&gt;"Corroborated",AM270&lt;&gt;"Declared"),OR(AN270="",AN270="Unknown"),OR(AQ270="",AQ270="Unknown"),OR(AR270="",AR270="Unknown",AR270="TBD"),OR(BC270="",NOT(ISNUMBER(BC270)))),"Evidence incomplete","Evidence recorded; review scope")))))</x:f>
      </x:c>
      <x:c r="BN270" s="73"/>
    </x:row>
    <x:row r="271" ht="34" customHeight="1">
      <x:c r="A271" s="73"/>
      <x:c r="B271" s="73"/>
      <x:c r="C271" s="73"/>
      <x:c r="D271" s="73"/>
      <x:c r="E271" s="73"/>
      <x:c r="F271" s="73"/>
      <x:c r="G271" s="73"/>
      <x:c r="H271" s="73"/>
      <x:c r="I271" s="75"/>
      <x:c r="J271" s="73"/>
      <x:c r="K271" s="73"/>
      <x:c r="L271" s="76"/>
      <x:c r="M271" s="73"/>
      <x:c r="N271" s="73"/>
      <x:c r="O271" s="73"/>
      <x:c r="P271" s="73"/>
      <x:c r="Q271" s="76"/>
      <x:c r="R271" s="73"/>
      <x:c r="S271" s="73"/>
      <x:c r="T271" s="73"/>
      <x:c r="U271" s="73"/>
      <x:c r="V271" s="73"/>
      <x:c r="W271" s="73"/>
      <x:c r="X271" s="73"/>
      <x:c r="Y271" s="73"/>
      <x:c r="Z271" s="73"/>
      <x:c r="AA271" s="73"/>
      <x:c r="AB271" s="76" t="str">
        <x:f>IF(A271="","",IF(OR(NOT(ISNUMBER(I271)),I271&lt;0,NOT(ISNUMBER(AP271)),AP271&lt;0,NOT(ISNUMBER(L271)),L271&lt;1,L271&gt;5,L271&lt;&gt;INT(L271),AND(J271&lt;&gt;"Public",J271&lt;&gt;"Partner",J271&lt;&gt;"Internal",J271&lt;&gt;"None"),AND(K271&lt;&gt;"High",K271&lt;&gt;"Medium",K271&lt;&gt;"Low",K271&lt;&gt;"None"),AND(W271&lt;&gt;"Hard-coded",W271&lt;&gt;"Configurable",W271&lt;&gt;"Policy-managed",W271&lt;&gt;"API/Library abstraction",W271&lt;&gt;"Automated"),AND(Z271&lt;&gt;"Y",Z271&lt;&gt;"N"),AND(AA271&lt;&gt;"Y",AA271&lt;&gt;"N")),"Incomplete",IF(Z271="Y",20,0)+L271*5+IF(AA271="Y",15,0)+IF(J271="Public",10,IF(J271="Partner",7,IF(J271="Internal",3,0)))+IF(W271="Hard-coded",10,IF(W271="Configurable",3,0))+IF(MAX(I271,AP271)&gt;=10,10,IF(MAX(I271,AP271)&gt;=5,7,IF(MAX(I271,AP271)&gt;=2,3,0)))+IF(K271="High",10,IF(K271="Medium",5,0))))</x:f>
      </x:c>
      <x:c r="AC271" s="73" t="str">
        <x:f>IF(A271="","",IF(NOT(ISNUMBER(AB271)),"Review inputs",IF(AB271&gt;=70,"P0 - Immediate",IF(AB271&gt;=50,"P1 - High",IF(AB271&gt;=30,"P2 - Medium",IF(AB271&gt;=15,"P3 - Low","P4 - Monitor"))))))</x:f>
      </x:c>
      <x:c r="AD271" s="73"/>
      <x:c r="AE271" s="73"/>
      <x:c r="AF271" s="73"/>
      <x:c r="AG271" s="77"/>
      <x:c r="AH271" s="73"/>
      <x:c r="AI271" s="91"/>
      <x:c r="AJ271" s="91"/>
      <x:c r="AK271" s="91"/>
      <x:c r="AL271" s="92"/>
      <x:c r="AM271" s="91"/>
      <x:c r="AN271" s="91"/>
      <x:c r="AO271" s="93"/>
      <x:c r="AP271" s="94"/>
      <x:c r="AQ271" s="91"/>
      <x:c r="AR271" s="91"/>
      <x:c r="AS271" s="91"/>
      <x:c r="AT271" s="91"/>
      <x:c r="AU271" s="91"/>
      <x:c r="AV271" s="91"/>
      <x:c r="AW271" s="91"/>
      <x:c r="AX271" s="91"/>
      <x:c r="AY271" s="91"/>
      <x:c r="AZ271" s="92"/>
      <x:c r="BA271" s="94"/>
      <x:c r="BB271" s="91"/>
      <x:c r="BC271" s="92"/>
      <x:c r="BD271" s="92"/>
      <x:c r="BE271" s="91"/>
      <x:c r="BF271" s="91"/>
      <x:c r="BG271" s="91"/>
      <x:c r="BH271" s="91"/>
      <x:c r="BI271" s="91"/>
      <x:c r="BJ271" s="91"/>
      <x:c r="BK271" s="91"/>
      <x:c r="BL271" s="91"/>
      <x:c r="BM271" s="73" t="str">
        <x:f>IF(A271="","",IF(AI271="Example","Example only",IF(AI271&lt;&gt;"Actual","Set record type",IF(COUNTIF($A$2:$A$1001,A271)&gt;1,"Duplicate record ID",IF(OR(D271="",E271="",AF271="",NOT(ISNUMBER(AG271)),AJ271="",AK271="",NOT(ISNUMBER(AL271)),AND(AM271&lt;&gt;"Observed",AM271&lt;&gt;"Corroborated",AM271&lt;&gt;"Declared"),OR(AN271="",AN271="Unknown"),OR(AQ271="",AQ271="Unknown"),OR(AR271="",AR271="Unknown",AR271="TBD"),OR(BC271="",NOT(ISNUMBER(BC271)))),"Evidence incomplete","Evidence recorded; review scope")))))</x:f>
      </x:c>
      <x:c r="BN271" s="73"/>
    </x:row>
    <x:row r="272" ht="34" customHeight="1">
      <x:c r="A272" s="73"/>
      <x:c r="B272" s="73"/>
      <x:c r="C272" s="73"/>
      <x:c r="D272" s="73"/>
      <x:c r="E272" s="73"/>
      <x:c r="F272" s="73"/>
      <x:c r="G272" s="73"/>
      <x:c r="H272" s="73"/>
      <x:c r="I272" s="75"/>
      <x:c r="J272" s="73"/>
      <x:c r="K272" s="73"/>
      <x:c r="L272" s="76"/>
      <x:c r="M272" s="73"/>
      <x:c r="N272" s="73"/>
      <x:c r="O272" s="73"/>
      <x:c r="P272" s="73"/>
      <x:c r="Q272" s="76"/>
      <x:c r="R272" s="73"/>
      <x:c r="S272" s="73"/>
      <x:c r="T272" s="73"/>
      <x:c r="U272" s="73"/>
      <x:c r="V272" s="73"/>
      <x:c r="W272" s="73"/>
      <x:c r="X272" s="73"/>
      <x:c r="Y272" s="73"/>
      <x:c r="Z272" s="73"/>
      <x:c r="AA272" s="73"/>
      <x:c r="AB272" s="76" t="str">
        <x:f>IF(A272="","",IF(OR(NOT(ISNUMBER(I272)),I272&lt;0,NOT(ISNUMBER(AP272)),AP272&lt;0,NOT(ISNUMBER(L272)),L272&lt;1,L272&gt;5,L272&lt;&gt;INT(L272),AND(J272&lt;&gt;"Public",J272&lt;&gt;"Partner",J272&lt;&gt;"Internal",J272&lt;&gt;"None"),AND(K272&lt;&gt;"High",K272&lt;&gt;"Medium",K272&lt;&gt;"Low",K272&lt;&gt;"None"),AND(W272&lt;&gt;"Hard-coded",W272&lt;&gt;"Configurable",W272&lt;&gt;"Policy-managed",W272&lt;&gt;"API/Library abstraction",W272&lt;&gt;"Automated"),AND(Z272&lt;&gt;"Y",Z272&lt;&gt;"N"),AND(AA272&lt;&gt;"Y",AA272&lt;&gt;"N")),"Incomplete",IF(Z272="Y",20,0)+L272*5+IF(AA272="Y",15,0)+IF(J272="Public",10,IF(J272="Partner",7,IF(J272="Internal",3,0)))+IF(W272="Hard-coded",10,IF(W272="Configurable",3,0))+IF(MAX(I272,AP272)&gt;=10,10,IF(MAX(I272,AP272)&gt;=5,7,IF(MAX(I272,AP272)&gt;=2,3,0)))+IF(K272="High",10,IF(K272="Medium",5,0))))</x:f>
      </x:c>
      <x:c r="AC272" s="73" t="str">
        <x:f>IF(A272="","",IF(NOT(ISNUMBER(AB272)),"Review inputs",IF(AB272&gt;=70,"P0 - Immediate",IF(AB272&gt;=50,"P1 - High",IF(AB272&gt;=30,"P2 - Medium",IF(AB272&gt;=15,"P3 - Low","P4 - Monitor"))))))</x:f>
      </x:c>
      <x:c r="AD272" s="73"/>
      <x:c r="AE272" s="73"/>
      <x:c r="AF272" s="73"/>
      <x:c r="AG272" s="77"/>
      <x:c r="AH272" s="73"/>
      <x:c r="AI272" s="91"/>
      <x:c r="AJ272" s="91"/>
      <x:c r="AK272" s="91"/>
      <x:c r="AL272" s="92"/>
      <x:c r="AM272" s="91"/>
      <x:c r="AN272" s="91"/>
      <x:c r="AO272" s="93"/>
      <x:c r="AP272" s="94"/>
      <x:c r="AQ272" s="91"/>
      <x:c r="AR272" s="91"/>
      <x:c r="AS272" s="91"/>
      <x:c r="AT272" s="91"/>
      <x:c r="AU272" s="91"/>
      <x:c r="AV272" s="91"/>
      <x:c r="AW272" s="91"/>
      <x:c r="AX272" s="91"/>
      <x:c r="AY272" s="91"/>
      <x:c r="AZ272" s="92"/>
      <x:c r="BA272" s="94"/>
      <x:c r="BB272" s="91"/>
      <x:c r="BC272" s="92"/>
      <x:c r="BD272" s="92"/>
      <x:c r="BE272" s="91"/>
      <x:c r="BF272" s="91"/>
      <x:c r="BG272" s="91"/>
      <x:c r="BH272" s="91"/>
      <x:c r="BI272" s="91"/>
      <x:c r="BJ272" s="91"/>
      <x:c r="BK272" s="91"/>
      <x:c r="BL272" s="91"/>
      <x:c r="BM272" s="73" t="str">
        <x:f>IF(A272="","",IF(AI272="Example","Example only",IF(AI272&lt;&gt;"Actual","Set record type",IF(COUNTIF($A$2:$A$1001,A272)&gt;1,"Duplicate record ID",IF(OR(D272="",E272="",AF272="",NOT(ISNUMBER(AG272)),AJ272="",AK272="",NOT(ISNUMBER(AL272)),AND(AM272&lt;&gt;"Observed",AM272&lt;&gt;"Corroborated",AM272&lt;&gt;"Declared"),OR(AN272="",AN272="Unknown"),OR(AQ272="",AQ272="Unknown"),OR(AR272="",AR272="Unknown",AR272="TBD"),OR(BC272="",NOT(ISNUMBER(BC272)))),"Evidence incomplete","Evidence recorded; review scope")))))</x:f>
      </x:c>
      <x:c r="BN272" s="73"/>
    </x:row>
    <x:row r="273" ht="34" customHeight="1">
      <x:c r="A273" s="73"/>
      <x:c r="B273" s="73"/>
      <x:c r="C273" s="73"/>
      <x:c r="D273" s="73"/>
      <x:c r="E273" s="73"/>
      <x:c r="F273" s="73"/>
      <x:c r="G273" s="73"/>
      <x:c r="H273" s="73"/>
      <x:c r="I273" s="75"/>
      <x:c r="J273" s="73"/>
      <x:c r="K273" s="73"/>
      <x:c r="L273" s="76"/>
      <x:c r="M273" s="73"/>
      <x:c r="N273" s="73"/>
      <x:c r="O273" s="73"/>
      <x:c r="P273" s="73"/>
      <x:c r="Q273" s="76"/>
      <x:c r="R273" s="73"/>
      <x:c r="S273" s="73"/>
      <x:c r="T273" s="73"/>
      <x:c r="U273" s="73"/>
      <x:c r="V273" s="73"/>
      <x:c r="W273" s="73"/>
      <x:c r="X273" s="73"/>
      <x:c r="Y273" s="73"/>
      <x:c r="Z273" s="73"/>
      <x:c r="AA273" s="73"/>
      <x:c r="AB273" s="76" t="str">
        <x:f>IF(A273="","",IF(OR(NOT(ISNUMBER(I273)),I273&lt;0,NOT(ISNUMBER(AP273)),AP273&lt;0,NOT(ISNUMBER(L273)),L273&lt;1,L273&gt;5,L273&lt;&gt;INT(L273),AND(J273&lt;&gt;"Public",J273&lt;&gt;"Partner",J273&lt;&gt;"Internal",J273&lt;&gt;"None"),AND(K273&lt;&gt;"High",K273&lt;&gt;"Medium",K273&lt;&gt;"Low",K273&lt;&gt;"None"),AND(W273&lt;&gt;"Hard-coded",W273&lt;&gt;"Configurable",W273&lt;&gt;"Policy-managed",W273&lt;&gt;"API/Library abstraction",W273&lt;&gt;"Automated"),AND(Z273&lt;&gt;"Y",Z273&lt;&gt;"N"),AND(AA273&lt;&gt;"Y",AA273&lt;&gt;"N")),"Incomplete",IF(Z273="Y",20,0)+L273*5+IF(AA273="Y",15,0)+IF(J273="Public",10,IF(J273="Partner",7,IF(J273="Internal",3,0)))+IF(W273="Hard-coded",10,IF(W273="Configurable",3,0))+IF(MAX(I273,AP273)&gt;=10,10,IF(MAX(I273,AP273)&gt;=5,7,IF(MAX(I273,AP273)&gt;=2,3,0)))+IF(K273="High",10,IF(K273="Medium",5,0))))</x:f>
      </x:c>
      <x:c r="AC273" s="73" t="str">
        <x:f>IF(A273="","",IF(NOT(ISNUMBER(AB273)),"Review inputs",IF(AB273&gt;=70,"P0 - Immediate",IF(AB273&gt;=50,"P1 - High",IF(AB273&gt;=30,"P2 - Medium",IF(AB273&gt;=15,"P3 - Low","P4 - Monitor"))))))</x:f>
      </x:c>
      <x:c r="AD273" s="73"/>
      <x:c r="AE273" s="73"/>
      <x:c r="AF273" s="73"/>
      <x:c r="AG273" s="77"/>
      <x:c r="AH273" s="73"/>
      <x:c r="AI273" s="91"/>
      <x:c r="AJ273" s="91"/>
      <x:c r="AK273" s="91"/>
      <x:c r="AL273" s="92"/>
      <x:c r="AM273" s="91"/>
      <x:c r="AN273" s="91"/>
      <x:c r="AO273" s="93"/>
      <x:c r="AP273" s="94"/>
      <x:c r="AQ273" s="91"/>
      <x:c r="AR273" s="91"/>
      <x:c r="AS273" s="91"/>
      <x:c r="AT273" s="91"/>
      <x:c r="AU273" s="91"/>
      <x:c r="AV273" s="91"/>
      <x:c r="AW273" s="91"/>
      <x:c r="AX273" s="91"/>
      <x:c r="AY273" s="91"/>
      <x:c r="AZ273" s="92"/>
      <x:c r="BA273" s="94"/>
      <x:c r="BB273" s="91"/>
      <x:c r="BC273" s="92"/>
      <x:c r="BD273" s="92"/>
      <x:c r="BE273" s="91"/>
      <x:c r="BF273" s="91"/>
      <x:c r="BG273" s="91"/>
      <x:c r="BH273" s="91"/>
      <x:c r="BI273" s="91"/>
      <x:c r="BJ273" s="91"/>
      <x:c r="BK273" s="91"/>
      <x:c r="BL273" s="91"/>
      <x:c r="BM273" s="73" t="str">
        <x:f>IF(A273="","",IF(AI273="Example","Example only",IF(AI273&lt;&gt;"Actual","Set record type",IF(COUNTIF($A$2:$A$1001,A273)&gt;1,"Duplicate record ID",IF(OR(D273="",E273="",AF273="",NOT(ISNUMBER(AG273)),AJ273="",AK273="",NOT(ISNUMBER(AL273)),AND(AM273&lt;&gt;"Observed",AM273&lt;&gt;"Corroborated",AM273&lt;&gt;"Declared"),OR(AN273="",AN273="Unknown"),OR(AQ273="",AQ273="Unknown"),OR(AR273="",AR273="Unknown",AR273="TBD"),OR(BC273="",NOT(ISNUMBER(BC273)))),"Evidence incomplete","Evidence recorded; review scope")))))</x:f>
      </x:c>
      <x:c r="BN273" s="73"/>
    </x:row>
    <x:row r="274" ht="34" customHeight="1">
      <x:c r="A274" s="73"/>
      <x:c r="B274" s="73"/>
      <x:c r="C274" s="73"/>
      <x:c r="D274" s="73"/>
      <x:c r="E274" s="73"/>
      <x:c r="F274" s="73"/>
      <x:c r="G274" s="73"/>
      <x:c r="H274" s="73"/>
      <x:c r="I274" s="75"/>
      <x:c r="J274" s="73"/>
      <x:c r="K274" s="73"/>
      <x:c r="L274" s="76"/>
      <x:c r="M274" s="73"/>
      <x:c r="N274" s="73"/>
      <x:c r="O274" s="73"/>
      <x:c r="P274" s="73"/>
      <x:c r="Q274" s="76"/>
      <x:c r="R274" s="73"/>
      <x:c r="S274" s="73"/>
      <x:c r="T274" s="73"/>
      <x:c r="U274" s="73"/>
      <x:c r="V274" s="73"/>
      <x:c r="W274" s="73"/>
      <x:c r="X274" s="73"/>
      <x:c r="Y274" s="73"/>
      <x:c r="Z274" s="73"/>
      <x:c r="AA274" s="73"/>
      <x:c r="AB274" s="76" t="str">
        <x:f>IF(A274="","",IF(OR(NOT(ISNUMBER(I274)),I274&lt;0,NOT(ISNUMBER(AP274)),AP274&lt;0,NOT(ISNUMBER(L274)),L274&lt;1,L274&gt;5,L274&lt;&gt;INT(L274),AND(J274&lt;&gt;"Public",J274&lt;&gt;"Partner",J274&lt;&gt;"Internal",J274&lt;&gt;"None"),AND(K274&lt;&gt;"High",K274&lt;&gt;"Medium",K274&lt;&gt;"Low",K274&lt;&gt;"None"),AND(W274&lt;&gt;"Hard-coded",W274&lt;&gt;"Configurable",W274&lt;&gt;"Policy-managed",W274&lt;&gt;"API/Library abstraction",W274&lt;&gt;"Automated"),AND(Z274&lt;&gt;"Y",Z274&lt;&gt;"N"),AND(AA274&lt;&gt;"Y",AA274&lt;&gt;"N")),"Incomplete",IF(Z274="Y",20,0)+L274*5+IF(AA274="Y",15,0)+IF(J274="Public",10,IF(J274="Partner",7,IF(J274="Internal",3,0)))+IF(W274="Hard-coded",10,IF(W274="Configurable",3,0))+IF(MAX(I274,AP274)&gt;=10,10,IF(MAX(I274,AP274)&gt;=5,7,IF(MAX(I274,AP274)&gt;=2,3,0)))+IF(K274="High",10,IF(K274="Medium",5,0))))</x:f>
      </x:c>
      <x:c r="AC274" s="73" t="str">
        <x:f>IF(A274="","",IF(NOT(ISNUMBER(AB274)),"Review inputs",IF(AB274&gt;=70,"P0 - Immediate",IF(AB274&gt;=50,"P1 - High",IF(AB274&gt;=30,"P2 - Medium",IF(AB274&gt;=15,"P3 - Low","P4 - Monitor"))))))</x:f>
      </x:c>
      <x:c r="AD274" s="73"/>
      <x:c r="AE274" s="73"/>
      <x:c r="AF274" s="73"/>
      <x:c r="AG274" s="77"/>
      <x:c r="AH274" s="73"/>
      <x:c r="AI274" s="91"/>
      <x:c r="AJ274" s="91"/>
      <x:c r="AK274" s="91"/>
      <x:c r="AL274" s="92"/>
      <x:c r="AM274" s="91"/>
      <x:c r="AN274" s="91"/>
      <x:c r="AO274" s="93"/>
      <x:c r="AP274" s="94"/>
      <x:c r="AQ274" s="91"/>
      <x:c r="AR274" s="91"/>
      <x:c r="AS274" s="91"/>
      <x:c r="AT274" s="91"/>
      <x:c r="AU274" s="91"/>
      <x:c r="AV274" s="91"/>
      <x:c r="AW274" s="91"/>
      <x:c r="AX274" s="91"/>
      <x:c r="AY274" s="91"/>
      <x:c r="AZ274" s="92"/>
      <x:c r="BA274" s="94"/>
      <x:c r="BB274" s="91"/>
      <x:c r="BC274" s="92"/>
      <x:c r="BD274" s="92"/>
      <x:c r="BE274" s="91"/>
      <x:c r="BF274" s="91"/>
      <x:c r="BG274" s="91"/>
      <x:c r="BH274" s="91"/>
      <x:c r="BI274" s="91"/>
      <x:c r="BJ274" s="91"/>
      <x:c r="BK274" s="91"/>
      <x:c r="BL274" s="91"/>
      <x:c r="BM274" s="73" t="str">
        <x:f>IF(A274="","",IF(AI274="Example","Example only",IF(AI274&lt;&gt;"Actual","Set record type",IF(COUNTIF($A$2:$A$1001,A274)&gt;1,"Duplicate record ID",IF(OR(D274="",E274="",AF274="",NOT(ISNUMBER(AG274)),AJ274="",AK274="",NOT(ISNUMBER(AL274)),AND(AM274&lt;&gt;"Observed",AM274&lt;&gt;"Corroborated",AM274&lt;&gt;"Declared"),OR(AN274="",AN274="Unknown"),OR(AQ274="",AQ274="Unknown"),OR(AR274="",AR274="Unknown",AR274="TBD"),OR(BC274="",NOT(ISNUMBER(BC274)))),"Evidence incomplete","Evidence recorded; review scope")))))</x:f>
      </x:c>
      <x:c r="BN274" s="73"/>
    </x:row>
    <x:row r="275" ht="34" customHeight="1">
      <x:c r="A275" s="73"/>
      <x:c r="B275" s="73"/>
      <x:c r="C275" s="73"/>
      <x:c r="D275" s="73"/>
      <x:c r="E275" s="73"/>
      <x:c r="F275" s="73"/>
      <x:c r="G275" s="73"/>
      <x:c r="H275" s="73"/>
      <x:c r="I275" s="75"/>
      <x:c r="J275" s="73"/>
      <x:c r="K275" s="73"/>
      <x:c r="L275" s="76"/>
      <x:c r="M275" s="73"/>
      <x:c r="N275" s="73"/>
      <x:c r="O275" s="73"/>
      <x:c r="P275" s="73"/>
      <x:c r="Q275" s="76"/>
      <x:c r="R275" s="73"/>
      <x:c r="S275" s="73"/>
      <x:c r="T275" s="73"/>
      <x:c r="U275" s="73"/>
      <x:c r="V275" s="73"/>
      <x:c r="W275" s="73"/>
      <x:c r="X275" s="73"/>
      <x:c r="Y275" s="73"/>
      <x:c r="Z275" s="73"/>
      <x:c r="AA275" s="73"/>
      <x:c r="AB275" s="76" t="str">
        <x:f>IF(A275="","",IF(OR(NOT(ISNUMBER(I275)),I275&lt;0,NOT(ISNUMBER(AP275)),AP275&lt;0,NOT(ISNUMBER(L275)),L275&lt;1,L275&gt;5,L275&lt;&gt;INT(L275),AND(J275&lt;&gt;"Public",J275&lt;&gt;"Partner",J275&lt;&gt;"Internal",J275&lt;&gt;"None"),AND(K275&lt;&gt;"High",K275&lt;&gt;"Medium",K275&lt;&gt;"Low",K275&lt;&gt;"None"),AND(W275&lt;&gt;"Hard-coded",W275&lt;&gt;"Configurable",W275&lt;&gt;"Policy-managed",W275&lt;&gt;"API/Library abstraction",W275&lt;&gt;"Automated"),AND(Z275&lt;&gt;"Y",Z275&lt;&gt;"N"),AND(AA275&lt;&gt;"Y",AA275&lt;&gt;"N")),"Incomplete",IF(Z275="Y",20,0)+L275*5+IF(AA275="Y",15,0)+IF(J275="Public",10,IF(J275="Partner",7,IF(J275="Internal",3,0)))+IF(W275="Hard-coded",10,IF(W275="Configurable",3,0))+IF(MAX(I275,AP275)&gt;=10,10,IF(MAX(I275,AP275)&gt;=5,7,IF(MAX(I275,AP275)&gt;=2,3,0)))+IF(K275="High",10,IF(K275="Medium",5,0))))</x:f>
      </x:c>
      <x:c r="AC275" s="73" t="str">
        <x:f>IF(A275="","",IF(NOT(ISNUMBER(AB275)),"Review inputs",IF(AB275&gt;=70,"P0 - Immediate",IF(AB275&gt;=50,"P1 - High",IF(AB275&gt;=30,"P2 - Medium",IF(AB275&gt;=15,"P3 - Low","P4 - Monitor"))))))</x:f>
      </x:c>
      <x:c r="AD275" s="73"/>
      <x:c r="AE275" s="73"/>
      <x:c r="AF275" s="73"/>
      <x:c r="AG275" s="77"/>
      <x:c r="AH275" s="73"/>
      <x:c r="AI275" s="91"/>
      <x:c r="AJ275" s="91"/>
      <x:c r="AK275" s="91"/>
      <x:c r="AL275" s="92"/>
      <x:c r="AM275" s="91"/>
      <x:c r="AN275" s="91"/>
      <x:c r="AO275" s="93"/>
      <x:c r="AP275" s="94"/>
      <x:c r="AQ275" s="91"/>
      <x:c r="AR275" s="91"/>
      <x:c r="AS275" s="91"/>
      <x:c r="AT275" s="91"/>
      <x:c r="AU275" s="91"/>
      <x:c r="AV275" s="91"/>
      <x:c r="AW275" s="91"/>
      <x:c r="AX275" s="91"/>
      <x:c r="AY275" s="91"/>
      <x:c r="AZ275" s="92"/>
      <x:c r="BA275" s="94"/>
      <x:c r="BB275" s="91"/>
      <x:c r="BC275" s="92"/>
      <x:c r="BD275" s="92"/>
      <x:c r="BE275" s="91"/>
      <x:c r="BF275" s="91"/>
      <x:c r="BG275" s="91"/>
      <x:c r="BH275" s="91"/>
      <x:c r="BI275" s="91"/>
      <x:c r="BJ275" s="91"/>
      <x:c r="BK275" s="91"/>
      <x:c r="BL275" s="91"/>
      <x:c r="BM275" s="73" t="str">
        <x:f>IF(A275="","",IF(AI275="Example","Example only",IF(AI275&lt;&gt;"Actual","Set record type",IF(COUNTIF($A$2:$A$1001,A275)&gt;1,"Duplicate record ID",IF(OR(D275="",E275="",AF275="",NOT(ISNUMBER(AG275)),AJ275="",AK275="",NOT(ISNUMBER(AL275)),AND(AM275&lt;&gt;"Observed",AM275&lt;&gt;"Corroborated",AM275&lt;&gt;"Declared"),OR(AN275="",AN275="Unknown"),OR(AQ275="",AQ275="Unknown"),OR(AR275="",AR275="Unknown",AR275="TBD"),OR(BC275="",NOT(ISNUMBER(BC275)))),"Evidence incomplete","Evidence recorded; review scope")))))</x:f>
      </x:c>
      <x:c r="BN275" s="73"/>
    </x:row>
    <x:row r="276" ht="34" customHeight="1">
      <x:c r="A276" s="73"/>
      <x:c r="B276" s="73"/>
      <x:c r="C276" s="73"/>
      <x:c r="D276" s="73"/>
      <x:c r="E276" s="73"/>
      <x:c r="F276" s="73"/>
      <x:c r="G276" s="73"/>
      <x:c r="H276" s="73"/>
      <x:c r="I276" s="75"/>
      <x:c r="J276" s="73"/>
      <x:c r="K276" s="73"/>
      <x:c r="L276" s="76"/>
      <x:c r="M276" s="73"/>
      <x:c r="N276" s="73"/>
      <x:c r="O276" s="73"/>
      <x:c r="P276" s="73"/>
      <x:c r="Q276" s="76"/>
      <x:c r="R276" s="73"/>
      <x:c r="S276" s="73"/>
      <x:c r="T276" s="73"/>
      <x:c r="U276" s="73"/>
      <x:c r="V276" s="73"/>
      <x:c r="W276" s="73"/>
      <x:c r="X276" s="73"/>
      <x:c r="Y276" s="73"/>
      <x:c r="Z276" s="73"/>
      <x:c r="AA276" s="73"/>
      <x:c r="AB276" s="76" t="str">
        <x:f>IF(A276="","",IF(OR(NOT(ISNUMBER(I276)),I276&lt;0,NOT(ISNUMBER(AP276)),AP276&lt;0,NOT(ISNUMBER(L276)),L276&lt;1,L276&gt;5,L276&lt;&gt;INT(L276),AND(J276&lt;&gt;"Public",J276&lt;&gt;"Partner",J276&lt;&gt;"Internal",J276&lt;&gt;"None"),AND(K276&lt;&gt;"High",K276&lt;&gt;"Medium",K276&lt;&gt;"Low",K276&lt;&gt;"None"),AND(W276&lt;&gt;"Hard-coded",W276&lt;&gt;"Configurable",W276&lt;&gt;"Policy-managed",W276&lt;&gt;"API/Library abstraction",W276&lt;&gt;"Automated"),AND(Z276&lt;&gt;"Y",Z276&lt;&gt;"N"),AND(AA276&lt;&gt;"Y",AA276&lt;&gt;"N")),"Incomplete",IF(Z276="Y",20,0)+L276*5+IF(AA276="Y",15,0)+IF(J276="Public",10,IF(J276="Partner",7,IF(J276="Internal",3,0)))+IF(W276="Hard-coded",10,IF(W276="Configurable",3,0))+IF(MAX(I276,AP276)&gt;=10,10,IF(MAX(I276,AP276)&gt;=5,7,IF(MAX(I276,AP276)&gt;=2,3,0)))+IF(K276="High",10,IF(K276="Medium",5,0))))</x:f>
      </x:c>
      <x:c r="AC276" s="73" t="str">
        <x:f>IF(A276="","",IF(NOT(ISNUMBER(AB276)),"Review inputs",IF(AB276&gt;=70,"P0 - Immediate",IF(AB276&gt;=50,"P1 - High",IF(AB276&gt;=30,"P2 - Medium",IF(AB276&gt;=15,"P3 - Low","P4 - Monitor"))))))</x:f>
      </x:c>
      <x:c r="AD276" s="73"/>
      <x:c r="AE276" s="73"/>
      <x:c r="AF276" s="73"/>
      <x:c r="AG276" s="77"/>
      <x:c r="AH276" s="73"/>
      <x:c r="AI276" s="91"/>
      <x:c r="AJ276" s="91"/>
      <x:c r="AK276" s="91"/>
      <x:c r="AL276" s="92"/>
      <x:c r="AM276" s="91"/>
      <x:c r="AN276" s="91"/>
      <x:c r="AO276" s="93"/>
      <x:c r="AP276" s="94"/>
      <x:c r="AQ276" s="91"/>
      <x:c r="AR276" s="91"/>
      <x:c r="AS276" s="91"/>
      <x:c r="AT276" s="91"/>
      <x:c r="AU276" s="91"/>
      <x:c r="AV276" s="91"/>
      <x:c r="AW276" s="91"/>
      <x:c r="AX276" s="91"/>
      <x:c r="AY276" s="91"/>
      <x:c r="AZ276" s="92"/>
      <x:c r="BA276" s="94"/>
      <x:c r="BB276" s="91"/>
      <x:c r="BC276" s="92"/>
      <x:c r="BD276" s="92"/>
      <x:c r="BE276" s="91"/>
      <x:c r="BF276" s="91"/>
      <x:c r="BG276" s="91"/>
      <x:c r="BH276" s="91"/>
      <x:c r="BI276" s="91"/>
      <x:c r="BJ276" s="91"/>
      <x:c r="BK276" s="91"/>
      <x:c r="BL276" s="91"/>
      <x:c r="BM276" s="73" t="str">
        <x:f>IF(A276="","",IF(AI276="Example","Example only",IF(AI276&lt;&gt;"Actual","Set record type",IF(COUNTIF($A$2:$A$1001,A276)&gt;1,"Duplicate record ID",IF(OR(D276="",E276="",AF276="",NOT(ISNUMBER(AG276)),AJ276="",AK276="",NOT(ISNUMBER(AL276)),AND(AM276&lt;&gt;"Observed",AM276&lt;&gt;"Corroborated",AM276&lt;&gt;"Declared"),OR(AN276="",AN276="Unknown"),OR(AQ276="",AQ276="Unknown"),OR(AR276="",AR276="Unknown",AR276="TBD"),OR(BC276="",NOT(ISNUMBER(BC276)))),"Evidence incomplete","Evidence recorded; review scope")))))</x:f>
      </x:c>
      <x:c r="BN276" s="73"/>
    </x:row>
    <x:row r="277" ht="34" customHeight="1">
      <x:c r="A277" s="73"/>
      <x:c r="B277" s="73"/>
      <x:c r="C277" s="73"/>
      <x:c r="D277" s="73"/>
      <x:c r="E277" s="73"/>
      <x:c r="F277" s="73"/>
      <x:c r="G277" s="73"/>
      <x:c r="H277" s="73"/>
      <x:c r="I277" s="75"/>
      <x:c r="J277" s="73"/>
      <x:c r="K277" s="73"/>
      <x:c r="L277" s="76"/>
      <x:c r="M277" s="73"/>
      <x:c r="N277" s="73"/>
      <x:c r="O277" s="73"/>
      <x:c r="P277" s="73"/>
      <x:c r="Q277" s="76"/>
      <x:c r="R277" s="73"/>
      <x:c r="S277" s="73"/>
      <x:c r="T277" s="73"/>
      <x:c r="U277" s="73"/>
      <x:c r="V277" s="73"/>
      <x:c r="W277" s="73"/>
      <x:c r="X277" s="73"/>
      <x:c r="Y277" s="73"/>
      <x:c r="Z277" s="73"/>
      <x:c r="AA277" s="73"/>
      <x:c r="AB277" s="76" t="str">
        <x:f>IF(A277="","",IF(OR(NOT(ISNUMBER(I277)),I277&lt;0,NOT(ISNUMBER(AP277)),AP277&lt;0,NOT(ISNUMBER(L277)),L277&lt;1,L277&gt;5,L277&lt;&gt;INT(L277),AND(J277&lt;&gt;"Public",J277&lt;&gt;"Partner",J277&lt;&gt;"Internal",J277&lt;&gt;"None"),AND(K277&lt;&gt;"High",K277&lt;&gt;"Medium",K277&lt;&gt;"Low",K277&lt;&gt;"None"),AND(W277&lt;&gt;"Hard-coded",W277&lt;&gt;"Configurable",W277&lt;&gt;"Policy-managed",W277&lt;&gt;"API/Library abstraction",W277&lt;&gt;"Automated"),AND(Z277&lt;&gt;"Y",Z277&lt;&gt;"N"),AND(AA277&lt;&gt;"Y",AA277&lt;&gt;"N")),"Incomplete",IF(Z277="Y",20,0)+L277*5+IF(AA277="Y",15,0)+IF(J277="Public",10,IF(J277="Partner",7,IF(J277="Internal",3,0)))+IF(W277="Hard-coded",10,IF(W277="Configurable",3,0))+IF(MAX(I277,AP277)&gt;=10,10,IF(MAX(I277,AP277)&gt;=5,7,IF(MAX(I277,AP277)&gt;=2,3,0)))+IF(K277="High",10,IF(K277="Medium",5,0))))</x:f>
      </x:c>
      <x:c r="AC277" s="73" t="str">
        <x:f>IF(A277="","",IF(NOT(ISNUMBER(AB277)),"Review inputs",IF(AB277&gt;=70,"P0 - Immediate",IF(AB277&gt;=50,"P1 - High",IF(AB277&gt;=30,"P2 - Medium",IF(AB277&gt;=15,"P3 - Low","P4 - Monitor"))))))</x:f>
      </x:c>
      <x:c r="AD277" s="73"/>
      <x:c r="AE277" s="73"/>
      <x:c r="AF277" s="73"/>
      <x:c r="AG277" s="77"/>
      <x:c r="AH277" s="73"/>
      <x:c r="AI277" s="91"/>
      <x:c r="AJ277" s="91"/>
      <x:c r="AK277" s="91"/>
      <x:c r="AL277" s="92"/>
      <x:c r="AM277" s="91"/>
      <x:c r="AN277" s="91"/>
      <x:c r="AO277" s="93"/>
      <x:c r="AP277" s="94"/>
      <x:c r="AQ277" s="91"/>
      <x:c r="AR277" s="91"/>
      <x:c r="AS277" s="91"/>
      <x:c r="AT277" s="91"/>
      <x:c r="AU277" s="91"/>
      <x:c r="AV277" s="91"/>
      <x:c r="AW277" s="91"/>
      <x:c r="AX277" s="91"/>
      <x:c r="AY277" s="91"/>
      <x:c r="AZ277" s="92"/>
      <x:c r="BA277" s="94"/>
      <x:c r="BB277" s="91"/>
      <x:c r="BC277" s="92"/>
      <x:c r="BD277" s="92"/>
      <x:c r="BE277" s="91"/>
      <x:c r="BF277" s="91"/>
      <x:c r="BG277" s="91"/>
      <x:c r="BH277" s="91"/>
      <x:c r="BI277" s="91"/>
      <x:c r="BJ277" s="91"/>
      <x:c r="BK277" s="91"/>
      <x:c r="BL277" s="91"/>
      <x:c r="BM277" s="73" t="str">
        <x:f>IF(A277="","",IF(AI277="Example","Example only",IF(AI277&lt;&gt;"Actual","Set record type",IF(COUNTIF($A$2:$A$1001,A277)&gt;1,"Duplicate record ID",IF(OR(D277="",E277="",AF277="",NOT(ISNUMBER(AG277)),AJ277="",AK277="",NOT(ISNUMBER(AL277)),AND(AM277&lt;&gt;"Observed",AM277&lt;&gt;"Corroborated",AM277&lt;&gt;"Declared"),OR(AN277="",AN277="Unknown"),OR(AQ277="",AQ277="Unknown"),OR(AR277="",AR277="Unknown",AR277="TBD"),OR(BC277="",NOT(ISNUMBER(BC277)))),"Evidence incomplete","Evidence recorded; review scope")))))</x:f>
      </x:c>
      <x:c r="BN277" s="73"/>
    </x:row>
    <x:row r="278" ht="34" customHeight="1">
      <x:c r="A278" s="73"/>
      <x:c r="B278" s="73"/>
      <x:c r="C278" s="73"/>
      <x:c r="D278" s="73"/>
      <x:c r="E278" s="73"/>
      <x:c r="F278" s="73"/>
      <x:c r="G278" s="73"/>
      <x:c r="H278" s="73"/>
      <x:c r="I278" s="75"/>
      <x:c r="J278" s="73"/>
      <x:c r="K278" s="73"/>
      <x:c r="L278" s="76"/>
      <x:c r="M278" s="73"/>
      <x:c r="N278" s="73"/>
      <x:c r="O278" s="73"/>
      <x:c r="P278" s="73"/>
      <x:c r="Q278" s="76"/>
      <x:c r="R278" s="73"/>
      <x:c r="S278" s="73"/>
      <x:c r="T278" s="73"/>
      <x:c r="U278" s="73"/>
      <x:c r="V278" s="73"/>
      <x:c r="W278" s="73"/>
      <x:c r="X278" s="73"/>
      <x:c r="Y278" s="73"/>
      <x:c r="Z278" s="73"/>
      <x:c r="AA278" s="73"/>
      <x:c r="AB278" s="76" t="str">
        <x:f>IF(A278="","",IF(OR(NOT(ISNUMBER(I278)),I278&lt;0,NOT(ISNUMBER(AP278)),AP278&lt;0,NOT(ISNUMBER(L278)),L278&lt;1,L278&gt;5,L278&lt;&gt;INT(L278),AND(J278&lt;&gt;"Public",J278&lt;&gt;"Partner",J278&lt;&gt;"Internal",J278&lt;&gt;"None"),AND(K278&lt;&gt;"High",K278&lt;&gt;"Medium",K278&lt;&gt;"Low",K278&lt;&gt;"None"),AND(W278&lt;&gt;"Hard-coded",W278&lt;&gt;"Configurable",W278&lt;&gt;"Policy-managed",W278&lt;&gt;"API/Library abstraction",W278&lt;&gt;"Automated"),AND(Z278&lt;&gt;"Y",Z278&lt;&gt;"N"),AND(AA278&lt;&gt;"Y",AA278&lt;&gt;"N")),"Incomplete",IF(Z278="Y",20,0)+L278*5+IF(AA278="Y",15,0)+IF(J278="Public",10,IF(J278="Partner",7,IF(J278="Internal",3,0)))+IF(W278="Hard-coded",10,IF(W278="Configurable",3,0))+IF(MAX(I278,AP278)&gt;=10,10,IF(MAX(I278,AP278)&gt;=5,7,IF(MAX(I278,AP278)&gt;=2,3,0)))+IF(K278="High",10,IF(K278="Medium",5,0))))</x:f>
      </x:c>
      <x:c r="AC278" s="73" t="str">
        <x:f>IF(A278="","",IF(NOT(ISNUMBER(AB278)),"Review inputs",IF(AB278&gt;=70,"P0 - Immediate",IF(AB278&gt;=50,"P1 - High",IF(AB278&gt;=30,"P2 - Medium",IF(AB278&gt;=15,"P3 - Low","P4 - Monitor"))))))</x:f>
      </x:c>
      <x:c r="AD278" s="73"/>
      <x:c r="AE278" s="73"/>
      <x:c r="AF278" s="73"/>
      <x:c r="AG278" s="77"/>
      <x:c r="AH278" s="73"/>
      <x:c r="AI278" s="91"/>
      <x:c r="AJ278" s="91"/>
      <x:c r="AK278" s="91"/>
      <x:c r="AL278" s="92"/>
      <x:c r="AM278" s="91"/>
      <x:c r="AN278" s="91"/>
      <x:c r="AO278" s="93"/>
      <x:c r="AP278" s="94"/>
      <x:c r="AQ278" s="91"/>
      <x:c r="AR278" s="91"/>
      <x:c r="AS278" s="91"/>
      <x:c r="AT278" s="91"/>
      <x:c r="AU278" s="91"/>
      <x:c r="AV278" s="91"/>
      <x:c r="AW278" s="91"/>
      <x:c r="AX278" s="91"/>
      <x:c r="AY278" s="91"/>
      <x:c r="AZ278" s="92"/>
      <x:c r="BA278" s="94"/>
      <x:c r="BB278" s="91"/>
      <x:c r="BC278" s="92"/>
      <x:c r="BD278" s="92"/>
      <x:c r="BE278" s="91"/>
      <x:c r="BF278" s="91"/>
      <x:c r="BG278" s="91"/>
      <x:c r="BH278" s="91"/>
      <x:c r="BI278" s="91"/>
      <x:c r="BJ278" s="91"/>
      <x:c r="BK278" s="91"/>
      <x:c r="BL278" s="91"/>
      <x:c r="BM278" s="73" t="str">
        <x:f>IF(A278="","",IF(AI278="Example","Example only",IF(AI278&lt;&gt;"Actual","Set record type",IF(COUNTIF($A$2:$A$1001,A278)&gt;1,"Duplicate record ID",IF(OR(D278="",E278="",AF278="",NOT(ISNUMBER(AG278)),AJ278="",AK278="",NOT(ISNUMBER(AL278)),AND(AM278&lt;&gt;"Observed",AM278&lt;&gt;"Corroborated",AM278&lt;&gt;"Declared"),OR(AN278="",AN278="Unknown"),OR(AQ278="",AQ278="Unknown"),OR(AR278="",AR278="Unknown",AR278="TBD"),OR(BC278="",NOT(ISNUMBER(BC278)))),"Evidence incomplete","Evidence recorded; review scope")))))</x:f>
      </x:c>
      <x:c r="BN278" s="73"/>
    </x:row>
    <x:row r="279" ht="34" customHeight="1">
      <x:c r="A279" s="73"/>
      <x:c r="B279" s="73"/>
      <x:c r="C279" s="73"/>
      <x:c r="D279" s="73"/>
      <x:c r="E279" s="73"/>
      <x:c r="F279" s="73"/>
      <x:c r="G279" s="73"/>
      <x:c r="H279" s="73"/>
      <x:c r="I279" s="75"/>
      <x:c r="J279" s="73"/>
      <x:c r="K279" s="73"/>
      <x:c r="L279" s="76"/>
      <x:c r="M279" s="73"/>
      <x:c r="N279" s="73"/>
      <x:c r="O279" s="73"/>
      <x:c r="P279" s="73"/>
      <x:c r="Q279" s="76"/>
      <x:c r="R279" s="73"/>
      <x:c r="S279" s="73"/>
      <x:c r="T279" s="73"/>
      <x:c r="U279" s="73"/>
      <x:c r="V279" s="73"/>
      <x:c r="W279" s="73"/>
      <x:c r="X279" s="73"/>
      <x:c r="Y279" s="73"/>
      <x:c r="Z279" s="73"/>
      <x:c r="AA279" s="73"/>
      <x:c r="AB279" s="76" t="str">
        <x:f>IF(A279="","",IF(OR(NOT(ISNUMBER(I279)),I279&lt;0,NOT(ISNUMBER(AP279)),AP279&lt;0,NOT(ISNUMBER(L279)),L279&lt;1,L279&gt;5,L279&lt;&gt;INT(L279),AND(J279&lt;&gt;"Public",J279&lt;&gt;"Partner",J279&lt;&gt;"Internal",J279&lt;&gt;"None"),AND(K279&lt;&gt;"High",K279&lt;&gt;"Medium",K279&lt;&gt;"Low",K279&lt;&gt;"None"),AND(W279&lt;&gt;"Hard-coded",W279&lt;&gt;"Configurable",W279&lt;&gt;"Policy-managed",W279&lt;&gt;"API/Library abstraction",W279&lt;&gt;"Automated"),AND(Z279&lt;&gt;"Y",Z279&lt;&gt;"N"),AND(AA279&lt;&gt;"Y",AA279&lt;&gt;"N")),"Incomplete",IF(Z279="Y",20,0)+L279*5+IF(AA279="Y",15,0)+IF(J279="Public",10,IF(J279="Partner",7,IF(J279="Internal",3,0)))+IF(W279="Hard-coded",10,IF(W279="Configurable",3,0))+IF(MAX(I279,AP279)&gt;=10,10,IF(MAX(I279,AP279)&gt;=5,7,IF(MAX(I279,AP279)&gt;=2,3,0)))+IF(K279="High",10,IF(K279="Medium",5,0))))</x:f>
      </x:c>
      <x:c r="AC279" s="73" t="str">
        <x:f>IF(A279="","",IF(NOT(ISNUMBER(AB279)),"Review inputs",IF(AB279&gt;=70,"P0 - Immediate",IF(AB279&gt;=50,"P1 - High",IF(AB279&gt;=30,"P2 - Medium",IF(AB279&gt;=15,"P3 - Low","P4 - Monitor"))))))</x:f>
      </x:c>
      <x:c r="AD279" s="73"/>
      <x:c r="AE279" s="73"/>
      <x:c r="AF279" s="73"/>
      <x:c r="AG279" s="77"/>
      <x:c r="AH279" s="73"/>
      <x:c r="AI279" s="91"/>
      <x:c r="AJ279" s="91"/>
      <x:c r="AK279" s="91"/>
      <x:c r="AL279" s="92"/>
      <x:c r="AM279" s="91"/>
      <x:c r="AN279" s="91"/>
      <x:c r="AO279" s="93"/>
      <x:c r="AP279" s="94"/>
      <x:c r="AQ279" s="91"/>
      <x:c r="AR279" s="91"/>
      <x:c r="AS279" s="91"/>
      <x:c r="AT279" s="91"/>
      <x:c r="AU279" s="91"/>
      <x:c r="AV279" s="91"/>
      <x:c r="AW279" s="91"/>
      <x:c r="AX279" s="91"/>
      <x:c r="AY279" s="91"/>
      <x:c r="AZ279" s="92"/>
      <x:c r="BA279" s="94"/>
      <x:c r="BB279" s="91"/>
      <x:c r="BC279" s="92"/>
      <x:c r="BD279" s="92"/>
      <x:c r="BE279" s="91"/>
      <x:c r="BF279" s="91"/>
      <x:c r="BG279" s="91"/>
      <x:c r="BH279" s="91"/>
      <x:c r="BI279" s="91"/>
      <x:c r="BJ279" s="91"/>
      <x:c r="BK279" s="91"/>
      <x:c r="BL279" s="91"/>
      <x:c r="BM279" s="73" t="str">
        <x:f>IF(A279="","",IF(AI279="Example","Example only",IF(AI279&lt;&gt;"Actual","Set record type",IF(COUNTIF($A$2:$A$1001,A279)&gt;1,"Duplicate record ID",IF(OR(D279="",E279="",AF279="",NOT(ISNUMBER(AG279)),AJ279="",AK279="",NOT(ISNUMBER(AL279)),AND(AM279&lt;&gt;"Observed",AM279&lt;&gt;"Corroborated",AM279&lt;&gt;"Declared"),OR(AN279="",AN279="Unknown"),OR(AQ279="",AQ279="Unknown"),OR(AR279="",AR279="Unknown",AR279="TBD"),OR(BC279="",NOT(ISNUMBER(BC279)))),"Evidence incomplete","Evidence recorded; review scope")))))</x:f>
      </x:c>
      <x:c r="BN279" s="73"/>
    </x:row>
    <x:row r="280" ht="34" customHeight="1">
      <x:c r="A280" s="73"/>
      <x:c r="B280" s="73"/>
      <x:c r="C280" s="73"/>
      <x:c r="D280" s="73"/>
      <x:c r="E280" s="73"/>
      <x:c r="F280" s="73"/>
      <x:c r="G280" s="73"/>
      <x:c r="H280" s="73"/>
      <x:c r="I280" s="75"/>
      <x:c r="J280" s="73"/>
      <x:c r="K280" s="73"/>
      <x:c r="L280" s="76"/>
      <x:c r="M280" s="73"/>
      <x:c r="N280" s="73"/>
      <x:c r="O280" s="73"/>
      <x:c r="P280" s="73"/>
      <x:c r="Q280" s="76"/>
      <x:c r="R280" s="73"/>
      <x:c r="S280" s="73"/>
      <x:c r="T280" s="73"/>
      <x:c r="U280" s="73"/>
      <x:c r="V280" s="73"/>
      <x:c r="W280" s="73"/>
      <x:c r="X280" s="73"/>
      <x:c r="Y280" s="73"/>
      <x:c r="Z280" s="73"/>
      <x:c r="AA280" s="73"/>
      <x:c r="AB280" s="76" t="str">
        <x:f>IF(A280="","",IF(OR(NOT(ISNUMBER(I280)),I280&lt;0,NOT(ISNUMBER(AP280)),AP280&lt;0,NOT(ISNUMBER(L280)),L280&lt;1,L280&gt;5,L280&lt;&gt;INT(L280),AND(J280&lt;&gt;"Public",J280&lt;&gt;"Partner",J280&lt;&gt;"Internal",J280&lt;&gt;"None"),AND(K280&lt;&gt;"High",K280&lt;&gt;"Medium",K280&lt;&gt;"Low",K280&lt;&gt;"None"),AND(W280&lt;&gt;"Hard-coded",W280&lt;&gt;"Configurable",W280&lt;&gt;"Policy-managed",W280&lt;&gt;"API/Library abstraction",W280&lt;&gt;"Automated"),AND(Z280&lt;&gt;"Y",Z280&lt;&gt;"N"),AND(AA280&lt;&gt;"Y",AA280&lt;&gt;"N")),"Incomplete",IF(Z280="Y",20,0)+L280*5+IF(AA280="Y",15,0)+IF(J280="Public",10,IF(J280="Partner",7,IF(J280="Internal",3,0)))+IF(W280="Hard-coded",10,IF(W280="Configurable",3,0))+IF(MAX(I280,AP280)&gt;=10,10,IF(MAX(I280,AP280)&gt;=5,7,IF(MAX(I280,AP280)&gt;=2,3,0)))+IF(K280="High",10,IF(K280="Medium",5,0))))</x:f>
      </x:c>
      <x:c r="AC280" s="73" t="str">
        <x:f>IF(A280="","",IF(NOT(ISNUMBER(AB280)),"Review inputs",IF(AB280&gt;=70,"P0 - Immediate",IF(AB280&gt;=50,"P1 - High",IF(AB280&gt;=30,"P2 - Medium",IF(AB280&gt;=15,"P3 - Low","P4 - Monitor"))))))</x:f>
      </x:c>
      <x:c r="AD280" s="73"/>
      <x:c r="AE280" s="73"/>
      <x:c r="AF280" s="73"/>
      <x:c r="AG280" s="77"/>
      <x:c r="AH280" s="73"/>
      <x:c r="AI280" s="91"/>
      <x:c r="AJ280" s="91"/>
      <x:c r="AK280" s="91"/>
      <x:c r="AL280" s="92"/>
      <x:c r="AM280" s="91"/>
      <x:c r="AN280" s="91"/>
      <x:c r="AO280" s="93"/>
      <x:c r="AP280" s="94"/>
      <x:c r="AQ280" s="91"/>
      <x:c r="AR280" s="91"/>
      <x:c r="AS280" s="91"/>
      <x:c r="AT280" s="91"/>
      <x:c r="AU280" s="91"/>
      <x:c r="AV280" s="91"/>
      <x:c r="AW280" s="91"/>
      <x:c r="AX280" s="91"/>
      <x:c r="AY280" s="91"/>
      <x:c r="AZ280" s="92"/>
      <x:c r="BA280" s="94"/>
      <x:c r="BB280" s="91"/>
      <x:c r="BC280" s="92"/>
      <x:c r="BD280" s="92"/>
      <x:c r="BE280" s="91"/>
      <x:c r="BF280" s="91"/>
      <x:c r="BG280" s="91"/>
      <x:c r="BH280" s="91"/>
      <x:c r="BI280" s="91"/>
      <x:c r="BJ280" s="91"/>
      <x:c r="BK280" s="91"/>
      <x:c r="BL280" s="91"/>
      <x:c r="BM280" s="73" t="str">
        <x:f>IF(A280="","",IF(AI280="Example","Example only",IF(AI280&lt;&gt;"Actual","Set record type",IF(COUNTIF($A$2:$A$1001,A280)&gt;1,"Duplicate record ID",IF(OR(D280="",E280="",AF280="",NOT(ISNUMBER(AG280)),AJ280="",AK280="",NOT(ISNUMBER(AL280)),AND(AM280&lt;&gt;"Observed",AM280&lt;&gt;"Corroborated",AM280&lt;&gt;"Declared"),OR(AN280="",AN280="Unknown"),OR(AQ280="",AQ280="Unknown"),OR(AR280="",AR280="Unknown",AR280="TBD"),OR(BC280="",NOT(ISNUMBER(BC280)))),"Evidence incomplete","Evidence recorded; review scope")))))</x:f>
      </x:c>
      <x:c r="BN280" s="73"/>
    </x:row>
    <x:row r="281" ht="34" customHeight="1">
      <x:c r="A281" s="73"/>
      <x:c r="B281" s="73"/>
      <x:c r="C281" s="73"/>
      <x:c r="D281" s="73"/>
      <x:c r="E281" s="73"/>
      <x:c r="F281" s="73"/>
      <x:c r="G281" s="73"/>
      <x:c r="H281" s="73"/>
      <x:c r="I281" s="75"/>
      <x:c r="J281" s="73"/>
      <x:c r="K281" s="73"/>
      <x:c r="L281" s="76"/>
      <x:c r="M281" s="73"/>
      <x:c r="N281" s="73"/>
      <x:c r="O281" s="73"/>
      <x:c r="P281" s="73"/>
      <x:c r="Q281" s="76"/>
      <x:c r="R281" s="73"/>
      <x:c r="S281" s="73"/>
      <x:c r="T281" s="73"/>
      <x:c r="U281" s="73"/>
      <x:c r="V281" s="73"/>
      <x:c r="W281" s="73"/>
      <x:c r="X281" s="73"/>
      <x:c r="Y281" s="73"/>
      <x:c r="Z281" s="73"/>
      <x:c r="AA281" s="73"/>
      <x:c r="AB281" s="76" t="str">
        <x:f>IF(A281="","",IF(OR(NOT(ISNUMBER(I281)),I281&lt;0,NOT(ISNUMBER(AP281)),AP281&lt;0,NOT(ISNUMBER(L281)),L281&lt;1,L281&gt;5,L281&lt;&gt;INT(L281),AND(J281&lt;&gt;"Public",J281&lt;&gt;"Partner",J281&lt;&gt;"Internal",J281&lt;&gt;"None"),AND(K281&lt;&gt;"High",K281&lt;&gt;"Medium",K281&lt;&gt;"Low",K281&lt;&gt;"None"),AND(W281&lt;&gt;"Hard-coded",W281&lt;&gt;"Configurable",W281&lt;&gt;"Policy-managed",W281&lt;&gt;"API/Library abstraction",W281&lt;&gt;"Automated"),AND(Z281&lt;&gt;"Y",Z281&lt;&gt;"N"),AND(AA281&lt;&gt;"Y",AA281&lt;&gt;"N")),"Incomplete",IF(Z281="Y",20,0)+L281*5+IF(AA281="Y",15,0)+IF(J281="Public",10,IF(J281="Partner",7,IF(J281="Internal",3,0)))+IF(W281="Hard-coded",10,IF(W281="Configurable",3,0))+IF(MAX(I281,AP281)&gt;=10,10,IF(MAX(I281,AP281)&gt;=5,7,IF(MAX(I281,AP281)&gt;=2,3,0)))+IF(K281="High",10,IF(K281="Medium",5,0))))</x:f>
      </x:c>
      <x:c r="AC281" s="73" t="str">
        <x:f>IF(A281="","",IF(NOT(ISNUMBER(AB281)),"Review inputs",IF(AB281&gt;=70,"P0 - Immediate",IF(AB281&gt;=50,"P1 - High",IF(AB281&gt;=30,"P2 - Medium",IF(AB281&gt;=15,"P3 - Low","P4 - Monitor"))))))</x:f>
      </x:c>
      <x:c r="AD281" s="73"/>
      <x:c r="AE281" s="73"/>
      <x:c r="AF281" s="73"/>
      <x:c r="AG281" s="77"/>
      <x:c r="AH281" s="73"/>
      <x:c r="AI281" s="91"/>
      <x:c r="AJ281" s="91"/>
      <x:c r="AK281" s="91"/>
      <x:c r="AL281" s="92"/>
      <x:c r="AM281" s="91"/>
      <x:c r="AN281" s="91"/>
      <x:c r="AO281" s="93"/>
      <x:c r="AP281" s="94"/>
      <x:c r="AQ281" s="91"/>
      <x:c r="AR281" s="91"/>
      <x:c r="AS281" s="91"/>
      <x:c r="AT281" s="91"/>
      <x:c r="AU281" s="91"/>
      <x:c r="AV281" s="91"/>
      <x:c r="AW281" s="91"/>
      <x:c r="AX281" s="91"/>
      <x:c r="AY281" s="91"/>
      <x:c r="AZ281" s="92"/>
      <x:c r="BA281" s="94"/>
      <x:c r="BB281" s="91"/>
      <x:c r="BC281" s="92"/>
      <x:c r="BD281" s="92"/>
      <x:c r="BE281" s="91"/>
      <x:c r="BF281" s="91"/>
      <x:c r="BG281" s="91"/>
      <x:c r="BH281" s="91"/>
      <x:c r="BI281" s="91"/>
      <x:c r="BJ281" s="91"/>
      <x:c r="BK281" s="91"/>
      <x:c r="BL281" s="91"/>
      <x:c r="BM281" s="73" t="str">
        <x:f>IF(A281="","",IF(AI281="Example","Example only",IF(AI281&lt;&gt;"Actual","Set record type",IF(COUNTIF($A$2:$A$1001,A281)&gt;1,"Duplicate record ID",IF(OR(D281="",E281="",AF281="",NOT(ISNUMBER(AG281)),AJ281="",AK281="",NOT(ISNUMBER(AL281)),AND(AM281&lt;&gt;"Observed",AM281&lt;&gt;"Corroborated",AM281&lt;&gt;"Declared"),OR(AN281="",AN281="Unknown"),OR(AQ281="",AQ281="Unknown"),OR(AR281="",AR281="Unknown",AR281="TBD"),OR(BC281="",NOT(ISNUMBER(BC281)))),"Evidence incomplete","Evidence recorded; review scope")))))</x:f>
      </x:c>
      <x:c r="BN281" s="73"/>
    </x:row>
    <x:row r="282" ht="34" customHeight="1">
      <x:c r="A282" s="73"/>
      <x:c r="B282" s="73"/>
      <x:c r="C282" s="73"/>
      <x:c r="D282" s="73"/>
      <x:c r="E282" s="73"/>
      <x:c r="F282" s="73"/>
      <x:c r="G282" s="73"/>
      <x:c r="H282" s="73"/>
      <x:c r="I282" s="75"/>
      <x:c r="J282" s="73"/>
      <x:c r="K282" s="73"/>
      <x:c r="L282" s="76"/>
      <x:c r="M282" s="73"/>
      <x:c r="N282" s="73"/>
      <x:c r="O282" s="73"/>
      <x:c r="P282" s="73"/>
      <x:c r="Q282" s="76"/>
      <x:c r="R282" s="73"/>
      <x:c r="S282" s="73"/>
      <x:c r="T282" s="73"/>
      <x:c r="U282" s="73"/>
      <x:c r="V282" s="73"/>
      <x:c r="W282" s="73"/>
      <x:c r="X282" s="73"/>
      <x:c r="Y282" s="73"/>
      <x:c r="Z282" s="73"/>
      <x:c r="AA282" s="73"/>
      <x:c r="AB282" s="76" t="str">
        <x:f>IF(A282="","",IF(OR(NOT(ISNUMBER(I282)),I282&lt;0,NOT(ISNUMBER(AP282)),AP282&lt;0,NOT(ISNUMBER(L282)),L282&lt;1,L282&gt;5,L282&lt;&gt;INT(L282),AND(J282&lt;&gt;"Public",J282&lt;&gt;"Partner",J282&lt;&gt;"Internal",J282&lt;&gt;"None"),AND(K282&lt;&gt;"High",K282&lt;&gt;"Medium",K282&lt;&gt;"Low",K282&lt;&gt;"None"),AND(W282&lt;&gt;"Hard-coded",W282&lt;&gt;"Configurable",W282&lt;&gt;"Policy-managed",W282&lt;&gt;"API/Library abstraction",W282&lt;&gt;"Automated"),AND(Z282&lt;&gt;"Y",Z282&lt;&gt;"N"),AND(AA282&lt;&gt;"Y",AA282&lt;&gt;"N")),"Incomplete",IF(Z282="Y",20,0)+L282*5+IF(AA282="Y",15,0)+IF(J282="Public",10,IF(J282="Partner",7,IF(J282="Internal",3,0)))+IF(W282="Hard-coded",10,IF(W282="Configurable",3,0))+IF(MAX(I282,AP282)&gt;=10,10,IF(MAX(I282,AP282)&gt;=5,7,IF(MAX(I282,AP282)&gt;=2,3,0)))+IF(K282="High",10,IF(K282="Medium",5,0))))</x:f>
      </x:c>
      <x:c r="AC282" s="73" t="str">
        <x:f>IF(A282="","",IF(NOT(ISNUMBER(AB282)),"Review inputs",IF(AB282&gt;=70,"P0 - Immediate",IF(AB282&gt;=50,"P1 - High",IF(AB282&gt;=30,"P2 - Medium",IF(AB282&gt;=15,"P3 - Low","P4 - Monitor"))))))</x:f>
      </x:c>
      <x:c r="AD282" s="73"/>
      <x:c r="AE282" s="73"/>
      <x:c r="AF282" s="73"/>
      <x:c r="AG282" s="77"/>
      <x:c r="AH282" s="73"/>
      <x:c r="AI282" s="91"/>
      <x:c r="AJ282" s="91"/>
      <x:c r="AK282" s="91"/>
      <x:c r="AL282" s="92"/>
      <x:c r="AM282" s="91"/>
      <x:c r="AN282" s="91"/>
      <x:c r="AO282" s="93"/>
      <x:c r="AP282" s="94"/>
      <x:c r="AQ282" s="91"/>
      <x:c r="AR282" s="91"/>
      <x:c r="AS282" s="91"/>
      <x:c r="AT282" s="91"/>
      <x:c r="AU282" s="91"/>
      <x:c r="AV282" s="91"/>
      <x:c r="AW282" s="91"/>
      <x:c r="AX282" s="91"/>
      <x:c r="AY282" s="91"/>
      <x:c r="AZ282" s="92"/>
      <x:c r="BA282" s="94"/>
      <x:c r="BB282" s="91"/>
      <x:c r="BC282" s="92"/>
      <x:c r="BD282" s="92"/>
      <x:c r="BE282" s="91"/>
      <x:c r="BF282" s="91"/>
      <x:c r="BG282" s="91"/>
      <x:c r="BH282" s="91"/>
      <x:c r="BI282" s="91"/>
      <x:c r="BJ282" s="91"/>
      <x:c r="BK282" s="91"/>
      <x:c r="BL282" s="91"/>
      <x:c r="BM282" s="73" t="str">
        <x:f>IF(A282="","",IF(AI282="Example","Example only",IF(AI282&lt;&gt;"Actual","Set record type",IF(COUNTIF($A$2:$A$1001,A282)&gt;1,"Duplicate record ID",IF(OR(D282="",E282="",AF282="",NOT(ISNUMBER(AG282)),AJ282="",AK282="",NOT(ISNUMBER(AL282)),AND(AM282&lt;&gt;"Observed",AM282&lt;&gt;"Corroborated",AM282&lt;&gt;"Declared"),OR(AN282="",AN282="Unknown"),OR(AQ282="",AQ282="Unknown"),OR(AR282="",AR282="Unknown",AR282="TBD"),OR(BC282="",NOT(ISNUMBER(BC282)))),"Evidence incomplete","Evidence recorded; review scope")))))</x:f>
      </x:c>
      <x:c r="BN282" s="73"/>
    </x:row>
    <x:row r="283" ht="34" customHeight="1">
      <x:c r="A283" s="73"/>
      <x:c r="B283" s="73"/>
      <x:c r="C283" s="73"/>
      <x:c r="D283" s="73"/>
      <x:c r="E283" s="73"/>
      <x:c r="F283" s="73"/>
      <x:c r="G283" s="73"/>
      <x:c r="H283" s="73"/>
      <x:c r="I283" s="75"/>
      <x:c r="J283" s="73"/>
      <x:c r="K283" s="73"/>
      <x:c r="L283" s="76"/>
      <x:c r="M283" s="73"/>
      <x:c r="N283" s="73"/>
      <x:c r="O283" s="73"/>
      <x:c r="P283" s="73"/>
      <x:c r="Q283" s="76"/>
      <x:c r="R283" s="73"/>
      <x:c r="S283" s="73"/>
      <x:c r="T283" s="73"/>
      <x:c r="U283" s="73"/>
      <x:c r="V283" s="73"/>
      <x:c r="W283" s="73"/>
      <x:c r="X283" s="73"/>
      <x:c r="Y283" s="73"/>
      <x:c r="Z283" s="73"/>
      <x:c r="AA283" s="73"/>
      <x:c r="AB283" s="76" t="str">
        <x:f>IF(A283="","",IF(OR(NOT(ISNUMBER(I283)),I283&lt;0,NOT(ISNUMBER(AP283)),AP283&lt;0,NOT(ISNUMBER(L283)),L283&lt;1,L283&gt;5,L283&lt;&gt;INT(L283),AND(J283&lt;&gt;"Public",J283&lt;&gt;"Partner",J283&lt;&gt;"Internal",J283&lt;&gt;"None"),AND(K283&lt;&gt;"High",K283&lt;&gt;"Medium",K283&lt;&gt;"Low",K283&lt;&gt;"None"),AND(W283&lt;&gt;"Hard-coded",W283&lt;&gt;"Configurable",W283&lt;&gt;"Policy-managed",W283&lt;&gt;"API/Library abstraction",W283&lt;&gt;"Automated"),AND(Z283&lt;&gt;"Y",Z283&lt;&gt;"N"),AND(AA283&lt;&gt;"Y",AA283&lt;&gt;"N")),"Incomplete",IF(Z283="Y",20,0)+L283*5+IF(AA283="Y",15,0)+IF(J283="Public",10,IF(J283="Partner",7,IF(J283="Internal",3,0)))+IF(W283="Hard-coded",10,IF(W283="Configurable",3,0))+IF(MAX(I283,AP283)&gt;=10,10,IF(MAX(I283,AP283)&gt;=5,7,IF(MAX(I283,AP283)&gt;=2,3,0)))+IF(K283="High",10,IF(K283="Medium",5,0))))</x:f>
      </x:c>
      <x:c r="AC283" s="73" t="str">
        <x:f>IF(A283="","",IF(NOT(ISNUMBER(AB283)),"Review inputs",IF(AB283&gt;=70,"P0 - Immediate",IF(AB283&gt;=50,"P1 - High",IF(AB283&gt;=30,"P2 - Medium",IF(AB283&gt;=15,"P3 - Low","P4 - Monitor"))))))</x:f>
      </x:c>
      <x:c r="AD283" s="73"/>
      <x:c r="AE283" s="73"/>
      <x:c r="AF283" s="73"/>
      <x:c r="AG283" s="77"/>
      <x:c r="AH283" s="73"/>
      <x:c r="AI283" s="91"/>
      <x:c r="AJ283" s="91"/>
      <x:c r="AK283" s="91"/>
      <x:c r="AL283" s="92"/>
      <x:c r="AM283" s="91"/>
      <x:c r="AN283" s="91"/>
      <x:c r="AO283" s="93"/>
      <x:c r="AP283" s="94"/>
      <x:c r="AQ283" s="91"/>
      <x:c r="AR283" s="91"/>
      <x:c r="AS283" s="91"/>
      <x:c r="AT283" s="91"/>
      <x:c r="AU283" s="91"/>
      <x:c r="AV283" s="91"/>
      <x:c r="AW283" s="91"/>
      <x:c r="AX283" s="91"/>
      <x:c r="AY283" s="91"/>
      <x:c r="AZ283" s="92"/>
      <x:c r="BA283" s="94"/>
      <x:c r="BB283" s="91"/>
      <x:c r="BC283" s="92"/>
      <x:c r="BD283" s="92"/>
      <x:c r="BE283" s="91"/>
      <x:c r="BF283" s="91"/>
      <x:c r="BG283" s="91"/>
      <x:c r="BH283" s="91"/>
      <x:c r="BI283" s="91"/>
      <x:c r="BJ283" s="91"/>
      <x:c r="BK283" s="91"/>
      <x:c r="BL283" s="91"/>
      <x:c r="BM283" s="73" t="str">
        <x:f>IF(A283="","",IF(AI283="Example","Example only",IF(AI283&lt;&gt;"Actual","Set record type",IF(COUNTIF($A$2:$A$1001,A283)&gt;1,"Duplicate record ID",IF(OR(D283="",E283="",AF283="",NOT(ISNUMBER(AG283)),AJ283="",AK283="",NOT(ISNUMBER(AL283)),AND(AM283&lt;&gt;"Observed",AM283&lt;&gt;"Corroborated",AM283&lt;&gt;"Declared"),OR(AN283="",AN283="Unknown"),OR(AQ283="",AQ283="Unknown"),OR(AR283="",AR283="Unknown",AR283="TBD"),OR(BC283="",NOT(ISNUMBER(BC283)))),"Evidence incomplete","Evidence recorded; review scope")))))</x:f>
      </x:c>
      <x:c r="BN283" s="73"/>
    </x:row>
    <x:row r="284" ht="34" customHeight="1">
      <x:c r="A284" s="73"/>
      <x:c r="B284" s="73"/>
      <x:c r="C284" s="73"/>
      <x:c r="D284" s="73"/>
      <x:c r="E284" s="73"/>
      <x:c r="F284" s="73"/>
      <x:c r="G284" s="73"/>
      <x:c r="H284" s="73"/>
      <x:c r="I284" s="75"/>
      <x:c r="J284" s="73"/>
      <x:c r="K284" s="73"/>
      <x:c r="L284" s="76"/>
      <x:c r="M284" s="73"/>
      <x:c r="N284" s="73"/>
      <x:c r="O284" s="73"/>
      <x:c r="P284" s="73"/>
      <x:c r="Q284" s="76"/>
      <x:c r="R284" s="73"/>
      <x:c r="S284" s="73"/>
      <x:c r="T284" s="73"/>
      <x:c r="U284" s="73"/>
      <x:c r="V284" s="73"/>
      <x:c r="W284" s="73"/>
      <x:c r="X284" s="73"/>
      <x:c r="Y284" s="73"/>
      <x:c r="Z284" s="73"/>
      <x:c r="AA284" s="73"/>
      <x:c r="AB284" s="76" t="str">
        <x:f>IF(A284="","",IF(OR(NOT(ISNUMBER(I284)),I284&lt;0,NOT(ISNUMBER(AP284)),AP284&lt;0,NOT(ISNUMBER(L284)),L284&lt;1,L284&gt;5,L284&lt;&gt;INT(L284),AND(J284&lt;&gt;"Public",J284&lt;&gt;"Partner",J284&lt;&gt;"Internal",J284&lt;&gt;"None"),AND(K284&lt;&gt;"High",K284&lt;&gt;"Medium",K284&lt;&gt;"Low",K284&lt;&gt;"None"),AND(W284&lt;&gt;"Hard-coded",W284&lt;&gt;"Configurable",W284&lt;&gt;"Policy-managed",W284&lt;&gt;"API/Library abstraction",W284&lt;&gt;"Automated"),AND(Z284&lt;&gt;"Y",Z284&lt;&gt;"N"),AND(AA284&lt;&gt;"Y",AA284&lt;&gt;"N")),"Incomplete",IF(Z284="Y",20,0)+L284*5+IF(AA284="Y",15,0)+IF(J284="Public",10,IF(J284="Partner",7,IF(J284="Internal",3,0)))+IF(W284="Hard-coded",10,IF(W284="Configurable",3,0))+IF(MAX(I284,AP284)&gt;=10,10,IF(MAX(I284,AP284)&gt;=5,7,IF(MAX(I284,AP284)&gt;=2,3,0)))+IF(K284="High",10,IF(K284="Medium",5,0))))</x:f>
      </x:c>
      <x:c r="AC284" s="73" t="str">
        <x:f>IF(A284="","",IF(NOT(ISNUMBER(AB284)),"Review inputs",IF(AB284&gt;=70,"P0 - Immediate",IF(AB284&gt;=50,"P1 - High",IF(AB284&gt;=30,"P2 - Medium",IF(AB284&gt;=15,"P3 - Low","P4 - Monitor"))))))</x:f>
      </x:c>
      <x:c r="AD284" s="73"/>
      <x:c r="AE284" s="73"/>
      <x:c r="AF284" s="73"/>
      <x:c r="AG284" s="77"/>
      <x:c r="AH284" s="73"/>
      <x:c r="AI284" s="91"/>
      <x:c r="AJ284" s="91"/>
      <x:c r="AK284" s="91"/>
      <x:c r="AL284" s="92"/>
      <x:c r="AM284" s="91"/>
      <x:c r="AN284" s="91"/>
      <x:c r="AO284" s="93"/>
      <x:c r="AP284" s="94"/>
      <x:c r="AQ284" s="91"/>
      <x:c r="AR284" s="91"/>
      <x:c r="AS284" s="91"/>
      <x:c r="AT284" s="91"/>
      <x:c r="AU284" s="91"/>
      <x:c r="AV284" s="91"/>
      <x:c r="AW284" s="91"/>
      <x:c r="AX284" s="91"/>
      <x:c r="AY284" s="91"/>
      <x:c r="AZ284" s="92"/>
      <x:c r="BA284" s="94"/>
      <x:c r="BB284" s="91"/>
      <x:c r="BC284" s="92"/>
      <x:c r="BD284" s="92"/>
      <x:c r="BE284" s="91"/>
      <x:c r="BF284" s="91"/>
      <x:c r="BG284" s="91"/>
      <x:c r="BH284" s="91"/>
      <x:c r="BI284" s="91"/>
      <x:c r="BJ284" s="91"/>
      <x:c r="BK284" s="91"/>
      <x:c r="BL284" s="91"/>
      <x:c r="BM284" s="73" t="str">
        <x:f>IF(A284="","",IF(AI284="Example","Example only",IF(AI284&lt;&gt;"Actual","Set record type",IF(COUNTIF($A$2:$A$1001,A284)&gt;1,"Duplicate record ID",IF(OR(D284="",E284="",AF284="",NOT(ISNUMBER(AG284)),AJ284="",AK284="",NOT(ISNUMBER(AL284)),AND(AM284&lt;&gt;"Observed",AM284&lt;&gt;"Corroborated",AM284&lt;&gt;"Declared"),OR(AN284="",AN284="Unknown"),OR(AQ284="",AQ284="Unknown"),OR(AR284="",AR284="Unknown",AR284="TBD"),OR(BC284="",NOT(ISNUMBER(BC284)))),"Evidence incomplete","Evidence recorded; review scope")))))</x:f>
      </x:c>
      <x:c r="BN284" s="73"/>
    </x:row>
    <x:row r="285" ht="34" customHeight="1">
      <x:c r="A285" s="73"/>
      <x:c r="B285" s="73"/>
      <x:c r="C285" s="73"/>
      <x:c r="D285" s="73"/>
      <x:c r="E285" s="73"/>
      <x:c r="F285" s="73"/>
      <x:c r="G285" s="73"/>
      <x:c r="H285" s="73"/>
      <x:c r="I285" s="75"/>
      <x:c r="J285" s="73"/>
      <x:c r="K285" s="73"/>
      <x:c r="L285" s="76"/>
      <x:c r="M285" s="73"/>
      <x:c r="N285" s="73"/>
      <x:c r="O285" s="73"/>
      <x:c r="P285" s="73"/>
      <x:c r="Q285" s="76"/>
      <x:c r="R285" s="73"/>
      <x:c r="S285" s="73"/>
      <x:c r="T285" s="73"/>
      <x:c r="U285" s="73"/>
      <x:c r="V285" s="73"/>
      <x:c r="W285" s="73"/>
      <x:c r="X285" s="73"/>
      <x:c r="Y285" s="73"/>
      <x:c r="Z285" s="73"/>
      <x:c r="AA285" s="73"/>
      <x:c r="AB285" s="76" t="str">
        <x:f>IF(A285="","",IF(OR(NOT(ISNUMBER(I285)),I285&lt;0,NOT(ISNUMBER(AP285)),AP285&lt;0,NOT(ISNUMBER(L285)),L285&lt;1,L285&gt;5,L285&lt;&gt;INT(L285),AND(J285&lt;&gt;"Public",J285&lt;&gt;"Partner",J285&lt;&gt;"Internal",J285&lt;&gt;"None"),AND(K285&lt;&gt;"High",K285&lt;&gt;"Medium",K285&lt;&gt;"Low",K285&lt;&gt;"None"),AND(W285&lt;&gt;"Hard-coded",W285&lt;&gt;"Configurable",W285&lt;&gt;"Policy-managed",W285&lt;&gt;"API/Library abstraction",W285&lt;&gt;"Automated"),AND(Z285&lt;&gt;"Y",Z285&lt;&gt;"N"),AND(AA285&lt;&gt;"Y",AA285&lt;&gt;"N")),"Incomplete",IF(Z285="Y",20,0)+L285*5+IF(AA285="Y",15,0)+IF(J285="Public",10,IF(J285="Partner",7,IF(J285="Internal",3,0)))+IF(W285="Hard-coded",10,IF(W285="Configurable",3,0))+IF(MAX(I285,AP285)&gt;=10,10,IF(MAX(I285,AP285)&gt;=5,7,IF(MAX(I285,AP285)&gt;=2,3,0)))+IF(K285="High",10,IF(K285="Medium",5,0))))</x:f>
      </x:c>
      <x:c r="AC285" s="73" t="str">
        <x:f>IF(A285="","",IF(NOT(ISNUMBER(AB285)),"Review inputs",IF(AB285&gt;=70,"P0 - Immediate",IF(AB285&gt;=50,"P1 - High",IF(AB285&gt;=30,"P2 - Medium",IF(AB285&gt;=15,"P3 - Low","P4 - Monitor"))))))</x:f>
      </x:c>
      <x:c r="AD285" s="73"/>
      <x:c r="AE285" s="73"/>
      <x:c r="AF285" s="73"/>
      <x:c r="AG285" s="77"/>
      <x:c r="AH285" s="73"/>
      <x:c r="AI285" s="91"/>
      <x:c r="AJ285" s="91"/>
      <x:c r="AK285" s="91"/>
      <x:c r="AL285" s="92"/>
      <x:c r="AM285" s="91"/>
      <x:c r="AN285" s="91"/>
      <x:c r="AO285" s="93"/>
      <x:c r="AP285" s="94"/>
      <x:c r="AQ285" s="91"/>
      <x:c r="AR285" s="91"/>
      <x:c r="AS285" s="91"/>
      <x:c r="AT285" s="91"/>
      <x:c r="AU285" s="91"/>
      <x:c r="AV285" s="91"/>
      <x:c r="AW285" s="91"/>
      <x:c r="AX285" s="91"/>
      <x:c r="AY285" s="91"/>
      <x:c r="AZ285" s="92"/>
      <x:c r="BA285" s="94"/>
      <x:c r="BB285" s="91"/>
      <x:c r="BC285" s="92"/>
      <x:c r="BD285" s="92"/>
      <x:c r="BE285" s="91"/>
      <x:c r="BF285" s="91"/>
      <x:c r="BG285" s="91"/>
      <x:c r="BH285" s="91"/>
      <x:c r="BI285" s="91"/>
      <x:c r="BJ285" s="91"/>
      <x:c r="BK285" s="91"/>
      <x:c r="BL285" s="91"/>
      <x:c r="BM285" s="73" t="str">
        <x:f>IF(A285="","",IF(AI285="Example","Example only",IF(AI285&lt;&gt;"Actual","Set record type",IF(COUNTIF($A$2:$A$1001,A285)&gt;1,"Duplicate record ID",IF(OR(D285="",E285="",AF285="",NOT(ISNUMBER(AG285)),AJ285="",AK285="",NOT(ISNUMBER(AL285)),AND(AM285&lt;&gt;"Observed",AM285&lt;&gt;"Corroborated",AM285&lt;&gt;"Declared"),OR(AN285="",AN285="Unknown"),OR(AQ285="",AQ285="Unknown"),OR(AR285="",AR285="Unknown",AR285="TBD"),OR(BC285="",NOT(ISNUMBER(BC285)))),"Evidence incomplete","Evidence recorded; review scope")))))</x:f>
      </x:c>
      <x:c r="BN285" s="73"/>
    </x:row>
    <x:row r="286" ht="34" customHeight="1">
      <x:c r="A286" s="73"/>
      <x:c r="B286" s="73"/>
      <x:c r="C286" s="73"/>
      <x:c r="D286" s="73"/>
      <x:c r="E286" s="73"/>
      <x:c r="F286" s="73"/>
      <x:c r="G286" s="73"/>
      <x:c r="H286" s="73"/>
      <x:c r="I286" s="75"/>
      <x:c r="J286" s="73"/>
      <x:c r="K286" s="73"/>
      <x:c r="L286" s="76"/>
      <x:c r="M286" s="73"/>
      <x:c r="N286" s="73"/>
      <x:c r="O286" s="73"/>
      <x:c r="P286" s="73"/>
      <x:c r="Q286" s="76"/>
      <x:c r="R286" s="73"/>
      <x:c r="S286" s="73"/>
      <x:c r="T286" s="73"/>
      <x:c r="U286" s="73"/>
      <x:c r="V286" s="73"/>
      <x:c r="W286" s="73"/>
      <x:c r="X286" s="73"/>
      <x:c r="Y286" s="73"/>
      <x:c r="Z286" s="73"/>
      <x:c r="AA286" s="73"/>
      <x:c r="AB286" s="76" t="str">
        <x:f>IF(A286="","",IF(OR(NOT(ISNUMBER(I286)),I286&lt;0,NOT(ISNUMBER(AP286)),AP286&lt;0,NOT(ISNUMBER(L286)),L286&lt;1,L286&gt;5,L286&lt;&gt;INT(L286),AND(J286&lt;&gt;"Public",J286&lt;&gt;"Partner",J286&lt;&gt;"Internal",J286&lt;&gt;"None"),AND(K286&lt;&gt;"High",K286&lt;&gt;"Medium",K286&lt;&gt;"Low",K286&lt;&gt;"None"),AND(W286&lt;&gt;"Hard-coded",W286&lt;&gt;"Configurable",W286&lt;&gt;"Policy-managed",W286&lt;&gt;"API/Library abstraction",W286&lt;&gt;"Automated"),AND(Z286&lt;&gt;"Y",Z286&lt;&gt;"N"),AND(AA286&lt;&gt;"Y",AA286&lt;&gt;"N")),"Incomplete",IF(Z286="Y",20,0)+L286*5+IF(AA286="Y",15,0)+IF(J286="Public",10,IF(J286="Partner",7,IF(J286="Internal",3,0)))+IF(W286="Hard-coded",10,IF(W286="Configurable",3,0))+IF(MAX(I286,AP286)&gt;=10,10,IF(MAX(I286,AP286)&gt;=5,7,IF(MAX(I286,AP286)&gt;=2,3,0)))+IF(K286="High",10,IF(K286="Medium",5,0))))</x:f>
      </x:c>
      <x:c r="AC286" s="73" t="str">
        <x:f>IF(A286="","",IF(NOT(ISNUMBER(AB286)),"Review inputs",IF(AB286&gt;=70,"P0 - Immediate",IF(AB286&gt;=50,"P1 - High",IF(AB286&gt;=30,"P2 - Medium",IF(AB286&gt;=15,"P3 - Low","P4 - Monitor"))))))</x:f>
      </x:c>
      <x:c r="AD286" s="73"/>
      <x:c r="AE286" s="73"/>
      <x:c r="AF286" s="73"/>
      <x:c r="AG286" s="77"/>
      <x:c r="AH286" s="73"/>
      <x:c r="AI286" s="91"/>
      <x:c r="AJ286" s="91"/>
      <x:c r="AK286" s="91"/>
      <x:c r="AL286" s="92"/>
      <x:c r="AM286" s="91"/>
      <x:c r="AN286" s="91"/>
      <x:c r="AO286" s="93"/>
      <x:c r="AP286" s="94"/>
      <x:c r="AQ286" s="91"/>
      <x:c r="AR286" s="91"/>
      <x:c r="AS286" s="91"/>
      <x:c r="AT286" s="91"/>
      <x:c r="AU286" s="91"/>
      <x:c r="AV286" s="91"/>
      <x:c r="AW286" s="91"/>
      <x:c r="AX286" s="91"/>
      <x:c r="AY286" s="91"/>
      <x:c r="AZ286" s="92"/>
      <x:c r="BA286" s="94"/>
      <x:c r="BB286" s="91"/>
      <x:c r="BC286" s="92"/>
      <x:c r="BD286" s="92"/>
      <x:c r="BE286" s="91"/>
      <x:c r="BF286" s="91"/>
      <x:c r="BG286" s="91"/>
      <x:c r="BH286" s="91"/>
      <x:c r="BI286" s="91"/>
      <x:c r="BJ286" s="91"/>
      <x:c r="BK286" s="91"/>
      <x:c r="BL286" s="91"/>
      <x:c r="BM286" s="73" t="str">
        <x:f>IF(A286="","",IF(AI286="Example","Example only",IF(AI286&lt;&gt;"Actual","Set record type",IF(COUNTIF($A$2:$A$1001,A286)&gt;1,"Duplicate record ID",IF(OR(D286="",E286="",AF286="",NOT(ISNUMBER(AG286)),AJ286="",AK286="",NOT(ISNUMBER(AL286)),AND(AM286&lt;&gt;"Observed",AM286&lt;&gt;"Corroborated",AM286&lt;&gt;"Declared"),OR(AN286="",AN286="Unknown"),OR(AQ286="",AQ286="Unknown"),OR(AR286="",AR286="Unknown",AR286="TBD"),OR(BC286="",NOT(ISNUMBER(BC286)))),"Evidence incomplete","Evidence recorded; review scope")))))</x:f>
      </x:c>
      <x:c r="BN286" s="73"/>
    </x:row>
    <x:row r="287" ht="34" customHeight="1">
      <x:c r="A287" s="73"/>
      <x:c r="B287" s="73"/>
      <x:c r="C287" s="73"/>
      <x:c r="D287" s="73"/>
      <x:c r="E287" s="73"/>
      <x:c r="F287" s="73"/>
      <x:c r="G287" s="73"/>
      <x:c r="H287" s="73"/>
      <x:c r="I287" s="75"/>
      <x:c r="J287" s="73"/>
      <x:c r="K287" s="73"/>
      <x:c r="L287" s="76"/>
      <x:c r="M287" s="73"/>
      <x:c r="N287" s="73"/>
      <x:c r="O287" s="73"/>
      <x:c r="P287" s="73"/>
      <x:c r="Q287" s="76"/>
      <x:c r="R287" s="73"/>
      <x:c r="S287" s="73"/>
      <x:c r="T287" s="73"/>
      <x:c r="U287" s="73"/>
      <x:c r="V287" s="73"/>
      <x:c r="W287" s="73"/>
      <x:c r="X287" s="73"/>
      <x:c r="Y287" s="73"/>
      <x:c r="Z287" s="73"/>
      <x:c r="AA287" s="73"/>
      <x:c r="AB287" s="76" t="str">
        <x:f>IF(A287="","",IF(OR(NOT(ISNUMBER(I287)),I287&lt;0,NOT(ISNUMBER(AP287)),AP287&lt;0,NOT(ISNUMBER(L287)),L287&lt;1,L287&gt;5,L287&lt;&gt;INT(L287),AND(J287&lt;&gt;"Public",J287&lt;&gt;"Partner",J287&lt;&gt;"Internal",J287&lt;&gt;"None"),AND(K287&lt;&gt;"High",K287&lt;&gt;"Medium",K287&lt;&gt;"Low",K287&lt;&gt;"None"),AND(W287&lt;&gt;"Hard-coded",W287&lt;&gt;"Configurable",W287&lt;&gt;"Policy-managed",W287&lt;&gt;"API/Library abstraction",W287&lt;&gt;"Automated"),AND(Z287&lt;&gt;"Y",Z287&lt;&gt;"N"),AND(AA287&lt;&gt;"Y",AA287&lt;&gt;"N")),"Incomplete",IF(Z287="Y",20,0)+L287*5+IF(AA287="Y",15,0)+IF(J287="Public",10,IF(J287="Partner",7,IF(J287="Internal",3,0)))+IF(W287="Hard-coded",10,IF(W287="Configurable",3,0))+IF(MAX(I287,AP287)&gt;=10,10,IF(MAX(I287,AP287)&gt;=5,7,IF(MAX(I287,AP287)&gt;=2,3,0)))+IF(K287="High",10,IF(K287="Medium",5,0))))</x:f>
      </x:c>
      <x:c r="AC287" s="73" t="str">
        <x:f>IF(A287="","",IF(NOT(ISNUMBER(AB287)),"Review inputs",IF(AB287&gt;=70,"P0 - Immediate",IF(AB287&gt;=50,"P1 - High",IF(AB287&gt;=30,"P2 - Medium",IF(AB287&gt;=15,"P3 - Low","P4 - Monitor"))))))</x:f>
      </x:c>
      <x:c r="AD287" s="73"/>
      <x:c r="AE287" s="73"/>
      <x:c r="AF287" s="73"/>
      <x:c r="AG287" s="77"/>
      <x:c r="AH287" s="73"/>
      <x:c r="AI287" s="91"/>
      <x:c r="AJ287" s="91"/>
      <x:c r="AK287" s="91"/>
      <x:c r="AL287" s="92"/>
      <x:c r="AM287" s="91"/>
      <x:c r="AN287" s="91"/>
      <x:c r="AO287" s="93"/>
      <x:c r="AP287" s="94"/>
      <x:c r="AQ287" s="91"/>
      <x:c r="AR287" s="91"/>
      <x:c r="AS287" s="91"/>
      <x:c r="AT287" s="91"/>
      <x:c r="AU287" s="91"/>
      <x:c r="AV287" s="91"/>
      <x:c r="AW287" s="91"/>
      <x:c r="AX287" s="91"/>
      <x:c r="AY287" s="91"/>
      <x:c r="AZ287" s="92"/>
      <x:c r="BA287" s="94"/>
      <x:c r="BB287" s="91"/>
      <x:c r="BC287" s="92"/>
      <x:c r="BD287" s="92"/>
      <x:c r="BE287" s="91"/>
      <x:c r="BF287" s="91"/>
      <x:c r="BG287" s="91"/>
      <x:c r="BH287" s="91"/>
      <x:c r="BI287" s="91"/>
      <x:c r="BJ287" s="91"/>
      <x:c r="BK287" s="91"/>
      <x:c r="BL287" s="91"/>
      <x:c r="BM287" s="73" t="str">
        <x:f>IF(A287="","",IF(AI287="Example","Example only",IF(AI287&lt;&gt;"Actual","Set record type",IF(COUNTIF($A$2:$A$1001,A287)&gt;1,"Duplicate record ID",IF(OR(D287="",E287="",AF287="",NOT(ISNUMBER(AG287)),AJ287="",AK287="",NOT(ISNUMBER(AL287)),AND(AM287&lt;&gt;"Observed",AM287&lt;&gt;"Corroborated",AM287&lt;&gt;"Declared"),OR(AN287="",AN287="Unknown"),OR(AQ287="",AQ287="Unknown"),OR(AR287="",AR287="Unknown",AR287="TBD"),OR(BC287="",NOT(ISNUMBER(BC287)))),"Evidence incomplete","Evidence recorded; review scope")))))</x:f>
      </x:c>
      <x:c r="BN287" s="73"/>
    </x:row>
    <x:row r="288" ht="34" customHeight="1">
      <x:c r="A288" s="73"/>
      <x:c r="B288" s="73"/>
      <x:c r="C288" s="73"/>
      <x:c r="D288" s="73"/>
      <x:c r="E288" s="73"/>
      <x:c r="F288" s="73"/>
      <x:c r="G288" s="73"/>
      <x:c r="H288" s="73"/>
      <x:c r="I288" s="75"/>
      <x:c r="J288" s="73"/>
      <x:c r="K288" s="73"/>
      <x:c r="L288" s="76"/>
      <x:c r="M288" s="73"/>
      <x:c r="N288" s="73"/>
      <x:c r="O288" s="73"/>
      <x:c r="P288" s="73"/>
      <x:c r="Q288" s="76"/>
      <x:c r="R288" s="73"/>
      <x:c r="S288" s="73"/>
      <x:c r="T288" s="73"/>
      <x:c r="U288" s="73"/>
      <x:c r="V288" s="73"/>
      <x:c r="W288" s="73"/>
      <x:c r="X288" s="73"/>
      <x:c r="Y288" s="73"/>
      <x:c r="Z288" s="73"/>
      <x:c r="AA288" s="73"/>
      <x:c r="AB288" s="76" t="str">
        <x:f>IF(A288="","",IF(OR(NOT(ISNUMBER(I288)),I288&lt;0,NOT(ISNUMBER(AP288)),AP288&lt;0,NOT(ISNUMBER(L288)),L288&lt;1,L288&gt;5,L288&lt;&gt;INT(L288),AND(J288&lt;&gt;"Public",J288&lt;&gt;"Partner",J288&lt;&gt;"Internal",J288&lt;&gt;"None"),AND(K288&lt;&gt;"High",K288&lt;&gt;"Medium",K288&lt;&gt;"Low",K288&lt;&gt;"None"),AND(W288&lt;&gt;"Hard-coded",W288&lt;&gt;"Configurable",W288&lt;&gt;"Policy-managed",W288&lt;&gt;"API/Library abstraction",W288&lt;&gt;"Automated"),AND(Z288&lt;&gt;"Y",Z288&lt;&gt;"N"),AND(AA288&lt;&gt;"Y",AA288&lt;&gt;"N")),"Incomplete",IF(Z288="Y",20,0)+L288*5+IF(AA288="Y",15,0)+IF(J288="Public",10,IF(J288="Partner",7,IF(J288="Internal",3,0)))+IF(W288="Hard-coded",10,IF(W288="Configurable",3,0))+IF(MAX(I288,AP288)&gt;=10,10,IF(MAX(I288,AP288)&gt;=5,7,IF(MAX(I288,AP288)&gt;=2,3,0)))+IF(K288="High",10,IF(K288="Medium",5,0))))</x:f>
      </x:c>
      <x:c r="AC288" s="73" t="str">
        <x:f>IF(A288="","",IF(NOT(ISNUMBER(AB288)),"Review inputs",IF(AB288&gt;=70,"P0 - Immediate",IF(AB288&gt;=50,"P1 - High",IF(AB288&gt;=30,"P2 - Medium",IF(AB288&gt;=15,"P3 - Low","P4 - Monitor"))))))</x:f>
      </x:c>
      <x:c r="AD288" s="73"/>
      <x:c r="AE288" s="73"/>
      <x:c r="AF288" s="73"/>
      <x:c r="AG288" s="77"/>
      <x:c r="AH288" s="73"/>
      <x:c r="AI288" s="91"/>
      <x:c r="AJ288" s="91"/>
      <x:c r="AK288" s="91"/>
      <x:c r="AL288" s="92"/>
      <x:c r="AM288" s="91"/>
      <x:c r="AN288" s="91"/>
      <x:c r="AO288" s="93"/>
      <x:c r="AP288" s="94"/>
      <x:c r="AQ288" s="91"/>
      <x:c r="AR288" s="91"/>
      <x:c r="AS288" s="91"/>
      <x:c r="AT288" s="91"/>
      <x:c r="AU288" s="91"/>
      <x:c r="AV288" s="91"/>
      <x:c r="AW288" s="91"/>
      <x:c r="AX288" s="91"/>
      <x:c r="AY288" s="91"/>
      <x:c r="AZ288" s="92"/>
      <x:c r="BA288" s="94"/>
      <x:c r="BB288" s="91"/>
      <x:c r="BC288" s="92"/>
      <x:c r="BD288" s="92"/>
      <x:c r="BE288" s="91"/>
      <x:c r="BF288" s="91"/>
      <x:c r="BG288" s="91"/>
      <x:c r="BH288" s="91"/>
      <x:c r="BI288" s="91"/>
      <x:c r="BJ288" s="91"/>
      <x:c r="BK288" s="91"/>
      <x:c r="BL288" s="91"/>
      <x:c r="BM288" s="73" t="str">
        <x:f>IF(A288="","",IF(AI288="Example","Example only",IF(AI288&lt;&gt;"Actual","Set record type",IF(COUNTIF($A$2:$A$1001,A288)&gt;1,"Duplicate record ID",IF(OR(D288="",E288="",AF288="",NOT(ISNUMBER(AG288)),AJ288="",AK288="",NOT(ISNUMBER(AL288)),AND(AM288&lt;&gt;"Observed",AM288&lt;&gt;"Corroborated",AM288&lt;&gt;"Declared"),OR(AN288="",AN288="Unknown"),OR(AQ288="",AQ288="Unknown"),OR(AR288="",AR288="Unknown",AR288="TBD"),OR(BC288="",NOT(ISNUMBER(BC288)))),"Evidence incomplete","Evidence recorded; review scope")))))</x:f>
      </x:c>
      <x:c r="BN288" s="73"/>
    </x:row>
    <x:row r="289" ht="34" customHeight="1">
      <x:c r="A289" s="73"/>
      <x:c r="B289" s="73"/>
      <x:c r="C289" s="73"/>
      <x:c r="D289" s="73"/>
      <x:c r="E289" s="73"/>
      <x:c r="F289" s="73"/>
      <x:c r="G289" s="73"/>
      <x:c r="H289" s="73"/>
      <x:c r="I289" s="75"/>
      <x:c r="J289" s="73"/>
      <x:c r="K289" s="73"/>
      <x:c r="L289" s="76"/>
      <x:c r="M289" s="73"/>
      <x:c r="N289" s="73"/>
      <x:c r="O289" s="73"/>
      <x:c r="P289" s="73"/>
      <x:c r="Q289" s="76"/>
      <x:c r="R289" s="73"/>
      <x:c r="S289" s="73"/>
      <x:c r="T289" s="73"/>
      <x:c r="U289" s="73"/>
      <x:c r="V289" s="73"/>
      <x:c r="W289" s="73"/>
      <x:c r="X289" s="73"/>
      <x:c r="Y289" s="73"/>
      <x:c r="Z289" s="73"/>
      <x:c r="AA289" s="73"/>
      <x:c r="AB289" s="76" t="str">
        <x:f>IF(A289="","",IF(OR(NOT(ISNUMBER(I289)),I289&lt;0,NOT(ISNUMBER(AP289)),AP289&lt;0,NOT(ISNUMBER(L289)),L289&lt;1,L289&gt;5,L289&lt;&gt;INT(L289),AND(J289&lt;&gt;"Public",J289&lt;&gt;"Partner",J289&lt;&gt;"Internal",J289&lt;&gt;"None"),AND(K289&lt;&gt;"High",K289&lt;&gt;"Medium",K289&lt;&gt;"Low",K289&lt;&gt;"None"),AND(W289&lt;&gt;"Hard-coded",W289&lt;&gt;"Configurable",W289&lt;&gt;"Policy-managed",W289&lt;&gt;"API/Library abstraction",W289&lt;&gt;"Automated"),AND(Z289&lt;&gt;"Y",Z289&lt;&gt;"N"),AND(AA289&lt;&gt;"Y",AA289&lt;&gt;"N")),"Incomplete",IF(Z289="Y",20,0)+L289*5+IF(AA289="Y",15,0)+IF(J289="Public",10,IF(J289="Partner",7,IF(J289="Internal",3,0)))+IF(W289="Hard-coded",10,IF(W289="Configurable",3,0))+IF(MAX(I289,AP289)&gt;=10,10,IF(MAX(I289,AP289)&gt;=5,7,IF(MAX(I289,AP289)&gt;=2,3,0)))+IF(K289="High",10,IF(K289="Medium",5,0))))</x:f>
      </x:c>
      <x:c r="AC289" s="73" t="str">
        <x:f>IF(A289="","",IF(NOT(ISNUMBER(AB289)),"Review inputs",IF(AB289&gt;=70,"P0 - Immediate",IF(AB289&gt;=50,"P1 - High",IF(AB289&gt;=30,"P2 - Medium",IF(AB289&gt;=15,"P3 - Low","P4 - Monitor"))))))</x:f>
      </x:c>
      <x:c r="AD289" s="73"/>
      <x:c r="AE289" s="73"/>
      <x:c r="AF289" s="73"/>
      <x:c r="AG289" s="77"/>
      <x:c r="AH289" s="73"/>
      <x:c r="AI289" s="91"/>
      <x:c r="AJ289" s="91"/>
      <x:c r="AK289" s="91"/>
      <x:c r="AL289" s="92"/>
      <x:c r="AM289" s="91"/>
      <x:c r="AN289" s="91"/>
      <x:c r="AO289" s="93"/>
      <x:c r="AP289" s="94"/>
      <x:c r="AQ289" s="91"/>
      <x:c r="AR289" s="91"/>
      <x:c r="AS289" s="91"/>
      <x:c r="AT289" s="91"/>
      <x:c r="AU289" s="91"/>
      <x:c r="AV289" s="91"/>
      <x:c r="AW289" s="91"/>
      <x:c r="AX289" s="91"/>
      <x:c r="AY289" s="91"/>
      <x:c r="AZ289" s="92"/>
      <x:c r="BA289" s="94"/>
      <x:c r="BB289" s="91"/>
      <x:c r="BC289" s="92"/>
      <x:c r="BD289" s="92"/>
      <x:c r="BE289" s="91"/>
      <x:c r="BF289" s="91"/>
      <x:c r="BG289" s="91"/>
      <x:c r="BH289" s="91"/>
      <x:c r="BI289" s="91"/>
      <x:c r="BJ289" s="91"/>
      <x:c r="BK289" s="91"/>
      <x:c r="BL289" s="91"/>
      <x:c r="BM289" s="73" t="str">
        <x:f>IF(A289="","",IF(AI289="Example","Example only",IF(AI289&lt;&gt;"Actual","Set record type",IF(COUNTIF($A$2:$A$1001,A289)&gt;1,"Duplicate record ID",IF(OR(D289="",E289="",AF289="",NOT(ISNUMBER(AG289)),AJ289="",AK289="",NOT(ISNUMBER(AL289)),AND(AM289&lt;&gt;"Observed",AM289&lt;&gt;"Corroborated",AM289&lt;&gt;"Declared"),OR(AN289="",AN289="Unknown"),OR(AQ289="",AQ289="Unknown"),OR(AR289="",AR289="Unknown",AR289="TBD"),OR(BC289="",NOT(ISNUMBER(BC289)))),"Evidence incomplete","Evidence recorded; review scope")))))</x:f>
      </x:c>
      <x:c r="BN289" s="73"/>
    </x:row>
    <x:row r="290" ht="34" customHeight="1">
      <x:c r="A290" s="73"/>
      <x:c r="B290" s="73"/>
      <x:c r="C290" s="73"/>
      <x:c r="D290" s="73"/>
      <x:c r="E290" s="73"/>
      <x:c r="F290" s="73"/>
      <x:c r="G290" s="73"/>
      <x:c r="H290" s="73"/>
      <x:c r="I290" s="75"/>
      <x:c r="J290" s="73"/>
      <x:c r="K290" s="73"/>
      <x:c r="L290" s="76"/>
      <x:c r="M290" s="73"/>
      <x:c r="N290" s="73"/>
      <x:c r="O290" s="73"/>
      <x:c r="P290" s="73"/>
      <x:c r="Q290" s="76"/>
      <x:c r="R290" s="73"/>
      <x:c r="S290" s="73"/>
      <x:c r="T290" s="73"/>
      <x:c r="U290" s="73"/>
      <x:c r="V290" s="73"/>
      <x:c r="W290" s="73"/>
      <x:c r="X290" s="73"/>
      <x:c r="Y290" s="73"/>
      <x:c r="Z290" s="73"/>
      <x:c r="AA290" s="73"/>
      <x:c r="AB290" s="76" t="str">
        <x:f>IF(A290="","",IF(OR(NOT(ISNUMBER(I290)),I290&lt;0,NOT(ISNUMBER(AP290)),AP290&lt;0,NOT(ISNUMBER(L290)),L290&lt;1,L290&gt;5,L290&lt;&gt;INT(L290),AND(J290&lt;&gt;"Public",J290&lt;&gt;"Partner",J290&lt;&gt;"Internal",J290&lt;&gt;"None"),AND(K290&lt;&gt;"High",K290&lt;&gt;"Medium",K290&lt;&gt;"Low",K290&lt;&gt;"None"),AND(W290&lt;&gt;"Hard-coded",W290&lt;&gt;"Configurable",W290&lt;&gt;"Policy-managed",W290&lt;&gt;"API/Library abstraction",W290&lt;&gt;"Automated"),AND(Z290&lt;&gt;"Y",Z290&lt;&gt;"N"),AND(AA290&lt;&gt;"Y",AA290&lt;&gt;"N")),"Incomplete",IF(Z290="Y",20,0)+L290*5+IF(AA290="Y",15,0)+IF(J290="Public",10,IF(J290="Partner",7,IF(J290="Internal",3,0)))+IF(W290="Hard-coded",10,IF(W290="Configurable",3,0))+IF(MAX(I290,AP290)&gt;=10,10,IF(MAX(I290,AP290)&gt;=5,7,IF(MAX(I290,AP290)&gt;=2,3,0)))+IF(K290="High",10,IF(K290="Medium",5,0))))</x:f>
      </x:c>
      <x:c r="AC290" s="73" t="str">
        <x:f>IF(A290="","",IF(NOT(ISNUMBER(AB290)),"Review inputs",IF(AB290&gt;=70,"P0 - Immediate",IF(AB290&gt;=50,"P1 - High",IF(AB290&gt;=30,"P2 - Medium",IF(AB290&gt;=15,"P3 - Low","P4 - Monitor"))))))</x:f>
      </x:c>
      <x:c r="AD290" s="73"/>
      <x:c r="AE290" s="73"/>
      <x:c r="AF290" s="73"/>
      <x:c r="AG290" s="77"/>
      <x:c r="AH290" s="73"/>
      <x:c r="AI290" s="91"/>
      <x:c r="AJ290" s="91"/>
      <x:c r="AK290" s="91"/>
      <x:c r="AL290" s="92"/>
      <x:c r="AM290" s="91"/>
      <x:c r="AN290" s="91"/>
      <x:c r="AO290" s="93"/>
      <x:c r="AP290" s="94"/>
      <x:c r="AQ290" s="91"/>
      <x:c r="AR290" s="91"/>
      <x:c r="AS290" s="91"/>
      <x:c r="AT290" s="91"/>
      <x:c r="AU290" s="91"/>
      <x:c r="AV290" s="91"/>
      <x:c r="AW290" s="91"/>
      <x:c r="AX290" s="91"/>
      <x:c r="AY290" s="91"/>
      <x:c r="AZ290" s="92"/>
      <x:c r="BA290" s="94"/>
      <x:c r="BB290" s="91"/>
      <x:c r="BC290" s="92"/>
      <x:c r="BD290" s="92"/>
      <x:c r="BE290" s="91"/>
      <x:c r="BF290" s="91"/>
      <x:c r="BG290" s="91"/>
      <x:c r="BH290" s="91"/>
      <x:c r="BI290" s="91"/>
      <x:c r="BJ290" s="91"/>
      <x:c r="BK290" s="91"/>
      <x:c r="BL290" s="91"/>
      <x:c r="BM290" s="73" t="str">
        <x:f>IF(A290="","",IF(AI290="Example","Example only",IF(AI290&lt;&gt;"Actual","Set record type",IF(COUNTIF($A$2:$A$1001,A290)&gt;1,"Duplicate record ID",IF(OR(D290="",E290="",AF290="",NOT(ISNUMBER(AG290)),AJ290="",AK290="",NOT(ISNUMBER(AL290)),AND(AM290&lt;&gt;"Observed",AM290&lt;&gt;"Corroborated",AM290&lt;&gt;"Declared"),OR(AN290="",AN290="Unknown"),OR(AQ290="",AQ290="Unknown"),OR(AR290="",AR290="Unknown",AR290="TBD"),OR(BC290="",NOT(ISNUMBER(BC290)))),"Evidence incomplete","Evidence recorded; review scope")))))</x:f>
      </x:c>
      <x:c r="BN290" s="73"/>
    </x:row>
    <x:row r="291" ht="34" customHeight="1">
      <x:c r="A291" s="73"/>
      <x:c r="B291" s="73"/>
      <x:c r="C291" s="73"/>
      <x:c r="D291" s="73"/>
      <x:c r="E291" s="73"/>
      <x:c r="F291" s="73"/>
      <x:c r="G291" s="73"/>
      <x:c r="H291" s="73"/>
      <x:c r="I291" s="75"/>
      <x:c r="J291" s="73"/>
      <x:c r="K291" s="73"/>
      <x:c r="L291" s="76"/>
      <x:c r="M291" s="73"/>
      <x:c r="N291" s="73"/>
      <x:c r="O291" s="73"/>
      <x:c r="P291" s="73"/>
      <x:c r="Q291" s="76"/>
      <x:c r="R291" s="73"/>
      <x:c r="S291" s="73"/>
      <x:c r="T291" s="73"/>
      <x:c r="U291" s="73"/>
      <x:c r="V291" s="73"/>
      <x:c r="W291" s="73"/>
      <x:c r="X291" s="73"/>
      <x:c r="Y291" s="73"/>
      <x:c r="Z291" s="73"/>
      <x:c r="AA291" s="73"/>
      <x:c r="AB291" s="76" t="str">
        <x:f>IF(A291="","",IF(OR(NOT(ISNUMBER(I291)),I291&lt;0,NOT(ISNUMBER(AP291)),AP291&lt;0,NOT(ISNUMBER(L291)),L291&lt;1,L291&gt;5,L291&lt;&gt;INT(L291),AND(J291&lt;&gt;"Public",J291&lt;&gt;"Partner",J291&lt;&gt;"Internal",J291&lt;&gt;"None"),AND(K291&lt;&gt;"High",K291&lt;&gt;"Medium",K291&lt;&gt;"Low",K291&lt;&gt;"None"),AND(W291&lt;&gt;"Hard-coded",W291&lt;&gt;"Configurable",W291&lt;&gt;"Policy-managed",W291&lt;&gt;"API/Library abstraction",W291&lt;&gt;"Automated"),AND(Z291&lt;&gt;"Y",Z291&lt;&gt;"N"),AND(AA291&lt;&gt;"Y",AA291&lt;&gt;"N")),"Incomplete",IF(Z291="Y",20,0)+L291*5+IF(AA291="Y",15,0)+IF(J291="Public",10,IF(J291="Partner",7,IF(J291="Internal",3,0)))+IF(W291="Hard-coded",10,IF(W291="Configurable",3,0))+IF(MAX(I291,AP291)&gt;=10,10,IF(MAX(I291,AP291)&gt;=5,7,IF(MAX(I291,AP291)&gt;=2,3,0)))+IF(K291="High",10,IF(K291="Medium",5,0))))</x:f>
      </x:c>
      <x:c r="AC291" s="73" t="str">
        <x:f>IF(A291="","",IF(NOT(ISNUMBER(AB291)),"Review inputs",IF(AB291&gt;=70,"P0 - Immediate",IF(AB291&gt;=50,"P1 - High",IF(AB291&gt;=30,"P2 - Medium",IF(AB291&gt;=15,"P3 - Low","P4 - Monitor"))))))</x:f>
      </x:c>
      <x:c r="AD291" s="73"/>
      <x:c r="AE291" s="73"/>
      <x:c r="AF291" s="73"/>
      <x:c r="AG291" s="77"/>
      <x:c r="AH291" s="73"/>
      <x:c r="AI291" s="91"/>
      <x:c r="AJ291" s="91"/>
      <x:c r="AK291" s="91"/>
      <x:c r="AL291" s="92"/>
      <x:c r="AM291" s="91"/>
      <x:c r="AN291" s="91"/>
      <x:c r="AO291" s="93"/>
      <x:c r="AP291" s="94"/>
      <x:c r="AQ291" s="91"/>
      <x:c r="AR291" s="91"/>
      <x:c r="AS291" s="91"/>
      <x:c r="AT291" s="91"/>
      <x:c r="AU291" s="91"/>
      <x:c r="AV291" s="91"/>
      <x:c r="AW291" s="91"/>
      <x:c r="AX291" s="91"/>
      <x:c r="AY291" s="91"/>
      <x:c r="AZ291" s="92"/>
      <x:c r="BA291" s="94"/>
      <x:c r="BB291" s="91"/>
      <x:c r="BC291" s="92"/>
      <x:c r="BD291" s="92"/>
      <x:c r="BE291" s="91"/>
      <x:c r="BF291" s="91"/>
      <x:c r="BG291" s="91"/>
      <x:c r="BH291" s="91"/>
      <x:c r="BI291" s="91"/>
      <x:c r="BJ291" s="91"/>
      <x:c r="BK291" s="91"/>
      <x:c r="BL291" s="91"/>
      <x:c r="BM291" s="73" t="str">
        <x:f>IF(A291="","",IF(AI291="Example","Example only",IF(AI291&lt;&gt;"Actual","Set record type",IF(COUNTIF($A$2:$A$1001,A291)&gt;1,"Duplicate record ID",IF(OR(D291="",E291="",AF291="",NOT(ISNUMBER(AG291)),AJ291="",AK291="",NOT(ISNUMBER(AL291)),AND(AM291&lt;&gt;"Observed",AM291&lt;&gt;"Corroborated",AM291&lt;&gt;"Declared"),OR(AN291="",AN291="Unknown"),OR(AQ291="",AQ291="Unknown"),OR(AR291="",AR291="Unknown",AR291="TBD"),OR(BC291="",NOT(ISNUMBER(BC291)))),"Evidence incomplete","Evidence recorded; review scope")))))</x:f>
      </x:c>
      <x:c r="BN291" s="73"/>
    </x:row>
    <x:row r="292" ht="34" customHeight="1">
      <x:c r="A292" s="73"/>
      <x:c r="B292" s="73"/>
      <x:c r="C292" s="73"/>
      <x:c r="D292" s="73"/>
      <x:c r="E292" s="73"/>
      <x:c r="F292" s="73"/>
      <x:c r="G292" s="73"/>
      <x:c r="H292" s="73"/>
      <x:c r="I292" s="75"/>
      <x:c r="J292" s="73"/>
      <x:c r="K292" s="73"/>
      <x:c r="L292" s="76"/>
      <x:c r="M292" s="73"/>
      <x:c r="N292" s="73"/>
      <x:c r="O292" s="73"/>
      <x:c r="P292" s="73"/>
      <x:c r="Q292" s="76"/>
      <x:c r="R292" s="73"/>
      <x:c r="S292" s="73"/>
      <x:c r="T292" s="73"/>
      <x:c r="U292" s="73"/>
      <x:c r="V292" s="73"/>
      <x:c r="W292" s="73"/>
      <x:c r="X292" s="73"/>
      <x:c r="Y292" s="73"/>
      <x:c r="Z292" s="73"/>
      <x:c r="AA292" s="73"/>
      <x:c r="AB292" s="76" t="str">
        <x:f>IF(A292="","",IF(OR(NOT(ISNUMBER(I292)),I292&lt;0,NOT(ISNUMBER(AP292)),AP292&lt;0,NOT(ISNUMBER(L292)),L292&lt;1,L292&gt;5,L292&lt;&gt;INT(L292),AND(J292&lt;&gt;"Public",J292&lt;&gt;"Partner",J292&lt;&gt;"Internal",J292&lt;&gt;"None"),AND(K292&lt;&gt;"High",K292&lt;&gt;"Medium",K292&lt;&gt;"Low",K292&lt;&gt;"None"),AND(W292&lt;&gt;"Hard-coded",W292&lt;&gt;"Configurable",W292&lt;&gt;"Policy-managed",W292&lt;&gt;"API/Library abstraction",W292&lt;&gt;"Automated"),AND(Z292&lt;&gt;"Y",Z292&lt;&gt;"N"),AND(AA292&lt;&gt;"Y",AA292&lt;&gt;"N")),"Incomplete",IF(Z292="Y",20,0)+L292*5+IF(AA292="Y",15,0)+IF(J292="Public",10,IF(J292="Partner",7,IF(J292="Internal",3,0)))+IF(W292="Hard-coded",10,IF(W292="Configurable",3,0))+IF(MAX(I292,AP292)&gt;=10,10,IF(MAX(I292,AP292)&gt;=5,7,IF(MAX(I292,AP292)&gt;=2,3,0)))+IF(K292="High",10,IF(K292="Medium",5,0))))</x:f>
      </x:c>
      <x:c r="AC292" s="73" t="str">
        <x:f>IF(A292="","",IF(NOT(ISNUMBER(AB292)),"Review inputs",IF(AB292&gt;=70,"P0 - Immediate",IF(AB292&gt;=50,"P1 - High",IF(AB292&gt;=30,"P2 - Medium",IF(AB292&gt;=15,"P3 - Low","P4 - Monitor"))))))</x:f>
      </x:c>
      <x:c r="AD292" s="73"/>
      <x:c r="AE292" s="73"/>
      <x:c r="AF292" s="73"/>
      <x:c r="AG292" s="77"/>
      <x:c r="AH292" s="73"/>
      <x:c r="AI292" s="91"/>
      <x:c r="AJ292" s="91"/>
      <x:c r="AK292" s="91"/>
      <x:c r="AL292" s="92"/>
      <x:c r="AM292" s="91"/>
      <x:c r="AN292" s="91"/>
      <x:c r="AO292" s="93"/>
      <x:c r="AP292" s="94"/>
      <x:c r="AQ292" s="91"/>
      <x:c r="AR292" s="91"/>
      <x:c r="AS292" s="91"/>
      <x:c r="AT292" s="91"/>
      <x:c r="AU292" s="91"/>
      <x:c r="AV292" s="91"/>
      <x:c r="AW292" s="91"/>
      <x:c r="AX292" s="91"/>
      <x:c r="AY292" s="91"/>
      <x:c r="AZ292" s="92"/>
      <x:c r="BA292" s="94"/>
      <x:c r="BB292" s="91"/>
      <x:c r="BC292" s="92"/>
      <x:c r="BD292" s="92"/>
      <x:c r="BE292" s="91"/>
      <x:c r="BF292" s="91"/>
      <x:c r="BG292" s="91"/>
      <x:c r="BH292" s="91"/>
      <x:c r="BI292" s="91"/>
      <x:c r="BJ292" s="91"/>
      <x:c r="BK292" s="91"/>
      <x:c r="BL292" s="91"/>
      <x:c r="BM292" s="73" t="str">
        <x:f>IF(A292="","",IF(AI292="Example","Example only",IF(AI292&lt;&gt;"Actual","Set record type",IF(COUNTIF($A$2:$A$1001,A292)&gt;1,"Duplicate record ID",IF(OR(D292="",E292="",AF292="",NOT(ISNUMBER(AG292)),AJ292="",AK292="",NOT(ISNUMBER(AL292)),AND(AM292&lt;&gt;"Observed",AM292&lt;&gt;"Corroborated",AM292&lt;&gt;"Declared"),OR(AN292="",AN292="Unknown"),OR(AQ292="",AQ292="Unknown"),OR(AR292="",AR292="Unknown",AR292="TBD"),OR(BC292="",NOT(ISNUMBER(BC292)))),"Evidence incomplete","Evidence recorded; review scope")))))</x:f>
      </x:c>
      <x:c r="BN292" s="73"/>
    </x:row>
    <x:row r="293" ht="34" customHeight="1">
      <x:c r="A293" s="73"/>
      <x:c r="B293" s="73"/>
      <x:c r="C293" s="73"/>
      <x:c r="D293" s="73"/>
      <x:c r="E293" s="73"/>
      <x:c r="F293" s="73"/>
      <x:c r="G293" s="73"/>
      <x:c r="H293" s="73"/>
      <x:c r="I293" s="75"/>
      <x:c r="J293" s="73"/>
      <x:c r="K293" s="73"/>
      <x:c r="L293" s="76"/>
      <x:c r="M293" s="73"/>
      <x:c r="N293" s="73"/>
      <x:c r="O293" s="73"/>
      <x:c r="P293" s="73"/>
      <x:c r="Q293" s="76"/>
      <x:c r="R293" s="73"/>
      <x:c r="S293" s="73"/>
      <x:c r="T293" s="73"/>
      <x:c r="U293" s="73"/>
      <x:c r="V293" s="73"/>
      <x:c r="W293" s="73"/>
      <x:c r="X293" s="73"/>
      <x:c r="Y293" s="73"/>
      <x:c r="Z293" s="73"/>
      <x:c r="AA293" s="73"/>
      <x:c r="AB293" s="76" t="str">
        <x:f>IF(A293="","",IF(OR(NOT(ISNUMBER(I293)),I293&lt;0,NOT(ISNUMBER(AP293)),AP293&lt;0,NOT(ISNUMBER(L293)),L293&lt;1,L293&gt;5,L293&lt;&gt;INT(L293),AND(J293&lt;&gt;"Public",J293&lt;&gt;"Partner",J293&lt;&gt;"Internal",J293&lt;&gt;"None"),AND(K293&lt;&gt;"High",K293&lt;&gt;"Medium",K293&lt;&gt;"Low",K293&lt;&gt;"None"),AND(W293&lt;&gt;"Hard-coded",W293&lt;&gt;"Configurable",W293&lt;&gt;"Policy-managed",W293&lt;&gt;"API/Library abstraction",W293&lt;&gt;"Automated"),AND(Z293&lt;&gt;"Y",Z293&lt;&gt;"N"),AND(AA293&lt;&gt;"Y",AA293&lt;&gt;"N")),"Incomplete",IF(Z293="Y",20,0)+L293*5+IF(AA293="Y",15,0)+IF(J293="Public",10,IF(J293="Partner",7,IF(J293="Internal",3,0)))+IF(W293="Hard-coded",10,IF(W293="Configurable",3,0))+IF(MAX(I293,AP293)&gt;=10,10,IF(MAX(I293,AP293)&gt;=5,7,IF(MAX(I293,AP293)&gt;=2,3,0)))+IF(K293="High",10,IF(K293="Medium",5,0))))</x:f>
      </x:c>
      <x:c r="AC293" s="73" t="str">
        <x:f>IF(A293="","",IF(NOT(ISNUMBER(AB293)),"Review inputs",IF(AB293&gt;=70,"P0 - Immediate",IF(AB293&gt;=50,"P1 - High",IF(AB293&gt;=30,"P2 - Medium",IF(AB293&gt;=15,"P3 - Low","P4 - Monitor"))))))</x:f>
      </x:c>
      <x:c r="AD293" s="73"/>
      <x:c r="AE293" s="73"/>
      <x:c r="AF293" s="73"/>
      <x:c r="AG293" s="77"/>
      <x:c r="AH293" s="73"/>
      <x:c r="AI293" s="91"/>
      <x:c r="AJ293" s="91"/>
      <x:c r="AK293" s="91"/>
      <x:c r="AL293" s="92"/>
      <x:c r="AM293" s="91"/>
      <x:c r="AN293" s="91"/>
      <x:c r="AO293" s="93"/>
      <x:c r="AP293" s="94"/>
      <x:c r="AQ293" s="91"/>
      <x:c r="AR293" s="91"/>
      <x:c r="AS293" s="91"/>
      <x:c r="AT293" s="91"/>
      <x:c r="AU293" s="91"/>
      <x:c r="AV293" s="91"/>
      <x:c r="AW293" s="91"/>
      <x:c r="AX293" s="91"/>
      <x:c r="AY293" s="91"/>
      <x:c r="AZ293" s="92"/>
      <x:c r="BA293" s="94"/>
      <x:c r="BB293" s="91"/>
      <x:c r="BC293" s="92"/>
      <x:c r="BD293" s="92"/>
      <x:c r="BE293" s="91"/>
      <x:c r="BF293" s="91"/>
      <x:c r="BG293" s="91"/>
      <x:c r="BH293" s="91"/>
      <x:c r="BI293" s="91"/>
      <x:c r="BJ293" s="91"/>
      <x:c r="BK293" s="91"/>
      <x:c r="BL293" s="91"/>
      <x:c r="BM293" s="73" t="str">
        <x:f>IF(A293="","",IF(AI293="Example","Example only",IF(AI293&lt;&gt;"Actual","Set record type",IF(COUNTIF($A$2:$A$1001,A293)&gt;1,"Duplicate record ID",IF(OR(D293="",E293="",AF293="",NOT(ISNUMBER(AG293)),AJ293="",AK293="",NOT(ISNUMBER(AL293)),AND(AM293&lt;&gt;"Observed",AM293&lt;&gt;"Corroborated",AM293&lt;&gt;"Declared"),OR(AN293="",AN293="Unknown"),OR(AQ293="",AQ293="Unknown"),OR(AR293="",AR293="Unknown",AR293="TBD"),OR(BC293="",NOT(ISNUMBER(BC293)))),"Evidence incomplete","Evidence recorded; review scope")))))</x:f>
      </x:c>
      <x:c r="BN293" s="73"/>
    </x:row>
    <x:row r="294" ht="34" customHeight="1">
      <x:c r="A294" s="73"/>
      <x:c r="B294" s="73"/>
      <x:c r="C294" s="73"/>
      <x:c r="D294" s="73"/>
      <x:c r="E294" s="73"/>
      <x:c r="F294" s="73"/>
      <x:c r="G294" s="73"/>
      <x:c r="H294" s="73"/>
      <x:c r="I294" s="75"/>
      <x:c r="J294" s="73"/>
      <x:c r="K294" s="73"/>
      <x:c r="L294" s="76"/>
      <x:c r="M294" s="73"/>
      <x:c r="N294" s="73"/>
      <x:c r="O294" s="73"/>
      <x:c r="P294" s="73"/>
      <x:c r="Q294" s="76"/>
      <x:c r="R294" s="73"/>
      <x:c r="S294" s="73"/>
      <x:c r="T294" s="73"/>
      <x:c r="U294" s="73"/>
      <x:c r="V294" s="73"/>
      <x:c r="W294" s="73"/>
      <x:c r="X294" s="73"/>
      <x:c r="Y294" s="73"/>
      <x:c r="Z294" s="73"/>
      <x:c r="AA294" s="73"/>
      <x:c r="AB294" s="76" t="str">
        <x:f>IF(A294="","",IF(OR(NOT(ISNUMBER(I294)),I294&lt;0,NOT(ISNUMBER(AP294)),AP294&lt;0,NOT(ISNUMBER(L294)),L294&lt;1,L294&gt;5,L294&lt;&gt;INT(L294),AND(J294&lt;&gt;"Public",J294&lt;&gt;"Partner",J294&lt;&gt;"Internal",J294&lt;&gt;"None"),AND(K294&lt;&gt;"High",K294&lt;&gt;"Medium",K294&lt;&gt;"Low",K294&lt;&gt;"None"),AND(W294&lt;&gt;"Hard-coded",W294&lt;&gt;"Configurable",W294&lt;&gt;"Policy-managed",W294&lt;&gt;"API/Library abstraction",W294&lt;&gt;"Automated"),AND(Z294&lt;&gt;"Y",Z294&lt;&gt;"N"),AND(AA294&lt;&gt;"Y",AA294&lt;&gt;"N")),"Incomplete",IF(Z294="Y",20,0)+L294*5+IF(AA294="Y",15,0)+IF(J294="Public",10,IF(J294="Partner",7,IF(J294="Internal",3,0)))+IF(W294="Hard-coded",10,IF(W294="Configurable",3,0))+IF(MAX(I294,AP294)&gt;=10,10,IF(MAX(I294,AP294)&gt;=5,7,IF(MAX(I294,AP294)&gt;=2,3,0)))+IF(K294="High",10,IF(K294="Medium",5,0))))</x:f>
      </x:c>
      <x:c r="AC294" s="73" t="str">
        <x:f>IF(A294="","",IF(NOT(ISNUMBER(AB294)),"Review inputs",IF(AB294&gt;=70,"P0 - Immediate",IF(AB294&gt;=50,"P1 - High",IF(AB294&gt;=30,"P2 - Medium",IF(AB294&gt;=15,"P3 - Low","P4 - Monitor"))))))</x:f>
      </x:c>
      <x:c r="AD294" s="73"/>
      <x:c r="AE294" s="73"/>
      <x:c r="AF294" s="73"/>
      <x:c r="AG294" s="77"/>
      <x:c r="AH294" s="73"/>
      <x:c r="AI294" s="91"/>
      <x:c r="AJ294" s="91"/>
      <x:c r="AK294" s="91"/>
      <x:c r="AL294" s="92"/>
      <x:c r="AM294" s="91"/>
      <x:c r="AN294" s="91"/>
      <x:c r="AO294" s="93"/>
      <x:c r="AP294" s="94"/>
      <x:c r="AQ294" s="91"/>
      <x:c r="AR294" s="91"/>
      <x:c r="AS294" s="91"/>
      <x:c r="AT294" s="91"/>
      <x:c r="AU294" s="91"/>
      <x:c r="AV294" s="91"/>
      <x:c r="AW294" s="91"/>
      <x:c r="AX294" s="91"/>
      <x:c r="AY294" s="91"/>
      <x:c r="AZ294" s="92"/>
      <x:c r="BA294" s="94"/>
      <x:c r="BB294" s="91"/>
      <x:c r="BC294" s="92"/>
      <x:c r="BD294" s="92"/>
      <x:c r="BE294" s="91"/>
      <x:c r="BF294" s="91"/>
      <x:c r="BG294" s="91"/>
      <x:c r="BH294" s="91"/>
      <x:c r="BI294" s="91"/>
      <x:c r="BJ294" s="91"/>
      <x:c r="BK294" s="91"/>
      <x:c r="BL294" s="91"/>
      <x:c r="BM294" s="73" t="str">
        <x:f>IF(A294="","",IF(AI294="Example","Example only",IF(AI294&lt;&gt;"Actual","Set record type",IF(COUNTIF($A$2:$A$1001,A294)&gt;1,"Duplicate record ID",IF(OR(D294="",E294="",AF294="",NOT(ISNUMBER(AG294)),AJ294="",AK294="",NOT(ISNUMBER(AL294)),AND(AM294&lt;&gt;"Observed",AM294&lt;&gt;"Corroborated",AM294&lt;&gt;"Declared"),OR(AN294="",AN294="Unknown"),OR(AQ294="",AQ294="Unknown"),OR(AR294="",AR294="Unknown",AR294="TBD"),OR(BC294="",NOT(ISNUMBER(BC294)))),"Evidence incomplete","Evidence recorded; review scope")))))</x:f>
      </x:c>
      <x:c r="BN294" s="73"/>
    </x:row>
    <x:row r="295" ht="34" customHeight="1">
      <x:c r="A295" s="73"/>
      <x:c r="B295" s="73"/>
      <x:c r="C295" s="73"/>
      <x:c r="D295" s="73"/>
      <x:c r="E295" s="73"/>
      <x:c r="F295" s="73"/>
      <x:c r="G295" s="73"/>
      <x:c r="H295" s="73"/>
      <x:c r="I295" s="75"/>
      <x:c r="J295" s="73"/>
      <x:c r="K295" s="73"/>
      <x:c r="L295" s="76"/>
      <x:c r="M295" s="73"/>
      <x:c r="N295" s="73"/>
      <x:c r="O295" s="73"/>
      <x:c r="P295" s="73"/>
      <x:c r="Q295" s="76"/>
      <x:c r="R295" s="73"/>
      <x:c r="S295" s="73"/>
      <x:c r="T295" s="73"/>
      <x:c r="U295" s="73"/>
      <x:c r="V295" s="73"/>
      <x:c r="W295" s="73"/>
      <x:c r="X295" s="73"/>
      <x:c r="Y295" s="73"/>
      <x:c r="Z295" s="73"/>
      <x:c r="AA295" s="73"/>
      <x:c r="AB295" s="76" t="str">
        <x:f>IF(A295="","",IF(OR(NOT(ISNUMBER(I295)),I295&lt;0,NOT(ISNUMBER(AP295)),AP295&lt;0,NOT(ISNUMBER(L295)),L295&lt;1,L295&gt;5,L295&lt;&gt;INT(L295),AND(J295&lt;&gt;"Public",J295&lt;&gt;"Partner",J295&lt;&gt;"Internal",J295&lt;&gt;"None"),AND(K295&lt;&gt;"High",K295&lt;&gt;"Medium",K295&lt;&gt;"Low",K295&lt;&gt;"None"),AND(W295&lt;&gt;"Hard-coded",W295&lt;&gt;"Configurable",W295&lt;&gt;"Policy-managed",W295&lt;&gt;"API/Library abstraction",W295&lt;&gt;"Automated"),AND(Z295&lt;&gt;"Y",Z295&lt;&gt;"N"),AND(AA295&lt;&gt;"Y",AA295&lt;&gt;"N")),"Incomplete",IF(Z295="Y",20,0)+L295*5+IF(AA295="Y",15,0)+IF(J295="Public",10,IF(J295="Partner",7,IF(J295="Internal",3,0)))+IF(W295="Hard-coded",10,IF(W295="Configurable",3,0))+IF(MAX(I295,AP295)&gt;=10,10,IF(MAX(I295,AP295)&gt;=5,7,IF(MAX(I295,AP295)&gt;=2,3,0)))+IF(K295="High",10,IF(K295="Medium",5,0))))</x:f>
      </x:c>
      <x:c r="AC295" s="73" t="str">
        <x:f>IF(A295="","",IF(NOT(ISNUMBER(AB295)),"Review inputs",IF(AB295&gt;=70,"P0 - Immediate",IF(AB295&gt;=50,"P1 - High",IF(AB295&gt;=30,"P2 - Medium",IF(AB295&gt;=15,"P3 - Low","P4 - Monitor"))))))</x:f>
      </x:c>
      <x:c r="AD295" s="73"/>
      <x:c r="AE295" s="73"/>
      <x:c r="AF295" s="73"/>
      <x:c r="AG295" s="77"/>
      <x:c r="AH295" s="73"/>
      <x:c r="AI295" s="91"/>
      <x:c r="AJ295" s="91"/>
      <x:c r="AK295" s="91"/>
      <x:c r="AL295" s="92"/>
      <x:c r="AM295" s="91"/>
      <x:c r="AN295" s="91"/>
      <x:c r="AO295" s="93"/>
      <x:c r="AP295" s="94"/>
      <x:c r="AQ295" s="91"/>
      <x:c r="AR295" s="91"/>
      <x:c r="AS295" s="91"/>
      <x:c r="AT295" s="91"/>
      <x:c r="AU295" s="91"/>
      <x:c r="AV295" s="91"/>
      <x:c r="AW295" s="91"/>
      <x:c r="AX295" s="91"/>
      <x:c r="AY295" s="91"/>
      <x:c r="AZ295" s="92"/>
      <x:c r="BA295" s="94"/>
      <x:c r="BB295" s="91"/>
      <x:c r="BC295" s="92"/>
      <x:c r="BD295" s="92"/>
      <x:c r="BE295" s="91"/>
      <x:c r="BF295" s="91"/>
      <x:c r="BG295" s="91"/>
      <x:c r="BH295" s="91"/>
      <x:c r="BI295" s="91"/>
      <x:c r="BJ295" s="91"/>
      <x:c r="BK295" s="91"/>
      <x:c r="BL295" s="91"/>
      <x:c r="BM295" s="73" t="str">
        <x:f>IF(A295="","",IF(AI295="Example","Example only",IF(AI295&lt;&gt;"Actual","Set record type",IF(COUNTIF($A$2:$A$1001,A295)&gt;1,"Duplicate record ID",IF(OR(D295="",E295="",AF295="",NOT(ISNUMBER(AG295)),AJ295="",AK295="",NOT(ISNUMBER(AL295)),AND(AM295&lt;&gt;"Observed",AM295&lt;&gt;"Corroborated",AM295&lt;&gt;"Declared"),OR(AN295="",AN295="Unknown"),OR(AQ295="",AQ295="Unknown"),OR(AR295="",AR295="Unknown",AR295="TBD"),OR(BC295="",NOT(ISNUMBER(BC295)))),"Evidence incomplete","Evidence recorded; review scope")))))</x:f>
      </x:c>
      <x:c r="BN295" s="73"/>
    </x:row>
    <x:row r="296" ht="34" customHeight="1">
      <x:c r="A296" s="73"/>
      <x:c r="B296" s="73"/>
      <x:c r="C296" s="73"/>
      <x:c r="D296" s="73"/>
      <x:c r="E296" s="73"/>
      <x:c r="F296" s="73"/>
      <x:c r="G296" s="73"/>
      <x:c r="H296" s="73"/>
      <x:c r="I296" s="75"/>
      <x:c r="J296" s="73"/>
      <x:c r="K296" s="73"/>
      <x:c r="L296" s="76"/>
      <x:c r="M296" s="73"/>
      <x:c r="N296" s="73"/>
      <x:c r="O296" s="73"/>
      <x:c r="P296" s="73"/>
      <x:c r="Q296" s="76"/>
      <x:c r="R296" s="73"/>
      <x:c r="S296" s="73"/>
      <x:c r="T296" s="73"/>
      <x:c r="U296" s="73"/>
      <x:c r="V296" s="73"/>
      <x:c r="W296" s="73"/>
      <x:c r="X296" s="73"/>
      <x:c r="Y296" s="73"/>
      <x:c r="Z296" s="73"/>
      <x:c r="AA296" s="73"/>
      <x:c r="AB296" s="76" t="str">
        <x:f>IF(A296="","",IF(OR(NOT(ISNUMBER(I296)),I296&lt;0,NOT(ISNUMBER(AP296)),AP296&lt;0,NOT(ISNUMBER(L296)),L296&lt;1,L296&gt;5,L296&lt;&gt;INT(L296),AND(J296&lt;&gt;"Public",J296&lt;&gt;"Partner",J296&lt;&gt;"Internal",J296&lt;&gt;"None"),AND(K296&lt;&gt;"High",K296&lt;&gt;"Medium",K296&lt;&gt;"Low",K296&lt;&gt;"None"),AND(W296&lt;&gt;"Hard-coded",W296&lt;&gt;"Configurable",W296&lt;&gt;"Policy-managed",W296&lt;&gt;"API/Library abstraction",W296&lt;&gt;"Automated"),AND(Z296&lt;&gt;"Y",Z296&lt;&gt;"N"),AND(AA296&lt;&gt;"Y",AA296&lt;&gt;"N")),"Incomplete",IF(Z296="Y",20,0)+L296*5+IF(AA296="Y",15,0)+IF(J296="Public",10,IF(J296="Partner",7,IF(J296="Internal",3,0)))+IF(W296="Hard-coded",10,IF(W296="Configurable",3,0))+IF(MAX(I296,AP296)&gt;=10,10,IF(MAX(I296,AP296)&gt;=5,7,IF(MAX(I296,AP296)&gt;=2,3,0)))+IF(K296="High",10,IF(K296="Medium",5,0))))</x:f>
      </x:c>
      <x:c r="AC296" s="73" t="str">
        <x:f>IF(A296="","",IF(NOT(ISNUMBER(AB296)),"Review inputs",IF(AB296&gt;=70,"P0 - Immediate",IF(AB296&gt;=50,"P1 - High",IF(AB296&gt;=30,"P2 - Medium",IF(AB296&gt;=15,"P3 - Low","P4 - Monitor"))))))</x:f>
      </x:c>
      <x:c r="AD296" s="73"/>
      <x:c r="AE296" s="73"/>
      <x:c r="AF296" s="73"/>
      <x:c r="AG296" s="77"/>
      <x:c r="AH296" s="73"/>
      <x:c r="AI296" s="91"/>
      <x:c r="AJ296" s="91"/>
      <x:c r="AK296" s="91"/>
      <x:c r="AL296" s="92"/>
      <x:c r="AM296" s="91"/>
      <x:c r="AN296" s="91"/>
      <x:c r="AO296" s="93"/>
      <x:c r="AP296" s="94"/>
      <x:c r="AQ296" s="91"/>
      <x:c r="AR296" s="91"/>
      <x:c r="AS296" s="91"/>
      <x:c r="AT296" s="91"/>
      <x:c r="AU296" s="91"/>
      <x:c r="AV296" s="91"/>
      <x:c r="AW296" s="91"/>
      <x:c r="AX296" s="91"/>
      <x:c r="AY296" s="91"/>
      <x:c r="AZ296" s="92"/>
      <x:c r="BA296" s="94"/>
      <x:c r="BB296" s="91"/>
      <x:c r="BC296" s="92"/>
      <x:c r="BD296" s="92"/>
      <x:c r="BE296" s="91"/>
      <x:c r="BF296" s="91"/>
      <x:c r="BG296" s="91"/>
      <x:c r="BH296" s="91"/>
      <x:c r="BI296" s="91"/>
      <x:c r="BJ296" s="91"/>
      <x:c r="BK296" s="91"/>
      <x:c r="BL296" s="91"/>
      <x:c r="BM296" s="73" t="str">
        <x:f>IF(A296="","",IF(AI296="Example","Example only",IF(AI296&lt;&gt;"Actual","Set record type",IF(COUNTIF($A$2:$A$1001,A296)&gt;1,"Duplicate record ID",IF(OR(D296="",E296="",AF296="",NOT(ISNUMBER(AG296)),AJ296="",AK296="",NOT(ISNUMBER(AL296)),AND(AM296&lt;&gt;"Observed",AM296&lt;&gt;"Corroborated",AM296&lt;&gt;"Declared"),OR(AN296="",AN296="Unknown"),OR(AQ296="",AQ296="Unknown"),OR(AR296="",AR296="Unknown",AR296="TBD"),OR(BC296="",NOT(ISNUMBER(BC296)))),"Evidence incomplete","Evidence recorded; review scope")))))</x:f>
      </x:c>
      <x:c r="BN296" s="73"/>
    </x:row>
    <x:row r="297" ht="34" customHeight="1">
      <x:c r="A297" s="73"/>
      <x:c r="B297" s="73"/>
      <x:c r="C297" s="73"/>
      <x:c r="D297" s="73"/>
      <x:c r="E297" s="73"/>
      <x:c r="F297" s="73"/>
      <x:c r="G297" s="73"/>
      <x:c r="H297" s="73"/>
      <x:c r="I297" s="75"/>
      <x:c r="J297" s="73"/>
      <x:c r="K297" s="73"/>
      <x:c r="L297" s="76"/>
      <x:c r="M297" s="73"/>
      <x:c r="N297" s="73"/>
      <x:c r="O297" s="73"/>
      <x:c r="P297" s="73"/>
      <x:c r="Q297" s="76"/>
      <x:c r="R297" s="73"/>
      <x:c r="S297" s="73"/>
      <x:c r="T297" s="73"/>
      <x:c r="U297" s="73"/>
      <x:c r="V297" s="73"/>
      <x:c r="W297" s="73"/>
      <x:c r="X297" s="73"/>
      <x:c r="Y297" s="73"/>
      <x:c r="Z297" s="73"/>
      <x:c r="AA297" s="73"/>
      <x:c r="AB297" s="76" t="str">
        <x:f>IF(A297="","",IF(OR(NOT(ISNUMBER(I297)),I297&lt;0,NOT(ISNUMBER(AP297)),AP297&lt;0,NOT(ISNUMBER(L297)),L297&lt;1,L297&gt;5,L297&lt;&gt;INT(L297),AND(J297&lt;&gt;"Public",J297&lt;&gt;"Partner",J297&lt;&gt;"Internal",J297&lt;&gt;"None"),AND(K297&lt;&gt;"High",K297&lt;&gt;"Medium",K297&lt;&gt;"Low",K297&lt;&gt;"None"),AND(W297&lt;&gt;"Hard-coded",W297&lt;&gt;"Configurable",W297&lt;&gt;"Policy-managed",W297&lt;&gt;"API/Library abstraction",W297&lt;&gt;"Automated"),AND(Z297&lt;&gt;"Y",Z297&lt;&gt;"N"),AND(AA297&lt;&gt;"Y",AA297&lt;&gt;"N")),"Incomplete",IF(Z297="Y",20,0)+L297*5+IF(AA297="Y",15,0)+IF(J297="Public",10,IF(J297="Partner",7,IF(J297="Internal",3,0)))+IF(W297="Hard-coded",10,IF(W297="Configurable",3,0))+IF(MAX(I297,AP297)&gt;=10,10,IF(MAX(I297,AP297)&gt;=5,7,IF(MAX(I297,AP297)&gt;=2,3,0)))+IF(K297="High",10,IF(K297="Medium",5,0))))</x:f>
      </x:c>
      <x:c r="AC297" s="73" t="str">
        <x:f>IF(A297="","",IF(NOT(ISNUMBER(AB297)),"Review inputs",IF(AB297&gt;=70,"P0 - Immediate",IF(AB297&gt;=50,"P1 - High",IF(AB297&gt;=30,"P2 - Medium",IF(AB297&gt;=15,"P3 - Low","P4 - Monitor"))))))</x:f>
      </x:c>
      <x:c r="AD297" s="73"/>
      <x:c r="AE297" s="73"/>
      <x:c r="AF297" s="73"/>
      <x:c r="AG297" s="77"/>
      <x:c r="AH297" s="73"/>
      <x:c r="AI297" s="91"/>
      <x:c r="AJ297" s="91"/>
      <x:c r="AK297" s="91"/>
      <x:c r="AL297" s="92"/>
      <x:c r="AM297" s="91"/>
      <x:c r="AN297" s="91"/>
      <x:c r="AO297" s="93"/>
      <x:c r="AP297" s="94"/>
      <x:c r="AQ297" s="91"/>
      <x:c r="AR297" s="91"/>
      <x:c r="AS297" s="91"/>
      <x:c r="AT297" s="91"/>
      <x:c r="AU297" s="91"/>
      <x:c r="AV297" s="91"/>
      <x:c r="AW297" s="91"/>
      <x:c r="AX297" s="91"/>
      <x:c r="AY297" s="91"/>
      <x:c r="AZ297" s="92"/>
      <x:c r="BA297" s="94"/>
      <x:c r="BB297" s="91"/>
      <x:c r="BC297" s="92"/>
      <x:c r="BD297" s="92"/>
      <x:c r="BE297" s="91"/>
      <x:c r="BF297" s="91"/>
      <x:c r="BG297" s="91"/>
      <x:c r="BH297" s="91"/>
      <x:c r="BI297" s="91"/>
      <x:c r="BJ297" s="91"/>
      <x:c r="BK297" s="91"/>
      <x:c r="BL297" s="91"/>
      <x:c r="BM297" s="73" t="str">
        <x:f>IF(A297="","",IF(AI297="Example","Example only",IF(AI297&lt;&gt;"Actual","Set record type",IF(COUNTIF($A$2:$A$1001,A297)&gt;1,"Duplicate record ID",IF(OR(D297="",E297="",AF297="",NOT(ISNUMBER(AG297)),AJ297="",AK297="",NOT(ISNUMBER(AL297)),AND(AM297&lt;&gt;"Observed",AM297&lt;&gt;"Corroborated",AM297&lt;&gt;"Declared"),OR(AN297="",AN297="Unknown"),OR(AQ297="",AQ297="Unknown"),OR(AR297="",AR297="Unknown",AR297="TBD"),OR(BC297="",NOT(ISNUMBER(BC297)))),"Evidence incomplete","Evidence recorded; review scope")))))</x:f>
      </x:c>
      <x:c r="BN297" s="73"/>
    </x:row>
    <x:row r="298" ht="34" customHeight="1">
      <x:c r="A298" s="73"/>
      <x:c r="B298" s="73"/>
      <x:c r="C298" s="73"/>
      <x:c r="D298" s="73"/>
      <x:c r="E298" s="73"/>
      <x:c r="F298" s="73"/>
      <x:c r="G298" s="73"/>
      <x:c r="H298" s="73"/>
      <x:c r="I298" s="75"/>
      <x:c r="J298" s="73"/>
      <x:c r="K298" s="73"/>
      <x:c r="L298" s="76"/>
      <x:c r="M298" s="73"/>
      <x:c r="N298" s="73"/>
      <x:c r="O298" s="73"/>
      <x:c r="P298" s="73"/>
      <x:c r="Q298" s="76"/>
      <x:c r="R298" s="73"/>
      <x:c r="S298" s="73"/>
      <x:c r="T298" s="73"/>
      <x:c r="U298" s="73"/>
      <x:c r="V298" s="73"/>
      <x:c r="W298" s="73"/>
      <x:c r="X298" s="73"/>
      <x:c r="Y298" s="73"/>
      <x:c r="Z298" s="73"/>
      <x:c r="AA298" s="73"/>
      <x:c r="AB298" s="76" t="str">
        <x:f>IF(A298="","",IF(OR(NOT(ISNUMBER(I298)),I298&lt;0,NOT(ISNUMBER(AP298)),AP298&lt;0,NOT(ISNUMBER(L298)),L298&lt;1,L298&gt;5,L298&lt;&gt;INT(L298),AND(J298&lt;&gt;"Public",J298&lt;&gt;"Partner",J298&lt;&gt;"Internal",J298&lt;&gt;"None"),AND(K298&lt;&gt;"High",K298&lt;&gt;"Medium",K298&lt;&gt;"Low",K298&lt;&gt;"None"),AND(W298&lt;&gt;"Hard-coded",W298&lt;&gt;"Configurable",W298&lt;&gt;"Policy-managed",W298&lt;&gt;"API/Library abstraction",W298&lt;&gt;"Automated"),AND(Z298&lt;&gt;"Y",Z298&lt;&gt;"N"),AND(AA298&lt;&gt;"Y",AA298&lt;&gt;"N")),"Incomplete",IF(Z298="Y",20,0)+L298*5+IF(AA298="Y",15,0)+IF(J298="Public",10,IF(J298="Partner",7,IF(J298="Internal",3,0)))+IF(W298="Hard-coded",10,IF(W298="Configurable",3,0))+IF(MAX(I298,AP298)&gt;=10,10,IF(MAX(I298,AP298)&gt;=5,7,IF(MAX(I298,AP298)&gt;=2,3,0)))+IF(K298="High",10,IF(K298="Medium",5,0))))</x:f>
      </x:c>
      <x:c r="AC298" s="73" t="str">
        <x:f>IF(A298="","",IF(NOT(ISNUMBER(AB298)),"Review inputs",IF(AB298&gt;=70,"P0 - Immediate",IF(AB298&gt;=50,"P1 - High",IF(AB298&gt;=30,"P2 - Medium",IF(AB298&gt;=15,"P3 - Low","P4 - Monitor"))))))</x:f>
      </x:c>
      <x:c r="AD298" s="73"/>
      <x:c r="AE298" s="73"/>
      <x:c r="AF298" s="73"/>
      <x:c r="AG298" s="77"/>
      <x:c r="AH298" s="73"/>
      <x:c r="AI298" s="91"/>
      <x:c r="AJ298" s="91"/>
      <x:c r="AK298" s="91"/>
      <x:c r="AL298" s="92"/>
      <x:c r="AM298" s="91"/>
      <x:c r="AN298" s="91"/>
      <x:c r="AO298" s="93"/>
      <x:c r="AP298" s="94"/>
      <x:c r="AQ298" s="91"/>
      <x:c r="AR298" s="91"/>
      <x:c r="AS298" s="91"/>
      <x:c r="AT298" s="91"/>
      <x:c r="AU298" s="91"/>
      <x:c r="AV298" s="91"/>
      <x:c r="AW298" s="91"/>
      <x:c r="AX298" s="91"/>
      <x:c r="AY298" s="91"/>
      <x:c r="AZ298" s="92"/>
      <x:c r="BA298" s="94"/>
      <x:c r="BB298" s="91"/>
      <x:c r="BC298" s="92"/>
      <x:c r="BD298" s="92"/>
      <x:c r="BE298" s="91"/>
      <x:c r="BF298" s="91"/>
      <x:c r="BG298" s="91"/>
      <x:c r="BH298" s="91"/>
      <x:c r="BI298" s="91"/>
      <x:c r="BJ298" s="91"/>
      <x:c r="BK298" s="91"/>
      <x:c r="BL298" s="91"/>
      <x:c r="BM298" s="73" t="str">
        <x:f>IF(A298="","",IF(AI298="Example","Example only",IF(AI298&lt;&gt;"Actual","Set record type",IF(COUNTIF($A$2:$A$1001,A298)&gt;1,"Duplicate record ID",IF(OR(D298="",E298="",AF298="",NOT(ISNUMBER(AG298)),AJ298="",AK298="",NOT(ISNUMBER(AL298)),AND(AM298&lt;&gt;"Observed",AM298&lt;&gt;"Corroborated",AM298&lt;&gt;"Declared"),OR(AN298="",AN298="Unknown"),OR(AQ298="",AQ298="Unknown"),OR(AR298="",AR298="Unknown",AR298="TBD"),OR(BC298="",NOT(ISNUMBER(BC298)))),"Evidence incomplete","Evidence recorded; review scope")))))</x:f>
      </x:c>
      <x:c r="BN298" s="73"/>
    </x:row>
    <x:row r="299" ht="34" customHeight="1">
      <x:c r="A299" s="73"/>
      <x:c r="B299" s="73"/>
      <x:c r="C299" s="73"/>
      <x:c r="D299" s="73"/>
      <x:c r="E299" s="73"/>
      <x:c r="F299" s="73"/>
      <x:c r="G299" s="73"/>
      <x:c r="H299" s="73"/>
      <x:c r="I299" s="75"/>
      <x:c r="J299" s="73"/>
      <x:c r="K299" s="73"/>
      <x:c r="L299" s="76"/>
      <x:c r="M299" s="73"/>
      <x:c r="N299" s="73"/>
      <x:c r="O299" s="73"/>
      <x:c r="P299" s="73"/>
      <x:c r="Q299" s="76"/>
      <x:c r="R299" s="73"/>
      <x:c r="S299" s="73"/>
      <x:c r="T299" s="73"/>
      <x:c r="U299" s="73"/>
      <x:c r="V299" s="73"/>
      <x:c r="W299" s="73"/>
      <x:c r="X299" s="73"/>
      <x:c r="Y299" s="73"/>
      <x:c r="Z299" s="73"/>
      <x:c r="AA299" s="73"/>
      <x:c r="AB299" s="76" t="str">
        <x:f>IF(A299="","",IF(OR(NOT(ISNUMBER(I299)),I299&lt;0,NOT(ISNUMBER(AP299)),AP299&lt;0,NOT(ISNUMBER(L299)),L299&lt;1,L299&gt;5,L299&lt;&gt;INT(L299),AND(J299&lt;&gt;"Public",J299&lt;&gt;"Partner",J299&lt;&gt;"Internal",J299&lt;&gt;"None"),AND(K299&lt;&gt;"High",K299&lt;&gt;"Medium",K299&lt;&gt;"Low",K299&lt;&gt;"None"),AND(W299&lt;&gt;"Hard-coded",W299&lt;&gt;"Configurable",W299&lt;&gt;"Policy-managed",W299&lt;&gt;"API/Library abstraction",W299&lt;&gt;"Automated"),AND(Z299&lt;&gt;"Y",Z299&lt;&gt;"N"),AND(AA299&lt;&gt;"Y",AA299&lt;&gt;"N")),"Incomplete",IF(Z299="Y",20,0)+L299*5+IF(AA299="Y",15,0)+IF(J299="Public",10,IF(J299="Partner",7,IF(J299="Internal",3,0)))+IF(W299="Hard-coded",10,IF(W299="Configurable",3,0))+IF(MAX(I299,AP299)&gt;=10,10,IF(MAX(I299,AP299)&gt;=5,7,IF(MAX(I299,AP299)&gt;=2,3,0)))+IF(K299="High",10,IF(K299="Medium",5,0))))</x:f>
      </x:c>
      <x:c r="AC299" s="73" t="str">
        <x:f>IF(A299="","",IF(NOT(ISNUMBER(AB299)),"Review inputs",IF(AB299&gt;=70,"P0 - Immediate",IF(AB299&gt;=50,"P1 - High",IF(AB299&gt;=30,"P2 - Medium",IF(AB299&gt;=15,"P3 - Low","P4 - Monitor"))))))</x:f>
      </x:c>
      <x:c r="AD299" s="73"/>
      <x:c r="AE299" s="73"/>
      <x:c r="AF299" s="73"/>
      <x:c r="AG299" s="77"/>
      <x:c r="AH299" s="73"/>
      <x:c r="AI299" s="91"/>
      <x:c r="AJ299" s="91"/>
      <x:c r="AK299" s="91"/>
      <x:c r="AL299" s="92"/>
      <x:c r="AM299" s="91"/>
      <x:c r="AN299" s="91"/>
      <x:c r="AO299" s="93"/>
      <x:c r="AP299" s="94"/>
      <x:c r="AQ299" s="91"/>
      <x:c r="AR299" s="91"/>
      <x:c r="AS299" s="91"/>
      <x:c r="AT299" s="91"/>
      <x:c r="AU299" s="91"/>
      <x:c r="AV299" s="91"/>
      <x:c r="AW299" s="91"/>
      <x:c r="AX299" s="91"/>
      <x:c r="AY299" s="91"/>
      <x:c r="AZ299" s="92"/>
      <x:c r="BA299" s="94"/>
      <x:c r="BB299" s="91"/>
      <x:c r="BC299" s="92"/>
      <x:c r="BD299" s="92"/>
      <x:c r="BE299" s="91"/>
      <x:c r="BF299" s="91"/>
      <x:c r="BG299" s="91"/>
      <x:c r="BH299" s="91"/>
      <x:c r="BI299" s="91"/>
      <x:c r="BJ299" s="91"/>
      <x:c r="BK299" s="91"/>
      <x:c r="BL299" s="91"/>
      <x:c r="BM299" s="73" t="str">
        <x:f>IF(A299="","",IF(AI299="Example","Example only",IF(AI299&lt;&gt;"Actual","Set record type",IF(COUNTIF($A$2:$A$1001,A299)&gt;1,"Duplicate record ID",IF(OR(D299="",E299="",AF299="",NOT(ISNUMBER(AG299)),AJ299="",AK299="",NOT(ISNUMBER(AL299)),AND(AM299&lt;&gt;"Observed",AM299&lt;&gt;"Corroborated",AM299&lt;&gt;"Declared"),OR(AN299="",AN299="Unknown"),OR(AQ299="",AQ299="Unknown"),OR(AR299="",AR299="Unknown",AR299="TBD"),OR(BC299="",NOT(ISNUMBER(BC299)))),"Evidence incomplete","Evidence recorded; review scope")))))</x:f>
      </x:c>
      <x:c r="BN299" s="73"/>
    </x:row>
    <x:row r="300" ht="34" customHeight="1">
      <x:c r="A300" s="73"/>
      <x:c r="B300" s="73"/>
      <x:c r="C300" s="73"/>
      <x:c r="D300" s="73"/>
      <x:c r="E300" s="73"/>
      <x:c r="F300" s="73"/>
      <x:c r="G300" s="73"/>
      <x:c r="H300" s="73"/>
      <x:c r="I300" s="75"/>
      <x:c r="J300" s="73"/>
      <x:c r="K300" s="73"/>
      <x:c r="L300" s="76"/>
      <x:c r="M300" s="73"/>
      <x:c r="N300" s="73"/>
      <x:c r="O300" s="73"/>
      <x:c r="P300" s="73"/>
      <x:c r="Q300" s="76"/>
      <x:c r="R300" s="73"/>
      <x:c r="S300" s="73"/>
      <x:c r="T300" s="73"/>
      <x:c r="U300" s="73"/>
      <x:c r="V300" s="73"/>
      <x:c r="W300" s="73"/>
      <x:c r="X300" s="73"/>
      <x:c r="Y300" s="73"/>
      <x:c r="Z300" s="73"/>
      <x:c r="AA300" s="73"/>
      <x:c r="AB300" s="76" t="str">
        <x:f>IF(A300="","",IF(OR(NOT(ISNUMBER(I300)),I300&lt;0,NOT(ISNUMBER(AP300)),AP300&lt;0,NOT(ISNUMBER(L300)),L300&lt;1,L300&gt;5,L300&lt;&gt;INT(L300),AND(J300&lt;&gt;"Public",J300&lt;&gt;"Partner",J300&lt;&gt;"Internal",J300&lt;&gt;"None"),AND(K300&lt;&gt;"High",K300&lt;&gt;"Medium",K300&lt;&gt;"Low",K300&lt;&gt;"None"),AND(W300&lt;&gt;"Hard-coded",W300&lt;&gt;"Configurable",W300&lt;&gt;"Policy-managed",W300&lt;&gt;"API/Library abstraction",W300&lt;&gt;"Automated"),AND(Z300&lt;&gt;"Y",Z300&lt;&gt;"N"),AND(AA300&lt;&gt;"Y",AA300&lt;&gt;"N")),"Incomplete",IF(Z300="Y",20,0)+L300*5+IF(AA300="Y",15,0)+IF(J300="Public",10,IF(J300="Partner",7,IF(J300="Internal",3,0)))+IF(W300="Hard-coded",10,IF(W300="Configurable",3,0))+IF(MAX(I300,AP300)&gt;=10,10,IF(MAX(I300,AP300)&gt;=5,7,IF(MAX(I300,AP300)&gt;=2,3,0)))+IF(K300="High",10,IF(K300="Medium",5,0))))</x:f>
      </x:c>
      <x:c r="AC300" s="73" t="str">
        <x:f>IF(A300="","",IF(NOT(ISNUMBER(AB300)),"Review inputs",IF(AB300&gt;=70,"P0 - Immediate",IF(AB300&gt;=50,"P1 - High",IF(AB300&gt;=30,"P2 - Medium",IF(AB300&gt;=15,"P3 - Low","P4 - Monitor"))))))</x:f>
      </x:c>
      <x:c r="AD300" s="73"/>
      <x:c r="AE300" s="73"/>
      <x:c r="AF300" s="73"/>
      <x:c r="AG300" s="77"/>
      <x:c r="AH300" s="73"/>
      <x:c r="AI300" s="91"/>
      <x:c r="AJ300" s="91"/>
      <x:c r="AK300" s="91"/>
      <x:c r="AL300" s="92"/>
      <x:c r="AM300" s="91"/>
      <x:c r="AN300" s="91"/>
      <x:c r="AO300" s="93"/>
      <x:c r="AP300" s="94"/>
      <x:c r="AQ300" s="91"/>
      <x:c r="AR300" s="91"/>
      <x:c r="AS300" s="91"/>
      <x:c r="AT300" s="91"/>
      <x:c r="AU300" s="91"/>
      <x:c r="AV300" s="91"/>
      <x:c r="AW300" s="91"/>
      <x:c r="AX300" s="91"/>
      <x:c r="AY300" s="91"/>
      <x:c r="AZ300" s="92"/>
      <x:c r="BA300" s="94"/>
      <x:c r="BB300" s="91"/>
      <x:c r="BC300" s="92"/>
      <x:c r="BD300" s="92"/>
      <x:c r="BE300" s="91"/>
      <x:c r="BF300" s="91"/>
      <x:c r="BG300" s="91"/>
      <x:c r="BH300" s="91"/>
      <x:c r="BI300" s="91"/>
      <x:c r="BJ300" s="91"/>
      <x:c r="BK300" s="91"/>
      <x:c r="BL300" s="91"/>
      <x:c r="BM300" s="73" t="str">
        <x:f>IF(A300="","",IF(AI300="Example","Example only",IF(AI300&lt;&gt;"Actual","Set record type",IF(COUNTIF($A$2:$A$1001,A300)&gt;1,"Duplicate record ID",IF(OR(D300="",E300="",AF300="",NOT(ISNUMBER(AG300)),AJ300="",AK300="",NOT(ISNUMBER(AL300)),AND(AM300&lt;&gt;"Observed",AM300&lt;&gt;"Corroborated",AM300&lt;&gt;"Declared"),OR(AN300="",AN300="Unknown"),OR(AQ300="",AQ300="Unknown"),OR(AR300="",AR300="Unknown",AR300="TBD"),OR(BC300="",NOT(ISNUMBER(BC300)))),"Evidence incomplete","Evidence recorded; review scope")))))</x:f>
      </x:c>
      <x:c r="BN300" s="73"/>
    </x:row>
    <x:row r="301" ht="34" customHeight="1">
      <x:c r="A301" s="73"/>
      <x:c r="B301" s="73"/>
      <x:c r="C301" s="73"/>
      <x:c r="D301" s="73"/>
      <x:c r="E301" s="73"/>
      <x:c r="F301" s="73"/>
      <x:c r="G301" s="73"/>
      <x:c r="H301" s="73"/>
      <x:c r="I301" s="75"/>
      <x:c r="J301" s="73"/>
      <x:c r="K301" s="73"/>
      <x:c r="L301" s="76"/>
      <x:c r="M301" s="73"/>
      <x:c r="N301" s="73"/>
      <x:c r="O301" s="73"/>
      <x:c r="P301" s="73"/>
      <x:c r="Q301" s="76"/>
      <x:c r="R301" s="73"/>
      <x:c r="S301" s="73"/>
      <x:c r="T301" s="73"/>
      <x:c r="U301" s="73"/>
      <x:c r="V301" s="73"/>
      <x:c r="W301" s="73"/>
      <x:c r="X301" s="73"/>
      <x:c r="Y301" s="73"/>
      <x:c r="Z301" s="73"/>
      <x:c r="AA301" s="73"/>
      <x:c r="AB301" s="76" t="str">
        <x:f>IF(A301="","",IF(OR(NOT(ISNUMBER(I301)),I301&lt;0,NOT(ISNUMBER(AP301)),AP301&lt;0,NOT(ISNUMBER(L301)),L301&lt;1,L301&gt;5,L301&lt;&gt;INT(L301),AND(J301&lt;&gt;"Public",J301&lt;&gt;"Partner",J301&lt;&gt;"Internal",J301&lt;&gt;"None"),AND(K301&lt;&gt;"High",K301&lt;&gt;"Medium",K301&lt;&gt;"Low",K301&lt;&gt;"None"),AND(W301&lt;&gt;"Hard-coded",W301&lt;&gt;"Configurable",W301&lt;&gt;"Policy-managed",W301&lt;&gt;"API/Library abstraction",W301&lt;&gt;"Automated"),AND(Z301&lt;&gt;"Y",Z301&lt;&gt;"N"),AND(AA301&lt;&gt;"Y",AA301&lt;&gt;"N")),"Incomplete",IF(Z301="Y",20,0)+L301*5+IF(AA301="Y",15,0)+IF(J301="Public",10,IF(J301="Partner",7,IF(J301="Internal",3,0)))+IF(W301="Hard-coded",10,IF(W301="Configurable",3,0))+IF(MAX(I301,AP301)&gt;=10,10,IF(MAX(I301,AP301)&gt;=5,7,IF(MAX(I301,AP301)&gt;=2,3,0)))+IF(K301="High",10,IF(K301="Medium",5,0))))</x:f>
      </x:c>
      <x:c r="AC301" s="73" t="str">
        <x:f>IF(A301="","",IF(NOT(ISNUMBER(AB301)),"Review inputs",IF(AB301&gt;=70,"P0 - Immediate",IF(AB301&gt;=50,"P1 - High",IF(AB301&gt;=30,"P2 - Medium",IF(AB301&gt;=15,"P3 - Low","P4 - Monitor"))))))</x:f>
      </x:c>
      <x:c r="AD301" s="73"/>
      <x:c r="AE301" s="73"/>
      <x:c r="AF301" s="73"/>
      <x:c r="AG301" s="77"/>
      <x:c r="AH301" s="73"/>
      <x:c r="AI301" s="91"/>
      <x:c r="AJ301" s="91"/>
      <x:c r="AK301" s="91"/>
      <x:c r="AL301" s="92"/>
      <x:c r="AM301" s="91"/>
      <x:c r="AN301" s="91"/>
      <x:c r="AO301" s="93"/>
      <x:c r="AP301" s="94"/>
      <x:c r="AQ301" s="91"/>
      <x:c r="AR301" s="91"/>
      <x:c r="AS301" s="91"/>
      <x:c r="AT301" s="91"/>
      <x:c r="AU301" s="91"/>
      <x:c r="AV301" s="91"/>
      <x:c r="AW301" s="91"/>
      <x:c r="AX301" s="91"/>
      <x:c r="AY301" s="91"/>
      <x:c r="AZ301" s="92"/>
      <x:c r="BA301" s="94"/>
      <x:c r="BB301" s="91"/>
      <x:c r="BC301" s="92"/>
      <x:c r="BD301" s="92"/>
      <x:c r="BE301" s="91"/>
      <x:c r="BF301" s="91"/>
      <x:c r="BG301" s="91"/>
      <x:c r="BH301" s="91"/>
      <x:c r="BI301" s="91"/>
      <x:c r="BJ301" s="91"/>
      <x:c r="BK301" s="91"/>
      <x:c r="BL301" s="91"/>
      <x:c r="BM301" s="73" t="str">
        <x:f>IF(A301="","",IF(AI301="Example","Example only",IF(AI301&lt;&gt;"Actual","Set record type",IF(COUNTIF($A$2:$A$1001,A301)&gt;1,"Duplicate record ID",IF(OR(D301="",E301="",AF301="",NOT(ISNUMBER(AG301)),AJ301="",AK301="",NOT(ISNUMBER(AL301)),AND(AM301&lt;&gt;"Observed",AM301&lt;&gt;"Corroborated",AM301&lt;&gt;"Declared"),OR(AN301="",AN301="Unknown"),OR(AQ301="",AQ301="Unknown"),OR(AR301="",AR301="Unknown",AR301="TBD"),OR(BC301="",NOT(ISNUMBER(BC301)))),"Evidence incomplete","Evidence recorded; review scope")))))</x:f>
      </x:c>
      <x:c r="BN301" s="73"/>
    </x:row>
    <x:row r="302" ht="34" customHeight="1">
      <x:c r="A302" s="73"/>
      <x:c r="B302" s="73"/>
      <x:c r="C302" s="73"/>
      <x:c r="D302" s="73"/>
      <x:c r="E302" s="73"/>
      <x:c r="F302" s="73"/>
      <x:c r="G302" s="73"/>
      <x:c r="H302" s="73"/>
      <x:c r="I302" s="75"/>
      <x:c r="J302" s="73"/>
      <x:c r="K302" s="73"/>
      <x:c r="L302" s="76"/>
      <x:c r="M302" s="73"/>
      <x:c r="N302" s="73"/>
      <x:c r="O302" s="73"/>
      <x:c r="P302" s="73"/>
      <x:c r="Q302" s="76"/>
      <x:c r="R302" s="73"/>
      <x:c r="S302" s="73"/>
      <x:c r="T302" s="73"/>
      <x:c r="U302" s="73"/>
      <x:c r="V302" s="73"/>
      <x:c r="W302" s="73"/>
      <x:c r="X302" s="73"/>
      <x:c r="Y302" s="73"/>
      <x:c r="Z302" s="73"/>
      <x:c r="AA302" s="73"/>
      <x:c r="AB302" s="76" t="str">
        <x:f>IF(A302="","",IF(OR(NOT(ISNUMBER(I302)),I302&lt;0,NOT(ISNUMBER(AP302)),AP302&lt;0,NOT(ISNUMBER(L302)),L302&lt;1,L302&gt;5,L302&lt;&gt;INT(L302),AND(J302&lt;&gt;"Public",J302&lt;&gt;"Partner",J302&lt;&gt;"Internal",J302&lt;&gt;"None"),AND(K302&lt;&gt;"High",K302&lt;&gt;"Medium",K302&lt;&gt;"Low",K302&lt;&gt;"None"),AND(W302&lt;&gt;"Hard-coded",W302&lt;&gt;"Configurable",W302&lt;&gt;"Policy-managed",W302&lt;&gt;"API/Library abstraction",W302&lt;&gt;"Automated"),AND(Z302&lt;&gt;"Y",Z302&lt;&gt;"N"),AND(AA302&lt;&gt;"Y",AA302&lt;&gt;"N")),"Incomplete",IF(Z302="Y",20,0)+L302*5+IF(AA302="Y",15,0)+IF(J302="Public",10,IF(J302="Partner",7,IF(J302="Internal",3,0)))+IF(W302="Hard-coded",10,IF(W302="Configurable",3,0))+IF(MAX(I302,AP302)&gt;=10,10,IF(MAX(I302,AP302)&gt;=5,7,IF(MAX(I302,AP302)&gt;=2,3,0)))+IF(K302="High",10,IF(K302="Medium",5,0))))</x:f>
      </x:c>
      <x:c r="AC302" s="73" t="str">
        <x:f>IF(A302="","",IF(NOT(ISNUMBER(AB302)),"Review inputs",IF(AB302&gt;=70,"P0 - Immediate",IF(AB302&gt;=50,"P1 - High",IF(AB302&gt;=30,"P2 - Medium",IF(AB302&gt;=15,"P3 - Low","P4 - Monitor"))))))</x:f>
      </x:c>
      <x:c r="AD302" s="73"/>
      <x:c r="AE302" s="73"/>
      <x:c r="AF302" s="73"/>
      <x:c r="AG302" s="77"/>
      <x:c r="AH302" s="73"/>
      <x:c r="AI302" s="91"/>
      <x:c r="AJ302" s="91"/>
      <x:c r="AK302" s="91"/>
      <x:c r="AL302" s="92"/>
      <x:c r="AM302" s="91"/>
      <x:c r="AN302" s="91"/>
      <x:c r="AO302" s="93"/>
      <x:c r="AP302" s="94"/>
      <x:c r="AQ302" s="91"/>
      <x:c r="AR302" s="91"/>
      <x:c r="AS302" s="91"/>
      <x:c r="AT302" s="91"/>
      <x:c r="AU302" s="91"/>
      <x:c r="AV302" s="91"/>
      <x:c r="AW302" s="91"/>
      <x:c r="AX302" s="91"/>
      <x:c r="AY302" s="91"/>
      <x:c r="AZ302" s="92"/>
      <x:c r="BA302" s="94"/>
      <x:c r="BB302" s="91"/>
      <x:c r="BC302" s="92"/>
      <x:c r="BD302" s="92"/>
      <x:c r="BE302" s="91"/>
      <x:c r="BF302" s="91"/>
      <x:c r="BG302" s="91"/>
      <x:c r="BH302" s="91"/>
      <x:c r="BI302" s="91"/>
      <x:c r="BJ302" s="91"/>
      <x:c r="BK302" s="91"/>
      <x:c r="BL302" s="91"/>
      <x:c r="BM302" s="73" t="str">
        <x:f>IF(A302="","",IF(AI302="Example","Example only",IF(AI302&lt;&gt;"Actual","Set record type",IF(COUNTIF($A$2:$A$1001,A302)&gt;1,"Duplicate record ID",IF(OR(D302="",E302="",AF302="",NOT(ISNUMBER(AG302)),AJ302="",AK302="",NOT(ISNUMBER(AL302)),AND(AM302&lt;&gt;"Observed",AM302&lt;&gt;"Corroborated",AM302&lt;&gt;"Declared"),OR(AN302="",AN302="Unknown"),OR(AQ302="",AQ302="Unknown"),OR(AR302="",AR302="Unknown",AR302="TBD"),OR(BC302="",NOT(ISNUMBER(BC302)))),"Evidence incomplete","Evidence recorded; review scope")))))</x:f>
      </x:c>
      <x:c r="BN302" s="73"/>
    </x:row>
    <x:row r="303" ht="34" customHeight="1">
      <x:c r="A303" s="73"/>
      <x:c r="B303" s="73"/>
      <x:c r="C303" s="73"/>
      <x:c r="D303" s="73"/>
      <x:c r="E303" s="73"/>
      <x:c r="F303" s="73"/>
      <x:c r="G303" s="73"/>
      <x:c r="H303" s="73"/>
      <x:c r="I303" s="75"/>
      <x:c r="J303" s="73"/>
      <x:c r="K303" s="73"/>
      <x:c r="L303" s="76"/>
      <x:c r="M303" s="73"/>
      <x:c r="N303" s="73"/>
      <x:c r="O303" s="73"/>
      <x:c r="P303" s="73"/>
      <x:c r="Q303" s="76"/>
      <x:c r="R303" s="73"/>
      <x:c r="S303" s="73"/>
      <x:c r="T303" s="73"/>
      <x:c r="U303" s="73"/>
      <x:c r="V303" s="73"/>
      <x:c r="W303" s="73"/>
      <x:c r="X303" s="73"/>
      <x:c r="Y303" s="73"/>
      <x:c r="Z303" s="73"/>
      <x:c r="AA303" s="73"/>
      <x:c r="AB303" s="76" t="str">
        <x:f>IF(A303="","",IF(OR(NOT(ISNUMBER(I303)),I303&lt;0,NOT(ISNUMBER(AP303)),AP303&lt;0,NOT(ISNUMBER(L303)),L303&lt;1,L303&gt;5,L303&lt;&gt;INT(L303),AND(J303&lt;&gt;"Public",J303&lt;&gt;"Partner",J303&lt;&gt;"Internal",J303&lt;&gt;"None"),AND(K303&lt;&gt;"High",K303&lt;&gt;"Medium",K303&lt;&gt;"Low",K303&lt;&gt;"None"),AND(W303&lt;&gt;"Hard-coded",W303&lt;&gt;"Configurable",W303&lt;&gt;"Policy-managed",W303&lt;&gt;"API/Library abstraction",W303&lt;&gt;"Automated"),AND(Z303&lt;&gt;"Y",Z303&lt;&gt;"N"),AND(AA303&lt;&gt;"Y",AA303&lt;&gt;"N")),"Incomplete",IF(Z303="Y",20,0)+L303*5+IF(AA303="Y",15,0)+IF(J303="Public",10,IF(J303="Partner",7,IF(J303="Internal",3,0)))+IF(W303="Hard-coded",10,IF(W303="Configurable",3,0))+IF(MAX(I303,AP303)&gt;=10,10,IF(MAX(I303,AP303)&gt;=5,7,IF(MAX(I303,AP303)&gt;=2,3,0)))+IF(K303="High",10,IF(K303="Medium",5,0))))</x:f>
      </x:c>
      <x:c r="AC303" s="73" t="str">
        <x:f>IF(A303="","",IF(NOT(ISNUMBER(AB303)),"Review inputs",IF(AB303&gt;=70,"P0 - Immediate",IF(AB303&gt;=50,"P1 - High",IF(AB303&gt;=30,"P2 - Medium",IF(AB303&gt;=15,"P3 - Low","P4 - Monitor"))))))</x:f>
      </x:c>
      <x:c r="AD303" s="73"/>
      <x:c r="AE303" s="73"/>
      <x:c r="AF303" s="73"/>
      <x:c r="AG303" s="77"/>
      <x:c r="AH303" s="73"/>
      <x:c r="AI303" s="91"/>
      <x:c r="AJ303" s="91"/>
      <x:c r="AK303" s="91"/>
      <x:c r="AL303" s="92"/>
      <x:c r="AM303" s="91"/>
      <x:c r="AN303" s="91"/>
      <x:c r="AO303" s="93"/>
      <x:c r="AP303" s="94"/>
      <x:c r="AQ303" s="91"/>
      <x:c r="AR303" s="91"/>
      <x:c r="AS303" s="91"/>
      <x:c r="AT303" s="91"/>
      <x:c r="AU303" s="91"/>
      <x:c r="AV303" s="91"/>
      <x:c r="AW303" s="91"/>
      <x:c r="AX303" s="91"/>
      <x:c r="AY303" s="91"/>
      <x:c r="AZ303" s="92"/>
      <x:c r="BA303" s="94"/>
      <x:c r="BB303" s="91"/>
      <x:c r="BC303" s="92"/>
      <x:c r="BD303" s="92"/>
      <x:c r="BE303" s="91"/>
      <x:c r="BF303" s="91"/>
      <x:c r="BG303" s="91"/>
      <x:c r="BH303" s="91"/>
      <x:c r="BI303" s="91"/>
      <x:c r="BJ303" s="91"/>
      <x:c r="BK303" s="91"/>
      <x:c r="BL303" s="91"/>
      <x:c r="BM303" s="73" t="str">
        <x:f>IF(A303="","",IF(AI303="Example","Example only",IF(AI303&lt;&gt;"Actual","Set record type",IF(COUNTIF($A$2:$A$1001,A303)&gt;1,"Duplicate record ID",IF(OR(D303="",E303="",AF303="",NOT(ISNUMBER(AG303)),AJ303="",AK303="",NOT(ISNUMBER(AL303)),AND(AM303&lt;&gt;"Observed",AM303&lt;&gt;"Corroborated",AM303&lt;&gt;"Declared"),OR(AN303="",AN303="Unknown"),OR(AQ303="",AQ303="Unknown"),OR(AR303="",AR303="Unknown",AR303="TBD"),OR(BC303="",NOT(ISNUMBER(BC303)))),"Evidence incomplete","Evidence recorded; review scope")))))</x:f>
      </x:c>
      <x:c r="BN303" s="73"/>
    </x:row>
    <x:row r="304" ht="34" customHeight="1">
      <x:c r="A304" s="73"/>
      <x:c r="B304" s="73"/>
      <x:c r="C304" s="73"/>
      <x:c r="D304" s="73"/>
      <x:c r="E304" s="73"/>
      <x:c r="F304" s="73"/>
      <x:c r="G304" s="73"/>
      <x:c r="H304" s="73"/>
      <x:c r="I304" s="75"/>
      <x:c r="J304" s="73"/>
      <x:c r="K304" s="73"/>
      <x:c r="L304" s="76"/>
      <x:c r="M304" s="73"/>
      <x:c r="N304" s="73"/>
      <x:c r="O304" s="73"/>
      <x:c r="P304" s="73"/>
      <x:c r="Q304" s="76"/>
      <x:c r="R304" s="73"/>
      <x:c r="S304" s="73"/>
      <x:c r="T304" s="73"/>
      <x:c r="U304" s="73"/>
      <x:c r="V304" s="73"/>
      <x:c r="W304" s="73"/>
      <x:c r="X304" s="73"/>
      <x:c r="Y304" s="73"/>
      <x:c r="Z304" s="73"/>
      <x:c r="AA304" s="73"/>
      <x:c r="AB304" s="76" t="str">
        <x:f>IF(A304="","",IF(OR(NOT(ISNUMBER(I304)),I304&lt;0,NOT(ISNUMBER(AP304)),AP304&lt;0,NOT(ISNUMBER(L304)),L304&lt;1,L304&gt;5,L304&lt;&gt;INT(L304),AND(J304&lt;&gt;"Public",J304&lt;&gt;"Partner",J304&lt;&gt;"Internal",J304&lt;&gt;"None"),AND(K304&lt;&gt;"High",K304&lt;&gt;"Medium",K304&lt;&gt;"Low",K304&lt;&gt;"None"),AND(W304&lt;&gt;"Hard-coded",W304&lt;&gt;"Configurable",W304&lt;&gt;"Policy-managed",W304&lt;&gt;"API/Library abstraction",W304&lt;&gt;"Automated"),AND(Z304&lt;&gt;"Y",Z304&lt;&gt;"N"),AND(AA304&lt;&gt;"Y",AA304&lt;&gt;"N")),"Incomplete",IF(Z304="Y",20,0)+L304*5+IF(AA304="Y",15,0)+IF(J304="Public",10,IF(J304="Partner",7,IF(J304="Internal",3,0)))+IF(W304="Hard-coded",10,IF(W304="Configurable",3,0))+IF(MAX(I304,AP304)&gt;=10,10,IF(MAX(I304,AP304)&gt;=5,7,IF(MAX(I304,AP304)&gt;=2,3,0)))+IF(K304="High",10,IF(K304="Medium",5,0))))</x:f>
      </x:c>
      <x:c r="AC304" s="73" t="str">
        <x:f>IF(A304="","",IF(NOT(ISNUMBER(AB304)),"Review inputs",IF(AB304&gt;=70,"P0 - Immediate",IF(AB304&gt;=50,"P1 - High",IF(AB304&gt;=30,"P2 - Medium",IF(AB304&gt;=15,"P3 - Low","P4 - Monitor"))))))</x:f>
      </x:c>
      <x:c r="AD304" s="73"/>
      <x:c r="AE304" s="73"/>
      <x:c r="AF304" s="73"/>
      <x:c r="AG304" s="77"/>
      <x:c r="AH304" s="73"/>
      <x:c r="AI304" s="91"/>
      <x:c r="AJ304" s="91"/>
      <x:c r="AK304" s="91"/>
      <x:c r="AL304" s="92"/>
      <x:c r="AM304" s="91"/>
      <x:c r="AN304" s="91"/>
      <x:c r="AO304" s="93"/>
      <x:c r="AP304" s="94"/>
      <x:c r="AQ304" s="91"/>
      <x:c r="AR304" s="91"/>
      <x:c r="AS304" s="91"/>
      <x:c r="AT304" s="91"/>
      <x:c r="AU304" s="91"/>
      <x:c r="AV304" s="91"/>
      <x:c r="AW304" s="91"/>
      <x:c r="AX304" s="91"/>
      <x:c r="AY304" s="91"/>
      <x:c r="AZ304" s="92"/>
      <x:c r="BA304" s="94"/>
      <x:c r="BB304" s="91"/>
      <x:c r="BC304" s="92"/>
      <x:c r="BD304" s="92"/>
      <x:c r="BE304" s="91"/>
      <x:c r="BF304" s="91"/>
      <x:c r="BG304" s="91"/>
      <x:c r="BH304" s="91"/>
      <x:c r="BI304" s="91"/>
      <x:c r="BJ304" s="91"/>
      <x:c r="BK304" s="91"/>
      <x:c r="BL304" s="91"/>
      <x:c r="BM304" s="73" t="str">
        <x:f>IF(A304="","",IF(AI304="Example","Example only",IF(AI304&lt;&gt;"Actual","Set record type",IF(COUNTIF($A$2:$A$1001,A304)&gt;1,"Duplicate record ID",IF(OR(D304="",E304="",AF304="",NOT(ISNUMBER(AG304)),AJ304="",AK304="",NOT(ISNUMBER(AL304)),AND(AM304&lt;&gt;"Observed",AM304&lt;&gt;"Corroborated",AM304&lt;&gt;"Declared"),OR(AN304="",AN304="Unknown"),OR(AQ304="",AQ304="Unknown"),OR(AR304="",AR304="Unknown",AR304="TBD"),OR(BC304="",NOT(ISNUMBER(BC304)))),"Evidence incomplete","Evidence recorded; review scope")))))</x:f>
      </x:c>
      <x:c r="BN304" s="73"/>
    </x:row>
    <x:row r="305" ht="34" customHeight="1">
      <x:c r="A305" s="73"/>
      <x:c r="B305" s="73"/>
      <x:c r="C305" s="73"/>
      <x:c r="D305" s="73"/>
      <x:c r="E305" s="73"/>
      <x:c r="F305" s="73"/>
      <x:c r="G305" s="73"/>
      <x:c r="H305" s="73"/>
      <x:c r="I305" s="75"/>
      <x:c r="J305" s="73"/>
      <x:c r="K305" s="73"/>
      <x:c r="L305" s="76"/>
      <x:c r="M305" s="73"/>
      <x:c r="N305" s="73"/>
      <x:c r="O305" s="73"/>
      <x:c r="P305" s="73"/>
      <x:c r="Q305" s="76"/>
      <x:c r="R305" s="73"/>
      <x:c r="S305" s="73"/>
      <x:c r="T305" s="73"/>
      <x:c r="U305" s="73"/>
      <x:c r="V305" s="73"/>
      <x:c r="W305" s="73"/>
      <x:c r="X305" s="73"/>
      <x:c r="Y305" s="73"/>
      <x:c r="Z305" s="73"/>
      <x:c r="AA305" s="73"/>
      <x:c r="AB305" s="76" t="str">
        <x:f>IF(A305="","",IF(OR(NOT(ISNUMBER(I305)),I305&lt;0,NOT(ISNUMBER(AP305)),AP305&lt;0,NOT(ISNUMBER(L305)),L305&lt;1,L305&gt;5,L305&lt;&gt;INT(L305),AND(J305&lt;&gt;"Public",J305&lt;&gt;"Partner",J305&lt;&gt;"Internal",J305&lt;&gt;"None"),AND(K305&lt;&gt;"High",K305&lt;&gt;"Medium",K305&lt;&gt;"Low",K305&lt;&gt;"None"),AND(W305&lt;&gt;"Hard-coded",W305&lt;&gt;"Configurable",W305&lt;&gt;"Policy-managed",W305&lt;&gt;"API/Library abstraction",W305&lt;&gt;"Automated"),AND(Z305&lt;&gt;"Y",Z305&lt;&gt;"N"),AND(AA305&lt;&gt;"Y",AA305&lt;&gt;"N")),"Incomplete",IF(Z305="Y",20,0)+L305*5+IF(AA305="Y",15,0)+IF(J305="Public",10,IF(J305="Partner",7,IF(J305="Internal",3,0)))+IF(W305="Hard-coded",10,IF(W305="Configurable",3,0))+IF(MAX(I305,AP305)&gt;=10,10,IF(MAX(I305,AP305)&gt;=5,7,IF(MAX(I305,AP305)&gt;=2,3,0)))+IF(K305="High",10,IF(K305="Medium",5,0))))</x:f>
      </x:c>
      <x:c r="AC305" s="73" t="str">
        <x:f>IF(A305="","",IF(NOT(ISNUMBER(AB305)),"Review inputs",IF(AB305&gt;=70,"P0 - Immediate",IF(AB305&gt;=50,"P1 - High",IF(AB305&gt;=30,"P2 - Medium",IF(AB305&gt;=15,"P3 - Low","P4 - Monitor"))))))</x:f>
      </x:c>
      <x:c r="AD305" s="73"/>
      <x:c r="AE305" s="73"/>
      <x:c r="AF305" s="73"/>
      <x:c r="AG305" s="77"/>
      <x:c r="AH305" s="73"/>
      <x:c r="AI305" s="91"/>
      <x:c r="AJ305" s="91"/>
      <x:c r="AK305" s="91"/>
      <x:c r="AL305" s="92"/>
      <x:c r="AM305" s="91"/>
      <x:c r="AN305" s="91"/>
      <x:c r="AO305" s="93"/>
      <x:c r="AP305" s="94"/>
      <x:c r="AQ305" s="91"/>
      <x:c r="AR305" s="91"/>
      <x:c r="AS305" s="91"/>
      <x:c r="AT305" s="91"/>
      <x:c r="AU305" s="91"/>
      <x:c r="AV305" s="91"/>
      <x:c r="AW305" s="91"/>
      <x:c r="AX305" s="91"/>
      <x:c r="AY305" s="91"/>
      <x:c r="AZ305" s="92"/>
      <x:c r="BA305" s="94"/>
      <x:c r="BB305" s="91"/>
      <x:c r="BC305" s="92"/>
      <x:c r="BD305" s="92"/>
      <x:c r="BE305" s="91"/>
      <x:c r="BF305" s="91"/>
      <x:c r="BG305" s="91"/>
      <x:c r="BH305" s="91"/>
      <x:c r="BI305" s="91"/>
      <x:c r="BJ305" s="91"/>
      <x:c r="BK305" s="91"/>
      <x:c r="BL305" s="91"/>
      <x:c r="BM305" s="73" t="str">
        <x:f>IF(A305="","",IF(AI305="Example","Example only",IF(AI305&lt;&gt;"Actual","Set record type",IF(COUNTIF($A$2:$A$1001,A305)&gt;1,"Duplicate record ID",IF(OR(D305="",E305="",AF305="",NOT(ISNUMBER(AG305)),AJ305="",AK305="",NOT(ISNUMBER(AL305)),AND(AM305&lt;&gt;"Observed",AM305&lt;&gt;"Corroborated",AM305&lt;&gt;"Declared"),OR(AN305="",AN305="Unknown"),OR(AQ305="",AQ305="Unknown"),OR(AR305="",AR305="Unknown",AR305="TBD"),OR(BC305="",NOT(ISNUMBER(BC305)))),"Evidence incomplete","Evidence recorded; review scope")))))</x:f>
      </x:c>
      <x:c r="BN305" s="73"/>
    </x:row>
    <x:row r="306" ht="34" customHeight="1">
      <x:c r="A306" s="73"/>
      <x:c r="B306" s="73"/>
      <x:c r="C306" s="73"/>
      <x:c r="D306" s="73"/>
      <x:c r="E306" s="73"/>
      <x:c r="F306" s="73"/>
      <x:c r="G306" s="73"/>
      <x:c r="H306" s="73"/>
      <x:c r="I306" s="75"/>
      <x:c r="J306" s="73"/>
      <x:c r="K306" s="73"/>
      <x:c r="L306" s="76"/>
      <x:c r="M306" s="73"/>
      <x:c r="N306" s="73"/>
      <x:c r="O306" s="73"/>
      <x:c r="P306" s="73"/>
      <x:c r="Q306" s="76"/>
      <x:c r="R306" s="73"/>
      <x:c r="S306" s="73"/>
      <x:c r="T306" s="73"/>
      <x:c r="U306" s="73"/>
      <x:c r="V306" s="73"/>
      <x:c r="W306" s="73"/>
      <x:c r="X306" s="73"/>
      <x:c r="Y306" s="73"/>
      <x:c r="Z306" s="73"/>
      <x:c r="AA306" s="73"/>
      <x:c r="AB306" s="76" t="str">
        <x:f>IF(A306="","",IF(OR(NOT(ISNUMBER(I306)),I306&lt;0,NOT(ISNUMBER(AP306)),AP306&lt;0,NOT(ISNUMBER(L306)),L306&lt;1,L306&gt;5,L306&lt;&gt;INT(L306),AND(J306&lt;&gt;"Public",J306&lt;&gt;"Partner",J306&lt;&gt;"Internal",J306&lt;&gt;"None"),AND(K306&lt;&gt;"High",K306&lt;&gt;"Medium",K306&lt;&gt;"Low",K306&lt;&gt;"None"),AND(W306&lt;&gt;"Hard-coded",W306&lt;&gt;"Configurable",W306&lt;&gt;"Policy-managed",W306&lt;&gt;"API/Library abstraction",W306&lt;&gt;"Automated"),AND(Z306&lt;&gt;"Y",Z306&lt;&gt;"N"),AND(AA306&lt;&gt;"Y",AA306&lt;&gt;"N")),"Incomplete",IF(Z306="Y",20,0)+L306*5+IF(AA306="Y",15,0)+IF(J306="Public",10,IF(J306="Partner",7,IF(J306="Internal",3,0)))+IF(W306="Hard-coded",10,IF(W306="Configurable",3,0))+IF(MAX(I306,AP306)&gt;=10,10,IF(MAX(I306,AP306)&gt;=5,7,IF(MAX(I306,AP306)&gt;=2,3,0)))+IF(K306="High",10,IF(K306="Medium",5,0))))</x:f>
      </x:c>
      <x:c r="AC306" s="73" t="str">
        <x:f>IF(A306="","",IF(NOT(ISNUMBER(AB306)),"Review inputs",IF(AB306&gt;=70,"P0 - Immediate",IF(AB306&gt;=50,"P1 - High",IF(AB306&gt;=30,"P2 - Medium",IF(AB306&gt;=15,"P3 - Low","P4 - Monitor"))))))</x:f>
      </x:c>
      <x:c r="AD306" s="73"/>
      <x:c r="AE306" s="73"/>
      <x:c r="AF306" s="73"/>
      <x:c r="AG306" s="77"/>
      <x:c r="AH306" s="73"/>
      <x:c r="AI306" s="91"/>
      <x:c r="AJ306" s="91"/>
      <x:c r="AK306" s="91"/>
      <x:c r="AL306" s="92"/>
      <x:c r="AM306" s="91"/>
      <x:c r="AN306" s="91"/>
      <x:c r="AO306" s="93"/>
      <x:c r="AP306" s="94"/>
      <x:c r="AQ306" s="91"/>
      <x:c r="AR306" s="91"/>
      <x:c r="AS306" s="91"/>
      <x:c r="AT306" s="91"/>
      <x:c r="AU306" s="91"/>
      <x:c r="AV306" s="91"/>
      <x:c r="AW306" s="91"/>
      <x:c r="AX306" s="91"/>
      <x:c r="AY306" s="91"/>
      <x:c r="AZ306" s="92"/>
      <x:c r="BA306" s="94"/>
      <x:c r="BB306" s="91"/>
      <x:c r="BC306" s="92"/>
      <x:c r="BD306" s="92"/>
      <x:c r="BE306" s="91"/>
      <x:c r="BF306" s="91"/>
      <x:c r="BG306" s="91"/>
      <x:c r="BH306" s="91"/>
      <x:c r="BI306" s="91"/>
      <x:c r="BJ306" s="91"/>
      <x:c r="BK306" s="91"/>
      <x:c r="BL306" s="91"/>
      <x:c r="BM306" s="73" t="str">
        <x:f>IF(A306="","",IF(AI306="Example","Example only",IF(AI306&lt;&gt;"Actual","Set record type",IF(COUNTIF($A$2:$A$1001,A306)&gt;1,"Duplicate record ID",IF(OR(D306="",E306="",AF306="",NOT(ISNUMBER(AG306)),AJ306="",AK306="",NOT(ISNUMBER(AL306)),AND(AM306&lt;&gt;"Observed",AM306&lt;&gt;"Corroborated",AM306&lt;&gt;"Declared"),OR(AN306="",AN306="Unknown"),OR(AQ306="",AQ306="Unknown"),OR(AR306="",AR306="Unknown",AR306="TBD"),OR(BC306="",NOT(ISNUMBER(BC306)))),"Evidence incomplete","Evidence recorded; review scope")))))</x:f>
      </x:c>
      <x:c r="BN306" s="73"/>
    </x:row>
    <x:row r="307" ht="34" customHeight="1">
      <x:c r="A307" s="73"/>
      <x:c r="B307" s="73"/>
      <x:c r="C307" s="73"/>
      <x:c r="D307" s="73"/>
      <x:c r="E307" s="73"/>
      <x:c r="F307" s="73"/>
      <x:c r="G307" s="73"/>
      <x:c r="H307" s="73"/>
      <x:c r="I307" s="75"/>
      <x:c r="J307" s="73"/>
      <x:c r="K307" s="73"/>
      <x:c r="L307" s="76"/>
      <x:c r="M307" s="73"/>
      <x:c r="N307" s="73"/>
      <x:c r="O307" s="73"/>
      <x:c r="P307" s="73"/>
      <x:c r="Q307" s="76"/>
      <x:c r="R307" s="73"/>
      <x:c r="S307" s="73"/>
      <x:c r="T307" s="73"/>
      <x:c r="U307" s="73"/>
      <x:c r="V307" s="73"/>
      <x:c r="W307" s="73"/>
      <x:c r="X307" s="73"/>
      <x:c r="Y307" s="73"/>
      <x:c r="Z307" s="73"/>
      <x:c r="AA307" s="73"/>
      <x:c r="AB307" s="76" t="str">
        <x:f>IF(A307="","",IF(OR(NOT(ISNUMBER(I307)),I307&lt;0,NOT(ISNUMBER(AP307)),AP307&lt;0,NOT(ISNUMBER(L307)),L307&lt;1,L307&gt;5,L307&lt;&gt;INT(L307),AND(J307&lt;&gt;"Public",J307&lt;&gt;"Partner",J307&lt;&gt;"Internal",J307&lt;&gt;"None"),AND(K307&lt;&gt;"High",K307&lt;&gt;"Medium",K307&lt;&gt;"Low",K307&lt;&gt;"None"),AND(W307&lt;&gt;"Hard-coded",W307&lt;&gt;"Configurable",W307&lt;&gt;"Policy-managed",W307&lt;&gt;"API/Library abstraction",W307&lt;&gt;"Automated"),AND(Z307&lt;&gt;"Y",Z307&lt;&gt;"N"),AND(AA307&lt;&gt;"Y",AA307&lt;&gt;"N")),"Incomplete",IF(Z307="Y",20,0)+L307*5+IF(AA307="Y",15,0)+IF(J307="Public",10,IF(J307="Partner",7,IF(J307="Internal",3,0)))+IF(W307="Hard-coded",10,IF(W307="Configurable",3,0))+IF(MAX(I307,AP307)&gt;=10,10,IF(MAX(I307,AP307)&gt;=5,7,IF(MAX(I307,AP307)&gt;=2,3,0)))+IF(K307="High",10,IF(K307="Medium",5,0))))</x:f>
      </x:c>
      <x:c r="AC307" s="73" t="str">
        <x:f>IF(A307="","",IF(NOT(ISNUMBER(AB307)),"Review inputs",IF(AB307&gt;=70,"P0 - Immediate",IF(AB307&gt;=50,"P1 - High",IF(AB307&gt;=30,"P2 - Medium",IF(AB307&gt;=15,"P3 - Low","P4 - Monitor"))))))</x:f>
      </x:c>
      <x:c r="AD307" s="73"/>
      <x:c r="AE307" s="73"/>
      <x:c r="AF307" s="73"/>
      <x:c r="AG307" s="77"/>
      <x:c r="AH307" s="73"/>
      <x:c r="AI307" s="91"/>
      <x:c r="AJ307" s="91"/>
      <x:c r="AK307" s="91"/>
      <x:c r="AL307" s="92"/>
      <x:c r="AM307" s="91"/>
      <x:c r="AN307" s="91"/>
      <x:c r="AO307" s="93"/>
      <x:c r="AP307" s="94"/>
      <x:c r="AQ307" s="91"/>
      <x:c r="AR307" s="91"/>
      <x:c r="AS307" s="91"/>
      <x:c r="AT307" s="91"/>
      <x:c r="AU307" s="91"/>
      <x:c r="AV307" s="91"/>
      <x:c r="AW307" s="91"/>
      <x:c r="AX307" s="91"/>
      <x:c r="AY307" s="91"/>
      <x:c r="AZ307" s="92"/>
      <x:c r="BA307" s="94"/>
      <x:c r="BB307" s="91"/>
      <x:c r="BC307" s="92"/>
      <x:c r="BD307" s="92"/>
      <x:c r="BE307" s="91"/>
      <x:c r="BF307" s="91"/>
      <x:c r="BG307" s="91"/>
      <x:c r="BH307" s="91"/>
      <x:c r="BI307" s="91"/>
      <x:c r="BJ307" s="91"/>
      <x:c r="BK307" s="91"/>
      <x:c r="BL307" s="91"/>
      <x:c r="BM307" s="73" t="str">
        <x:f>IF(A307="","",IF(AI307="Example","Example only",IF(AI307&lt;&gt;"Actual","Set record type",IF(COUNTIF($A$2:$A$1001,A307)&gt;1,"Duplicate record ID",IF(OR(D307="",E307="",AF307="",NOT(ISNUMBER(AG307)),AJ307="",AK307="",NOT(ISNUMBER(AL307)),AND(AM307&lt;&gt;"Observed",AM307&lt;&gt;"Corroborated",AM307&lt;&gt;"Declared"),OR(AN307="",AN307="Unknown"),OR(AQ307="",AQ307="Unknown"),OR(AR307="",AR307="Unknown",AR307="TBD"),OR(BC307="",NOT(ISNUMBER(BC307)))),"Evidence incomplete","Evidence recorded; review scope")))))</x:f>
      </x:c>
      <x:c r="BN307" s="73"/>
    </x:row>
    <x:row r="308" ht="34" customHeight="1">
      <x:c r="A308" s="73"/>
      <x:c r="B308" s="73"/>
      <x:c r="C308" s="73"/>
      <x:c r="D308" s="73"/>
      <x:c r="E308" s="73"/>
      <x:c r="F308" s="73"/>
      <x:c r="G308" s="73"/>
      <x:c r="H308" s="73"/>
      <x:c r="I308" s="75"/>
      <x:c r="J308" s="73"/>
      <x:c r="K308" s="73"/>
      <x:c r="L308" s="76"/>
      <x:c r="M308" s="73"/>
      <x:c r="N308" s="73"/>
      <x:c r="O308" s="73"/>
      <x:c r="P308" s="73"/>
      <x:c r="Q308" s="76"/>
      <x:c r="R308" s="73"/>
      <x:c r="S308" s="73"/>
      <x:c r="T308" s="73"/>
      <x:c r="U308" s="73"/>
      <x:c r="V308" s="73"/>
      <x:c r="W308" s="73"/>
      <x:c r="X308" s="73"/>
      <x:c r="Y308" s="73"/>
      <x:c r="Z308" s="73"/>
      <x:c r="AA308" s="73"/>
      <x:c r="AB308" s="76" t="str">
        <x:f>IF(A308="","",IF(OR(NOT(ISNUMBER(I308)),I308&lt;0,NOT(ISNUMBER(AP308)),AP308&lt;0,NOT(ISNUMBER(L308)),L308&lt;1,L308&gt;5,L308&lt;&gt;INT(L308),AND(J308&lt;&gt;"Public",J308&lt;&gt;"Partner",J308&lt;&gt;"Internal",J308&lt;&gt;"None"),AND(K308&lt;&gt;"High",K308&lt;&gt;"Medium",K308&lt;&gt;"Low",K308&lt;&gt;"None"),AND(W308&lt;&gt;"Hard-coded",W308&lt;&gt;"Configurable",W308&lt;&gt;"Policy-managed",W308&lt;&gt;"API/Library abstraction",W308&lt;&gt;"Automated"),AND(Z308&lt;&gt;"Y",Z308&lt;&gt;"N"),AND(AA308&lt;&gt;"Y",AA308&lt;&gt;"N")),"Incomplete",IF(Z308="Y",20,0)+L308*5+IF(AA308="Y",15,0)+IF(J308="Public",10,IF(J308="Partner",7,IF(J308="Internal",3,0)))+IF(W308="Hard-coded",10,IF(W308="Configurable",3,0))+IF(MAX(I308,AP308)&gt;=10,10,IF(MAX(I308,AP308)&gt;=5,7,IF(MAX(I308,AP308)&gt;=2,3,0)))+IF(K308="High",10,IF(K308="Medium",5,0))))</x:f>
      </x:c>
      <x:c r="AC308" s="73" t="str">
        <x:f>IF(A308="","",IF(NOT(ISNUMBER(AB308)),"Review inputs",IF(AB308&gt;=70,"P0 - Immediate",IF(AB308&gt;=50,"P1 - High",IF(AB308&gt;=30,"P2 - Medium",IF(AB308&gt;=15,"P3 - Low","P4 - Monitor"))))))</x:f>
      </x:c>
      <x:c r="AD308" s="73"/>
      <x:c r="AE308" s="73"/>
      <x:c r="AF308" s="73"/>
      <x:c r="AG308" s="77"/>
      <x:c r="AH308" s="73"/>
      <x:c r="AI308" s="91"/>
      <x:c r="AJ308" s="91"/>
      <x:c r="AK308" s="91"/>
      <x:c r="AL308" s="92"/>
      <x:c r="AM308" s="91"/>
      <x:c r="AN308" s="91"/>
      <x:c r="AO308" s="93"/>
      <x:c r="AP308" s="94"/>
      <x:c r="AQ308" s="91"/>
      <x:c r="AR308" s="91"/>
      <x:c r="AS308" s="91"/>
      <x:c r="AT308" s="91"/>
      <x:c r="AU308" s="91"/>
      <x:c r="AV308" s="91"/>
      <x:c r="AW308" s="91"/>
      <x:c r="AX308" s="91"/>
      <x:c r="AY308" s="91"/>
      <x:c r="AZ308" s="92"/>
      <x:c r="BA308" s="94"/>
      <x:c r="BB308" s="91"/>
      <x:c r="BC308" s="92"/>
      <x:c r="BD308" s="92"/>
      <x:c r="BE308" s="91"/>
      <x:c r="BF308" s="91"/>
      <x:c r="BG308" s="91"/>
      <x:c r="BH308" s="91"/>
      <x:c r="BI308" s="91"/>
      <x:c r="BJ308" s="91"/>
      <x:c r="BK308" s="91"/>
      <x:c r="BL308" s="91"/>
      <x:c r="BM308" s="73" t="str">
        <x:f>IF(A308="","",IF(AI308="Example","Example only",IF(AI308&lt;&gt;"Actual","Set record type",IF(COUNTIF($A$2:$A$1001,A308)&gt;1,"Duplicate record ID",IF(OR(D308="",E308="",AF308="",NOT(ISNUMBER(AG308)),AJ308="",AK308="",NOT(ISNUMBER(AL308)),AND(AM308&lt;&gt;"Observed",AM308&lt;&gt;"Corroborated",AM308&lt;&gt;"Declared"),OR(AN308="",AN308="Unknown"),OR(AQ308="",AQ308="Unknown"),OR(AR308="",AR308="Unknown",AR308="TBD"),OR(BC308="",NOT(ISNUMBER(BC308)))),"Evidence incomplete","Evidence recorded; review scope")))))</x:f>
      </x:c>
      <x:c r="BN308" s="73"/>
    </x:row>
    <x:row r="309" ht="34" customHeight="1">
      <x:c r="A309" s="73"/>
      <x:c r="B309" s="73"/>
      <x:c r="C309" s="73"/>
      <x:c r="D309" s="73"/>
      <x:c r="E309" s="73"/>
      <x:c r="F309" s="73"/>
      <x:c r="G309" s="73"/>
      <x:c r="H309" s="73"/>
      <x:c r="I309" s="75"/>
      <x:c r="J309" s="73"/>
      <x:c r="K309" s="73"/>
      <x:c r="L309" s="76"/>
      <x:c r="M309" s="73"/>
      <x:c r="N309" s="73"/>
      <x:c r="O309" s="73"/>
      <x:c r="P309" s="73"/>
      <x:c r="Q309" s="76"/>
      <x:c r="R309" s="73"/>
      <x:c r="S309" s="73"/>
      <x:c r="T309" s="73"/>
      <x:c r="U309" s="73"/>
      <x:c r="V309" s="73"/>
      <x:c r="W309" s="73"/>
      <x:c r="X309" s="73"/>
      <x:c r="Y309" s="73"/>
      <x:c r="Z309" s="73"/>
      <x:c r="AA309" s="73"/>
      <x:c r="AB309" s="76" t="str">
        <x:f>IF(A309="","",IF(OR(NOT(ISNUMBER(I309)),I309&lt;0,NOT(ISNUMBER(AP309)),AP309&lt;0,NOT(ISNUMBER(L309)),L309&lt;1,L309&gt;5,L309&lt;&gt;INT(L309),AND(J309&lt;&gt;"Public",J309&lt;&gt;"Partner",J309&lt;&gt;"Internal",J309&lt;&gt;"None"),AND(K309&lt;&gt;"High",K309&lt;&gt;"Medium",K309&lt;&gt;"Low",K309&lt;&gt;"None"),AND(W309&lt;&gt;"Hard-coded",W309&lt;&gt;"Configurable",W309&lt;&gt;"Policy-managed",W309&lt;&gt;"API/Library abstraction",W309&lt;&gt;"Automated"),AND(Z309&lt;&gt;"Y",Z309&lt;&gt;"N"),AND(AA309&lt;&gt;"Y",AA309&lt;&gt;"N")),"Incomplete",IF(Z309="Y",20,0)+L309*5+IF(AA309="Y",15,0)+IF(J309="Public",10,IF(J309="Partner",7,IF(J309="Internal",3,0)))+IF(W309="Hard-coded",10,IF(W309="Configurable",3,0))+IF(MAX(I309,AP309)&gt;=10,10,IF(MAX(I309,AP309)&gt;=5,7,IF(MAX(I309,AP309)&gt;=2,3,0)))+IF(K309="High",10,IF(K309="Medium",5,0))))</x:f>
      </x:c>
      <x:c r="AC309" s="73" t="str">
        <x:f>IF(A309="","",IF(NOT(ISNUMBER(AB309)),"Review inputs",IF(AB309&gt;=70,"P0 - Immediate",IF(AB309&gt;=50,"P1 - High",IF(AB309&gt;=30,"P2 - Medium",IF(AB309&gt;=15,"P3 - Low","P4 - Monitor"))))))</x:f>
      </x:c>
      <x:c r="AD309" s="73"/>
      <x:c r="AE309" s="73"/>
      <x:c r="AF309" s="73"/>
      <x:c r="AG309" s="77"/>
      <x:c r="AH309" s="73"/>
      <x:c r="AI309" s="91"/>
      <x:c r="AJ309" s="91"/>
      <x:c r="AK309" s="91"/>
      <x:c r="AL309" s="92"/>
      <x:c r="AM309" s="91"/>
      <x:c r="AN309" s="91"/>
      <x:c r="AO309" s="93"/>
      <x:c r="AP309" s="94"/>
      <x:c r="AQ309" s="91"/>
      <x:c r="AR309" s="91"/>
      <x:c r="AS309" s="91"/>
      <x:c r="AT309" s="91"/>
      <x:c r="AU309" s="91"/>
      <x:c r="AV309" s="91"/>
      <x:c r="AW309" s="91"/>
      <x:c r="AX309" s="91"/>
      <x:c r="AY309" s="91"/>
      <x:c r="AZ309" s="92"/>
      <x:c r="BA309" s="94"/>
      <x:c r="BB309" s="91"/>
      <x:c r="BC309" s="92"/>
      <x:c r="BD309" s="92"/>
      <x:c r="BE309" s="91"/>
      <x:c r="BF309" s="91"/>
      <x:c r="BG309" s="91"/>
      <x:c r="BH309" s="91"/>
      <x:c r="BI309" s="91"/>
      <x:c r="BJ309" s="91"/>
      <x:c r="BK309" s="91"/>
      <x:c r="BL309" s="91"/>
      <x:c r="BM309" s="73" t="str">
        <x:f>IF(A309="","",IF(AI309="Example","Example only",IF(AI309&lt;&gt;"Actual","Set record type",IF(COUNTIF($A$2:$A$1001,A309)&gt;1,"Duplicate record ID",IF(OR(D309="",E309="",AF309="",NOT(ISNUMBER(AG309)),AJ309="",AK309="",NOT(ISNUMBER(AL309)),AND(AM309&lt;&gt;"Observed",AM309&lt;&gt;"Corroborated",AM309&lt;&gt;"Declared"),OR(AN309="",AN309="Unknown"),OR(AQ309="",AQ309="Unknown"),OR(AR309="",AR309="Unknown",AR309="TBD"),OR(BC309="",NOT(ISNUMBER(BC309)))),"Evidence incomplete","Evidence recorded; review scope")))))</x:f>
      </x:c>
      <x:c r="BN309" s="73"/>
    </x:row>
    <x:row r="310" ht="34" customHeight="1">
      <x:c r="A310" s="73"/>
      <x:c r="B310" s="73"/>
      <x:c r="C310" s="73"/>
      <x:c r="D310" s="73"/>
      <x:c r="E310" s="73"/>
      <x:c r="F310" s="73"/>
      <x:c r="G310" s="73"/>
      <x:c r="H310" s="73"/>
      <x:c r="I310" s="75"/>
      <x:c r="J310" s="73"/>
      <x:c r="K310" s="73"/>
      <x:c r="L310" s="76"/>
      <x:c r="M310" s="73"/>
      <x:c r="N310" s="73"/>
      <x:c r="O310" s="73"/>
      <x:c r="P310" s="73"/>
      <x:c r="Q310" s="76"/>
      <x:c r="R310" s="73"/>
      <x:c r="S310" s="73"/>
      <x:c r="T310" s="73"/>
      <x:c r="U310" s="73"/>
      <x:c r="V310" s="73"/>
      <x:c r="W310" s="73"/>
      <x:c r="X310" s="73"/>
      <x:c r="Y310" s="73"/>
      <x:c r="Z310" s="73"/>
      <x:c r="AA310" s="73"/>
      <x:c r="AB310" s="76" t="str">
        <x:f>IF(A310="","",IF(OR(NOT(ISNUMBER(I310)),I310&lt;0,NOT(ISNUMBER(AP310)),AP310&lt;0,NOT(ISNUMBER(L310)),L310&lt;1,L310&gt;5,L310&lt;&gt;INT(L310),AND(J310&lt;&gt;"Public",J310&lt;&gt;"Partner",J310&lt;&gt;"Internal",J310&lt;&gt;"None"),AND(K310&lt;&gt;"High",K310&lt;&gt;"Medium",K310&lt;&gt;"Low",K310&lt;&gt;"None"),AND(W310&lt;&gt;"Hard-coded",W310&lt;&gt;"Configurable",W310&lt;&gt;"Policy-managed",W310&lt;&gt;"API/Library abstraction",W310&lt;&gt;"Automated"),AND(Z310&lt;&gt;"Y",Z310&lt;&gt;"N"),AND(AA310&lt;&gt;"Y",AA310&lt;&gt;"N")),"Incomplete",IF(Z310="Y",20,0)+L310*5+IF(AA310="Y",15,0)+IF(J310="Public",10,IF(J310="Partner",7,IF(J310="Internal",3,0)))+IF(W310="Hard-coded",10,IF(W310="Configurable",3,0))+IF(MAX(I310,AP310)&gt;=10,10,IF(MAX(I310,AP310)&gt;=5,7,IF(MAX(I310,AP310)&gt;=2,3,0)))+IF(K310="High",10,IF(K310="Medium",5,0))))</x:f>
      </x:c>
      <x:c r="AC310" s="73" t="str">
        <x:f>IF(A310="","",IF(NOT(ISNUMBER(AB310)),"Review inputs",IF(AB310&gt;=70,"P0 - Immediate",IF(AB310&gt;=50,"P1 - High",IF(AB310&gt;=30,"P2 - Medium",IF(AB310&gt;=15,"P3 - Low","P4 - Monitor"))))))</x:f>
      </x:c>
      <x:c r="AD310" s="73"/>
      <x:c r="AE310" s="73"/>
      <x:c r="AF310" s="73"/>
      <x:c r="AG310" s="77"/>
      <x:c r="AH310" s="73"/>
      <x:c r="AI310" s="91"/>
      <x:c r="AJ310" s="91"/>
      <x:c r="AK310" s="91"/>
      <x:c r="AL310" s="92"/>
      <x:c r="AM310" s="91"/>
      <x:c r="AN310" s="91"/>
      <x:c r="AO310" s="93"/>
      <x:c r="AP310" s="94"/>
      <x:c r="AQ310" s="91"/>
      <x:c r="AR310" s="91"/>
      <x:c r="AS310" s="91"/>
      <x:c r="AT310" s="91"/>
      <x:c r="AU310" s="91"/>
      <x:c r="AV310" s="91"/>
      <x:c r="AW310" s="91"/>
      <x:c r="AX310" s="91"/>
      <x:c r="AY310" s="91"/>
      <x:c r="AZ310" s="92"/>
      <x:c r="BA310" s="94"/>
      <x:c r="BB310" s="91"/>
      <x:c r="BC310" s="92"/>
      <x:c r="BD310" s="92"/>
      <x:c r="BE310" s="91"/>
      <x:c r="BF310" s="91"/>
      <x:c r="BG310" s="91"/>
      <x:c r="BH310" s="91"/>
      <x:c r="BI310" s="91"/>
      <x:c r="BJ310" s="91"/>
      <x:c r="BK310" s="91"/>
      <x:c r="BL310" s="91"/>
      <x:c r="BM310" s="73" t="str">
        <x:f>IF(A310="","",IF(AI310="Example","Example only",IF(AI310&lt;&gt;"Actual","Set record type",IF(COUNTIF($A$2:$A$1001,A310)&gt;1,"Duplicate record ID",IF(OR(D310="",E310="",AF310="",NOT(ISNUMBER(AG310)),AJ310="",AK310="",NOT(ISNUMBER(AL310)),AND(AM310&lt;&gt;"Observed",AM310&lt;&gt;"Corroborated",AM310&lt;&gt;"Declared"),OR(AN310="",AN310="Unknown"),OR(AQ310="",AQ310="Unknown"),OR(AR310="",AR310="Unknown",AR310="TBD"),OR(BC310="",NOT(ISNUMBER(BC310)))),"Evidence incomplete","Evidence recorded; review scope")))))</x:f>
      </x:c>
      <x:c r="BN310" s="73"/>
    </x:row>
    <x:row r="311" ht="34" customHeight="1">
      <x:c r="A311" s="73"/>
      <x:c r="B311" s="73"/>
      <x:c r="C311" s="73"/>
      <x:c r="D311" s="73"/>
      <x:c r="E311" s="73"/>
      <x:c r="F311" s="73"/>
      <x:c r="G311" s="73"/>
      <x:c r="H311" s="73"/>
      <x:c r="I311" s="75"/>
      <x:c r="J311" s="73"/>
      <x:c r="K311" s="73"/>
      <x:c r="L311" s="76"/>
      <x:c r="M311" s="73"/>
      <x:c r="N311" s="73"/>
      <x:c r="O311" s="73"/>
      <x:c r="P311" s="73"/>
      <x:c r="Q311" s="76"/>
      <x:c r="R311" s="73"/>
      <x:c r="S311" s="73"/>
      <x:c r="T311" s="73"/>
      <x:c r="U311" s="73"/>
      <x:c r="V311" s="73"/>
      <x:c r="W311" s="73"/>
      <x:c r="X311" s="73"/>
      <x:c r="Y311" s="73"/>
      <x:c r="Z311" s="73"/>
      <x:c r="AA311" s="73"/>
      <x:c r="AB311" s="76" t="str">
        <x:f>IF(A311="","",IF(OR(NOT(ISNUMBER(I311)),I311&lt;0,NOT(ISNUMBER(AP311)),AP311&lt;0,NOT(ISNUMBER(L311)),L311&lt;1,L311&gt;5,L311&lt;&gt;INT(L311),AND(J311&lt;&gt;"Public",J311&lt;&gt;"Partner",J311&lt;&gt;"Internal",J311&lt;&gt;"None"),AND(K311&lt;&gt;"High",K311&lt;&gt;"Medium",K311&lt;&gt;"Low",K311&lt;&gt;"None"),AND(W311&lt;&gt;"Hard-coded",W311&lt;&gt;"Configurable",W311&lt;&gt;"Policy-managed",W311&lt;&gt;"API/Library abstraction",W311&lt;&gt;"Automated"),AND(Z311&lt;&gt;"Y",Z311&lt;&gt;"N"),AND(AA311&lt;&gt;"Y",AA311&lt;&gt;"N")),"Incomplete",IF(Z311="Y",20,0)+L311*5+IF(AA311="Y",15,0)+IF(J311="Public",10,IF(J311="Partner",7,IF(J311="Internal",3,0)))+IF(W311="Hard-coded",10,IF(W311="Configurable",3,0))+IF(MAX(I311,AP311)&gt;=10,10,IF(MAX(I311,AP311)&gt;=5,7,IF(MAX(I311,AP311)&gt;=2,3,0)))+IF(K311="High",10,IF(K311="Medium",5,0))))</x:f>
      </x:c>
      <x:c r="AC311" s="73" t="str">
        <x:f>IF(A311="","",IF(NOT(ISNUMBER(AB311)),"Review inputs",IF(AB311&gt;=70,"P0 - Immediate",IF(AB311&gt;=50,"P1 - High",IF(AB311&gt;=30,"P2 - Medium",IF(AB311&gt;=15,"P3 - Low","P4 - Monitor"))))))</x:f>
      </x:c>
      <x:c r="AD311" s="73"/>
      <x:c r="AE311" s="73"/>
      <x:c r="AF311" s="73"/>
      <x:c r="AG311" s="77"/>
      <x:c r="AH311" s="73"/>
      <x:c r="AI311" s="91"/>
      <x:c r="AJ311" s="91"/>
      <x:c r="AK311" s="91"/>
      <x:c r="AL311" s="92"/>
      <x:c r="AM311" s="91"/>
      <x:c r="AN311" s="91"/>
      <x:c r="AO311" s="93"/>
      <x:c r="AP311" s="94"/>
      <x:c r="AQ311" s="91"/>
      <x:c r="AR311" s="91"/>
      <x:c r="AS311" s="91"/>
      <x:c r="AT311" s="91"/>
      <x:c r="AU311" s="91"/>
      <x:c r="AV311" s="91"/>
      <x:c r="AW311" s="91"/>
      <x:c r="AX311" s="91"/>
      <x:c r="AY311" s="91"/>
      <x:c r="AZ311" s="92"/>
      <x:c r="BA311" s="94"/>
      <x:c r="BB311" s="91"/>
      <x:c r="BC311" s="92"/>
      <x:c r="BD311" s="92"/>
      <x:c r="BE311" s="91"/>
      <x:c r="BF311" s="91"/>
      <x:c r="BG311" s="91"/>
      <x:c r="BH311" s="91"/>
      <x:c r="BI311" s="91"/>
      <x:c r="BJ311" s="91"/>
      <x:c r="BK311" s="91"/>
      <x:c r="BL311" s="91"/>
      <x:c r="BM311" s="73" t="str">
        <x:f>IF(A311="","",IF(AI311="Example","Example only",IF(AI311&lt;&gt;"Actual","Set record type",IF(COUNTIF($A$2:$A$1001,A311)&gt;1,"Duplicate record ID",IF(OR(D311="",E311="",AF311="",NOT(ISNUMBER(AG311)),AJ311="",AK311="",NOT(ISNUMBER(AL311)),AND(AM311&lt;&gt;"Observed",AM311&lt;&gt;"Corroborated",AM311&lt;&gt;"Declared"),OR(AN311="",AN311="Unknown"),OR(AQ311="",AQ311="Unknown"),OR(AR311="",AR311="Unknown",AR311="TBD"),OR(BC311="",NOT(ISNUMBER(BC311)))),"Evidence incomplete","Evidence recorded; review scope")))))</x:f>
      </x:c>
      <x:c r="BN311" s="73"/>
    </x:row>
    <x:row r="312" ht="34" customHeight="1">
      <x:c r="A312" s="73"/>
      <x:c r="B312" s="73"/>
      <x:c r="C312" s="73"/>
      <x:c r="D312" s="73"/>
      <x:c r="E312" s="73"/>
      <x:c r="F312" s="73"/>
      <x:c r="G312" s="73"/>
      <x:c r="H312" s="73"/>
      <x:c r="I312" s="75"/>
      <x:c r="J312" s="73"/>
      <x:c r="K312" s="73"/>
      <x:c r="L312" s="76"/>
      <x:c r="M312" s="73"/>
      <x:c r="N312" s="73"/>
      <x:c r="O312" s="73"/>
      <x:c r="P312" s="73"/>
      <x:c r="Q312" s="76"/>
      <x:c r="R312" s="73"/>
      <x:c r="S312" s="73"/>
      <x:c r="T312" s="73"/>
      <x:c r="U312" s="73"/>
      <x:c r="V312" s="73"/>
      <x:c r="W312" s="73"/>
      <x:c r="X312" s="73"/>
      <x:c r="Y312" s="73"/>
      <x:c r="Z312" s="73"/>
      <x:c r="AA312" s="73"/>
      <x:c r="AB312" s="76" t="str">
        <x:f>IF(A312="","",IF(OR(NOT(ISNUMBER(I312)),I312&lt;0,NOT(ISNUMBER(AP312)),AP312&lt;0,NOT(ISNUMBER(L312)),L312&lt;1,L312&gt;5,L312&lt;&gt;INT(L312),AND(J312&lt;&gt;"Public",J312&lt;&gt;"Partner",J312&lt;&gt;"Internal",J312&lt;&gt;"None"),AND(K312&lt;&gt;"High",K312&lt;&gt;"Medium",K312&lt;&gt;"Low",K312&lt;&gt;"None"),AND(W312&lt;&gt;"Hard-coded",W312&lt;&gt;"Configurable",W312&lt;&gt;"Policy-managed",W312&lt;&gt;"API/Library abstraction",W312&lt;&gt;"Automated"),AND(Z312&lt;&gt;"Y",Z312&lt;&gt;"N"),AND(AA312&lt;&gt;"Y",AA312&lt;&gt;"N")),"Incomplete",IF(Z312="Y",20,0)+L312*5+IF(AA312="Y",15,0)+IF(J312="Public",10,IF(J312="Partner",7,IF(J312="Internal",3,0)))+IF(W312="Hard-coded",10,IF(W312="Configurable",3,0))+IF(MAX(I312,AP312)&gt;=10,10,IF(MAX(I312,AP312)&gt;=5,7,IF(MAX(I312,AP312)&gt;=2,3,0)))+IF(K312="High",10,IF(K312="Medium",5,0))))</x:f>
      </x:c>
      <x:c r="AC312" s="73" t="str">
        <x:f>IF(A312="","",IF(NOT(ISNUMBER(AB312)),"Review inputs",IF(AB312&gt;=70,"P0 - Immediate",IF(AB312&gt;=50,"P1 - High",IF(AB312&gt;=30,"P2 - Medium",IF(AB312&gt;=15,"P3 - Low","P4 - Monitor"))))))</x:f>
      </x:c>
      <x:c r="AD312" s="73"/>
      <x:c r="AE312" s="73"/>
      <x:c r="AF312" s="73"/>
      <x:c r="AG312" s="77"/>
      <x:c r="AH312" s="73"/>
      <x:c r="AI312" s="91"/>
      <x:c r="AJ312" s="91"/>
      <x:c r="AK312" s="91"/>
      <x:c r="AL312" s="92"/>
      <x:c r="AM312" s="91"/>
      <x:c r="AN312" s="91"/>
      <x:c r="AO312" s="93"/>
      <x:c r="AP312" s="94"/>
      <x:c r="AQ312" s="91"/>
      <x:c r="AR312" s="91"/>
      <x:c r="AS312" s="91"/>
      <x:c r="AT312" s="91"/>
      <x:c r="AU312" s="91"/>
      <x:c r="AV312" s="91"/>
      <x:c r="AW312" s="91"/>
      <x:c r="AX312" s="91"/>
      <x:c r="AY312" s="91"/>
      <x:c r="AZ312" s="92"/>
      <x:c r="BA312" s="94"/>
      <x:c r="BB312" s="91"/>
      <x:c r="BC312" s="92"/>
      <x:c r="BD312" s="92"/>
      <x:c r="BE312" s="91"/>
      <x:c r="BF312" s="91"/>
      <x:c r="BG312" s="91"/>
      <x:c r="BH312" s="91"/>
      <x:c r="BI312" s="91"/>
      <x:c r="BJ312" s="91"/>
      <x:c r="BK312" s="91"/>
      <x:c r="BL312" s="91"/>
      <x:c r="BM312" s="73" t="str">
        <x:f>IF(A312="","",IF(AI312="Example","Example only",IF(AI312&lt;&gt;"Actual","Set record type",IF(COUNTIF($A$2:$A$1001,A312)&gt;1,"Duplicate record ID",IF(OR(D312="",E312="",AF312="",NOT(ISNUMBER(AG312)),AJ312="",AK312="",NOT(ISNUMBER(AL312)),AND(AM312&lt;&gt;"Observed",AM312&lt;&gt;"Corroborated",AM312&lt;&gt;"Declared"),OR(AN312="",AN312="Unknown"),OR(AQ312="",AQ312="Unknown"),OR(AR312="",AR312="Unknown",AR312="TBD"),OR(BC312="",NOT(ISNUMBER(BC312)))),"Evidence incomplete","Evidence recorded; review scope")))))</x:f>
      </x:c>
      <x:c r="BN312" s="73"/>
    </x:row>
    <x:row r="313" ht="34" customHeight="1">
      <x:c r="A313" s="73"/>
      <x:c r="B313" s="73"/>
      <x:c r="C313" s="73"/>
      <x:c r="D313" s="73"/>
      <x:c r="E313" s="73"/>
      <x:c r="F313" s="73"/>
      <x:c r="G313" s="73"/>
      <x:c r="H313" s="73"/>
      <x:c r="I313" s="75"/>
      <x:c r="J313" s="73"/>
      <x:c r="K313" s="73"/>
      <x:c r="L313" s="76"/>
      <x:c r="M313" s="73"/>
      <x:c r="N313" s="73"/>
      <x:c r="O313" s="73"/>
      <x:c r="P313" s="73"/>
      <x:c r="Q313" s="76"/>
      <x:c r="R313" s="73"/>
      <x:c r="S313" s="73"/>
      <x:c r="T313" s="73"/>
      <x:c r="U313" s="73"/>
      <x:c r="V313" s="73"/>
      <x:c r="W313" s="73"/>
      <x:c r="X313" s="73"/>
      <x:c r="Y313" s="73"/>
      <x:c r="Z313" s="73"/>
      <x:c r="AA313" s="73"/>
      <x:c r="AB313" s="76" t="str">
        <x:f>IF(A313="","",IF(OR(NOT(ISNUMBER(I313)),I313&lt;0,NOT(ISNUMBER(AP313)),AP313&lt;0,NOT(ISNUMBER(L313)),L313&lt;1,L313&gt;5,L313&lt;&gt;INT(L313),AND(J313&lt;&gt;"Public",J313&lt;&gt;"Partner",J313&lt;&gt;"Internal",J313&lt;&gt;"None"),AND(K313&lt;&gt;"High",K313&lt;&gt;"Medium",K313&lt;&gt;"Low",K313&lt;&gt;"None"),AND(W313&lt;&gt;"Hard-coded",W313&lt;&gt;"Configurable",W313&lt;&gt;"Policy-managed",W313&lt;&gt;"API/Library abstraction",W313&lt;&gt;"Automated"),AND(Z313&lt;&gt;"Y",Z313&lt;&gt;"N"),AND(AA313&lt;&gt;"Y",AA313&lt;&gt;"N")),"Incomplete",IF(Z313="Y",20,0)+L313*5+IF(AA313="Y",15,0)+IF(J313="Public",10,IF(J313="Partner",7,IF(J313="Internal",3,0)))+IF(W313="Hard-coded",10,IF(W313="Configurable",3,0))+IF(MAX(I313,AP313)&gt;=10,10,IF(MAX(I313,AP313)&gt;=5,7,IF(MAX(I313,AP313)&gt;=2,3,0)))+IF(K313="High",10,IF(K313="Medium",5,0))))</x:f>
      </x:c>
      <x:c r="AC313" s="73" t="str">
        <x:f>IF(A313="","",IF(NOT(ISNUMBER(AB313)),"Review inputs",IF(AB313&gt;=70,"P0 - Immediate",IF(AB313&gt;=50,"P1 - High",IF(AB313&gt;=30,"P2 - Medium",IF(AB313&gt;=15,"P3 - Low","P4 - Monitor"))))))</x:f>
      </x:c>
      <x:c r="AD313" s="73"/>
      <x:c r="AE313" s="73"/>
      <x:c r="AF313" s="73"/>
      <x:c r="AG313" s="77"/>
      <x:c r="AH313" s="73"/>
      <x:c r="AI313" s="91"/>
      <x:c r="AJ313" s="91"/>
      <x:c r="AK313" s="91"/>
      <x:c r="AL313" s="92"/>
      <x:c r="AM313" s="91"/>
      <x:c r="AN313" s="91"/>
      <x:c r="AO313" s="93"/>
      <x:c r="AP313" s="94"/>
      <x:c r="AQ313" s="91"/>
      <x:c r="AR313" s="91"/>
      <x:c r="AS313" s="91"/>
      <x:c r="AT313" s="91"/>
      <x:c r="AU313" s="91"/>
      <x:c r="AV313" s="91"/>
      <x:c r="AW313" s="91"/>
      <x:c r="AX313" s="91"/>
      <x:c r="AY313" s="91"/>
      <x:c r="AZ313" s="92"/>
      <x:c r="BA313" s="94"/>
      <x:c r="BB313" s="91"/>
      <x:c r="BC313" s="92"/>
      <x:c r="BD313" s="92"/>
      <x:c r="BE313" s="91"/>
      <x:c r="BF313" s="91"/>
      <x:c r="BG313" s="91"/>
      <x:c r="BH313" s="91"/>
      <x:c r="BI313" s="91"/>
      <x:c r="BJ313" s="91"/>
      <x:c r="BK313" s="91"/>
      <x:c r="BL313" s="91"/>
      <x:c r="BM313" s="73" t="str">
        <x:f>IF(A313="","",IF(AI313="Example","Example only",IF(AI313&lt;&gt;"Actual","Set record type",IF(COUNTIF($A$2:$A$1001,A313)&gt;1,"Duplicate record ID",IF(OR(D313="",E313="",AF313="",NOT(ISNUMBER(AG313)),AJ313="",AK313="",NOT(ISNUMBER(AL313)),AND(AM313&lt;&gt;"Observed",AM313&lt;&gt;"Corroborated",AM313&lt;&gt;"Declared"),OR(AN313="",AN313="Unknown"),OR(AQ313="",AQ313="Unknown"),OR(AR313="",AR313="Unknown",AR313="TBD"),OR(BC313="",NOT(ISNUMBER(BC313)))),"Evidence incomplete","Evidence recorded; review scope")))))</x:f>
      </x:c>
      <x:c r="BN313" s="73"/>
    </x:row>
    <x:row r="314" ht="34" customHeight="1">
      <x:c r="A314" s="73"/>
      <x:c r="B314" s="73"/>
      <x:c r="C314" s="73"/>
      <x:c r="D314" s="73"/>
      <x:c r="E314" s="73"/>
      <x:c r="F314" s="73"/>
      <x:c r="G314" s="73"/>
      <x:c r="H314" s="73"/>
      <x:c r="I314" s="75"/>
      <x:c r="J314" s="73"/>
      <x:c r="K314" s="73"/>
      <x:c r="L314" s="76"/>
      <x:c r="M314" s="73"/>
      <x:c r="N314" s="73"/>
      <x:c r="O314" s="73"/>
      <x:c r="P314" s="73"/>
      <x:c r="Q314" s="76"/>
      <x:c r="R314" s="73"/>
      <x:c r="S314" s="73"/>
      <x:c r="T314" s="73"/>
      <x:c r="U314" s="73"/>
      <x:c r="V314" s="73"/>
      <x:c r="W314" s="73"/>
      <x:c r="X314" s="73"/>
      <x:c r="Y314" s="73"/>
      <x:c r="Z314" s="73"/>
      <x:c r="AA314" s="73"/>
      <x:c r="AB314" s="76" t="str">
        <x:f>IF(A314="","",IF(OR(NOT(ISNUMBER(I314)),I314&lt;0,NOT(ISNUMBER(AP314)),AP314&lt;0,NOT(ISNUMBER(L314)),L314&lt;1,L314&gt;5,L314&lt;&gt;INT(L314),AND(J314&lt;&gt;"Public",J314&lt;&gt;"Partner",J314&lt;&gt;"Internal",J314&lt;&gt;"None"),AND(K314&lt;&gt;"High",K314&lt;&gt;"Medium",K314&lt;&gt;"Low",K314&lt;&gt;"None"),AND(W314&lt;&gt;"Hard-coded",W314&lt;&gt;"Configurable",W314&lt;&gt;"Policy-managed",W314&lt;&gt;"API/Library abstraction",W314&lt;&gt;"Automated"),AND(Z314&lt;&gt;"Y",Z314&lt;&gt;"N"),AND(AA314&lt;&gt;"Y",AA314&lt;&gt;"N")),"Incomplete",IF(Z314="Y",20,0)+L314*5+IF(AA314="Y",15,0)+IF(J314="Public",10,IF(J314="Partner",7,IF(J314="Internal",3,0)))+IF(W314="Hard-coded",10,IF(W314="Configurable",3,0))+IF(MAX(I314,AP314)&gt;=10,10,IF(MAX(I314,AP314)&gt;=5,7,IF(MAX(I314,AP314)&gt;=2,3,0)))+IF(K314="High",10,IF(K314="Medium",5,0))))</x:f>
      </x:c>
      <x:c r="AC314" s="73" t="str">
        <x:f>IF(A314="","",IF(NOT(ISNUMBER(AB314)),"Review inputs",IF(AB314&gt;=70,"P0 - Immediate",IF(AB314&gt;=50,"P1 - High",IF(AB314&gt;=30,"P2 - Medium",IF(AB314&gt;=15,"P3 - Low","P4 - Monitor"))))))</x:f>
      </x:c>
      <x:c r="AD314" s="73"/>
      <x:c r="AE314" s="73"/>
      <x:c r="AF314" s="73"/>
      <x:c r="AG314" s="77"/>
      <x:c r="AH314" s="73"/>
      <x:c r="AI314" s="91"/>
      <x:c r="AJ314" s="91"/>
      <x:c r="AK314" s="91"/>
      <x:c r="AL314" s="92"/>
      <x:c r="AM314" s="91"/>
      <x:c r="AN314" s="91"/>
      <x:c r="AO314" s="93"/>
      <x:c r="AP314" s="94"/>
      <x:c r="AQ314" s="91"/>
      <x:c r="AR314" s="91"/>
      <x:c r="AS314" s="91"/>
      <x:c r="AT314" s="91"/>
      <x:c r="AU314" s="91"/>
      <x:c r="AV314" s="91"/>
      <x:c r="AW314" s="91"/>
      <x:c r="AX314" s="91"/>
      <x:c r="AY314" s="91"/>
      <x:c r="AZ314" s="92"/>
      <x:c r="BA314" s="94"/>
      <x:c r="BB314" s="91"/>
      <x:c r="BC314" s="92"/>
      <x:c r="BD314" s="92"/>
      <x:c r="BE314" s="91"/>
      <x:c r="BF314" s="91"/>
      <x:c r="BG314" s="91"/>
      <x:c r="BH314" s="91"/>
      <x:c r="BI314" s="91"/>
      <x:c r="BJ314" s="91"/>
      <x:c r="BK314" s="91"/>
      <x:c r="BL314" s="91"/>
      <x:c r="BM314" s="73" t="str">
        <x:f>IF(A314="","",IF(AI314="Example","Example only",IF(AI314&lt;&gt;"Actual","Set record type",IF(COUNTIF($A$2:$A$1001,A314)&gt;1,"Duplicate record ID",IF(OR(D314="",E314="",AF314="",NOT(ISNUMBER(AG314)),AJ314="",AK314="",NOT(ISNUMBER(AL314)),AND(AM314&lt;&gt;"Observed",AM314&lt;&gt;"Corroborated",AM314&lt;&gt;"Declared"),OR(AN314="",AN314="Unknown"),OR(AQ314="",AQ314="Unknown"),OR(AR314="",AR314="Unknown",AR314="TBD"),OR(BC314="",NOT(ISNUMBER(BC314)))),"Evidence incomplete","Evidence recorded; review scope")))))</x:f>
      </x:c>
      <x:c r="BN314" s="73"/>
    </x:row>
    <x:row r="315" ht="34" customHeight="1">
      <x:c r="A315" s="73"/>
      <x:c r="B315" s="73"/>
      <x:c r="C315" s="73"/>
      <x:c r="D315" s="73"/>
      <x:c r="E315" s="73"/>
      <x:c r="F315" s="73"/>
      <x:c r="G315" s="73"/>
      <x:c r="H315" s="73"/>
      <x:c r="I315" s="75"/>
      <x:c r="J315" s="73"/>
      <x:c r="K315" s="73"/>
      <x:c r="L315" s="76"/>
      <x:c r="M315" s="73"/>
      <x:c r="N315" s="73"/>
      <x:c r="O315" s="73"/>
      <x:c r="P315" s="73"/>
      <x:c r="Q315" s="76"/>
      <x:c r="R315" s="73"/>
      <x:c r="S315" s="73"/>
      <x:c r="T315" s="73"/>
      <x:c r="U315" s="73"/>
      <x:c r="V315" s="73"/>
      <x:c r="W315" s="73"/>
      <x:c r="X315" s="73"/>
      <x:c r="Y315" s="73"/>
      <x:c r="Z315" s="73"/>
      <x:c r="AA315" s="73"/>
      <x:c r="AB315" s="76" t="str">
        <x:f>IF(A315="","",IF(OR(NOT(ISNUMBER(I315)),I315&lt;0,NOT(ISNUMBER(AP315)),AP315&lt;0,NOT(ISNUMBER(L315)),L315&lt;1,L315&gt;5,L315&lt;&gt;INT(L315),AND(J315&lt;&gt;"Public",J315&lt;&gt;"Partner",J315&lt;&gt;"Internal",J315&lt;&gt;"None"),AND(K315&lt;&gt;"High",K315&lt;&gt;"Medium",K315&lt;&gt;"Low",K315&lt;&gt;"None"),AND(W315&lt;&gt;"Hard-coded",W315&lt;&gt;"Configurable",W315&lt;&gt;"Policy-managed",W315&lt;&gt;"API/Library abstraction",W315&lt;&gt;"Automated"),AND(Z315&lt;&gt;"Y",Z315&lt;&gt;"N"),AND(AA315&lt;&gt;"Y",AA315&lt;&gt;"N")),"Incomplete",IF(Z315="Y",20,0)+L315*5+IF(AA315="Y",15,0)+IF(J315="Public",10,IF(J315="Partner",7,IF(J315="Internal",3,0)))+IF(W315="Hard-coded",10,IF(W315="Configurable",3,0))+IF(MAX(I315,AP315)&gt;=10,10,IF(MAX(I315,AP315)&gt;=5,7,IF(MAX(I315,AP315)&gt;=2,3,0)))+IF(K315="High",10,IF(K315="Medium",5,0))))</x:f>
      </x:c>
      <x:c r="AC315" s="73" t="str">
        <x:f>IF(A315="","",IF(NOT(ISNUMBER(AB315)),"Review inputs",IF(AB315&gt;=70,"P0 - Immediate",IF(AB315&gt;=50,"P1 - High",IF(AB315&gt;=30,"P2 - Medium",IF(AB315&gt;=15,"P3 - Low","P4 - Monitor"))))))</x:f>
      </x:c>
      <x:c r="AD315" s="73"/>
      <x:c r="AE315" s="73"/>
      <x:c r="AF315" s="73"/>
      <x:c r="AG315" s="77"/>
      <x:c r="AH315" s="73"/>
      <x:c r="AI315" s="91"/>
      <x:c r="AJ315" s="91"/>
      <x:c r="AK315" s="91"/>
      <x:c r="AL315" s="92"/>
      <x:c r="AM315" s="91"/>
      <x:c r="AN315" s="91"/>
      <x:c r="AO315" s="93"/>
      <x:c r="AP315" s="94"/>
      <x:c r="AQ315" s="91"/>
      <x:c r="AR315" s="91"/>
      <x:c r="AS315" s="91"/>
      <x:c r="AT315" s="91"/>
      <x:c r="AU315" s="91"/>
      <x:c r="AV315" s="91"/>
      <x:c r="AW315" s="91"/>
      <x:c r="AX315" s="91"/>
      <x:c r="AY315" s="91"/>
      <x:c r="AZ315" s="92"/>
      <x:c r="BA315" s="94"/>
      <x:c r="BB315" s="91"/>
      <x:c r="BC315" s="92"/>
      <x:c r="BD315" s="92"/>
      <x:c r="BE315" s="91"/>
      <x:c r="BF315" s="91"/>
      <x:c r="BG315" s="91"/>
      <x:c r="BH315" s="91"/>
      <x:c r="BI315" s="91"/>
      <x:c r="BJ315" s="91"/>
      <x:c r="BK315" s="91"/>
      <x:c r="BL315" s="91"/>
      <x:c r="BM315" s="73" t="str">
        <x:f>IF(A315="","",IF(AI315="Example","Example only",IF(AI315&lt;&gt;"Actual","Set record type",IF(COUNTIF($A$2:$A$1001,A315)&gt;1,"Duplicate record ID",IF(OR(D315="",E315="",AF315="",NOT(ISNUMBER(AG315)),AJ315="",AK315="",NOT(ISNUMBER(AL315)),AND(AM315&lt;&gt;"Observed",AM315&lt;&gt;"Corroborated",AM315&lt;&gt;"Declared"),OR(AN315="",AN315="Unknown"),OR(AQ315="",AQ315="Unknown"),OR(AR315="",AR315="Unknown",AR315="TBD"),OR(BC315="",NOT(ISNUMBER(BC315)))),"Evidence incomplete","Evidence recorded; review scope")))))</x:f>
      </x:c>
      <x:c r="BN315" s="73"/>
    </x:row>
    <x:row r="316" ht="34" customHeight="1">
      <x:c r="A316" s="73"/>
      <x:c r="B316" s="73"/>
      <x:c r="C316" s="73"/>
      <x:c r="D316" s="73"/>
      <x:c r="E316" s="73"/>
      <x:c r="F316" s="73"/>
      <x:c r="G316" s="73"/>
      <x:c r="H316" s="73"/>
      <x:c r="I316" s="75"/>
      <x:c r="J316" s="73"/>
      <x:c r="K316" s="73"/>
      <x:c r="L316" s="76"/>
      <x:c r="M316" s="73"/>
      <x:c r="N316" s="73"/>
      <x:c r="O316" s="73"/>
      <x:c r="P316" s="73"/>
      <x:c r="Q316" s="76"/>
      <x:c r="R316" s="73"/>
      <x:c r="S316" s="73"/>
      <x:c r="T316" s="73"/>
      <x:c r="U316" s="73"/>
      <x:c r="V316" s="73"/>
      <x:c r="W316" s="73"/>
      <x:c r="X316" s="73"/>
      <x:c r="Y316" s="73"/>
      <x:c r="Z316" s="73"/>
      <x:c r="AA316" s="73"/>
      <x:c r="AB316" s="76" t="str">
        <x:f>IF(A316="","",IF(OR(NOT(ISNUMBER(I316)),I316&lt;0,NOT(ISNUMBER(AP316)),AP316&lt;0,NOT(ISNUMBER(L316)),L316&lt;1,L316&gt;5,L316&lt;&gt;INT(L316),AND(J316&lt;&gt;"Public",J316&lt;&gt;"Partner",J316&lt;&gt;"Internal",J316&lt;&gt;"None"),AND(K316&lt;&gt;"High",K316&lt;&gt;"Medium",K316&lt;&gt;"Low",K316&lt;&gt;"None"),AND(W316&lt;&gt;"Hard-coded",W316&lt;&gt;"Configurable",W316&lt;&gt;"Policy-managed",W316&lt;&gt;"API/Library abstraction",W316&lt;&gt;"Automated"),AND(Z316&lt;&gt;"Y",Z316&lt;&gt;"N"),AND(AA316&lt;&gt;"Y",AA316&lt;&gt;"N")),"Incomplete",IF(Z316="Y",20,0)+L316*5+IF(AA316="Y",15,0)+IF(J316="Public",10,IF(J316="Partner",7,IF(J316="Internal",3,0)))+IF(W316="Hard-coded",10,IF(W316="Configurable",3,0))+IF(MAX(I316,AP316)&gt;=10,10,IF(MAX(I316,AP316)&gt;=5,7,IF(MAX(I316,AP316)&gt;=2,3,0)))+IF(K316="High",10,IF(K316="Medium",5,0))))</x:f>
      </x:c>
      <x:c r="AC316" s="73" t="str">
        <x:f>IF(A316="","",IF(NOT(ISNUMBER(AB316)),"Review inputs",IF(AB316&gt;=70,"P0 - Immediate",IF(AB316&gt;=50,"P1 - High",IF(AB316&gt;=30,"P2 - Medium",IF(AB316&gt;=15,"P3 - Low","P4 - Monitor"))))))</x:f>
      </x:c>
      <x:c r="AD316" s="73"/>
      <x:c r="AE316" s="73"/>
      <x:c r="AF316" s="73"/>
      <x:c r="AG316" s="77"/>
      <x:c r="AH316" s="73"/>
      <x:c r="AI316" s="91"/>
      <x:c r="AJ316" s="91"/>
      <x:c r="AK316" s="91"/>
      <x:c r="AL316" s="92"/>
      <x:c r="AM316" s="91"/>
      <x:c r="AN316" s="91"/>
      <x:c r="AO316" s="93"/>
      <x:c r="AP316" s="94"/>
      <x:c r="AQ316" s="91"/>
      <x:c r="AR316" s="91"/>
      <x:c r="AS316" s="91"/>
      <x:c r="AT316" s="91"/>
      <x:c r="AU316" s="91"/>
      <x:c r="AV316" s="91"/>
      <x:c r="AW316" s="91"/>
      <x:c r="AX316" s="91"/>
      <x:c r="AY316" s="91"/>
      <x:c r="AZ316" s="92"/>
      <x:c r="BA316" s="94"/>
      <x:c r="BB316" s="91"/>
      <x:c r="BC316" s="92"/>
      <x:c r="BD316" s="92"/>
      <x:c r="BE316" s="91"/>
      <x:c r="BF316" s="91"/>
      <x:c r="BG316" s="91"/>
      <x:c r="BH316" s="91"/>
      <x:c r="BI316" s="91"/>
      <x:c r="BJ316" s="91"/>
      <x:c r="BK316" s="91"/>
      <x:c r="BL316" s="91"/>
      <x:c r="BM316" s="73" t="str">
        <x:f>IF(A316="","",IF(AI316="Example","Example only",IF(AI316&lt;&gt;"Actual","Set record type",IF(COUNTIF($A$2:$A$1001,A316)&gt;1,"Duplicate record ID",IF(OR(D316="",E316="",AF316="",NOT(ISNUMBER(AG316)),AJ316="",AK316="",NOT(ISNUMBER(AL316)),AND(AM316&lt;&gt;"Observed",AM316&lt;&gt;"Corroborated",AM316&lt;&gt;"Declared"),OR(AN316="",AN316="Unknown"),OR(AQ316="",AQ316="Unknown"),OR(AR316="",AR316="Unknown",AR316="TBD"),OR(BC316="",NOT(ISNUMBER(BC316)))),"Evidence incomplete","Evidence recorded; review scope")))))</x:f>
      </x:c>
      <x:c r="BN316" s="73"/>
    </x:row>
    <x:row r="317" ht="34" customHeight="1">
      <x:c r="A317" s="73"/>
      <x:c r="B317" s="73"/>
      <x:c r="C317" s="73"/>
      <x:c r="D317" s="73"/>
      <x:c r="E317" s="73"/>
      <x:c r="F317" s="73"/>
      <x:c r="G317" s="73"/>
      <x:c r="H317" s="73"/>
      <x:c r="I317" s="75"/>
      <x:c r="J317" s="73"/>
      <x:c r="K317" s="73"/>
      <x:c r="L317" s="76"/>
      <x:c r="M317" s="73"/>
      <x:c r="N317" s="73"/>
      <x:c r="O317" s="73"/>
      <x:c r="P317" s="73"/>
      <x:c r="Q317" s="76"/>
      <x:c r="R317" s="73"/>
      <x:c r="S317" s="73"/>
      <x:c r="T317" s="73"/>
      <x:c r="U317" s="73"/>
      <x:c r="V317" s="73"/>
      <x:c r="W317" s="73"/>
      <x:c r="X317" s="73"/>
      <x:c r="Y317" s="73"/>
      <x:c r="Z317" s="73"/>
      <x:c r="AA317" s="73"/>
      <x:c r="AB317" s="76" t="str">
        <x:f>IF(A317="","",IF(OR(NOT(ISNUMBER(I317)),I317&lt;0,NOT(ISNUMBER(AP317)),AP317&lt;0,NOT(ISNUMBER(L317)),L317&lt;1,L317&gt;5,L317&lt;&gt;INT(L317),AND(J317&lt;&gt;"Public",J317&lt;&gt;"Partner",J317&lt;&gt;"Internal",J317&lt;&gt;"None"),AND(K317&lt;&gt;"High",K317&lt;&gt;"Medium",K317&lt;&gt;"Low",K317&lt;&gt;"None"),AND(W317&lt;&gt;"Hard-coded",W317&lt;&gt;"Configurable",W317&lt;&gt;"Policy-managed",W317&lt;&gt;"API/Library abstraction",W317&lt;&gt;"Automated"),AND(Z317&lt;&gt;"Y",Z317&lt;&gt;"N"),AND(AA317&lt;&gt;"Y",AA317&lt;&gt;"N")),"Incomplete",IF(Z317="Y",20,0)+L317*5+IF(AA317="Y",15,0)+IF(J317="Public",10,IF(J317="Partner",7,IF(J317="Internal",3,0)))+IF(W317="Hard-coded",10,IF(W317="Configurable",3,0))+IF(MAX(I317,AP317)&gt;=10,10,IF(MAX(I317,AP317)&gt;=5,7,IF(MAX(I317,AP317)&gt;=2,3,0)))+IF(K317="High",10,IF(K317="Medium",5,0))))</x:f>
      </x:c>
      <x:c r="AC317" s="73" t="str">
        <x:f>IF(A317="","",IF(NOT(ISNUMBER(AB317)),"Review inputs",IF(AB317&gt;=70,"P0 - Immediate",IF(AB317&gt;=50,"P1 - High",IF(AB317&gt;=30,"P2 - Medium",IF(AB317&gt;=15,"P3 - Low","P4 - Monitor"))))))</x:f>
      </x:c>
      <x:c r="AD317" s="73"/>
      <x:c r="AE317" s="73"/>
      <x:c r="AF317" s="73"/>
      <x:c r="AG317" s="77"/>
      <x:c r="AH317" s="73"/>
      <x:c r="AI317" s="91"/>
      <x:c r="AJ317" s="91"/>
      <x:c r="AK317" s="91"/>
      <x:c r="AL317" s="92"/>
      <x:c r="AM317" s="91"/>
      <x:c r="AN317" s="91"/>
      <x:c r="AO317" s="93"/>
      <x:c r="AP317" s="94"/>
      <x:c r="AQ317" s="91"/>
      <x:c r="AR317" s="91"/>
      <x:c r="AS317" s="91"/>
      <x:c r="AT317" s="91"/>
      <x:c r="AU317" s="91"/>
      <x:c r="AV317" s="91"/>
      <x:c r="AW317" s="91"/>
      <x:c r="AX317" s="91"/>
      <x:c r="AY317" s="91"/>
      <x:c r="AZ317" s="92"/>
      <x:c r="BA317" s="94"/>
      <x:c r="BB317" s="91"/>
      <x:c r="BC317" s="92"/>
      <x:c r="BD317" s="92"/>
      <x:c r="BE317" s="91"/>
      <x:c r="BF317" s="91"/>
      <x:c r="BG317" s="91"/>
      <x:c r="BH317" s="91"/>
      <x:c r="BI317" s="91"/>
      <x:c r="BJ317" s="91"/>
      <x:c r="BK317" s="91"/>
      <x:c r="BL317" s="91"/>
      <x:c r="BM317" s="73" t="str">
        <x:f>IF(A317="","",IF(AI317="Example","Example only",IF(AI317&lt;&gt;"Actual","Set record type",IF(COUNTIF($A$2:$A$1001,A317)&gt;1,"Duplicate record ID",IF(OR(D317="",E317="",AF317="",NOT(ISNUMBER(AG317)),AJ317="",AK317="",NOT(ISNUMBER(AL317)),AND(AM317&lt;&gt;"Observed",AM317&lt;&gt;"Corroborated",AM317&lt;&gt;"Declared"),OR(AN317="",AN317="Unknown"),OR(AQ317="",AQ317="Unknown"),OR(AR317="",AR317="Unknown",AR317="TBD"),OR(BC317="",NOT(ISNUMBER(BC317)))),"Evidence incomplete","Evidence recorded; review scope")))))</x:f>
      </x:c>
      <x:c r="BN317" s="73"/>
    </x:row>
    <x:row r="318" ht="34" customHeight="1">
      <x:c r="A318" s="73"/>
      <x:c r="B318" s="73"/>
      <x:c r="C318" s="73"/>
      <x:c r="D318" s="73"/>
      <x:c r="E318" s="73"/>
      <x:c r="F318" s="73"/>
      <x:c r="G318" s="73"/>
      <x:c r="H318" s="73"/>
      <x:c r="I318" s="75"/>
      <x:c r="J318" s="73"/>
      <x:c r="K318" s="73"/>
      <x:c r="L318" s="76"/>
      <x:c r="M318" s="73"/>
      <x:c r="N318" s="73"/>
      <x:c r="O318" s="73"/>
      <x:c r="P318" s="73"/>
      <x:c r="Q318" s="76"/>
      <x:c r="R318" s="73"/>
      <x:c r="S318" s="73"/>
      <x:c r="T318" s="73"/>
      <x:c r="U318" s="73"/>
      <x:c r="V318" s="73"/>
      <x:c r="W318" s="73"/>
      <x:c r="X318" s="73"/>
      <x:c r="Y318" s="73"/>
      <x:c r="Z318" s="73"/>
      <x:c r="AA318" s="73"/>
      <x:c r="AB318" s="76" t="str">
        <x:f>IF(A318="","",IF(OR(NOT(ISNUMBER(I318)),I318&lt;0,NOT(ISNUMBER(AP318)),AP318&lt;0,NOT(ISNUMBER(L318)),L318&lt;1,L318&gt;5,L318&lt;&gt;INT(L318),AND(J318&lt;&gt;"Public",J318&lt;&gt;"Partner",J318&lt;&gt;"Internal",J318&lt;&gt;"None"),AND(K318&lt;&gt;"High",K318&lt;&gt;"Medium",K318&lt;&gt;"Low",K318&lt;&gt;"None"),AND(W318&lt;&gt;"Hard-coded",W318&lt;&gt;"Configurable",W318&lt;&gt;"Policy-managed",W318&lt;&gt;"API/Library abstraction",W318&lt;&gt;"Automated"),AND(Z318&lt;&gt;"Y",Z318&lt;&gt;"N"),AND(AA318&lt;&gt;"Y",AA318&lt;&gt;"N")),"Incomplete",IF(Z318="Y",20,0)+L318*5+IF(AA318="Y",15,0)+IF(J318="Public",10,IF(J318="Partner",7,IF(J318="Internal",3,0)))+IF(W318="Hard-coded",10,IF(W318="Configurable",3,0))+IF(MAX(I318,AP318)&gt;=10,10,IF(MAX(I318,AP318)&gt;=5,7,IF(MAX(I318,AP318)&gt;=2,3,0)))+IF(K318="High",10,IF(K318="Medium",5,0))))</x:f>
      </x:c>
      <x:c r="AC318" s="73" t="str">
        <x:f>IF(A318="","",IF(NOT(ISNUMBER(AB318)),"Review inputs",IF(AB318&gt;=70,"P0 - Immediate",IF(AB318&gt;=50,"P1 - High",IF(AB318&gt;=30,"P2 - Medium",IF(AB318&gt;=15,"P3 - Low","P4 - Monitor"))))))</x:f>
      </x:c>
      <x:c r="AD318" s="73"/>
      <x:c r="AE318" s="73"/>
      <x:c r="AF318" s="73"/>
      <x:c r="AG318" s="77"/>
      <x:c r="AH318" s="73"/>
      <x:c r="AI318" s="91"/>
      <x:c r="AJ318" s="91"/>
      <x:c r="AK318" s="91"/>
      <x:c r="AL318" s="92"/>
      <x:c r="AM318" s="91"/>
      <x:c r="AN318" s="91"/>
      <x:c r="AO318" s="93"/>
      <x:c r="AP318" s="94"/>
      <x:c r="AQ318" s="91"/>
      <x:c r="AR318" s="91"/>
      <x:c r="AS318" s="91"/>
      <x:c r="AT318" s="91"/>
      <x:c r="AU318" s="91"/>
      <x:c r="AV318" s="91"/>
      <x:c r="AW318" s="91"/>
      <x:c r="AX318" s="91"/>
      <x:c r="AY318" s="91"/>
      <x:c r="AZ318" s="92"/>
      <x:c r="BA318" s="94"/>
      <x:c r="BB318" s="91"/>
      <x:c r="BC318" s="92"/>
      <x:c r="BD318" s="92"/>
      <x:c r="BE318" s="91"/>
      <x:c r="BF318" s="91"/>
      <x:c r="BG318" s="91"/>
      <x:c r="BH318" s="91"/>
      <x:c r="BI318" s="91"/>
      <x:c r="BJ318" s="91"/>
      <x:c r="BK318" s="91"/>
      <x:c r="BL318" s="91"/>
      <x:c r="BM318" s="73" t="str">
        <x:f>IF(A318="","",IF(AI318="Example","Example only",IF(AI318&lt;&gt;"Actual","Set record type",IF(COUNTIF($A$2:$A$1001,A318)&gt;1,"Duplicate record ID",IF(OR(D318="",E318="",AF318="",NOT(ISNUMBER(AG318)),AJ318="",AK318="",NOT(ISNUMBER(AL318)),AND(AM318&lt;&gt;"Observed",AM318&lt;&gt;"Corroborated",AM318&lt;&gt;"Declared"),OR(AN318="",AN318="Unknown"),OR(AQ318="",AQ318="Unknown"),OR(AR318="",AR318="Unknown",AR318="TBD"),OR(BC318="",NOT(ISNUMBER(BC318)))),"Evidence incomplete","Evidence recorded; review scope")))))</x:f>
      </x:c>
      <x:c r="BN318" s="73"/>
    </x:row>
    <x:row r="319" ht="34" customHeight="1">
      <x:c r="A319" s="73"/>
      <x:c r="B319" s="73"/>
      <x:c r="C319" s="73"/>
      <x:c r="D319" s="73"/>
      <x:c r="E319" s="73"/>
      <x:c r="F319" s="73"/>
      <x:c r="G319" s="73"/>
      <x:c r="H319" s="73"/>
      <x:c r="I319" s="75"/>
      <x:c r="J319" s="73"/>
      <x:c r="K319" s="73"/>
      <x:c r="L319" s="76"/>
      <x:c r="M319" s="73"/>
      <x:c r="N319" s="73"/>
      <x:c r="O319" s="73"/>
      <x:c r="P319" s="73"/>
      <x:c r="Q319" s="76"/>
      <x:c r="R319" s="73"/>
      <x:c r="S319" s="73"/>
      <x:c r="T319" s="73"/>
      <x:c r="U319" s="73"/>
      <x:c r="V319" s="73"/>
      <x:c r="W319" s="73"/>
      <x:c r="X319" s="73"/>
      <x:c r="Y319" s="73"/>
      <x:c r="Z319" s="73"/>
      <x:c r="AA319" s="73"/>
      <x:c r="AB319" s="76" t="str">
        <x:f>IF(A319="","",IF(OR(NOT(ISNUMBER(I319)),I319&lt;0,NOT(ISNUMBER(AP319)),AP319&lt;0,NOT(ISNUMBER(L319)),L319&lt;1,L319&gt;5,L319&lt;&gt;INT(L319),AND(J319&lt;&gt;"Public",J319&lt;&gt;"Partner",J319&lt;&gt;"Internal",J319&lt;&gt;"None"),AND(K319&lt;&gt;"High",K319&lt;&gt;"Medium",K319&lt;&gt;"Low",K319&lt;&gt;"None"),AND(W319&lt;&gt;"Hard-coded",W319&lt;&gt;"Configurable",W319&lt;&gt;"Policy-managed",W319&lt;&gt;"API/Library abstraction",W319&lt;&gt;"Automated"),AND(Z319&lt;&gt;"Y",Z319&lt;&gt;"N"),AND(AA319&lt;&gt;"Y",AA319&lt;&gt;"N")),"Incomplete",IF(Z319="Y",20,0)+L319*5+IF(AA319="Y",15,0)+IF(J319="Public",10,IF(J319="Partner",7,IF(J319="Internal",3,0)))+IF(W319="Hard-coded",10,IF(W319="Configurable",3,0))+IF(MAX(I319,AP319)&gt;=10,10,IF(MAX(I319,AP319)&gt;=5,7,IF(MAX(I319,AP319)&gt;=2,3,0)))+IF(K319="High",10,IF(K319="Medium",5,0))))</x:f>
      </x:c>
      <x:c r="AC319" s="73" t="str">
        <x:f>IF(A319="","",IF(NOT(ISNUMBER(AB319)),"Review inputs",IF(AB319&gt;=70,"P0 - Immediate",IF(AB319&gt;=50,"P1 - High",IF(AB319&gt;=30,"P2 - Medium",IF(AB319&gt;=15,"P3 - Low","P4 - Monitor"))))))</x:f>
      </x:c>
      <x:c r="AD319" s="73"/>
      <x:c r="AE319" s="73"/>
      <x:c r="AF319" s="73"/>
      <x:c r="AG319" s="77"/>
      <x:c r="AH319" s="73"/>
      <x:c r="AI319" s="91"/>
      <x:c r="AJ319" s="91"/>
      <x:c r="AK319" s="91"/>
      <x:c r="AL319" s="92"/>
      <x:c r="AM319" s="91"/>
      <x:c r="AN319" s="91"/>
      <x:c r="AO319" s="93"/>
      <x:c r="AP319" s="94"/>
      <x:c r="AQ319" s="91"/>
      <x:c r="AR319" s="91"/>
      <x:c r="AS319" s="91"/>
      <x:c r="AT319" s="91"/>
      <x:c r="AU319" s="91"/>
      <x:c r="AV319" s="91"/>
      <x:c r="AW319" s="91"/>
      <x:c r="AX319" s="91"/>
      <x:c r="AY319" s="91"/>
      <x:c r="AZ319" s="92"/>
      <x:c r="BA319" s="94"/>
      <x:c r="BB319" s="91"/>
      <x:c r="BC319" s="92"/>
      <x:c r="BD319" s="92"/>
      <x:c r="BE319" s="91"/>
      <x:c r="BF319" s="91"/>
      <x:c r="BG319" s="91"/>
      <x:c r="BH319" s="91"/>
      <x:c r="BI319" s="91"/>
      <x:c r="BJ319" s="91"/>
      <x:c r="BK319" s="91"/>
      <x:c r="BL319" s="91"/>
      <x:c r="BM319" s="73" t="str">
        <x:f>IF(A319="","",IF(AI319="Example","Example only",IF(AI319&lt;&gt;"Actual","Set record type",IF(COUNTIF($A$2:$A$1001,A319)&gt;1,"Duplicate record ID",IF(OR(D319="",E319="",AF319="",NOT(ISNUMBER(AG319)),AJ319="",AK319="",NOT(ISNUMBER(AL319)),AND(AM319&lt;&gt;"Observed",AM319&lt;&gt;"Corroborated",AM319&lt;&gt;"Declared"),OR(AN319="",AN319="Unknown"),OR(AQ319="",AQ319="Unknown"),OR(AR319="",AR319="Unknown",AR319="TBD"),OR(BC319="",NOT(ISNUMBER(BC319)))),"Evidence incomplete","Evidence recorded; review scope")))))</x:f>
      </x:c>
      <x:c r="BN319" s="73"/>
    </x:row>
    <x:row r="320" ht="34" customHeight="1">
      <x:c r="A320" s="73"/>
      <x:c r="B320" s="73"/>
      <x:c r="C320" s="73"/>
      <x:c r="D320" s="73"/>
      <x:c r="E320" s="73"/>
      <x:c r="F320" s="73"/>
      <x:c r="G320" s="73"/>
      <x:c r="H320" s="73"/>
      <x:c r="I320" s="75"/>
      <x:c r="J320" s="73"/>
      <x:c r="K320" s="73"/>
      <x:c r="L320" s="76"/>
      <x:c r="M320" s="73"/>
      <x:c r="N320" s="73"/>
      <x:c r="O320" s="73"/>
      <x:c r="P320" s="73"/>
      <x:c r="Q320" s="76"/>
      <x:c r="R320" s="73"/>
      <x:c r="S320" s="73"/>
      <x:c r="T320" s="73"/>
      <x:c r="U320" s="73"/>
      <x:c r="V320" s="73"/>
      <x:c r="W320" s="73"/>
      <x:c r="X320" s="73"/>
      <x:c r="Y320" s="73"/>
      <x:c r="Z320" s="73"/>
      <x:c r="AA320" s="73"/>
      <x:c r="AB320" s="76" t="str">
        <x:f>IF(A320="","",IF(OR(NOT(ISNUMBER(I320)),I320&lt;0,NOT(ISNUMBER(AP320)),AP320&lt;0,NOT(ISNUMBER(L320)),L320&lt;1,L320&gt;5,L320&lt;&gt;INT(L320),AND(J320&lt;&gt;"Public",J320&lt;&gt;"Partner",J320&lt;&gt;"Internal",J320&lt;&gt;"None"),AND(K320&lt;&gt;"High",K320&lt;&gt;"Medium",K320&lt;&gt;"Low",K320&lt;&gt;"None"),AND(W320&lt;&gt;"Hard-coded",W320&lt;&gt;"Configurable",W320&lt;&gt;"Policy-managed",W320&lt;&gt;"API/Library abstraction",W320&lt;&gt;"Automated"),AND(Z320&lt;&gt;"Y",Z320&lt;&gt;"N"),AND(AA320&lt;&gt;"Y",AA320&lt;&gt;"N")),"Incomplete",IF(Z320="Y",20,0)+L320*5+IF(AA320="Y",15,0)+IF(J320="Public",10,IF(J320="Partner",7,IF(J320="Internal",3,0)))+IF(W320="Hard-coded",10,IF(W320="Configurable",3,0))+IF(MAX(I320,AP320)&gt;=10,10,IF(MAX(I320,AP320)&gt;=5,7,IF(MAX(I320,AP320)&gt;=2,3,0)))+IF(K320="High",10,IF(K320="Medium",5,0))))</x:f>
      </x:c>
      <x:c r="AC320" s="73" t="str">
        <x:f>IF(A320="","",IF(NOT(ISNUMBER(AB320)),"Review inputs",IF(AB320&gt;=70,"P0 - Immediate",IF(AB320&gt;=50,"P1 - High",IF(AB320&gt;=30,"P2 - Medium",IF(AB320&gt;=15,"P3 - Low","P4 - Monitor"))))))</x:f>
      </x:c>
      <x:c r="AD320" s="73"/>
      <x:c r="AE320" s="73"/>
      <x:c r="AF320" s="73"/>
      <x:c r="AG320" s="77"/>
      <x:c r="AH320" s="73"/>
      <x:c r="AI320" s="91"/>
      <x:c r="AJ320" s="91"/>
      <x:c r="AK320" s="91"/>
      <x:c r="AL320" s="92"/>
      <x:c r="AM320" s="91"/>
      <x:c r="AN320" s="91"/>
      <x:c r="AO320" s="93"/>
      <x:c r="AP320" s="94"/>
      <x:c r="AQ320" s="91"/>
      <x:c r="AR320" s="91"/>
      <x:c r="AS320" s="91"/>
      <x:c r="AT320" s="91"/>
      <x:c r="AU320" s="91"/>
      <x:c r="AV320" s="91"/>
      <x:c r="AW320" s="91"/>
      <x:c r="AX320" s="91"/>
      <x:c r="AY320" s="91"/>
      <x:c r="AZ320" s="92"/>
      <x:c r="BA320" s="94"/>
      <x:c r="BB320" s="91"/>
      <x:c r="BC320" s="92"/>
      <x:c r="BD320" s="92"/>
      <x:c r="BE320" s="91"/>
      <x:c r="BF320" s="91"/>
      <x:c r="BG320" s="91"/>
      <x:c r="BH320" s="91"/>
      <x:c r="BI320" s="91"/>
      <x:c r="BJ320" s="91"/>
      <x:c r="BK320" s="91"/>
      <x:c r="BL320" s="91"/>
      <x:c r="BM320" s="73" t="str">
        <x:f>IF(A320="","",IF(AI320="Example","Example only",IF(AI320&lt;&gt;"Actual","Set record type",IF(COUNTIF($A$2:$A$1001,A320)&gt;1,"Duplicate record ID",IF(OR(D320="",E320="",AF320="",NOT(ISNUMBER(AG320)),AJ320="",AK320="",NOT(ISNUMBER(AL320)),AND(AM320&lt;&gt;"Observed",AM320&lt;&gt;"Corroborated",AM320&lt;&gt;"Declared"),OR(AN320="",AN320="Unknown"),OR(AQ320="",AQ320="Unknown"),OR(AR320="",AR320="Unknown",AR320="TBD"),OR(BC320="",NOT(ISNUMBER(BC320)))),"Evidence incomplete","Evidence recorded; review scope")))))</x:f>
      </x:c>
      <x:c r="BN320" s="73"/>
    </x:row>
    <x:row r="321" ht="34" customHeight="1">
      <x:c r="A321" s="73"/>
      <x:c r="B321" s="73"/>
      <x:c r="C321" s="73"/>
      <x:c r="D321" s="73"/>
      <x:c r="E321" s="73"/>
      <x:c r="F321" s="73"/>
      <x:c r="G321" s="73"/>
      <x:c r="H321" s="73"/>
      <x:c r="I321" s="75"/>
      <x:c r="J321" s="73"/>
      <x:c r="K321" s="73"/>
      <x:c r="L321" s="76"/>
      <x:c r="M321" s="73"/>
      <x:c r="N321" s="73"/>
      <x:c r="O321" s="73"/>
      <x:c r="P321" s="73"/>
      <x:c r="Q321" s="76"/>
      <x:c r="R321" s="73"/>
      <x:c r="S321" s="73"/>
      <x:c r="T321" s="73"/>
      <x:c r="U321" s="73"/>
      <x:c r="V321" s="73"/>
      <x:c r="W321" s="73"/>
      <x:c r="X321" s="73"/>
      <x:c r="Y321" s="73"/>
      <x:c r="Z321" s="73"/>
      <x:c r="AA321" s="73"/>
      <x:c r="AB321" s="76" t="str">
        <x:f>IF(A321="","",IF(OR(NOT(ISNUMBER(I321)),I321&lt;0,NOT(ISNUMBER(AP321)),AP321&lt;0,NOT(ISNUMBER(L321)),L321&lt;1,L321&gt;5,L321&lt;&gt;INT(L321),AND(J321&lt;&gt;"Public",J321&lt;&gt;"Partner",J321&lt;&gt;"Internal",J321&lt;&gt;"None"),AND(K321&lt;&gt;"High",K321&lt;&gt;"Medium",K321&lt;&gt;"Low",K321&lt;&gt;"None"),AND(W321&lt;&gt;"Hard-coded",W321&lt;&gt;"Configurable",W321&lt;&gt;"Policy-managed",W321&lt;&gt;"API/Library abstraction",W321&lt;&gt;"Automated"),AND(Z321&lt;&gt;"Y",Z321&lt;&gt;"N"),AND(AA321&lt;&gt;"Y",AA321&lt;&gt;"N")),"Incomplete",IF(Z321="Y",20,0)+L321*5+IF(AA321="Y",15,0)+IF(J321="Public",10,IF(J321="Partner",7,IF(J321="Internal",3,0)))+IF(W321="Hard-coded",10,IF(W321="Configurable",3,0))+IF(MAX(I321,AP321)&gt;=10,10,IF(MAX(I321,AP321)&gt;=5,7,IF(MAX(I321,AP321)&gt;=2,3,0)))+IF(K321="High",10,IF(K321="Medium",5,0))))</x:f>
      </x:c>
      <x:c r="AC321" s="73" t="str">
        <x:f>IF(A321="","",IF(NOT(ISNUMBER(AB321)),"Review inputs",IF(AB321&gt;=70,"P0 - Immediate",IF(AB321&gt;=50,"P1 - High",IF(AB321&gt;=30,"P2 - Medium",IF(AB321&gt;=15,"P3 - Low","P4 - Monitor"))))))</x:f>
      </x:c>
      <x:c r="AD321" s="73"/>
      <x:c r="AE321" s="73"/>
      <x:c r="AF321" s="73"/>
      <x:c r="AG321" s="77"/>
      <x:c r="AH321" s="73"/>
      <x:c r="AI321" s="91"/>
      <x:c r="AJ321" s="91"/>
      <x:c r="AK321" s="91"/>
      <x:c r="AL321" s="92"/>
      <x:c r="AM321" s="91"/>
      <x:c r="AN321" s="91"/>
      <x:c r="AO321" s="93"/>
      <x:c r="AP321" s="94"/>
      <x:c r="AQ321" s="91"/>
      <x:c r="AR321" s="91"/>
      <x:c r="AS321" s="91"/>
      <x:c r="AT321" s="91"/>
      <x:c r="AU321" s="91"/>
      <x:c r="AV321" s="91"/>
      <x:c r="AW321" s="91"/>
      <x:c r="AX321" s="91"/>
      <x:c r="AY321" s="91"/>
      <x:c r="AZ321" s="92"/>
      <x:c r="BA321" s="94"/>
      <x:c r="BB321" s="91"/>
      <x:c r="BC321" s="92"/>
      <x:c r="BD321" s="92"/>
      <x:c r="BE321" s="91"/>
      <x:c r="BF321" s="91"/>
      <x:c r="BG321" s="91"/>
      <x:c r="BH321" s="91"/>
      <x:c r="BI321" s="91"/>
      <x:c r="BJ321" s="91"/>
      <x:c r="BK321" s="91"/>
      <x:c r="BL321" s="91"/>
      <x:c r="BM321" s="73" t="str">
        <x:f>IF(A321="","",IF(AI321="Example","Example only",IF(AI321&lt;&gt;"Actual","Set record type",IF(COUNTIF($A$2:$A$1001,A321)&gt;1,"Duplicate record ID",IF(OR(D321="",E321="",AF321="",NOT(ISNUMBER(AG321)),AJ321="",AK321="",NOT(ISNUMBER(AL321)),AND(AM321&lt;&gt;"Observed",AM321&lt;&gt;"Corroborated",AM321&lt;&gt;"Declared"),OR(AN321="",AN321="Unknown"),OR(AQ321="",AQ321="Unknown"),OR(AR321="",AR321="Unknown",AR321="TBD"),OR(BC321="",NOT(ISNUMBER(BC321)))),"Evidence incomplete","Evidence recorded; review scope")))))</x:f>
      </x:c>
      <x:c r="BN321" s="73"/>
    </x:row>
    <x:row r="322" ht="34" customHeight="1">
      <x:c r="A322" s="73"/>
      <x:c r="B322" s="73"/>
      <x:c r="C322" s="73"/>
      <x:c r="D322" s="73"/>
      <x:c r="E322" s="73"/>
      <x:c r="F322" s="73"/>
      <x:c r="G322" s="73"/>
      <x:c r="H322" s="73"/>
      <x:c r="I322" s="75"/>
      <x:c r="J322" s="73"/>
      <x:c r="K322" s="73"/>
      <x:c r="L322" s="76"/>
      <x:c r="M322" s="73"/>
      <x:c r="N322" s="73"/>
      <x:c r="O322" s="73"/>
      <x:c r="P322" s="73"/>
      <x:c r="Q322" s="76"/>
      <x:c r="R322" s="73"/>
      <x:c r="S322" s="73"/>
      <x:c r="T322" s="73"/>
      <x:c r="U322" s="73"/>
      <x:c r="V322" s="73"/>
      <x:c r="W322" s="73"/>
      <x:c r="X322" s="73"/>
      <x:c r="Y322" s="73"/>
      <x:c r="Z322" s="73"/>
      <x:c r="AA322" s="73"/>
      <x:c r="AB322" s="76" t="str">
        <x:f>IF(A322="","",IF(OR(NOT(ISNUMBER(I322)),I322&lt;0,NOT(ISNUMBER(AP322)),AP322&lt;0,NOT(ISNUMBER(L322)),L322&lt;1,L322&gt;5,L322&lt;&gt;INT(L322),AND(J322&lt;&gt;"Public",J322&lt;&gt;"Partner",J322&lt;&gt;"Internal",J322&lt;&gt;"None"),AND(K322&lt;&gt;"High",K322&lt;&gt;"Medium",K322&lt;&gt;"Low",K322&lt;&gt;"None"),AND(W322&lt;&gt;"Hard-coded",W322&lt;&gt;"Configurable",W322&lt;&gt;"Policy-managed",W322&lt;&gt;"API/Library abstraction",W322&lt;&gt;"Automated"),AND(Z322&lt;&gt;"Y",Z322&lt;&gt;"N"),AND(AA322&lt;&gt;"Y",AA322&lt;&gt;"N")),"Incomplete",IF(Z322="Y",20,0)+L322*5+IF(AA322="Y",15,0)+IF(J322="Public",10,IF(J322="Partner",7,IF(J322="Internal",3,0)))+IF(W322="Hard-coded",10,IF(W322="Configurable",3,0))+IF(MAX(I322,AP322)&gt;=10,10,IF(MAX(I322,AP322)&gt;=5,7,IF(MAX(I322,AP322)&gt;=2,3,0)))+IF(K322="High",10,IF(K322="Medium",5,0))))</x:f>
      </x:c>
      <x:c r="AC322" s="73" t="str">
        <x:f>IF(A322="","",IF(NOT(ISNUMBER(AB322)),"Review inputs",IF(AB322&gt;=70,"P0 - Immediate",IF(AB322&gt;=50,"P1 - High",IF(AB322&gt;=30,"P2 - Medium",IF(AB322&gt;=15,"P3 - Low","P4 - Monitor"))))))</x:f>
      </x:c>
      <x:c r="AD322" s="73"/>
      <x:c r="AE322" s="73"/>
      <x:c r="AF322" s="73"/>
      <x:c r="AG322" s="77"/>
      <x:c r="AH322" s="73"/>
      <x:c r="AI322" s="91"/>
      <x:c r="AJ322" s="91"/>
      <x:c r="AK322" s="91"/>
      <x:c r="AL322" s="92"/>
      <x:c r="AM322" s="91"/>
      <x:c r="AN322" s="91"/>
      <x:c r="AO322" s="93"/>
      <x:c r="AP322" s="94"/>
      <x:c r="AQ322" s="91"/>
      <x:c r="AR322" s="91"/>
      <x:c r="AS322" s="91"/>
      <x:c r="AT322" s="91"/>
      <x:c r="AU322" s="91"/>
      <x:c r="AV322" s="91"/>
      <x:c r="AW322" s="91"/>
      <x:c r="AX322" s="91"/>
      <x:c r="AY322" s="91"/>
      <x:c r="AZ322" s="92"/>
      <x:c r="BA322" s="94"/>
      <x:c r="BB322" s="91"/>
      <x:c r="BC322" s="92"/>
      <x:c r="BD322" s="92"/>
      <x:c r="BE322" s="91"/>
      <x:c r="BF322" s="91"/>
      <x:c r="BG322" s="91"/>
      <x:c r="BH322" s="91"/>
      <x:c r="BI322" s="91"/>
      <x:c r="BJ322" s="91"/>
      <x:c r="BK322" s="91"/>
      <x:c r="BL322" s="91"/>
      <x:c r="BM322" s="73" t="str">
        <x:f>IF(A322="","",IF(AI322="Example","Example only",IF(AI322&lt;&gt;"Actual","Set record type",IF(COUNTIF($A$2:$A$1001,A322)&gt;1,"Duplicate record ID",IF(OR(D322="",E322="",AF322="",NOT(ISNUMBER(AG322)),AJ322="",AK322="",NOT(ISNUMBER(AL322)),AND(AM322&lt;&gt;"Observed",AM322&lt;&gt;"Corroborated",AM322&lt;&gt;"Declared"),OR(AN322="",AN322="Unknown"),OR(AQ322="",AQ322="Unknown"),OR(AR322="",AR322="Unknown",AR322="TBD"),OR(BC322="",NOT(ISNUMBER(BC322)))),"Evidence incomplete","Evidence recorded; review scope")))))</x:f>
      </x:c>
      <x:c r="BN322" s="73"/>
    </x:row>
    <x:row r="323" ht="34" customHeight="1">
      <x:c r="A323" s="73"/>
      <x:c r="B323" s="73"/>
      <x:c r="C323" s="73"/>
      <x:c r="D323" s="73"/>
      <x:c r="E323" s="73"/>
      <x:c r="F323" s="73"/>
      <x:c r="G323" s="73"/>
      <x:c r="H323" s="73"/>
      <x:c r="I323" s="75"/>
      <x:c r="J323" s="73"/>
      <x:c r="K323" s="73"/>
      <x:c r="L323" s="76"/>
      <x:c r="M323" s="73"/>
      <x:c r="N323" s="73"/>
      <x:c r="O323" s="73"/>
      <x:c r="P323" s="73"/>
      <x:c r="Q323" s="76"/>
      <x:c r="R323" s="73"/>
      <x:c r="S323" s="73"/>
      <x:c r="T323" s="73"/>
      <x:c r="U323" s="73"/>
      <x:c r="V323" s="73"/>
      <x:c r="W323" s="73"/>
      <x:c r="X323" s="73"/>
      <x:c r="Y323" s="73"/>
      <x:c r="Z323" s="73"/>
      <x:c r="AA323" s="73"/>
      <x:c r="AB323" s="76" t="str">
        <x:f>IF(A323="","",IF(OR(NOT(ISNUMBER(I323)),I323&lt;0,NOT(ISNUMBER(AP323)),AP323&lt;0,NOT(ISNUMBER(L323)),L323&lt;1,L323&gt;5,L323&lt;&gt;INT(L323),AND(J323&lt;&gt;"Public",J323&lt;&gt;"Partner",J323&lt;&gt;"Internal",J323&lt;&gt;"None"),AND(K323&lt;&gt;"High",K323&lt;&gt;"Medium",K323&lt;&gt;"Low",K323&lt;&gt;"None"),AND(W323&lt;&gt;"Hard-coded",W323&lt;&gt;"Configurable",W323&lt;&gt;"Policy-managed",W323&lt;&gt;"API/Library abstraction",W323&lt;&gt;"Automated"),AND(Z323&lt;&gt;"Y",Z323&lt;&gt;"N"),AND(AA323&lt;&gt;"Y",AA323&lt;&gt;"N")),"Incomplete",IF(Z323="Y",20,0)+L323*5+IF(AA323="Y",15,0)+IF(J323="Public",10,IF(J323="Partner",7,IF(J323="Internal",3,0)))+IF(W323="Hard-coded",10,IF(W323="Configurable",3,0))+IF(MAX(I323,AP323)&gt;=10,10,IF(MAX(I323,AP323)&gt;=5,7,IF(MAX(I323,AP323)&gt;=2,3,0)))+IF(K323="High",10,IF(K323="Medium",5,0))))</x:f>
      </x:c>
      <x:c r="AC323" s="73" t="str">
        <x:f>IF(A323="","",IF(NOT(ISNUMBER(AB323)),"Review inputs",IF(AB323&gt;=70,"P0 - Immediate",IF(AB323&gt;=50,"P1 - High",IF(AB323&gt;=30,"P2 - Medium",IF(AB323&gt;=15,"P3 - Low","P4 - Monitor"))))))</x:f>
      </x:c>
      <x:c r="AD323" s="73"/>
      <x:c r="AE323" s="73"/>
      <x:c r="AF323" s="73"/>
      <x:c r="AG323" s="77"/>
      <x:c r="AH323" s="73"/>
      <x:c r="AI323" s="91"/>
      <x:c r="AJ323" s="91"/>
      <x:c r="AK323" s="91"/>
      <x:c r="AL323" s="92"/>
      <x:c r="AM323" s="91"/>
      <x:c r="AN323" s="91"/>
      <x:c r="AO323" s="93"/>
      <x:c r="AP323" s="94"/>
      <x:c r="AQ323" s="91"/>
      <x:c r="AR323" s="91"/>
      <x:c r="AS323" s="91"/>
      <x:c r="AT323" s="91"/>
      <x:c r="AU323" s="91"/>
      <x:c r="AV323" s="91"/>
      <x:c r="AW323" s="91"/>
      <x:c r="AX323" s="91"/>
      <x:c r="AY323" s="91"/>
      <x:c r="AZ323" s="92"/>
      <x:c r="BA323" s="94"/>
      <x:c r="BB323" s="91"/>
      <x:c r="BC323" s="92"/>
      <x:c r="BD323" s="92"/>
      <x:c r="BE323" s="91"/>
      <x:c r="BF323" s="91"/>
      <x:c r="BG323" s="91"/>
      <x:c r="BH323" s="91"/>
      <x:c r="BI323" s="91"/>
      <x:c r="BJ323" s="91"/>
      <x:c r="BK323" s="91"/>
      <x:c r="BL323" s="91"/>
      <x:c r="BM323" s="73" t="str">
        <x:f>IF(A323="","",IF(AI323="Example","Example only",IF(AI323&lt;&gt;"Actual","Set record type",IF(COUNTIF($A$2:$A$1001,A323)&gt;1,"Duplicate record ID",IF(OR(D323="",E323="",AF323="",NOT(ISNUMBER(AG323)),AJ323="",AK323="",NOT(ISNUMBER(AL323)),AND(AM323&lt;&gt;"Observed",AM323&lt;&gt;"Corroborated",AM323&lt;&gt;"Declared"),OR(AN323="",AN323="Unknown"),OR(AQ323="",AQ323="Unknown"),OR(AR323="",AR323="Unknown",AR323="TBD"),OR(BC323="",NOT(ISNUMBER(BC323)))),"Evidence incomplete","Evidence recorded; review scope")))))</x:f>
      </x:c>
      <x:c r="BN323" s="73"/>
    </x:row>
    <x:row r="324" ht="34" customHeight="1">
      <x:c r="A324" s="73"/>
      <x:c r="B324" s="73"/>
      <x:c r="C324" s="73"/>
      <x:c r="D324" s="73"/>
      <x:c r="E324" s="73"/>
      <x:c r="F324" s="73"/>
      <x:c r="G324" s="73"/>
      <x:c r="H324" s="73"/>
      <x:c r="I324" s="75"/>
      <x:c r="J324" s="73"/>
      <x:c r="K324" s="73"/>
      <x:c r="L324" s="76"/>
      <x:c r="M324" s="73"/>
      <x:c r="N324" s="73"/>
      <x:c r="O324" s="73"/>
      <x:c r="P324" s="73"/>
      <x:c r="Q324" s="76"/>
      <x:c r="R324" s="73"/>
      <x:c r="S324" s="73"/>
      <x:c r="T324" s="73"/>
      <x:c r="U324" s="73"/>
      <x:c r="V324" s="73"/>
      <x:c r="W324" s="73"/>
      <x:c r="X324" s="73"/>
      <x:c r="Y324" s="73"/>
      <x:c r="Z324" s="73"/>
      <x:c r="AA324" s="73"/>
      <x:c r="AB324" s="76" t="str">
        <x:f>IF(A324="","",IF(OR(NOT(ISNUMBER(I324)),I324&lt;0,NOT(ISNUMBER(AP324)),AP324&lt;0,NOT(ISNUMBER(L324)),L324&lt;1,L324&gt;5,L324&lt;&gt;INT(L324),AND(J324&lt;&gt;"Public",J324&lt;&gt;"Partner",J324&lt;&gt;"Internal",J324&lt;&gt;"None"),AND(K324&lt;&gt;"High",K324&lt;&gt;"Medium",K324&lt;&gt;"Low",K324&lt;&gt;"None"),AND(W324&lt;&gt;"Hard-coded",W324&lt;&gt;"Configurable",W324&lt;&gt;"Policy-managed",W324&lt;&gt;"API/Library abstraction",W324&lt;&gt;"Automated"),AND(Z324&lt;&gt;"Y",Z324&lt;&gt;"N"),AND(AA324&lt;&gt;"Y",AA324&lt;&gt;"N")),"Incomplete",IF(Z324="Y",20,0)+L324*5+IF(AA324="Y",15,0)+IF(J324="Public",10,IF(J324="Partner",7,IF(J324="Internal",3,0)))+IF(W324="Hard-coded",10,IF(W324="Configurable",3,0))+IF(MAX(I324,AP324)&gt;=10,10,IF(MAX(I324,AP324)&gt;=5,7,IF(MAX(I324,AP324)&gt;=2,3,0)))+IF(K324="High",10,IF(K324="Medium",5,0))))</x:f>
      </x:c>
      <x:c r="AC324" s="73" t="str">
        <x:f>IF(A324="","",IF(NOT(ISNUMBER(AB324)),"Review inputs",IF(AB324&gt;=70,"P0 - Immediate",IF(AB324&gt;=50,"P1 - High",IF(AB324&gt;=30,"P2 - Medium",IF(AB324&gt;=15,"P3 - Low","P4 - Monitor"))))))</x:f>
      </x:c>
      <x:c r="AD324" s="73"/>
      <x:c r="AE324" s="73"/>
      <x:c r="AF324" s="73"/>
      <x:c r="AG324" s="77"/>
      <x:c r="AH324" s="73"/>
      <x:c r="AI324" s="91"/>
      <x:c r="AJ324" s="91"/>
      <x:c r="AK324" s="91"/>
      <x:c r="AL324" s="92"/>
      <x:c r="AM324" s="91"/>
      <x:c r="AN324" s="91"/>
      <x:c r="AO324" s="93"/>
      <x:c r="AP324" s="94"/>
      <x:c r="AQ324" s="91"/>
      <x:c r="AR324" s="91"/>
      <x:c r="AS324" s="91"/>
      <x:c r="AT324" s="91"/>
      <x:c r="AU324" s="91"/>
      <x:c r="AV324" s="91"/>
      <x:c r="AW324" s="91"/>
      <x:c r="AX324" s="91"/>
      <x:c r="AY324" s="91"/>
      <x:c r="AZ324" s="92"/>
      <x:c r="BA324" s="94"/>
      <x:c r="BB324" s="91"/>
      <x:c r="BC324" s="92"/>
      <x:c r="BD324" s="92"/>
      <x:c r="BE324" s="91"/>
      <x:c r="BF324" s="91"/>
      <x:c r="BG324" s="91"/>
      <x:c r="BH324" s="91"/>
      <x:c r="BI324" s="91"/>
      <x:c r="BJ324" s="91"/>
      <x:c r="BK324" s="91"/>
      <x:c r="BL324" s="91"/>
      <x:c r="BM324" s="73" t="str">
        <x:f>IF(A324="","",IF(AI324="Example","Example only",IF(AI324&lt;&gt;"Actual","Set record type",IF(COUNTIF($A$2:$A$1001,A324)&gt;1,"Duplicate record ID",IF(OR(D324="",E324="",AF324="",NOT(ISNUMBER(AG324)),AJ324="",AK324="",NOT(ISNUMBER(AL324)),AND(AM324&lt;&gt;"Observed",AM324&lt;&gt;"Corroborated",AM324&lt;&gt;"Declared"),OR(AN324="",AN324="Unknown"),OR(AQ324="",AQ324="Unknown"),OR(AR324="",AR324="Unknown",AR324="TBD"),OR(BC324="",NOT(ISNUMBER(BC324)))),"Evidence incomplete","Evidence recorded; review scope")))))</x:f>
      </x:c>
      <x:c r="BN324" s="73"/>
    </x:row>
    <x:row r="325" ht="34" customHeight="1">
      <x:c r="A325" s="73"/>
      <x:c r="B325" s="73"/>
      <x:c r="C325" s="73"/>
      <x:c r="D325" s="73"/>
      <x:c r="E325" s="73"/>
      <x:c r="F325" s="73"/>
      <x:c r="G325" s="73"/>
      <x:c r="H325" s="73"/>
      <x:c r="I325" s="75"/>
      <x:c r="J325" s="73"/>
      <x:c r="K325" s="73"/>
      <x:c r="L325" s="76"/>
      <x:c r="M325" s="73"/>
      <x:c r="N325" s="73"/>
      <x:c r="O325" s="73"/>
      <x:c r="P325" s="73"/>
      <x:c r="Q325" s="76"/>
      <x:c r="R325" s="73"/>
      <x:c r="S325" s="73"/>
      <x:c r="T325" s="73"/>
      <x:c r="U325" s="73"/>
      <x:c r="V325" s="73"/>
      <x:c r="W325" s="73"/>
      <x:c r="X325" s="73"/>
      <x:c r="Y325" s="73"/>
      <x:c r="Z325" s="73"/>
      <x:c r="AA325" s="73"/>
      <x:c r="AB325" s="76" t="str">
        <x:f>IF(A325="","",IF(OR(NOT(ISNUMBER(I325)),I325&lt;0,NOT(ISNUMBER(AP325)),AP325&lt;0,NOT(ISNUMBER(L325)),L325&lt;1,L325&gt;5,L325&lt;&gt;INT(L325),AND(J325&lt;&gt;"Public",J325&lt;&gt;"Partner",J325&lt;&gt;"Internal",J325&lt;&gt;"None"),AND(K325&lt;&gt;"High",K325&lt;&gt;"Medium",K325&lt;&gt;"Low",K325&lt;&gt;"None"),AND(W325&lt;&gt;"Hard-coded",W325&lt;&gt;"Configurable",W325&lt;&gt;"Policy-managed",W325&lt;&gt;"API/Library abstraction",W325&lt;&gt;"Automated"),AND(Z325&lt;&gt;"Y",Z325&lt;&gt;"N"),AND(AA325&lt;&gt;"Y",AA325&lt;&gt;"N")),"Incomplete",IF(Z325="Y",20,0)+L325*5+IF(AA325="Y",15,0)+IF(J325="Public",10,IF(J325="Partner",7,IF(J325="Internal",3,0)))+IF(W325="Hard-coded",10,IF(W325="Configurable",3,0))+IF(MAX(I325,AP325)&gt;=10,10,IF(MAX(I325,AP325)&gt;=5,7,IF(MAX(I325,AP325)&gt;=2,3,0)))+IF(K325="High",10,IF(K325="Medium",5,0))))</x:f>
      </x:c>
      <x:c r="AC325" s="73" t="str">
        <x:f>IF(A325="","",IF(NOT(ISNUMBER(AB325)),"Review inputs",IF(AB325&gt;=70,"P0 - Immediate",IF(AB325&gt;=50,"P1 - High",IF(AB325&gt;=30,"P2 - Medium",IF(AB325&gt;=15,"P3 - Low","P4 - Monitor"))))))</x:f>
      </x:c>
      <x:c r="AD325" s="73"/>
      <x:c r="AE325" s="73"/>
      <x:c r="AF325" s="73"/>
      <x:c r="AG325" s="77"/>
      <x:c r="AH325" s="73"/>
      <x:c r="AI325" s="91"/>
      <x:c r="AJ325" s="91"/>
      <x:c r="AK325" s="91"/>
      <x:c r="AL325" s="92"/>
      <x:c r="AM325" s="91"/>
      <x:c r="AN325" s="91"/>
      <x:c r="AO325" s="93"/>
      <x:c r="AP325" s="94"/>
      <x:c r="AQ325" s="91"/>
      <x:c r="AR325" s="91"/>
      <x:c r="AS325" s="91"/>
      <x:c r="AT325" s="91"/>
      <x:c r="AU325" s="91"/>
      <x:c r="AV325" s="91"/>
      <x:c r="AW325" s="91"/>
      <x:c r="AX325" s="91"/>
      <x:c r="AY325" s="91"/>
      <x:c r="AZ325" s="92"/>
      <x:c r="BA325" s="94"/>
      <x:c r="BB325" s="91"/>
      <x:c r="BC325" s="92"/>
      <x:c r="BD325" s="92"/>
      <x:c r="BE325" s="91"/>
      <x:c r="BF325" s="91"/>
      <x:c r="BG325" s="91"/>
      <x:c r="BH325" s="91"/>
      <x:c r="BI325" s="91"/>
      <x:c r="BJ325" s="91"/>
      <x:c r="BK325" s="91"/>
      <x:c r="BL325" s="91"/>
      <x:c r="BM325" s="73" t="str">
        <x:f>IF(A325="","",IF(AI325="Example","Example only",IF(AI325&lt;&gt;"Actual","Set record type",IF(COUNTIF($A$2:$A$1001,A325)&gt;1,"Duplicate record ID",IF(OR(D325="",E325="",AF325="",NOT(ISNUMBER(AG325)),AJ325="",AK325="",NOT(ISNUMBER(AL325)),AND(AM325&lt;&gt;"Observed",AM325&lt;&gt;"Corroborated",AM325&lt;&gt;"Declared"),OR(AN325="",AN325="Unknown"),OR(AQ325="",AQ325="Unknown"),OR(AR325="",AR325="Unknown",AR325="TBD"),OR(BC325="",NOT(ISNUMBER(BC325)))),"Evidence incomplete","Evidence recorded; review scope")))))</x:f>
      </x:c>
      <x:c r="BN325" s="73"/>
    </x:row>
    <x:row r="326" ht="34" customHeight="1">
      <x:c r="A326" s="73"/>
      <x:c r="B326" s="73"/>
      <x:c r="C326" s="73"/>
      <x:c r="D326" s="73"/>
      <x:c r="E326" s="73"/>
      <x:c r="F326" s="73"/>
      <x:c r="G326" s="73"/>
      <x:c r="H326" s="73"/>
      <x:c r="I326" s="75"/>
      <x:c r="J326" s="73"/>
      <x:c r="K326" s="73"/>
      <x:c r="L326" s="76"/>
      <x:c r="M326" s="73"/>
      <x:c r="N326" s="73"/>
      <x:c r="O326" s="73"/>
      <x:c r="P326" s="73"/>
      <x:c r="Q326" s="76"/>
      <x:c r="R326" s="73"/>
      <x:c r="S326" s="73"/>
      <x:c r="T326" s="73"/>
      <x:c r="U326" s="73"/>
      <x:c r="V326" s="73"/>
      <x:c r="W326" s="73"/>
      <x:c r="X326" s="73"/>
      <x:c r="Y326" s="73"/>
      <x:c r="Z326" s="73"/>
      <x:c r="AA326" s="73"/>
      <x:c r="AB326" s="76" t="str">
        <x:f>IF(A326="","",IF(OR(NOT(ISNUMBER(I326)),I326&lt;0,NOT(ISNUMBER(AP326)),AP326&lt;0,NOT(ISNUMBER(L326)),L326&lt;1,L326&gt;5,L326&lt;&gt;INT(L326),AND(J326&lt;&gt;"Public",J326&lt;&gt;"Partner",J326&lt;&gt;"Internal",J326&lt;&gt;"None"),AND(K326&lt;&gt;"High",K326&lt;&gt;"Medium",K326&lt;&gt;"Low",K326&lt;&gt;"None"),AND(W326&lt;&gt;"Hard-coded",W326&lt;&gt;"Configurable",W326&lt;&gt;"Policy-managed",W326&lt;&gt;"API/Library abstraction",W326&lt;&gt;"Automated"),AND(Z326&lt;&gt;"Y",Z326&lt;&gt;"N"),AND(AA326&lt;&gt;"Y",AA326&lt;&gt;"N")),"Incomplete",IF(Z326="Y",20,0)+L326*5+IF(AA326="Y",15,0)+IF(J326="Public",10,IF(J326="Partner",7,IF(J326="Internal",3,0)))+IF(W326="Hard-coded",10,IF(W326="Configurable",3,0))+IF(MAX(I326,AP326)&gt;=10,10,IF(MAX(I326,AP326)&gt;=5,7,IF(MAX(I326,AP326)&gt;=2,3,0)))+IF(K326="High",10,IF(K326="Medium",5,0))))</x:f>
      </x:c>
      <x:c r="AC326" s="73" t="str">
        <x:f>IF(A326="","",IF(NOT(ISNUMBER(AB326)),"Review inputs",IF(AB326&gt;=70,"P0 - Immediate",IF(AB326&gt;=50,"P1 - High",IF(AB326&gt;=30,"P2 - Medium",IF(AB326&gt;=15,"P3 - Low","P4 - Monitor"))))))</x:f>
      </x:c>
      <x:c r="AD326" s="73"/>
      <x:c r="AE326" s="73"/>
      <x:c r="AF326" s="73"/>
      <x:c r="AG326" s="77"/>
      <x:c r="AH326" s="73"/>
      <x:c r="AI326" s="91"/>
      <x:c r="AJ326" s="91"/>
      <x:c r="AK326" s="91"/>
      <x:c r="AL326" s="92"/>
      <x:c r="AM326" s="91"/>
      <x:c r="AN326" s="91"/>
      <x:c r="AO326" s="93"/>
      <x:c r="AP326" s="94"/>
      <x:c r="AQ326" s="91"/>
      <x:c r="AR326" s="91"/>
      <x:c r="AS326" s="91"/>
      <x:c r="AT326" s="91"/>
      <x:c r="AU326" s="91"/>
      <x:c r="AV326" s="91"/>
      <x:c r="AW326" s="91"/>
      <x:c r="AX326" s="91"/>
      <x:c r="AY326" s="91"/>
      <x:c r="AZ326" s="92"/>
      <x:c r="BA326" s="94"/>
      <x:c r="BB326" s="91"/>
      <x:c r="BC326" s="92"/>
      <x:c r="BD326" s="92"/>
      <x:c r="BE326" s="91"/>
      <x:c r="BF326" s="91"/>
      <x:c r="BG326" s="91"/>
      <x:c r="BH326" s="91"/>
      <x:c r="BI326" s="91"/>
      <x:c r="BJ326" s="91"/>
      <x:c r="BK326" s="91"/>
      <x:c r="BL326" s="91"/>
      <x:c r="BM326" s="73" t="str">
        <x:f>IF(A326="","",IF(AI326="Example","Example only",IF(AI326&lt;&gt;"Actual","Set record type",IF(COUNTIF($A$2:$A$1001,A326)&gt;1,"Duplicate record ID",IF(OR(D326="",E326="",AF326="",NOT(ISNUMBER(AG326)),AJ326="",AK326="",NOT(ISNUMBER(AL326)),AND(AM326&lt;&gt;"Observed",AM326&lt;&gt;"Corroborated",AM326&lt;&gt;"Declared"),OR(AN326="",AN326="Unknown"),OR(AQ326="",AQ326="Unknown"),OR(AR326="",AR326="Unknown",AR326="TBD"),OR(BC326="",NOT(ISNUMBER(BC326)))),"Evidence incomplete","Evidence recorded; review scope")))))</x:f>
      </x:c>
      <x:c r="BN326" s="73"/>
    </x:row>
    <x:row r="327" ht="34" customHeight="1">
      <x:c r="A327" s="73"/>
      <x:c r="B327" s="73"/>
      <x:c r="C327" s="73"/>
      <x:c r="D327" s="73"/>
      <x:c r="E327" s="73"/>
      <x:c r="F327" s="73"/>
      <x:c r="G327" s="73"/>
      <x:c r="H327" s="73"/>
      <x:c r="I327" s="75"/>
      <x:c r="J327" s="73"/>
      <x:c r="K327" s="73"/>
      <x:c r="L327" s="76"/>
      <x:c r="M327" s="73"/>
      <x:c r="N327" s="73"/>
      <x:c r="O327" s="73"/>
      <x:c r="P327" s="73"/>
      <x:c r="Q327" s="76"/>
      <x:c r="R327" s="73"/>
      <x:c r="S327" s="73"/>
      <x:c r="T327" s="73"/>
      <x:c r="U327" s="73"/>
      <x:c r="V327" s="73"/>
      <x:c r="W327" s="73"/>
      <x:c r="X327" s="73"/>
      <x:c r="Y327" s="73"/>
      <x:c r="Z327" s="73"/>
      <x:c r="AA327" s="73"/>
      <x:c r="AB327" s="76" t="str">
        <x:f>IF(A327="","",IF(OR(NOT(ISNUMBER(I327)),I327&lt;0,NOT(ISNUMBER(AP327)),AP327&lt;0,NOT(ISNUMBER(L327)),L327&lt;1,L327&gt;5,L327&lt;&gt;INT(L327),AND(J327&lt;&gt;"Public",J327&lt;&gt;"Partner",J327&lt;&gt;"Internal",J327&lt;&gt;"None"),AND(K327&lt;&gt;"High",K327&lt;&gt;"Medium",K327&lt;&gt;"Low",K327&lt;&gt;"None"),AND(W327&lt;&gt;"Hard-coded",W327&lt;&gt;"Configurable",W327&lt;&gt;"Policy-managed",W327&lt;&gt;"API/Library abstraction",W327&lt;&gt;"Automated"),AND(Z327&lt;&gt;"Y",Z327&lt;&gt;"N"),AND(AA327&lt;&gt;"Y",AA327&lt;&gt;"N")),"Incomplete",IF(Z327="Y",20,0)+L327*5+IF(AA327="Y",15,0)+IF(J327="Public",10,IF(J327="Partner",7,IF(J327="Internal",3,0)))+IF(W327="Hard-coded",10,IF(W327="Configurable",3,0))+IF(MAX(I327,AP327)&gt;=10,10,IF(MAX(I327,AP327)&gt;=5,7,IF(MAX(I327,AP327)&gt;=2,3,0)))+IF(K327="High",10,IF(K327="Medium",5,0))))</x:f>
      </x:c>
      <x:c r="AC327" s="73" t="str">
        <x:f>IF(A327="","",IF(NOT(ISNUMBER(AB327)),"Review inputs",IF(AB327&gt;=70,"P0 - Immediate",IF(AB327&gt;=50,"P1 - High",IF(AB327&gt;=30,"P2 - Medium",IF(AB327&gt;=15,"P3 - Low","P4 - Monitor"))))))</x:f>
      </x:c>
      <x:c r="AD327" s="73"/>
      <x:c r="AE327" s="73"/>
      <x:c r="AF327" s="73"/>
      <x:c r="AG327" s="77"/>
      <x:c r="AH327" s="73"/>
      <x:c r="AI327" s="91"/>
      <x:c r="AJ327" s="91"/>
      <x:c r="AK327" s="91"/>
      <x:c r="AL327" s="92"/>
      <x:c r="AM327" s="91"/>
      <x:c r="AN327" s="91"/>
      <x:c r="AO327" s="93"/>
      <x:c r="AP327" s="94"/>
      <x:c r="AQ327" s="91"/>
      <x:c r="AR327" s="91"/>
      <x:c r="AS327" s="91"/>
      <x:c r="AT327" s="91"/>
      <x:c r="AU327" s="91"/>
      <x:c r="AV327" s="91"/>
      <x:c r="AW327" s="91"/>
      <x:c r="AX327" s="91"/>
      <x:c r="AY327" s="91"/>
      <x:c r="AZ327" s="92"/>
      <x:c r="BA327" s="94"/>
      <x:c r="BB327" s="91"/>
      <x:c r="BC327" s="92"/>
      <x:c r="BD327" s="92"/>
      <x:c r="BE327" s="91"/>
      <x:c r="BF327" s="91"/>
      <x:c r="BG327" s="91"/>
      <x:c r="BH327" s="91"/>
      <x:c r="BI327" s="91"/>
      <x:c r="BJ327" s="91"/>
      <x:c r="BK327" s="91"/>
      <x:c r="BL327" s="91"/>
      <x:c r="BM327" s="73" t="str">
        <x:f>IF(A327="","",IF(AI327="Example","Example only",IF(AI327&lt;&gt;"Actual","Set record type",IF(COUNTIF($A$2:$A$1001,A327)&gt;1,"Duplicate record ID",IF(OR(D327="",E327="",AF327="",NOT(ISNUMBER(AG327)),AJ327="",AK327="",NOT(ISNUMBER(AL327)),AND(AM327&lt;&gt;"Observed",AM327&lt;&gt;"Corroborated",AM327&lt;&gt;"Declared"),OR(AN327="",AN327="Unknown"),OR(AQ327="",AQ327="Unknown"),OR(AR327="",AR327="Unknown",AR327="TBD"),OR(BC327="",NOT(ISNUMBER(BC327)))),"Evidence incomplete","Evidence recorded; review scope")))))</x:f>
      </x:c>
      <x:c r="BN327" s="73"/>
    </x:row>
    <x:row r="328" ht="34" customHeight="1">
      <x:c r="A328" s="73"/>
      <x:c r="B328" s="73"/>
      <x:c r="C328" s="73"/>
      <x:c r="D328" s="73"/>
      <x:c r="E328" s="73"/>
      <x:c r="F328" s="73"/>
      <x:c r="G328" s="73"/>
      <x:c r="H328" s="73"/>
      <x:c r="I328" s="75"/>
      <x:c r="J328" s="73"/>
      <x:c r="K328" s="73"/>
      <x:c r="L328" s="76"/>
      <x:c r="M328" s="73"/>
      <x:c r="N328" s="73"/>
      <x:c r="O328" s="73"/>
      <x:c r="P328" s="73"/>
      <x:c r="Q328" s="76"/>
      <x:c r="R328" s="73"/>
      <x:c r="S328" s="73"/>
      <x:c r="T328" s="73"/>
      <x:c r="U328" s="73"/>
      <x:c r="V328" s="73"/>
      <x:c r="W328" s="73"/>
      <x:c r="X328" s="73"/>
      <x:c r="Y328" s="73"/>
      <x:c r="Z328" s="73"/>
      <x:c r="AA328" s="73"/>
      <x:c r="AB328" s="76" t="str">
        <x:f>IF(A328="","",IF(OR(NOT(ISNUMBER(I328)),I328&lt;0,NOT(ISNUMBER(AP328)),AP328&lt;0,NOT(ISNUMBER(L328)),L328&lt;1,L328&gt;5,L328&lt;&gt;INT(L328),AND(J328&lt;&gt;"Public",J328&lt;&gt;"Partner",J328&lt;&gt;"Internal",J328&lt;&gt;"None"),AND(K328&lt;&gt;"High",K328&lt;&gt;"Medium",K328&lt;&gt;"Low",K328&lt;&gt;"None"),AND(W328&lt;&gt;"Hard-coded",W328&lt;&gt;"Configurable",W328&lt;&gt;"Policy-managed",W328&lt;&gt;"API/Library abstraction",W328&lt;&gt;"Automated"),AND(Z328&lt;&gt;"Y",Z328&lt;&gt;"N"),AND(AA328&lt;&gt;"Y",AA328&lt;&gt;"N")),"Incomplete",IF(Z328="Y",20,0)+L328*5+IF(AA328="Y",15,0)+IF(J328="Public",10,IF(J328="Partner",7,IF(J328="Internal",3,0)))+IF(W328="Hard-coded",10,IF(W328="Configurable",3,0))+IF(MAX(I328,AP328)&gt;=10,10,IF(MAX(I328,AP328)&gt;=5,7,IF(MAX(I328,AP328)&gt;=2,3,0)))+IF(K328="High",10,IF(K328="Medium",5,0))))</x:f>
      </x:c>
      <x:c r="AC328" s="73" t="str">
        <x:f>IF(A328="","",IF(NOT(ISNUMBER(AB328)),"Review inputs",IF(AB328&gt;=70,"P0 - Immediate",IF(AB328&gt;=50,"P1 - High",IF(AB328&gt;=30,"P2 - Medium",IF(AB328&gt;=15,"P3 - Low","P4 - Monitor"))))))</x:f>
      </x:c>
      <x:c r="AD328" s="73"/>
      <x:c r="AE328" s="73"/>
      <x:c r="AF328" s="73"/>
      <x:c r="AG328" s="77"/>
      <x:c r="AH328" s="73"/>
      <x:c r="AI328" s="91"/>
      <x:c r="AJ328" s="91"/>
      <x:c r="AK328" s="91"/>
      <x:c r="AL328" s="92"/>
      <x:c r="AM328" s="91"/>
      <x:c r="AN328" s="91"/>
      <x:c r="AO328" s="93"/>
      <x:c r="AP328" s="94"/>
      <x:c r="AQ328" s="91"/>
      <x:c r="AR328" s="91"/>
      <x:c r="AS328" s="91"/>
      <x:c r="AT328" s="91"/>
      <x:c r="AU328" s="91"/>
      <x:c r="AV328" s="91"/>
      <x:c r="AW328" s="91"/>
      <x:c r="AX328" s="91"/>
      <x:c r="AY328" s="91"/>
      <x:c r="AZ328" s="92"/>
      <x:c r="BA328" s="94"/>
      <x:c r="BB328" s="91"/>
      <x:c r="BC328" s="92"/>
      <x:c r="BD328" s="92"/>
      <x:c r="BE328" s="91"/>
      <x:c r="BF328" s="91"/>
      <x:c r="BG328" s="91"/>
      <x:c r="BH328" s="91"/>
      <x:c r="BI328" s="91"/>
      <x:c r="BJ328" s="91"/>
      <x:c r="BK328" s="91"/>
      <x:c r="BL328" s="91"/>
      <x:c r="BM328" s="73" t="str">
        <x:f>IF(A328="","",IF(AI328="Example","Example only",IF(AI328&lt;&gt;"Actual","Set record type",IF(COUNTIF($A$2:$A$1001,A328)&gt;1,"Duplicate record ID",IF(OR(D328="",E328="",AF328="",NOT(ISNUMBER(AG328)),AJ328="",AK328="",NOT(ISNUMBER(AL328)),AND(AM328&lt;&gt;"Observed",AM328&lt;&gt;"Corroborated",AM328&lt;&gt;"Declared"),OR(AN328="",AN328="Unknown"),OR(AQ328="",AQ328="Unknown"),OR(AR328="",AR328="Unknown",AR328="TBD"),OR(BC328="",NOT(ISNUMBER(BC328)))),"Evidence incomplete","Evidence recorded; review scope")))))</x:f>
      </x:c>
      <x:c r="BN328" s="73"/>
    </x:row>
    <x:row r="329" ht="34" customHeight="1">
      <x:c r="A329" s="73"/>
      <x:c r="B329" s="73"/>
      <x:c r="C329" s="73"/>
      <x:c r="D329" s="73"/>
      <x:c r="E329" s="73"/>
      <x:c r="F329" s="73"/>
      <x:c r="G329" s="73"/>
      <x:c r="H329" s="73"/>
      <x:c r="I329" s="75"/>
      <x:c r="J329" s="73"/>
      <x:c r="K329" s="73"/>
      <x:c r="L329" s="76"/>
      <x:c r="M329" s="73"/>
      <x:c r="N329" s="73"/>
      <x:c r="O329" s="73"/>
      <x:c r="P329" s="73"/>
      <x:c r="Q329" s="76"/>
      <x:c r="R329" s="73"/>
      <x:c r="S329" s="73"/>
      <x:c r="T329" s="73"/>
      <x:c r="U329" s="73"/>
      <x:c r="V329" s="73"/>
      <x:c r="W329" s="73"/>
      <x:c r="X329" s="73"/>
      <x:c r="Y329" s="73"/>
      <x:c r="Z329" s="73"/>
      <x:c r="AA329" s="73"/>
      <x:c r="AB329" s="76" t="str">
        <x:f>IF(A329="","",IF(OR(NOT(ISNUMBER(I329)),I329&lt;0,NOT(ISNUMBER(AP329)),AP329&lt;0,NOT(ISNUMBER(L329)),L329&lt;1,L329&gt;5,L329&lt;&gt;INT(L329),AND(J329&lt;&gt;"Public",J329&lt;&gt;"Partner",J329&lt;&gt;"Internal",J329&lt;&gt;"None"),AND(K329&lt;&gt;"High",K329&lt;&gt;"Medium",K329&lt;&gt;"Low",K329&lt;&gt;"None"),AND(W329&lt;&gt;"Hard-coded",W329&lt;&gt;"Configurable",W329&lt;&gt;"Policy-managed",W329&lt;&gt;"API/Library abstraction",W329&lt;&gt;"Automated"),AND(Z329&lt;&gt;"Y",Z329&lt;&gt;"N"),AND(AA329&lt;&gt;"Y",AA329&lt;&gt;"N")),"Incomplete",IF(Z329="Y",20,0)+L329*5+IF(AA329="Y",15,0)+IF(J329="Public",10,IF(J329="Partner",7,IF(J329="Internal",3,0)))+IF(W329="Hard-coded",10,IF(W329="Configurable",3,0))+IF(MAX(I329,AP329)&gt;=10,10,IF(MAX(I329,AP329)&gt;=5,7,IF(MAX(I329,AP329)&gt;=2,3,0)))+IF(K329="High",10,IF(K329="Medium",5,0))))</x:f>
      </x:c>
      <x:c r="AC329" s="73" t="str">
        <x:f>IF(A329="","",IF(NOT(ISNUMBER(AB329)),"Review inputs",IF(AB329&gt;=70,"P0 - Immediate",IF(AB329&gt;=50,"P1 - High",IF(AB329&gt;=30,"P2 - Medium",IF(AB329&gt;=15,"P3 - Low","P4 - Monitor"))))))</x:f>
      </x:c>
      <x:c r="AD329" s="73"/>
      <x:c r="AE329" s="73"/>
      <x:c r="AF329" s="73"/>
      <x:c r="AG329" s="77"/>
      <x:c r="AH329" s="73"/>
      <x:c r="AI329" s="91"/>
      <x:c r="AJ329" s="91"/>
      <x:c r="AK329" s="91"/>
      <x:c r="AL329" s="92"/>
      <x:c r="AM329" s="91"/>
      <x:c r="AN329" s="91"/>
      <x:c r="AO329" s="93"/>
      <x:c r="AP329" s="94"/>
      <x:c r="AQ329" s="91"/>
      <x:c r="AR329" s="91"/>
      <x:c r="AS329" s="91"/>
      <x:c r="AT329" s="91"/>
      <x:c r="AU329" s="91"/>
      <x:c r="AV329" s="91"/>
      <x:c r="AW329" s="91"/>
      <x:c r="AX329" s="91"/>
      <x:c r="AY329" s="91"/>
      <x:c r="AZ329" s="92"/>
      <x:c r="BA329" s="94"/>
      <x:c r="BB329" s="91"/>
      <x:c r="BC329" s="92"/>
      <x:c r="BD329" s="92"/>
      <x:c r="BE329" s="91"/>
      <x:c r="BF329" s="91"/>
      <x:c r="BG329" s="91"/>
      <x:c r="BH329" s="91"/>
      <x:c r="BI329" s="91"/>
      <x:c r="BJ329" s="91"/>
      <x:c r="BK329" s="91"/>
      <x:c r="BL329" s="91"/>
      <x:c r="BM329" s="73" t="str">
        <x:f>IF(A329="","",IF(AI329="Example","Example only",IF(AI329&lt;&gt;"Actual","Set record type",IF(COUNTIF($A$2:$A$1001,A329)&gt;1,"Duplicate record ID",IF(OR(D329="",E329="",AF329="",NOT(ISNUMBER(AG329)),AJ329="",AK329="",NOT(ISNUMBER(AL329)),AND(AM329&lt;&gt;"Observed",AM329&lt;&gt;"Corroborated",AM329&lt;&gt;"Declared"),OR(AN329="",AN329="Unknown"),OR(AQ329="",AQ329="Unknown"),OR(AR329="",AR329="Unknown",AR329="TBD"),OR(BC329="",NOT(ISNUMBER(BC329)))),"Evidence incomplete","Evidence recorded; review scope")))))</x:f>
      </x:c>
      <x:c r="BN329" s="73"/>
    </x:row>
    <x:row r="330" ht="34" customHeight="1">
      <x:c r="A330" s="73"/>
      <x:c r="B330" s="73"/>
      <x:c r="C330" s="73"/>
      <x:c r="D330" s="73"/>
      <x:c r="E330" s="73"/>
      <x:c r="F330" s="73"/>
      <x:c r="G330" s="73"/>
      <x:c r="H330" s="73"/>
      <x:c r="I330" s="75"/>
      <x:c r="J330" s="73"/>
      <x:c r="K330" s="73"/>
      <x:c r="L330" s="76"/>
      <x:c r="M330" s="73"/>
      <x:c r="N330" s="73"/>
      <x:c r="O330" s="73"/>
      <x:c r="P330" s="73"/>
      <x:c r="Q330" s="76"/>
      <x:c r="R330" s="73"/>
      <x:c r="S330" s="73"/>
      <x:c r="T330" s="73"/>
      <x:c r="U330" s="73"/>
      <x:c r="V330" s="73"/>
      <x:c r="W330" s="73"/>
      <x:c r="X330" s="73"/>
      <x:c r="Y330" s="73"/>
      <x:c r="Z330" s="73"/>
      <x:c r="AA330" s="73"/>
      <x:c r="AB330" s="76" t="str">
        <x:f>IF(A330="","",IF(OR(NOT(ISNUMBER(I330)),I330&lt;0,NOT(ISNUMBER(AP330)),AP330&lt;0,NOT(ISNUMBER(L330)),L330&lt;1,L330&gt;5,L330&lt;&gt;INT(L330),AND(J330&lt;&gt;"Public",J330&lt;&gt;"Partner",J330&lt;&gt;"Internal",J330&lt;&gt;"None"),AND(K330&lt;&gt;"High",K330&lt;&gt;"Medium",K330&lt;&gt;"Low",K330&lt;&gt;"None"),AND(W330&lt;&gt;"Hard-coded",W330&lt;&gt;"Configurable",W330&lt;&gt;"Policy-managed",W330&lt;&gt;"API/Library abstraction",W330&lt;&gt;"Automated"),AND(Z330&lt;&gt;"Y",Z330&lt;&gt;"N"),AND(AA330&lt;&gt;"Y",AA330&lt;&gt;"N")),"Incomplete",IF(Z330="Y",20,0)+L330*5+IF(AA330="Y",15,0)+IF(J330="Public",10,IF(J330="Partner",7,IF(J330="Internal",3,0)))+IF(W330="Hard-coded",10,IF(W330="Configurable",3,0))+IF(MAX(I330,AP330)&gt;=10,10,IF(MAX(I330,AP330)&gt;=5,7,IF(MAX(I330,AP330)&gt;=2,3,0)))+IF(K330="High",10,IF(K330="Medium",5,0))))</x:f>
      </x:c>
      <x:c r="AC330" s="73" t="str">
        <x:f>IF(A330="","",IF(NOT(ISNUMBER(AB330)),"Review inputs",IF(AB330&gt;=70,"P0 - Immediate",IF(AB330&gt;=50,"P1 - High",IF(AB330&gt;=30,"P2 - Medium",IF(AB330&gt;=15,"P3 - Low","P4 - Monitor"))))))</x:f>
      </x:c>
      <x:c r="AD330" s="73"/>
      <x:c r="AE330" s="73"/>
      <x:c r="AF330" s="73"/>
      <x:c r="AG330" s="77"/>
      <x:c r="AH330" s="73"/>
      <x:c r="AI330" s="91"/>
      <x:c r="AJ330" s="91"/>
      <x:c r="AK330" s="91"/>
      <x:c r="AL330" s="92"/>
      <x:c r="AM330" s="91"/>
      <x:c r="AN330" s="91"/>
      <x:c r="AO330" s="93"/>
      <x:c r="AP330" s="94"/>
      <x:c r="AQ330" s="91"/>
      <x:c r="AR330" s="91"/>
      <x:c r="AS330" s="91"/>
      <x:c r="AT330" s="91"/>
      <x:c r="AU330" s="91"/>
      <x:c r="AV330" s="91"/>
      <x:c r="AW330" s="91"/>
      <x:c r="AX330" s="91"/>
      <x:c r="AY330" s="91"/>
      <x:c r="AZ330" s="92"/>
      <x:c r="BA330" s="94"/>
      <x:c r="BB330" s="91"/>
      <x:c r="BC330" s="92"/>
      <x:c r="BD330" s="92"/>
      <x:c r="BE330" s="91"/>
      <x:c r="BF330" s="91"/>
      <x:c r="BG330" s="91"/>
      <x:c r="BH330" s="91"/>
      <x:c r="BI330" s="91"/>
      <x:c r="BJ330" s="91"/>
      <x:c r="BK330" s="91"/>
      <x:c r="BL330" s="91"/>
      <x:c r="BM330" s="73" t="str">
        <x:f>IF(A330="","",IF(AI330="Example","Example only",IF(AI330&lt;&gt;"Actual","Set record type",IF(COUNTIF($A$2:$A$1001,A330)&gt;1,"Duplicate record ID",IF(OR(D330="",E330="",AF330="",NOT(ISNUMBER(AG330)),AJ330="",AK330="",NOT(ISNUMBER(AL330)),AND(AM330&lt;&gt;"Observed",AM330&lt;&gt;"Corroborated",AM330&lt;&gt;"Declared"),OR(AN330="",AN330="Unknown"),OR(AQ330="",AQ330="Unknown"),OR(AR330="",AR330="Unknown",AR330="TBD"),OR(BC330="",NOT(ISNUMBER(BC330)))),"Evidence incomplete","Evidence recorded; review scope")))))</x:f>
      </x:c>
      <x:c r="BN330" s="73"/>
    </x:row>
    <x:row r="331" ht="34" customHeight="1">
      <x:c r="A331" s="73"/>
      <x:c r="B331" s="73"/>
      <x:c r="C331" s="73"/>
      <x:c r="D331" s="73"/>
      <x:c r="E331" s="73"/>
      <x:c r="F331" s="73"/>
      <x:c r="G331" s="73"/>
      <x:c r="H331" s="73"/>
      <x:c r="I331" s="75"/>
      <x:c r="J331" s="73"/>
      <x:c r="K331" s="73"/>
      <x:c r="L331" s="76"/>
      <x:c r="M331" s="73"/>
      <x:c r="N331" s="73"/>
      <x:c r="O331" s="73"/>
      <x:c r="P331" s="73"/>
      <x:c r="Q331" s="76"/>
      <x:c r="R331" s="73"/>
      <x:c r="S331" s="73"/>
      <x:c r="T331" s="73"/>
      <x:c r="U331" s="73"/>
      <x:c r="V331" s="73"/>
      <x:c r="W331" s="73"/>
      <x:c r="X331" s="73"/>
      <x:c r="Y331" s="73"/>
      <x:c r="Z331" s="73"/>
      <x:c r="AA331" s="73"/>
      <x:c r="AB331" s="76" t="str">
        <x:f>IF(A331="","",IF(OR(NOT(ISNUMBER(I331)),I331&lt;0,NOT(ISNUMBER(AP331)),AP331&lt;0,NOT(ISNUMBER(L331)),L331&lt;1,L331&gt;5,L331&lt;&gt;INT(L331),AND(J331&lt;&gt;"Public",J331&lt;&gt;"Partner",J331&lt;&gt;"Internal",J331&lt;&gt;"None"),AND(K331&lt;&gt;"High",K331&lt;&gt;"Medium",K331&lt;&gt;"Low",K331&lt;&gt;"None"),AND(W331&lt;&gt;"Hard-coded",W331&lt;&gt;"Configurable",W331&lt;&gt;"Policy-managed",W331&lt;&gt;"API/Library abstraction",W331&lt;&gt;"Automated"),AND(Z331&lt;&gt;"Y",Z331&lt;&gt;"N"),AND(AA331&lt;&gt;"Y",AA331&lt;&gt;"N")),"Incomplete",IF(Z331="Y",20,0)+L331*5+IF(AA331="Y",15,0)+IF(J331="Public",10,IF(J331="Partner",7,IF(J331="Internal",3,0)))+IF(W331="Hard-coded",10,IF(W331="Configurable",3,0))+IF(MAX(I331,AP331)&gt;=10,10,IF(MAX(I331,AP331)&gt;=5,7,IF(MAX(I331,AP331)&gt;=2,3,0)))+IF(K331="High",10,IF(K331="Medium",5,0))))</x:f>
      </x:c>
      <x:c r="AC331" s="73" t="str">
        <x:f>IF(A331="","",IF(NOT(ISNUMBER(AB331)),"Review inputs",IF(AB331&gt;=70,"P0 - Immediate",IF(AB331&gt;=50,"P1 - High",IF(AB331&gt;=30,"P2 - Medium",IF(AB331&gt;=15,"P3 - Low","P4 - Monitor"))))))</x:f>
      </x:c>
      <x:c r="AD331" s="73"/>
      <x:c r="AE331" s="73"/>
      <x:c r="AF331" s="73"/>
      <x:c r="AG331" s="77"/>
      <x:c r="AH331" s="73"/>
      <x:c r="AI331" s="91"/>
      <x:c r="AJ331" s="91"/>
      <x:c r="AK331" s="91"/>
      <x:c r="AL331" s="92"/>
      <x:c r="AM331" s="91"/>
      <x:c r="AN331" s="91"/>
      <x:c r="AO331" s="93"/>
      <x:c r="AP331" s="94"/>
      <x:c r="AQ331" s="91"/>
      <x:c r="AR331" s="91"/>
      <x:c r="AS331" s="91"/>
      <x:c r="AT331" s="91"/>
      <x:c r="AU331" s="91"/>
      <x:c r="AV331" s="91"/>
      <x:c r="AW331" s="91"/>
      <x:c r="AX331" s="91"/>
      <x:c r="AY331" s="91"/>
      <x:c r="AZ331" s="92"/>
      <x:c r="BA331" s="94"/>
      <x:c r="BB331" s="91"/>
      <x:c r="BC331" s="92"/>
      <x:c r="BD331" s="92"/>
      <x:c r="BE331" s="91"/>
      <x:c r="BF331" s="91"/>
      <x:c r="BG331" s="91"/>
      <x:c r="BH331" s="91"/>
      <x:c r="BI331" s="91"/>
      <x:c r="BJ331" s="91"/>
      <x:c r="BK331" s="91"/>
      <x:c r="BL331" s="91"/>
      <x:c r="BM331" s="73" t="str">
        <x:f>IF(A331="","",IF(AI331="Example","Example only",IF(AI331&lt;&gt;"Actual","Set record type",IF(COUNTIF($A$2:$A$1001,A331)&gt;1,"Duplicate record ID",IF(OR(D331="",E331="",AF331="",NOT(ISNUMBER(AG331)),AJ331="",AK331="",NOT(ISNUMBER(AL331)),AND(AM331&lt;&gt;"Observed",AM331&lt;&gt;"Corroborated",AM331&lt;&gt;"Declared"),OR(AN331="",AN331="Unknown"),OR(AQ331="",AQ331="Unknown"),OR(AR331="",AR331="Unknown",AR331="TBD"),OR(BC331="",NOT(ISNUMBER(BC331)))),"Evidence incomplete","Evidence recorded; review scope")))))</x:f>
      </x:c>
      <x:c r="BN331" s="73"/>
    </x:row>
    <x:row r="332" ht="34" customHeight="1">
      <x:c r="A332" s="73"/>
      <x:c r="B332" s="73"/>
      <x:c r="C332" s="73"/>
      <x:c r="D332" s="73"/>
      <x:c r="E332" s="73"/>
      <x:c r="F332" s="73"/>
      <x:c r="G332" s="73"/>
      <x:c r="H332" s="73"/>
      <x:c r="I332" s="75"/>
      <x:c r="J332" s="73"/>
      <x:c r="K332" s="73"/>
      <x:c r="L332" s="76"/>
      <x:c r="M332" s="73"/>
      <x:c r="N332" s="73"/>
      <x:c r="O332" s="73"/>
      <x:c r="P332" s="73"/>
      <x:c r="Q332" s="76"/>
      <x:c r="R332" s="73"/>
      <x:c r="S332" s="73"/>
      <x:c r="T332" s="73"/>
      <x:c r="U332" s="73"/>
      <x:c r="V332" s="73"/>
      <x:c r="W332" s="73"/>
      <x:c r="X332" s="73"/>
      <x:c r="Y332" s="73"/>
      <x:c r="Z332" s="73"/>
      <x:c r="AA332" s="73"/>
      <x:c r="AB332" s="76" t="str">
        <x:f>IF(A332="","",IF(OR(NOT(ISNUMBER(I332)),I332&lt;0,NOT(ISNUMBER(AP332)),AP332&lt;0,NOT(ISNUMBER(L332)),L332&lt;1,L332&gt;5,L332&lt;&gt;INT(L332),AND(J332&lt;&gt;"Public",J332&lt;&gt;"Partner",J332&lt;&gt;"Internal",J332&lt;&gt;"None"),AND(K332&lt;&gt;"High",K332&lt;&gt;"Medium",K332&lt;&gt;"Low",K332&lt;&gt;"None"),AND(W332&lt;&gt;"Hard-coded",W332&lt;&gt;"Configurable",W332&lt;&gt;"Policy-managed",W332&lt;&gt;"API/Library abstraction",W332&lt;&gt;"Automated"),AND(Z332&lt;&gt;"Y",Z332&lt;&gt;"N"),AND(AA332&lt;&gt;"Y",AA332&lt;&gt;"N")),"Incomplete",IF(Z332="Y",20,0)+L332*5+IF(AA332="Y",15,0)+IF(J332="Public",10,IF(J332="Partner",7,IF(J332="Internal",3,0)))+IF(W332="Hard-coded",10,IF(W332="Configurable",3,0))+IF(MAX(I332,AP332)&gt;=10,10,IF(MAX(I332,AP332)&gt;=5,7,IF(MAX(I332,AP332)&gt;=2,3,0)))+IF(K332="High",10,IF(K332="Medium",5,0))))</x:f>
      </x:c>
      <x:c r="AC332" s="73" t="str">
        <x:f>IF(A332="","",IF(NOT(ISNUMBER(AB332)),"Review inputs",IF(AB332&gt;=70,"P0 - Immediate",IF(AB332&gt;=50,"P1 - High",IF(AB332&gt;=30,"P2 - Medium",IF(AB332&gt;=15,"P3 - Low","P4 - Monitor"))))))</x:f>
      </x:c>
      <x:c r="AD332" s="73"/>
      <x:c r="AE332" s="73"/>
      <x:c r="AF332" s="73"/>
      <x:c r="AG332" s="77"/>
      <x:c r="AH332" s="73"/>
      <x:c r="AI332" s="91"/>
      <x:c r="AJ332" s="91"/>
      <x:c r="AK332" s="91"/>
      <x:c r="AL332" s="92"/>
      <x:c r="AM332" s="91"/>
      <x:c r="AN332" s="91"/>
      <x:c r="AO332" s="93"/>
      <x:c r="AP332" s="94"/>
      <x:c r="AQ332" s="91"/>
      <x:c r="AR332" s="91"/>
      <x:c r="AS332" s="91"/>
      <x:c r="AT332" s="91"/>
      <x:c r="AU332" s="91"/>
      <x:c r="AV332" s="91"/>
      <x:c r="AW332" s="91"/>
      <x:c r="AX332" s="91"/>
      <x:c r="AY332" s="91"/>
      <x:c r="AZ332" s="92"/>
      <x:c r="BA332" s="94"/>
      <x:c r="BB332" s="91"/>
      <x:c r="BC332" s="92"/>
      <x:c r="BD332" s="92"/>
      <x:c r="BE332" s="91"/>
      <x:c r="BF332" s="91"/>
      <x:c r="BG332" s="91"/>
      <x:c r="BH332" s="91"/>
      <x:c r="BI332" s="91"/>
      <x:c r="BJ332" s="91"/>
      <x:c r="BK332" s="91"/>
      <x:c r="BL332" s="91"/>
      <x:c r="BM332" s="73" t="str">
        <x:f>IF(A332="","",IF(AI332="Example","Example only",IF(AI332&lt;&gt;"Actual","Set record type",IF(COUNTIF($A$2:$A$1001,A332)&gt;1,"Duplicate record ID",IF(OR(D332="",E332="",AF332="",NOT(ISNUMBER(AG332)),AJ332="",AK332="",NOT(ISNUMBER(AL332)),AND(AM332&lt;&gt;"Observed",AM332&lt;&gt;"Corroborated",AM332&lt;&gt;"Declared"),OR(AN332="",AN332="Unknown"),OR(AQ332="",AQ332="Unknown"),OR(AR332="",AR332="Unknown",AR332="TBD"),OR(BC332="",NOT(ISNUMBER(BC332)))),"Evidence incomplete","Evidence recorded; review scope")))))</x:f>
      </x:c>
      <x:c r="BN332" s="73"/>
    </x:row>
    <x:row r="333" ht="34" customHeight="1">
      <x:c r="A333" s="73"/>
      <x:c r="B333" s="73"/>
      <x:c r="C333" s="73"/>
      <x:c r="D333" s="73"/>
      <x:c r="E333" s="73"/>
      <x:c r="F333" s="73"/>
      <x:c r="G333" s="73"/>
      <x:c r="H333" s="73"/>
      <x:c r="I333" s="75"/>
      <x:c r="J333" s="73"/>
      <x:c r="K333" s="73"/>
      <x:c r="L333" s="76"/>
      <x:c r="M333" s="73"/>
      <x:c r="N333" s="73"/>
      <x:c r="O333" s="73"/>
      <x:c r="P333" s="73"/>
      <x:c r="Q333" s="76"/>
      <x:c r="R333" s="73"/>
      <x:c r="S333" s="73"/>
      <x:c r="T333" s="73"/>
      <x:c r="U333" s="73"/>
      <x:c r="V333" s="73"/>
      <x:c r="W333" s="73"/>
      <x:c r="X333" s="73"/>
      <x:c r="Y333" s="73"/>
      <x:c r="Z333" s="73"/>
      <x:c r="AA333" s="73"/>
      <x:c r="AB333" s="76" t="str">
        <x:f>IF(A333="","",IF(OR(NOT(ISNUMBER(I333)),I333&lt;0,NOT(ISNUMBER(AP333)),AP333&lt;0,NOT(ISNUMBER(L333)),L333&lt;1,L333&gt;5,L333&lt;&gt;INT(L333),AND(J333&lt;&gt;"Public",J333&lt;&gt;"Partner",J333&lt;&gt;"Internal",J333&lt;&gt;"None"),AND(K333&lt;&gt;"High",K333&lt;&gt;"Medium",K333&lt;&gt;"Low",K333&lt;&gt;"None"),AND(W333&lt;&gt;"Hard-coded",W333&lt;&gt;"Configurable",W333&lt;&gt;"Policy-managed",W333&lt;&gt;"API/Library abstraction",W333&lt;&gt;"Automated"),AND(Z333&lt;&gt;"Y",Z333&lt;&gt;"N"),AND(AA333&lt;&gt;"Y",AA333&lt;&gt;"N")),"Incomplete",IF(Z333="Y",20,0)+L333*5+IF(AA333="Y",15,0)+IF(J333="Public",10,IF(J333="Partner",7,IF(J333="Internal",3,0)))+IF(W333="Hard-coded",10,IF(W333="Configurable",3,0))+IF(MAX(I333,AP333)&gt;=10,10,IF(MAX(I333,AP333)&gt;=5,7,IF(MAX(I333,AP333)&gt;=2,3,0)))+IF(K333="High",10,IF(K333="Medium",5,0))))</x:f>
      </x:c>
      <x:c r="AC333" s="73" t="str">
        <x:f>IF(A333="","",IF(NOT(ISNUMBER(AB333)),"Review inputs",IF(AB333&gt;=70,"P0 - Immediate",IF(AB333&gt;=50,"P1 - High",IF(AB333&gt;=30,"P2 - Medium",IF(AB333&gt;=15,"P3 - Low","P4 - Monitor"))))))</x:f>
      </x:c>
      <x:c r="AD333" s="73"/>
      <x:c r="AE333" s="73"/>
      <x:c r="AF333" s="73"/>
      <x:c r="AG333" s="77"/>
      <x:c r="AH333" s="73"/>
      <x:c r="AI333" s="91"/>
      <x:c r="AJ333" s="91"/>
      <x:c r="AK333" s="91"/>
      <x:c r="AL333" s="92"/>
      <x:c r="AM333" s="91"/>
      <x:c r="AN333" s="91"/>
      <x:c r="AO333" s="93"/>
      <x:c r="AP333" s="94"/>
      <x:c r="AQ333" s="91"/>
      <x:c r="AR333" s="91"/>
      <x:c r="AS333" s="91"/>
      <x:c r="AT333" s="91"/>
      <x:c r="AU333" s="91"/>
      <x:c r="AV333" s="91"/>
      <x:c r="AW333" s="91"/>
      <x:c r="AX333" s="91"/>
      <x:c r="AY333" s="91"/>
      <x:c r="AZ333" s="92"/>
      <x:c r="BA333" s="94"/>
      <x:c r="BB333" s="91"/>
      <x:c r="BC333" s="92"/>
      <x:c r="BD333" s="92"/>
      <x:c r="BE333" s="91"/>
      <x:c r="BF333" s="91"/>
      <x:c r="BG333" s="91"/>
      <x:c r="BH333" s="91"/>
      <x:c r="BI333" s="91"/>
      <x:c r="BJ333" s="91"/>
      <x:c r="BK333" s="91"/>
      <x:c r="BL333" s="91"/>
      <x:c r="BM333" s="73" t="str">
        <x:f>IF(A333="","",IF(AI333="Example","Example only",IF(AI333&lt;&gt;"Actual","Set record type",IF(COUNTIF($A$2:$A$1001,A333)&gt;1,"Duplicate record ID",IF(OR(D333="",E333="",AF333="",NOT(ISNUMBER(AG333)),AJ333="",AK333="",NOT(ISNUMBER(AL333)),AND(AM333&lt;&gt;"Observed",AM333&lt;&gt;"Corroborated",AM333&lt;&gt;"Declared"),OR(AN333="",AN333="Unknown"),OR(AQ333="",AQ333="Unknown"),OR(AR333="",AR333="Unknown",AR333="TBD"),OR(BC333="",NOT(ISNUMBER(BC333)))),"Evidence incomplete","Evidence recorded; review scope")))))</x:f>
      </x:c>
      <x:c r="BN333" s="73"/>
    </x:row>
    <x:row r="334" ht="34" customHeight="1">
      <x:c r="A334" s="73"/>
      <x:c r="B334" s="73"/>
      <x:c r="C334" s="73"/>
      <x:c r="D334" s="73"/>
      <x:c r="E334" s="73"/>
      <x:c r="F334" s="73"/>
      <x:c r="G334" s="73"/>
      <x:c r="H334" s="73"/>
      <x:c r="I334" s="75"/>
      <x:c r="J334" s="73"/>
      <x:c r="K334" s="73"/>
      <x:c r="L334" s="76"/>
      <x:c r="M334" s="73"/>
      <x:c r="N334" s="73"/>
      <x:c r="O334" s="73"/>
      <x:c r="P334" s="73"/>
      <x:c r="Q334" s="76"/>
      <x:c r="R334" s="73"/>
      <x:c r="S334" s="73"/>
      <x:c r="T334" s="73"/>
      <x:c r="U334" s="73"/>
      <x:c r="V334" s="73"/>
      <x:c r="W334" s="73"/>
      <x:c r="X334" s="73"/>
      <x:c r="Y334" s="73"/>
      <x:c r="Z334" s="73"/>
      <x:c r="AA334" s="73"/>
      <x:c r="AB334" s="76" t="str">
        <x:f>IF(A334="","",IF(OR(NOT(ISNUMBER(I334)),I334&lt;0,NOT(ISNUMBER(AP334)),AP334&lt;0,NOT(ISNUMBER(L334)),L334&lt;1,L334&gt;5,L334&lt;&gt;INT(L334),AND(J334&lt;&gt;"Public",J334&lt;&gt;"Partner",J334&lt;&gt;"Internal",J334&lt;&gt;"None"),AND(K334&lt;&gt;"High",K334&lt;&gt;"Medium",K334&lt;&gt;"Low",K334&lt;&gt;"None"),AND(W334&lt;&gt;"Hard-coded",W334&lt;&gt;"Configurable",W334&lt;&gt;"Policy-managed",W334&lt;&gt;"API/Library abstraction",W334&lt;&gt;"Automated"),AND(Z334&lt;&gt;"Y",Z334&lt;&gt;"N"),AND(AA334&lt;&gt;"Y",AA334&lt;&gt;"N")),"Incomplete",IF(Z334="Y",20,0)+L334*5+IF(AA334="Y",15,0)+IF(J334="Public",10,IF(J334="Partner",7,IF(J334="Internal",3,0)))+IF(W334="Hard-coded",10,IF(W334="Configurable",3,0))+IF(MAX(I334,AP334)&gt;=10,10,IF(MAX(I334,AP334)&gt;=5,7,IF(MAX(I334,AP334)&gt;=2,3,0)))+IF(K334="High",10,IF(K334="Medium",5,0))))</x:f>
      </x:c>
      <x:c r="AC334" s="73" t="str">
        <x:f>IF(A334="","",IF(NOT(ISNUMBER(AB334)),"Review inputs",IF(AB334&gt;=70,"P0 - Immediate",IF(AB334&gt;=50,"P1 - High",IF(AB334&gt;=30,"P2 - Medium",IF(AB334&gt;=15,"P3 - Low","P4 - Monitor"))))))</x:f>
      </x:c>
      <x:c r="AD334" s="73"/>
      <x:c r="AE334" s="73"/>
      <x:c r="AF334" s="73"/>
      <x:c r="AG334" s="77"/>
      <x:c r="AH334" s="73"/>
      <x:c r="AI334" s="91"/>
      <x:c r="AJ334" s="91"/>
      <x:c r="AK334" s="91"/>
      <x:c r="AL334" s="92"/>
      <x:c r="AM334" s="91"/>
      <x:c r="AN334" s="91"/>
      <x:c r="AO334" s="93"/>
      <x:c r="AP334" s="94"/>
      <x:c r="AQ334" s="91"/>
      <x:c r="AR334" s="91"/>
      <x:c r="AS334" s="91"/>
      <x:c r="AT334" s="91"/>
      <x:c r="AU334" s="91"/>
      <x:c r="AV334" s="91"/>
      <x:c r="AW334" s="91"/>
      <x:c r="AX334" s="91"/>
      <x:c r="AY334" s="91"/>
      <x:c r="AZ334" s="92"/>
      <x:c r="BA334" s="94"/>
      <x:c r="BB334" s="91"/>
      <x:c r="BC334" s="92"/>
      <x:c r="BD334" s="92"/>
      <x:c r="BE334" s="91"/>
      <x:c r="BF334" s="91"/>
      <x:c r="BG334" s="91"/>
      <x:c r="BH334" s="91"/>
      <x:c r="BI334" s="91"/>
      <x:c r="BJ334" s="91"/>
      <x:c r="BK334" s="91"/>
      <x:c r="BL334" s="91"/>
      <x:c r="BM334" s="73" t="str">
        <x:f>IF(A334="","",IF(AI334="Example","Example only",IF(AI334&lt;&gt;"Actual","Set record type",IF(COUNTIF($A$2:$A$1001,A334)&gt;1,"Duplicate record ID",IF(OR(D334="",E334="",AF334="",NOT(ISNUMBER(AG334)),AJ334="",AK334="",NOT(ISNUMBER(AL334)),AND(AM334&lt;&gt;"Observed",AM334&lt;&gt;"Corroborated",AM334&lt;&gt;"Declared"),OR(AN334="",AN334="Unknown"),OR(AQ334="",AQ334="Unknown"),OR(AR334="",AR334="Unknown",AR334="TBD"),OR(BC334="",NOT(ISNUMBER(BC334)))),"Evidence incomplete","Evidence recorded; review scope")))))</x:f>
      </x:c>
      <x:c r="BN334" s="73"/>
    </x:row>
    <x:row r="335" ht="34" customHeight="1">
      <x:c r="A335" s="73"/>
      <x:c r="B335" s="73"/>
      <x:c r="C335" s="73"/>
      <x:c r="D335" s="73"/>
      <x:c r="E335" s="73"/>
      <x:c r="F335" s="73"/>
      <x:c r="G335" s="73"/>
      <x:c r="H335" s="73"/>
      <x:c r="I335" s="75"/>
      <x:c r="J335" s="73"/>
      <x:c r="K335" s="73"/>
      <x:c r="L335" s="76"/>
      <x:c r="M335" s="73"/>
      <x:c r="N335" s="73"/>
      <x:c r="O335" s="73"/>
      <x:c r="P335" s="73"/>
      <x:c r="Q335" s="76"/>
      <x:c r="R335" s="73"/>
      <x:c r="S335" s="73"/>
      <x:c r="T335" s="73"/>
      <x:c r="U335" s="73"/>
      <x:c r="V335" s="73"/>
      <x:c r="W335" s="73"/>
      <x:c r="X335" s="73"/>
      <x:c r="Y335" s="73"/>
      <x:c r="Z335" s="73"/>
      <x:c r="AA335" s="73"/>
      <x:c r="AB335" s="76" t="str">
        <x:f>IF(A335="","",IF(OR(NOT(ISNUMBER(I335)),I335&lt;0,NOT(ISNUMBER(AP335)),AP335&lt;0,NOT(ISNUMBER(L335)),L335&lt;1,L335&gt;5,L335&lt;&gt;INT(L335),AND(J335&lt;&gt;"Public",J335&lt;&gt;"Partner",J335&lt;&gt;"Internal",J335&lt;&gt;"None"),AND(K335&lt;&gt;"High",K335&lt;&gt;"Medium",K335&lt;&gt;"Low",K335&lt;&gt;"None"),AND(W335&lt;&gt;"Hard-coded",W335&lt;&gt;"Configurable",W335&lt;&gt;"Policy-managed",W335&lt;&gt;"API/Library abstraction",W335&lt;&gt;"Automated"),AND(Z335&lt;&gt;"Y",Z335&lt;&gt;"N"),AND(AA335&lt;&gt;"Y",AA335&lt;&gt;"N")),"Incomplete",IF(Z335="Y",20,0)+L335*5+IF(AA335="Y",15,0)+IF(J335="Public",10,IF(J335="Partner",7,IF(J335="Internal",3,0)))+IF(W335="Hard-coded",10,IF(W335="Configurable",3,0))+IF(MAX(I335,AP335)&gt;=10,10,IF(MAX(I335,AP335)&gt;=5,7,IF(MAX(I335,AP335)&gt;=2,3,0)))+IF(K335="High",10,IF(K335="Medium",5,0))))</x:f>
      </x:c>
      <x:c r="AC335" s="73" t="str">
        <x:f>IF(A335="","",IF(NOT(ISNUMBER(AB335)),"Review inputs",IF(AB335&gt;=70,"P0 - Immediate",IF(AB335&gt;=50,"P1 - High",IF(AB335&gt;=30,"P2 - Medium",IF(AB335&gt;=15,"P3 - Low","P4 - Monitor"))))))</x:f>
      </x:c>
      <x:c r="AD335" s="73"/>
      <x:c r="AE335" s="73"/>
      <x:c r="AF335" s="73"/>
      <x:c r="AG335" s="77"/>
      <x:c r="AH335" s="73"/>
      <x:c r="AI335" s="91"/>
      <x:c r="AJ335" s="91"/>
      <x:c r="AK335" s="91"/>
      <x:c r="AL335" s="92"/>
      <x:c r="AM335" s="91"/>
      <x:c r="AN335" s="91"/>
      <x:c r="AO335" s="93"/>
      <x:c r="AP335" s="94"/>
      <x:c r="AQ335" s="91"/>
      <x:c r="AR335" s="91"/>
      <x:c r="AS335" s="91"/>
      <x:c r="AT335" s="91"/>
      <x:c r="AU335" s="91"/>
      <x:c r="AV335" s="91"/>
      <x:c r="AW335" s="91"/>
      <x:c r="AX335" s="91"/>
      <x:c r="AY335" s="91"/>
      <x:c r="AZ335" s="92"/>
      <x:c r="BA335" s="94"/>
      <x:c r="BB335" s="91"/>
      <x:c r="BC335" s="92"/>
      <x:c r="BD335" s="92"/>
      <x:c r="BE335" s="91"/>
      <x:c r="BF335" s="91"/>
      <x:c r="BG335" s="91"/>
      <x:c r="BH335" s="91"/>
      <x:c r="BI335" s="91"/>
      <x:c r="BJ335" s="91"/>
      <x:c r="BK335" s="91"/>
      <x:c r="BL335" s="91"/>
      <x:c r="BM335" s="73" t="str">
        <x:f>IF(A335="","",IF(AI335="Example","Example only",IF(AI335&lt;&gt;"Actual","Set record type",IF(COUNTIF($A$2:$A$1001,A335)&gt;1,"Duplicate record ID",IF(OR(D335="",E335="",AF335="",NOT(ISNUMBER(AG335)),AJ335="",AK335="",NOT(ISNUMBER(AL335)),AND(AM335&lt;&gt;"Observed",AM335&lt;&gt;"Corroborated",AM335&lt;&gt;"Declared"),OR(AN335="",AN335="Unknown"),OR(AQ335="",AQ335="Unknown"),OR(AR335="",AR335="Unknown",AR335="TBD"),OR(BC335="",NOT(ISNUMBER(BC335)))),"Evidence incomplete","Evidence recorded; review scope")))))</x:f>
      </x:c>
      <x:c r="BN335" s="73"/>
    </x:row>
    <x:row r="336" ht="34" customHeight="1">
      <x:c r="A336" s="73"/>
      <x:c r="B336" s="73"/>
      <x:c r="C336" s="73"/>
      <x:c r="D336" s="73"/>
      <x:c r="E336" s="73"/>
      <x:c r="F336" s="73"/>
      <x:c r="G336" s="73"/>
      <x:c r="H336" s="73"/>
      <x:c r="I336" s="75"/>
      <x:c r="J336" s="73"/>
      <x:c r="K336" s="73"/>
      <x:c r="L336" s="76"/>
      <x:c r="M336" s="73"/>
      <x:c r="N336" s="73"/>
      <x:c r="O336" s="73"/>
      <x:c r="P336" s="73"/>
      <x:c r="Q336" s="76"/>
      <x:c r="R336" s="73"/>
      <x:c r="S336" s="73"/>
      <x:c r="T336" s="73"/>
      <x:c r="U336" s="73"/>
      <x:c r="V336" s="73"/>
      <x:c r="W336" s="73"/>
      <x:c r="X336" s="73"/>
      <x:c r="Y336" s="73"/>
      <x:c r="Z336" s="73"/>
      <x:c r="AA336" s="73"/>
      <x:c r="AB336" s="76" t="str">
        <x:f>IF(A336="","",IF(OR(NOT(ISNUMBER(I336)),I336&lt;0,NOT(ISNUMBER(AP336)),AP336&lt;0,NOT(ISNUMBER(L336)),L336&lt;1,L336&gt;5,L336&lt;&gt;INT(L336),AND(J336&lt;&gt;"Public",J336&lt;&gt;"Partner",J336&lt;&gt;"Internal",J336&lt;&gt;"None"),AND(K336&lt;&gt;"High",K336&lt;&gt;"Medium",K336&lt;&gt;"Low",K336&lt;&gt;"None"),AND(W336&lt;&gt;"Hard-coded",W336&lt;&gt;"Configurable",W336&lt;&gt;"Policy-managed",W336&lt;&gt;"API/Library abstraction",W336&lt;&gt;"Automated"),AND(Z336&lt;&gt;"Y",Z336&lt;&gt;"N"),AND(AA336&lt;&gt;"Y",AA336&lt;&gt;"N")),"Incomplete",IF(Z336="Y",20,0)+L336*5+IF(AA336="Y",15,0)+IF(J336="Public",10,IF(J336="Partner",7,IF(J336="Internal",3,0)))+IF(W336="Hard-coded",10,IF(W336="Configurable",3,0))+IF(MAX(I336,AP336)&gt;=10,10,IF(MAX(I336,AP336)&gt;=5,7,IF(MAX(I336,AP336)&gt;=2,3,0)))+IF(K336="High",10,IF(K336="Medium",5,0))))</x:f>
      </x:c>
      <x:c r="AC336" s="73" t="str">
        <x:f>IF(A336="","",IF(NOT(ISNUMBER(AB336)),"Review inputs",IF(AB336&gt;=70,"P0 - Immediate",IF(AB336&gt;=50,"P1 - High",IF(AB336&gt;=30,"P2 - Medium",IF(AB336&gt;=15,"P3 - Low","P4 - Monitor"))))))</x:f>
      </x:c>
      <x:c r="AD336" s="73"/>
      <x:c r="AE336" s="73"/>
      <x:c r="AF336" s="73"/>
      <x:c r="AG336" s="77"/>
      <x:c r="AH336" s="73"/>
      <x:c r="AI336" s="91"/>
      <x:c r="AJ336" s="91"/>
      <x:c r="AK336" s="91"/>
      <x:c r="AL336" s="92"/>
      <x:c r="AM336" s="91"/>
      <x:c r="AN336" s="91"/>
      <x:c r="AO336" s="93"/>
      <x:c r="AP336" s="94"/>
      <x:c r="AQ336" s="91"/>
      <x:c r="AR336" s="91"/>
      <x:c r="AS336" s="91"/>
      <x:c r="AT336" s="91"/>
      <x:c r="AU336" s="91"/>
      <x:c r="AV336" s="91"/>
      <x:c r="AW336" s="91"/>
      <x:c r="AX336" s="91"/>
      <x:c r="AY336" s="91"/>
      <x:c r="AZ336" s="92"/>
      <x:c r="BA336" s="94"/>
      <x:c r="BB336" s="91"/>
      <x:c r="BC336" s="92"/>
      <x:c r="BD336" s="92"/>
      <x:c r="BE336" s="91"/>
      <x:c r="BF336" s="91"/>
      <x:c r="BG336" s="91"/>
      <x:c r="BH336" s="91"/>
      <x:c r="BI336" s="91"/>
      <x:c r="BJ336" s="91"/>
      <x:c r="BK336" s="91"/>
      <x:c r="BL336" s="91"/>
      <x:c r="BM336" s="73" t="str">
        <x:f>IF(A336="","",IF(AI336="Example","Example only",IF(AI336&lt;&gt;"Actual","Set record type",IF(COUNTIF($A$2:$A$1001,A336)&gt;1,"Duplicate record ID",IF(OR(D336="",E336="",AF336="",NOT(ISNUMBER(AG336)),AJ336="",AK336="",NOT(ISNUMBER(AL336)),AND(AM336&lt;&gt;"Observed",AM336&lt;&gt;"Corroborated",AM336&lt;&gt;"Declared"),OR(AN336="",AN336="Unknown"),OR(AQ336="",AQ336="Unknown"),OR(AR336="",AR336="Unknown",AR336="TBD"),OR(BC336="",NOT(ISNUMBER(BC336)))),"Evidence incomplete","Evidence recorded; review scope")))))</x:f>
      </x:c>
      <x:c r="BN336" s="73"/>
    </x:row>
    <x:row r="337" ht="34" customHeight="1">
      <x:c r="A337" s="73"/>
      <x:c r="B337" s="73"/>
      <x:c r="C337" s="73"/>
      <x:c r="D337" s="73"/>
      <x:c r="E337" s="73"/>
      <x:c r="F337" s="73"/>
      <x:c r="G337" s="73"/>
      <x:c r="H337" s="73"/>
      <x:c r="I337" s="75"/>
      <x:c r="J337" s="73"/>
      <x:c r="K337" s="73"/>
      <x:c r="L337" s="76"/>
      <x:c r="M337" s="73"/>
      <x:c r="N337" s="73"/>
      <x:c r="O337" s="73"/>
      <x:c r="P337" s="73"/>
      <x:c r="Q337" s="76"/>
      <x:c r="R337" s="73"/>
      <x:c r="S337" s="73"/>
      <x:c r="T337" s="73"/>
      <x:c r="U337" s="73"/>
      <x:c r="V337" s="73"/>
      <x:c r="W337" s="73"/>
      <x:c r="X337" s="73"/>
      <x:c r="Y337" s="73"/>
      <x:c r="Z337" s="73"/>
      <x:c r="AA337" s="73"/>
      <x:c r="AB337" s="76" t="str">
        <x:f>IF(A337="","",IF(OR(NOT(ISNUMBER(I337)),I337&lt;0,NOT(ISNUMBER(AP337)),AP337&lt;0,NOT(ISNUMBER(L337)),L337&lt;1,L337&gt;5,L337&lt;&gt;INT(L337),AND(J337&lt;&gt;"Public",J337&lt;&gt;"Partner",J337&lt;&gt;"Internal",J337&lt;&gt;"None"),AND(K337&lt;&gt;"High",K337&lt;&gt;"Medium",K337&lt;&gt;"Low",K337&lt;&gt;"None"),AND(W337&lt;&gt;"Hard-coded",W337&lt;&gt;"Configurable",W337&lt;&gt;"Policy-managed",W337&lt;&gt;"API/Library abstraction",W337&lt;&gt;"Automated"),AND(Z337&lt;&gt;"Y",Z337&lt;&gt;"N"),AND(AA337&lt;&gt;"Y",AA337&lt;&gt;"N")),"Incomplete",IF(Z337="Y",20,0)+L337*5+IF(AA337="Y",15,0)+IF(J337="Public",10,IF(J337="Partner",7,IF(J337="Internal",3,0)))+IF(W337="Hard-coded",10,IF(W337="Configurable",3,0))+IF(MAX(I337,AP337)&gt;=10,10,IF(MAX(I337,AP337)&gt;=5,7,IF(MAX(I337,AP337)&gt;=2,3,0)))+IF(K337="High",10,IF(K337="Medium",5,0))))</x:f>
      </x:c>
      <x:c r="AC337" s="73" t="str">
        <x:f>IF(A337="","",IF(NOT(ISNUMBER(AB337)),"Review inputs",IF(AB337&gt;=70,"P0 - Immediate",IF(AB337&gt;=50,"P1 - High",IF(AB337&gt;=30,"P2 - Medium",IF(AB337&gt;=15,"P3 - Low","P4 - Monitor"))))))</x:f>
      </x:c>
      <x:c r="AD337" s="73"/>
      <x:c r="AE337" s="73"/>
      <x:c r="AF337" s="73"/>
      <x:c r="AG337" s="77"/>
      <x:c r="AH337" s="73"/>
      <x:c r="AI337" s="91"/>
      <x:c r="AJ337" s="91"/>
      <x:c r="AK337" s="91"/>
      <x:c r="AL337" s="92"/>
      <x:c r="AM337" s="91"/>
      <x:c r="AN337" s="91"/>
      <x:c r="AO337" s="93"/>
      <x:c r="AP337" s="94"/>
      <x:c r="AQ337" s="91"/>
      <x:c r="AR337" s="91"/>
      <x:c r="AS337" s="91"/>
      <x:c r="AT337" s="91"/>
      <x:c r="AU337" s="91"/>
      <x:c r="AV337" s="91"/>
      <x:c r="AW337" s="91"/>
      <x:c r="AX337" s="91"/>
      <x:c r="AY337" s="91"/>
      <x:c r="AZ337" s="92"/>
      <x:c r="BA337" s="94"/>
      <x:c r="BB337" s="91"/>
      <x:c r="BC337" s="92"/>
      <x:c r="BD337" s="92"/>
      <x:c r="BE337" s="91"/>
      <x:c r="BF337" s="91"/>
      <x:c r="BG337" s="91"/>
      <x:c r="BH337" s="91"/>
      <x:c r="BI337" s="91"/>
      <x:c r="BJ337" s="91"/>
      <x:c r="BK337" s="91"/>
      <x:c r="BL337" s="91"/>
      <x:c r="BM337" s="73" t="str">
        <x:f>IF(A337="","",IF(AI337="Example","Example only",IF(AI337&lt;&gt;"Actual","Set record type",IF(COUNTIF($A$2:$A$1001,A337)&gt;1,"Duplicate record ID",IF(OR(D337="",E337="",AF337="",NOT(ISNUMBER(AG337)),AJ337="",AK337="",NOT(ISNUMBER(AL337)),AND(AM337&lt;&gt;"Observed",AM337&lt;&gt;"Corroborated",AM337&lt;&gt;"Declared"),OR(AN337="",AN337="Unknown"),OR(AQ337="",AQ337="Unknown"),OR(AR337="",AR337="Unknown",AR337="TBD"),OR(BC337="",NOT(ISNUMBER(BC337)))),"Evidence incomplete","Evidence recorded; review scope")))))</x:f>
      </x:c>
      <x:c r="BN337" s="73"/>
    </x:row>
    <x:row r="338" ht="34" customHeight="1">
      <x:c r="A338" s="73"/>
      <x:c r="B338" s="73"/>
      <x:c r="C338" s="73"/>
      <x:c r="D338" s="73"/>
      <x:c r="E338" s="73"/>
      <x:c r="F338" s="73"/>
      <x:c r="G338" s="73"/>
      <x:c r="H338" s="73"/>
      <x:c r="I338" s="75"/>
      <x:c r="J338" s="73"/>
      <x:c r="K338" s="73"/>
      <x:c r="L338" s="76"/>
      <x:c r="M338" s="73"/>
      <x:c r="N338" s="73"/>
      <x:c r="O338" s="73"/>
      <x:c r="P338" s="73"/>
      <x:c r="Q338" s="76"/>
      <x:c r="R338" s="73"/>
      <x:c r="S338" s="73"/>
      <x:c r="T338" s="73"/>
      <x:c r="U338" s="73"/>
      <x:c r="V338" s="73"/>
      <x:c r="W338" s="73"/>
      <x:c r="X338" s="73"/>
      <x:c r="Y338" s="73"/>
      <x:c r="Z338" s="73"/>
      <x:c r="AA338" s="73"/>
      <x:c r="AB338" s="76" t="str">
        <x:f>IF(A338="","",IF(OR(NOT(ISNUMBER(I338)),I338&lt;0,NOT(ISNUMBER(AP338)),AP338&lt;0,NOT(ISNUMBER(L338)),L338&lt;1,L338&gt;5,L338&lt;&gt;INT(L338),AND(J338&lt;&gt;"Public",J338&lt;&gt;"Partner",J338&lt;&gt;"Internal",J338&lt;&gt;"None"),AND(K338&lt;&gt;"High",K338&lt;&gt;"Medium",K338&lt;&gt;"Low",K338&lt;&gt;"None"),AND(W338&lt;&gt;"Hard-coded",W338&lt;&gt;"Configurable",W338&lt;&gt;"Policy-managed",W338&lt;&gt;"API/Library abstraction",W338&lt;&gt;"Automated"),AND(Z338&lt;&gt;"Y",Z338&lt;&gt;"N"),AND(AA338&lt;&gt;"Y",AA338&lt;&gt;"N")),"Incomplete",IF(Z338="Y",20,0)+L338*5+IF(AA338="Y",15,0)+IF(J338="Public",10,IF(J338="Partner",7,IF(J338="Internal",3,0)))+IF(W338="Hard-coded",10,IF(W338="Configurable",3,0))+IF(MAX(I338,AP338)&gt;=10,10,IF(MAX(I338,AP338)&gt;=5,7,IF(MAX(I338,AP338)&gt;=2,3,0)))+IF(K338="High",10,IF(K338="Medium",5,0))))</x:f>
      </x:c>
      <x:c r="AC338" s="73" t="str">
        <x:f>IF(A338="","",IF(NOT(ISNUMBER(AB338)),"Review inputs",IF(AB338&gt;=70,"P0 - Immediate",IF(AB338&gt;=50,"P1 - High",IF(AB338&gt;=30,"P2 - Medium",IF(AB338&gt;=15,"P3 - Low","P4 - Monitor"))))))</x:f>
      </x:c>
      <x:c r="AD338" s="73"/>
      <x:c r="AE338" s="73"/>
      <x:c r="AF338" s="73"/>
      <x:c r="AG338" s="77"/>
      <x:c r="AH338" s="73"/>
      <x:c r="AI338" s="91"/>
      <x:c r="AJ338" s="91"/>
      <x:c r="AK338" s="91"/>
      <x:c r="AL338" s="92"/>
      <x:c r="AM338" s="91"/>
      <x:c r="AN338" s="91"/>
      <x:c r="AO338" s="93"/>
      <x:c r="AP338" s="94"/>
      <x:c r="AQ338" s="91"/>
      <x:c r="AR338" s="91"/>
      <x:c r="AS338" s="91"/>
      <x:c r="AT338" s="91"/>
      <x:c r="AU338" s="91"/>
      <x:c r="AV338" s="91"/>
      <x:c r="AW338" s="91"/>
      <x:c r="AX338" s="91"/>
      <x:c r="AY338" s="91"/>
      <x:c r="AZ338" s="92"/>
      <x:c r="BA338" s="94"/>
      <x:c r="BB338" s="91"/>
      <x:c r="BC338" s="92"/>
      <x:c r="BD338" s="92"/>
      <x:c r="BE338" s="91"/>
      <x:c r="BF338" s="91"/>
      <x:c r="BG338" s="91"/>
      <x:c r="BH338" s="91"/>
      <x:c r="BI338" s="91"/>
      <x:c r="BJ338" s="91"/>
      <x:c r="BK338" s="91"/>
      <x:c r="BL338" s="91"/>
      <x:c r="BM338" s="73" t="str">
        <x:f>IF(A338="","",IF(AI338="Example","Example only",IF(AI338&lt;&gt;"Actual","Set record type",IF(COUNTIF($A$2:$A$1001,A338)&gt;1,"Duplicate record ID",IF(OR(D338="",E338="",AF338="",NOT(ISNUMBER(AG338)),AJ338="",AK338="",NOT(ISNUMBER(AL338)),AND(AM338&lt;&gt;"Observed",AM338&lt;&gt;"Corroborated",AM338&lt;&gt;"Declared"),OR(AN338="",AN338="Unknown"),OR(AQ338="",AQ338="Unknown"),OR(AR338="",AR338="Unknown",AR338="TBD"),OR(BC338="",NOT(ISNUMBER(BC338)))),"Evidence incomplete","Evidence recorded; review scope")))))</x:f>
      </x:c>
      <x:c r="BN338" s="73"/>
    </x:row>
    <x:row r="339" ht="34" customHeight="1">
      <x:c r="A339" s="73"/>
      <x:c r="B339" s="73"/>
      <x:c r="C339" s="73"/>
      <x:c r="D339" s="73"/>
      <x:c r="E339" s="73"/>
      <x:c r="F339" s="73"/>
      <x:c r="G339" s="73"/>
      <x:c r="H339" s="73"/>
      <x:c r="I339" s="75"/>
      <x:c r="J339" s="73"/>
      <x:c r="K339" s="73"/>
      <x:c r="L339" s="76"/>
      <x:c r="M339" s="73"/>
      <x:c r="N339" s="73"/>
      <x:c r="O339" s="73"/>
      <x:c r="P339" s="73"/>
      <x:c r="Q339" s="76"/>
      <x:c r="R339" s="73"/>
      <x:c r="S339" s="73"/>
      <x:c r="T339" s="73"/>
      <x:c r="U339" s="73"/>
      <x:c r="V339" s="73"/>
      <x:c r="W339" s="73"/>
      <x:c r="X339" s="73"/>
      <x:c r="Y339" s="73"/>
      <x:c r="Z339" s="73"/>
      <x:c r="AA339" s="73"/>
      <x:c r="AB339" s="76" t="str">
        <x:f>IF(A339="","",IF(OR(NOT(ISNUMBER(I339)),I339&lt;0,NOT(ISNUMBER(AP339)),AP339&lt;0,NOT(ISNUMBER(L339)),L339&lt;1,L339&gt;5,L339&lt;&gt;INT(L339),AND(J339&lt;&gt;"Public",J339&lt;&gt;"Partner",J339&lt;&gt;"Internal",J339&lt;&gt;"None"),AND(K339&lt;&gt;"High",K339&lt;&gt;"Medium",K339&lt;&gt;"Low",K339&lt;&gt;"None"),AND(W339&lt;&gt;"Hard-coded",W339&lt;&gt;"Configurable",W339&lt;&gt;"Policy-managed",W339&lt;&gt;"API/Library abstraction",W339&lt;&gt;"Automated"),AND(Z339&lt;&gt;"Y",Z339&lt;&gt;"N"),AND(AA339&lt;&gt;"Y",AA339&lt;&gt;"N")),"Incomplete",IF(Z339="Y",20,0)+L339*5+IF(AA339="Y",15,0)+IF(J339="Public",10,IF(J339="Partner",7,IF(J339="Internal",3,0)))+IF(W339="Hard-coded",10,IF(W339="Configurable",3,0))+IF(MAX(I339,AP339)&gt;=10,10,IF(MAX(I339,AP339)&gt;=5,7,IF(MAX(I339,AP339)&gt;=2,3,0)))+IF(K339="High",10,IF(K339="Medium",5,0))))</x:f>
      </x:c>
      <x:c r="AC339" s="73" t="str">
        <x:f>IF(A339="","",IF(NOT(ISNUMBER(AB339)),"Review inputs",IF(AB339&gt;=70,"P0 - Immediate",IF(AB339&gt;=50,"P1 - High",IF(AB339&gt;=30,"P2 - Medium",IF(AB339&gt;=15,"P3 - Low","P4 - Monitor"))))))</x:f>
      </x:c>
      <x:c r="AD339" s="73"/>
      <x:c r="AE339" s="73"/>
      <x:c r="AF339" s="73"/>
      <x:c r="AG339" s="77"/>
      <x:c r="AH339" s="73"/>
      <x:c r="AI339" s="91"/>
      <x:c r="AJ339" s="91"/>
      <x:c r="AK339" s="91"/>
      <x:c r="AL339" s="92"/>
      <x:c r="AM339" s="91"/>
      <x:c r="AN339" s="91"/>
      <x:c r="AO339" s="93"/>
      <x:c r="AP339" s="94"/>
      <x:c r="AQ339" s="91"/>
      <x:c r="AR339" s="91"/>
      <x:c r="AS339" s="91"/>
      <x:c r="AT339" s="91"/>
      <x:c r="AU339" s="91"/>
      <x:c r="AV339" s="91"/>
      <x:c r="AW339" s="91"/>
      <x:c r="AX339" s="91"/>
      <x:c r="AY339" s="91"/>
      <x:c r="AZ339" s="92"/>
      <x:c r="BA339" s="94"/>
      <x:c r="BB339" s="91"/>
      <x:c r="BC339" s="92"/>
      <x:c r="BD339" s="92"/>
      <x:c r="BE339" s="91"/>
      <x:c r="BF339" s="91"/>
      <x:c r="BG339" s="91"/>
      <x:c r="BH339" s="91"/>
      <x:c r="BI339" s="91"/>
      <x:c r="BJ339" s="91"/>
      <x:c r="BK339" s="91"/>
      <x:c r="BL339" s="91"/>
      <x:c r="BM339" s="73" t="str">
        <x:f>IF(A339="","",IF(AI339="Example","Example only",IF(AI339&lt;&gt;"Actual","Set record type",IF(COUNTIF($A$2:$A$1001,A339)&gt;1,"Duplicate record ID",IF(OR(D339="",E339="",AF339="",NOT(ISNUMBER(AG339)),AJ339="",AK339="",NOT(ISNUMBER(AL339)),AND(AM339&lt;&gt;"Observed",AM339&lt;&gt;"Corroborated",AM339&lt;&gt;"Declared"),OR(AN339="",AN339="Unknown"),OR(AQ339="",AQ339="Unknown"),OR(AR339="",AR339="Unknown",AR339="TBD"),OR(BC339="",NOT(ISNUMBER(BC339)))),"Evidence incomplete","Evidence recorded; review scope")))))</x:f>
      </x:c>
      <x:c r="BN339" s="73"/>
    </x:row>
    <x:row r="340" ht="34" customHeight="1">
      <x:c r="A340" s="73"/>
      <x:c r="B340" s="73"/>
      <x:c r="C340" s="73"/>
      <x:c r="D340" s="73"/>
      <x:c r="E340" s="73"/>
      <x:c r="F340" s="73"/>
      <x:c r="G340" s="73"/>
      <x:c r="H340" s="73"/>
      <x:c r="I340" s="75"/>
      <x:c r="J340" s="73"/>
      <x:c r="K340" s="73"/>
      <x:c r="L340" s="76"/>
      <x:c r="M340" s="73"/>
      <x:c r="N340" s="73"/>
      <x:c r="O340" s="73"/>
      <x:c r="P340" s="73"/>
      <x:c r="Q340" s="76"/>
      <x:c r="R340" s="73"/>
      <x:c r="S340" s="73"/>
      <x:c r="T340" s="73"/>
      <x:c r="U340" s="73"/>
      <x:c r="V340" s="73"/>
      <x:c r="W340" s="73"/>
      <x:c r="X340" s="73"/>
      <x:c r="Y340" s="73"/>
      <x:c r="Z340" s="73"/>
      <x:c r="AA340" s="73"/>
      <x:c r="AB340" s="76" t="str">
        <x:f>IF(A340="","",IF(OR(NOT(ISNUMBER(I340)),I340&lt;0,NOT(ISNUMBER(AP340)),AP340&lt;0,NOT(ISNUMBER(L340)),L340&lt;1,L340&gt;5,L340&lt;&gt;INT(L340),AND(J340&lt;&gt;"Public",J340&lt;&gt;"Partner",J340&lt;&gt;"Internal",J340&lt;&gt;"None"),AND(K340&lt;&gt;"High",K340&lt;&gt;"Medium",K340&lt;&gt;"Low",K340&lt;&gt;"None"),AND(W340&lt;&gt;"Hard-coded",W340&lt;&gt;"Configurable",W340&lt;&gt;"Policy-managed",W340&lt;&gt;"API/Library abstraction",W340&lt;&gt;"Automated"),AND(Z340&lt;&gt;"Y",Z340&lt;&gt;"N"),AND(AA340&lt;&gt;"Y",AA340&lt;&gt;"N")),"Incomplete",IF(Z340="Y",20,0)+L340*5+IF(AA340="Y",15,0)+IF(J340="Public",10,IF(J340="Partner",7,IF(J340="Internal",3,0)))+IF(W340="Hard-coded",10,IF(W340="Configurable",3,0))+IF(MAX(I340,AP340)&gt;=10,10,IF(MAX(I340,AP340)&gt;=5,7,IF(MAX(I340,AP340)&gt;=2,3,0)))+IF(K340="High",10,IF(K340="Medium",5,0))))</x:f>
      </x:c>
      <x:c r="AC340" s="73" t="str">
        <x:f>IF(A340="","",IF(NOT(ISNUMBER(AB340)),"Review inputs",IF(AB340&gt;=70,"P0 - Immediate",IF(AB340&gt;=50,"P1 - High",IF(AB340&gt;=30,"P2 - Medium",IF(AB340&gt;=15,"P3 - Low","P4 - Monitor"))))))</x:f>
      </x:c>
      <x:c r="AD340" s="73"/>
      <x:c r="AE340" s="73"/>
      <x:c r="AF340" s="73"/>
      <x:c r="AG340" s="77"/>
      <x:c r="AH340" s="73"/>
      <x:c r="AI340" s="91"/>
      <x:c r="AJ340" s="91"/>
      <x:c r="AK340" s="91"/>
      <x:c r="AL340" s="92"/>
      <x:c r="AM340" s="91"/>
      <x:c r="AN340" s="91"/>
      <x:c r="AO340" s="93"/>
      <x:c r="AP340" s="94"/>
      <x:c r="AQ340" s="91"/>
      <x:c r="AR340" s="91"/>
      <x:c r="AS340" s="91"/>
      <x:c r="AT340" s="91"/>
      <x:c r="AU340" s="91"/>
      <x:c r="AV340" s="91"/>
      <x:c r="AW340" s="91"/>
      <x:c r="AX340" s="91"/>
      <x:c r="AY340" s="91"/>
      <x:c r="AZ340" s="92"/>
      <x:c r="BA340" s="94"/>
      <x:c r="BB340" s="91"/>
      <x:c r="BC340" s="92"/>
      <x:c r="BD340" s="92"/>
      <x:c r="BE340" s="91"/>
      <x:c r="BF340" s="91"/>
      <x:c r="BG340" s="91"/>
      <x:c r="BH340" s="91"/>
      <x:c r="BI340" s="91"/>
      <x:c r="BJ340" s="91"/>
      <x:c r="BK340" s="91"/>
      <x:c r="BL340" s="91"/>
      <x:c r="BM340" s="73" t="str">
        <x:f>IF(A340="","",IF(AI340="Example","Example only",IF(AI340&lt;&gt;"Actual","Set record type",IF(COUNTIF($A$2:$A$1001,A340)&gt;1,"Duplicate record ID",IF(OR(D340="",E340="",AF340="",NOT(ISNUMBER(AG340)),AJ340="",AK340="",NOT(ISNUMBER(AL340)),AND(AM340&lt;&gt;"Observed",AM340&lt;&gt;"Corroborated",AM340&lt;&gt;"Declared"),OR(AN340="",AN340="Unknown"),OR(AQ340="",AQ340="Unknown"),OR(AR340="",AR340="Unknown",AR340="TBD"),OR(BC340="",NOT(ISNUMBER(BC340)))),"Evidence incomplete","Evidence recorded; review scope")))))</x:f>
      </x:c>
      <x:c r="BN340" s="73"/>
    </x:row>
    <x:row r="341" ht="34" customHeight="1">
      <x:c r="A341" s="73"/>
      <x:c r="B341" s="73"/>
      <x:c r="C341" s="73"/>
      <x:c r="D341" s="73"/>
      <x:c r="E341" s="73"/>
      <x:c r="F341" s="73"/>
      <x:c r="G341" s="73"/>
      <x:c r="H341" s="73"/>
      <x:c r="I341" s="75"/>
      <x:c r="J341" s="73"/>
      <x:c r="K341" s="73"/>
      <x:c r="L341" s="76"/>
      <x:c r="M341" s="73"/>
      <x:c r="N341" s="73"/>
      <x:c r="O341" s="73"/>
      <x:c r="P341" s="73"/>
      <x:c r="Q341" s="76"/>
      <x:c r="R341" s="73"/>
      <x:c r="S341" s="73"/>
      <x:c r="T341" s="73"/>
      <x:c r="U341" s="73"/>
      <x:c r="V341" s="73"/>
      <x:c r="W341" s="73"/>
      <x:c r="X341" s="73"/>
      <x:c r="Y341" s="73"/>
      <x:c r="Z341" s="73"/>
      <x:c r="AA341" s="73"/>
      <x:c r="AB341" s="76" t="str">
        <x:f>IF(A341="","",IF(OR(NOT(ISNUMBER(I341)),I341&lt;0,NOT(ISNUMBER(AP341)),AP341&lt;0,NOT(ISNUMBER(L341)),L341&lt;1,L341&gt;5,L341&lt;&gt;INT(L341),AND(J341&lt;&gt;"Public",J341&lt;&gt;"Partner",J341&lt;&gt;"Internal",J341&lt;&gt;"None"),AND(K341&lt;&gt;"High",K341&lt;&gt;"Medium",K341&lt;&gt;"Low",K341&lt;&gt;"None"),AND(W341&lt;&gt;"Hard-coded",W341&lt;&gt;"Configurable",W341&lt;&gt;"Policy-managed",W341&lt;&gt;"API/Library abstraction",W341&lt;&gt;"Automated"),AND(Z341&lt;&gt;"Y",Z341&lt;&gt;"N"),AND(AA341&lt;&gt;"Y",AA341&lt;&gt;"N")),"Incomplete",IF(Z341="Y",20,0)+L341*5+IF(AA341="Y",15,0)+IF(J341="Public",10,IF(J341="Partner",7,IF(J341="Internal",3,0)))+IF(W341="Hard-coded",10,IF(W341="Configurable",3,0))+IF(MAX(I341,AP341)&gt;=10,10,IF(MAX(I341,AP341)&gt;=5,7,IF(MAX(I341,AP341)&gt;=2,3,0)))+IF(K341="High",10,IF(K341="Medium",5,0))))</x:f>
      </x:c>
      <x:c r="AC341" s="73" t="str">
        <x:f>IF(A341="","",IF(NOT(ISNUMBER(AB341)),"Review inputs",IF(AB341&gt;=70,"P0 - Immediate",IF(AB341&gt;=50,"P1 - High",IF(AB341&gt;=30,"P2 - Medium",IF(AB341&gt;=15,"P3 - Low","P4 - Monitor"))))))</x:f>
      </x:c>
      <x:c r="AD341" s="73"/>
      <x:c r="AE341" s="73"/>
      <x:c r="AF341" s="73"/>
      <x:c r="AG341" s="77"/>
      <x:c r="AH341" s="73"/>
      <x:c r="AI341" s="91"/>
      <x:c r="AJ341" s="91"/>
      <x:c r="AK341" s="91"/>
      <x:c r="AL341" s="92"/>
      <x:c r="AM341" s="91"/>
      <x:c r="AN341" s="91"/>
      <x:c r="AO341" s="93"/>
      <x:c r="AP341" s="94"/>
      <x:c r="AQ341" s="91"/>
      <x:c r="AR341" s="91"/>
      <x:c r="AS341" s="91"/>
      <x:c r="AT341" s="91"/>
      <x:c r="AU341" s="91"/>
      <x:c r="AV341" s="91"/>
      <x:c r="AW341" s="91"/>
      <x:c r="AX341" s="91"/>
      <x:c r="AY341" s="91"/>
      <x:c r="AZ341" s="92"/>
      <x:c r="BA341" s="94"/>
      <x:c r="BB341" s="91"/>
      <x:c r="BC341" s="92"/>
      <x:c r="BD341" s="92"/>
      <x:c r="BE341" s="91"/>
      <x:c r="BF341" s="91"/>
      <x:c r="BG341" s="91"/>
      <x:c r="BH341" s="91"/>
      <x:c r="BI341" s="91"/>
      <x:c r="BJ341" s="91"/>
      <x:c r="BK341" s="91"/>
      <x:c r="BL341" s="91"/>
      <x:c r="BM341" s="73" t="str">
        <x:f>IF(A341="","",IF(AI341="Example","Example only",IF(AI341&lt;&gt;"Actual","Set record type",IF(COUNTIF($A$2:$A$1001,A341)&gt;1,"Duplicate record ID",IF(OR(D341="",E341="",AF341="",NOT(ISNUMBER(AG341)),AJ341="",AK341="",NOT(ISNUMBER(AL341)),AND(AM341&lt;&gt;"Observed",AM341&lt;&gt;"Corroborated",AM341&lt;&gt;"Declared"),OR(AN341="",AN341="Unknown"),OR(AQ341="",AQ341="Unknown"),OR(AR341="",AR341="Unknown",AR341="TBD"),OR(BC341="",NOT(ISNUMBER(BC341)))),"Evidence incomplete","Evidence recorded; review scope")))))</x:f>
      </x:c>
      <x:c r="BN341" s="73"/>
    </x:row>
    <x:row r="342" ht="34" customHeight="1">
      <x:c r="A342" s="73"/>
      <x:c r="B342" s="73"/>
      <x:c r="C342" s="73"/>
      <x:c r="D342" s="73"/>
      <x:c r="E342" s="73"/>
      <x:c r="F342" s="73"/>
      <x:c r="G342" s="73"/>
      <x:c r="H342" s="73"/>
      <x:c r="I342" s="75"/>
      <x:c r="J342" s="73"/>
      <x:c r="K342" s="73"/>
      <x:c r="L342" s="76"/>
      <x:c r="M342" s="73"/>
      <x:c r="N342" s="73"/>
      <x:c r="O342" s="73"/>
      <x:c r="P342" s="73"/>
      <x:c r="Q342" s="76"/>
      <x:c r="R342" s="73"/>
      <x:c r="S342" s="73"/>
      <x:c r="T342" s="73"/>
      <x:c r="U342" s="73"/>
      <x:c r="V342" s="73"/>
      <x:c r="W342" s="73"/>
      <x:c r="X342" s="73"/>
      <x:c r="Y342" s="73"/>
      <x:c r="Z342" s="73"/>
      <x:c r="AA342" s="73"/>
      <x:c r="AB342" s="76" t="str">
        <x:f>IF(A342="","",IF(OR(NOT(ISNUMBER(I342)),I342&lt;0,NOT(ISNUMBER(AP342)),AP342&lt;0,NOT(ISNUMBER(L342)),L342&lt;1,L342&gt;5,L342&lt;&gt;INT(L342),AND(J342&lt;&gt;"Public",J342&lt;&gt;"Partner",J342&lt;&gt;"Internal",J342&lt;&gt;"None"),AND(K342&lt;&gt;"High",K342&lt;&gt;"Medium",K342&lt;&gt;"Low",K342&lt;&gt;"None"),AND(W342&lt;&gt;"Hard-coded",W342&lt;&gt;"Configurable",W342&lt;&gt;"Policy-managed",W342&lt;&gt;"API/Library abstraction",W342&lt;&gt;"Automated"),AND(Z342&lt;&gt;"Y",Z342&lt;&gt;"N"),AND(AA342&lt;&gt;"Y",AA342&lt;&gt;"N")),"Incomplete",IF(Z342="Y",20,0)+L342*5+IF(AA342="Y",15,0)+IF(J342="Public",10,IF(J342="Partner",7,IF(J342="Internal",3,0)))+IF(W342="Hard-coded",10,IF(W342="Configurable",3,0))+IF(MAX(I342,AP342)&gt;=10,10,IF(MAX(I342,AP342)&gt;=5,7,IF(MAX(I342,AP342)&gt;=2,3,0)))+IF(K342="High",10,IF(K342="Medium",5,0))))</x:f>
      </x:c>
      <x:c r="AC342" s="73" t="str">
        <x:f>IF(A342="","",IF(NOT(ISNUMBER(AB342)),"Review inputs",IF(AB342&gt;=70,"P0 - Immediate",IF(AB342&gt;=50,"P1 - High",IF(AB342&gt;=30,"P2 - Medium",IF(AB342&gt;=15,"P3 - Low","P4 - Monitor"))))))</x:f>
      </x:c>
      <x:c r="AD342" s="73"/>
      <x:c r="AE342" s="73"/>
      <x:c r="AF342" s="73"/>
      <x:c r="AG342" s="77"/>
      <x:c r="AH342" s="73"/>
      <x:c r="AI342" s="91"/>
      <x:c r="AJ342" s="91"/>
      <x:c r="AK342" s="91"/>
      <x:c r="AL342" s="92"/>
      <x:c r="AM342" s="91"/>
      <x:c r="AN342" s="91"/>
      <x:c r="AO342" s="93"/>
      <x:c r="AP342" s="94"/>
      <x:c r="AQ342" s="91"/>
      <x:c r="AR342" s="91"/>
      <x:c r="AS342" s="91"/>
      <x:c r="AT342" s="91"/>
      <x:c r="AU342" s="91"/>
      <x:c r="AV342" s="91"/>
      <x:c r="AW342" s="91"/>
      <x:c r="AX342" s="91"/>
      <x:c r="AY342" s="91"/>
      <x:c r="AZ342" s="92"/>
      <x:c r="BA342" s="94"/>
      <x:c r="BB342" s="91"/>
      <x:c r="BC342" s="92"/>
      <x:c r="BD342" s="92"/>
      <x:c r="BE342" s="91"/>
      <x:c r="BF342" s="91"/>
      <x:c r="BG342" s="91"/>
      <x:c r="BH342" s="91"/>
      <x:c r="BI342" s="91"/>
      <x:c r="BJ342" s="91"/>
      <x:c r="BK342" s="91"/>
      <x:c r="BL342" s="91"/>
      <x:c r="BM342" s="73" t="str">
        <x:f>IF(A342="","",IF(AI342="Example","Example only",IF(AI342&lt;&gt;"Actual","Set record type",IF(COUNTIF($A$2:$A$1001,A342)&gt;1,"Duplicate record ID",IF(OR(D342="",E342="",AF342="",NOT(ISNUMBER(AG342)),AJ342="",AK342="",NOT(ISNUMBER(AL342)),AND(AM342&lt;&gt;"Observed",AM342&lt;&gt;"Corroborated",AM342&lt;&gt;"Declared"),OR(AN342="",AN342="Unknown"),OR(AQ342="",AQ342="Unknown"),OR(AR342="",AR342="Unknown",AR342="TBD"),OR(BC342="",NOT(ISNUMBER(BC342)))),"Evidence incomplete","Evidence recorded; review scope")))))</x:f>
      </x:c>
      <x:c r="BN342" s="73"/>
    </x:row>
    <x:row r="343" ht="34" customHeight="1">
      <x:c r="A343" s="73"/>
      <x:c r="B343" s="73"/>
      <x:c r="C343" s="73"/>
      <x:c r="D343" s="73"/>
      <x:c r="E343" s="73"/>
      <x:c r="F343" s="73"/>
      <x:c r="G343" s="73"/>
      <x:c r="H343" s="73"/>
      <x:c r="I343" s="75"/>
      <x:c r="J343" s="73"/>
      <x:c r="K343" s="73"/>
      <x:c r="L343" s="76"/>
      <x:c r="M343" s="73"/>
      <x:c r="N343" s="73"/>
      <x:c r="O343" s="73"/>
      <x:c r="P343" s="73"/>
      <x:c r="Q343" s="76"/>
      <x:c r="R343" s="73"/>
      <x:c r="S343" s="73"/>
      <x:c r="T343" s="73"/>
      <x:c r="U343" s="73"/>
      <x:c r="V343" s="73"/>
      <x:c r="W343" s="73"/>
      <x:c r="X343" s="73"/>
      <x:c r="Y343" s="73"/>
      <x:c r="Z343" s="73"/>
      <x:c r="AA343" s="73"/>
      <x:c r="AB343" s="76" t="str">
        <x:f>IF(A343="","",IF(OR(NOT(ISNUMBER(I343)),I343&lt;0,NOT(ISNUMBER(AP343)),AP343&lt;0,NOT(ISNUMBER(L343)),L343&lt;1,L343&gt;5,L343&lt;&gt;INT(L343),AND(J343&lt;&gt;"Public",J343&lt;&gt;"Partner",J343&lt;&gt;"Internal",J343&lt;&gt;"None"),AND(K343&lt;&gt;"High",K343&lt;&gt;"Medium",K343&lt;&gt;"Low",K343&lt;&gt;"None"),AND(W343&lt;&gt;"Hard-coded",W343&lt;&gt;"Configurable",W343&lt;&gt;"Policy-managed",W343&lt;&gt;"API/Library abstraction",W343&lt;&gt;"Automated"),AND(Z343&lt;&gt;"Y",Z343&lt;&gt;"N"),AND(AA343&lt;&gt;"Y",AA343&lt;&gt;"N")),"Incomplete",IF(Z343="Y",20,0)+L343*5+IF(AA343="Y",15,0)+IF(J343="Public",10,IF(J343="Partner",7,IF(J343="Internal",3,0)))+IF(W343="Hard-coded",10,IF(W343="Configurable",3,0))+IF(MAX(I343,AP343)&gt;=10,10,IF(MAX(I343,AP343)&gt;=5,7,IF(MAX(I343,AP343)&gt;=2,3,0)))+IF(K343="High",10,IF(K343="Medium",5,0))))</x:f>
      </x:c>
      <x:c r="AC343" s="73" t="str">
        <x:f>IF(A343="","",IF(NOT(ISNUMBER(AB343)),"Review inputs",IF(AB343&gt;=70,"P0 - Immediate",IF(AB343&gt;=50,"P1 - High",IF(AB343&gt;=30,"P2 - Medium",IF(AB343&gt;=15,"P3 - Low","P4 - Monitor"))))))</x:f>
      </x:c>
      <x:c r="AD343" s="73"/>
      <x:c r="AE343" s="73"/>
      <x:c r="AF343" s="73"/>
      <x:c r="AG343" s="77"/>
      <x:c r="AH343" s="73"/>
      <x:c r="AI343" s="91"/>
      <x:c r="AJ343" s="91"/>
      <x:c r="AK343" s="91"/>
      <x:c r="AL343" s="92"/>
      <x:c r="AM343" s="91"/>
      <x:c r="AN343" s="91"/>
      <x:c r="AO343" s="93"/>
      <x:c r="AP343" s="94"/>
      <x:c r="AQ343" s="91"/>
      <x:c r="AR343" s="91"/>
      <x:c r="AS343" s="91"/>
      <x:c r="AT343" s="91"/>
      <x:c r="AU343" s="91"/>
      <x:c r="AV343" s="91"/>
      <x:c r="AW343" s="91"/>
      <x:c r="AX343" s="91"/>
      <x:c r="AY343" s="91"/>
      <x:c r="AZ343" s="92"/>
      <x:c r="BA343" s="94"/>
      <x:c r="BB343" s="91"/>
      <x:c r="BC343" s="92"/>
      <x:c r="BD343" s="92"/>
      <x:c r="BE343" s="91"/>
      <x:c r="BF343" s="91"/>
      <x:c r="BG343" s="91"/>
      <x:c r="BH343" s="91"/>
      <x:c r="BI343" s="91"/>
      <x:c r="BJ343" s="91"/>
      <x:c r="BK343" s="91"/>
      <x:c r="BL343" s="91"/>
      <x:c r="BM343" s="73" t="str">
        <x:f>IF(A343="","",IF(AI343="Example","Example only",IF(AI343&lt;&gt;"Actual","Set record type",IF(COUNTIF($A$2:$A$1001,A343)&gt;1,"Duplicate record ID",IF(OR(D343="",E343="",AF343="",NOT(ISNUMBER(AG343)),AJ343="",AK343="",NOT(ISNUMBER(AL343)),AND(AM343&lt;&gt;"Observed",AM343&lt;&gt;"Corroborated",AM343&lt;&gt;"Declared"),OR(AN343="",AN343="Unknown"),OR(AQ343="",AQ343="Unknown"),OR(AR343="",AR343="Unknown",AR343="TBD"),OR(BC343="",NOT(ISNUMBER(BC343)))),"Evidence incomplete","Evidence recorded; review scope")))))</x:f>
      </x:c>
      <x:c r="BN343" s="73"/>
    </x:row>
    <x:row r="344" ht="34" customHeight="1">
      <x:c r="A344" s="73"/>
      <x:c r="B344" s="73"/>
      <x:c r="C344" s="73"/>
      <x:c r="D344" s="73"/>
      <x:c r="E344" s="73"/>
      <x:c r="F344" s="73"/>
      <x:c r="G344" s="73"/>
      <x:c r="H344" s="73"/>
      <x:c r="I344" s="75"/>
      <x:c r="J344" s="73"/>
      <x:c r="K344" s="73"/>
      <x:c r="L344" s="76"/>
      <x:c r="M344" s="73"/>
      <x:c r="N344" s="73"/>
      <x:c r="O344" s="73"/>
      <x:c r="P344" s="73"/>
      <x:c r="Q344" s="76"/>
      <x:c r="R344" s="73"/>
      <x:c r="S344" s="73"/>
      <x:c r="T344" s="73"/>
      <x:c r="U344" s="73"/>
      <x:c r="V344" s="73"/>
      <x:c r="W344" s="73"/>
      <x:c r="X344" s="73"/>
      <x:c r="Y344" s="73"/>
      <x:c r="Z344" s="73"/>
      <x:c r="AA344" s="73"/>
      <x:c r="AB344" s="76" t="str">
        <x:f>IF(A344="","",IF(OR(NOT(ISNUMBER(I344)),I344&lt;0,NOT(ISNUMBER(AP344)),AP344&lt;0,NOT(ISNUMBER(L344)),L344&lt;1,L344&gt;5,L344&lt;&gt;INT(L344),AND(J344&lt;&gt;"Public",J344&lt;&gt;"Partner",J344&lt;&gt;"Internal",J344&lt;&gt;"None"),AND(K344&lt;&gt;"High",K344&lt;&gt;"Medium",K344&lt;&gt;"Low",K344&lt;&gt;"None"),AND(W344&lt;&gt;"Hard-coded",W344&lt;&gt;"Configurable",W344&lt;&gt;"Policy-managed",W344&lt;&gt;"API/Library abstraction",W344&lt;&gt;"Automated"),AND(Z344&lt;&gt;"Y",Z344&lt;&gt;"N"),AND(AA344&lt;&gt;"Y",AA344&lt;&gt;"N")),"Incomplete",IF(Z344="Y",20,0)+L344*5+IF(AA344="Y",15,0)+IF(J344="Public",10,IF(J344="Partner",7,IF(J344="Internal",3,0)))+IF(W344="Hard-coded",10,IF(W344="Configurable",3,0))+IF(MAX(I344,AP344)&gt;=10,10,IF(MAX(I344,AP344)&gt;=5,7,IF(MAX(I344,AP344)&gt;=2,3,0)))+IF(K344="High",10,IF(K344="Medium",5,0))))</x:f>
      </x:c>
      <x:c r="AC344" s="73" t="str">
        <x:f>IF(A344="","",IF(NOT(ISNUMBER(AB344)),"Review inputs",IF(AB344&gt;=70,"P0 - Immediate",IF(AB344&gt;=50,"P1 - High",IF(AB344&gt;=30,"P2 - Medium",IF(AB344&gt;=15,"P3 - Low","P4 - Monitor"))))))</x:f>
      </x:c>
      <x:c r="AD344" s="73"/>
      <x:c r="AE344" s="73"/>
      <x:c r="AF344" s="73"/>
      <x:c r="AG344" s="77"/>
      <x:c r="AH344" s="73"/>
      <x:c r="AI344" s="91"/>
      <x:c r="AJ344" s="91"/>
      <x:c r="AK344" s="91"/>
      <x:c r="AL344" s="92"/>
      <x:c r="AM344" s="91"/>
      <x:c r="AN344" s="91"/>
      <x:c r="AO344" s="93"/>
      <x:c r="AP344" s="94"/>
      <x:c r="AQ344" s="91"/>
      <x:c r="AR344" s="91"/>
      <x:c r="AS344" s="91"/>
      <x:c r="AT344" s="91"/>
      <x:c r="AU344" s="91"/>
      <x:c r="AV344" s="91"/>
      <x:c r="AW344" s="91"/>
      <x:c r="AX344" s="91"/>
      <x:c r="AY344" s="91"/>
      <x:c r="AZ344" s="92"/>
      <x:c r="BA344" s="94"/>
      <x:c r="BB344" s="91"/>
      <x:c r="BC344" s="92"/>
      <x:c r="BD344" s="92"/>
      <x:c r="BE344" s="91"/>
      <x:c r="BF344" s="91"/>
      <x:c r="BG344" s="91"/>
      <x:c r="BH344" s="91"/>
      <x:c r="BI344" s="91"/>
      <x:c r="BJ344" s="91"/>
      <x:c r="BK344" s="91"/>
      <x:c r="BL344" s="91"/>
      <x:c r="BM344" s="73" t="str">
        <x:f>IF(A344="","",IF(AI344="Example","Example only",IF(AI344&lt;&gt;"Actual","Set record type",IF(COUNTIF($A$2:$A$1001,A344)&gt;1,"Duplicate record ID",IF(OR(D344="",E344="",AF344="",NOT(ISNUMBER(AG344)),AJ344="",AK344="",NOT(ISNUMBER(AL344)),AND(AM344&lt;&gt;"Observed",AM344&lt;&gt;"Corroborated",AM344&lt;&gt;"Declared"),OR(AN344="",AN344="Unknown"),OR(AQ344="",AQ344="Unknown"),OR(AR344="",AR344="Unknown",AR344="TBD"),OR(BC344="",NOT(ISNUMBER(BC344)))),"Evidence incomplete","Evidence recorded; review scope")))))</x:f>
      </x:c>
      <x:c r="BN344" s="73"/>
    </x:row>
    <x:row r="345" ht="34" customHeight="1">
      <x:c r="A345" s="73"/>
      <x:c r="B345" s="73"/>
      <x:c r="C345" s="73"/>
      <x:c r="D345" s="73"/>
      <x:c r="E345" s="73"/>
      <x:c r="F345" s="73"/>
      <x:c r="G345" s="73"/>
      <x:c r="H345" s="73"/>
      <x:c r="I345" s="75"/>
      <x:c r="J345" s="73"/>
      <x:c r="K345" s="73"/>
      <x:c r="L345" s="76"/>
      <x:c r="M345" s="73"/>
      <x:c r="N345" s="73"/>
      <x:c r="O345" s="73"/>
      <x:c r="P345" s="73"/>
      <x:c r="Q345" s="76"/>
      <x:c r="R345" s="73"/>
      <x:c r="S345" s="73"/>
      <x:c r="T345" s="73"/>
      <x:c r="U345" s="73"/>
      <x:c r="V345" s="73"/>
      <x:c r="W345" s="73"/>
      <x:c r="X345" s="73"/>
      <x:c r="Y345" s="73"/>
      <x:c r="Z345" s="73"/>
      <x:c r="AA345" s="73"/>
      <x:c r="AB345" s="76" t="str">
        <x:f>IF(A345="","",IF(OR(NOT(ISNUMBER(I345)),I345&lt;0,NOT(ISNUMBER(AP345)),AP345&lt;0,NOT(ISNUMBER(L345)),L345&lt;1,L345&gt;5,L345&lt;&gt;INT(L345),AND(J345&lt;&gt;"Public",J345&lt;&gt;"Partner",J345&lt;&gt;"Internal",J345&lt;&gt;"None"),AND(K345&lt;&gt;"High",K345&lt;&gt;"Medium",K345&lt;&gt;"Low",K345&lt;&gt;"None"),AND(W345&lt;&gt;"Hard-coded",W345&lt;&gt;"Configurable",W345&lt;&gt;"Policy-managed",W345&lt;&gt;"API/Library abstraction",W345&lt;&gt;"Automated"),AND(Z345&lt;&gt;"Y",Z345&lt;&gt;"N"),AND(AA345&lt;&gt;"Y",AA345&lt;&gt;"N")),"Incomplete",IF(Z345="Y",20,0)+L345*5+IF(AA345="Y",15,0)+IF(J345="Public",10,IF(J345="Partner",7,IF(J345="Internal",3,0)))+IF(W345="Hard-coded",10,IF(W345="Configurable",3,0))+IF(MAX(I345,AP345)&gt;=10,10,IF(MAX(I345,AP345)&gt;=5,7,IF(MAX(I345,AP345)&gt;=2,3,0)))+IF(K345="High",10,IF(K345="Medium",5,0))))</x:f>
      </x:c>
      <x:c r="AC345" s="73" t="str">
        <x:f>IF(A345="","",IF(NOT(ISNUMBER(AB345)),"Review inputs",IF(AB345&gt;=70,"P0 - Immediate",IF(AB345&gt;=50,"P1 - High",IF(AB345&gt;=30,"P2 - Medium",IF(AB345&gt;=15,"P3 - Low","P4 - Monitor"))))))</x:f>
      </x:c>
      <x:c r="AD345" s="73"/>
      <x:c r="AE345" s="73"/>
      <x:c r="AF345" s="73"/>
      <x:c r="AG345" s="77"/>
      <x:c r="AH345" s="73"/>
      <x:c r="AI345" s="91"/>
      <x:c r="AJ345" s="91"/>
      <x:c r="AK345" s="91"/>
      <x:c r="AL345" s="92"/>
      <x:c r="AM345" s="91"/>
      <x:c r="AN345" s="91"/>
      <x:c r="AO345" s="93"/>
      <x:c r="AP345" s="94"/>
      <x:c r="AQ345" s="91"/>
      <x:c r="AR345" s="91"/>
      <x:c r="AS345" s="91"/>
      <x:c r="AT345" s="91"/>
      <x:c r="AU345" s="91"/>
      <x:c r="AV345" s="91"/>
      <x:c r="AW345" s="91"/>
      <x:c r="AX345" s="91"/>
      <x:c r="AY345" s="91"/>
      <x:c r="AZ345" s="92"/>
      <x:c r="BA345" s="94"/>
      <x:c r="BB345" s="91"/>
      <x:c r="BC345" s="92"/>
      <x:c r="BD345" s="92"/>
      <x:c r="BE345" s="91"/>
      <x:c r="BF345" s="91"/>
      <x:c r="BG345" s="91"/>
      <x:c r="BH345" s="91"/>
      <x:c r="BI345" s="91"/>
      <x:c r="BJ345" s="91"/>
      <x:c r="BK345" s="91"/>
      <x:c r="BL345" s="91"/>
      <x:c r="BM345" s="73" t="str">
        <x:f>IF(A345="","",IF(AI345="Example","Example only",IF(AI345&lt;&gt;"Actual","Set record type",IF(COUNTIF($A$2:$A$1001,A345)&gt;1,"Duplicate record ID",IF(OR(D345="",E345="",AF345="",NOT(ISNUMBER(AG345)),AJ345="",AK345="",NOT(ISNUMBER(AL345)),AND(AM345&lt;&gt;"Observed",AM345&lt;&gt;"Corroborated",AM345&lt;&gt;"Declared"),OR(AN345="",AN345="Unknown"),OR(AQ345="",AQ345="Unknown"),OR(AR345="",AR345="Unknown",AR345="TBD"),OR(BC345="",NOT(ISNUMBER(BC345)))),"Evidence incomplete","Evidence recorded; review scope")))))</x:f>
      </x:c>
      <x:c r="BN345" s="73"/>
    </x:row>
    <x:row r="346" ht="34" customHeight="1">
      <x:c r="A346" s="73"/>
      <x:c r="B346" s="73"/>
      <x:c r="C346" s="73"/>
      <x:c r="D346" s="73"/>
      <x:c r="E346" s="73"/>
      <x:c r="F346" s="73"/>
      <x:c r="G346" s="73"/>
      <x:c r="H346" s="73"/>
      <x:c r="I346" s="75"/>
      <x:c r="J346" s="73"/>
      <x:c r="K346" s="73"/>
      <x:c r="L346" s="76"/>
      <x:c r="M346" s="73"/>
      <x:c r="N346" s="73"/>
      <x:c r="O346" s="73"/>
      <x:c r="P346" s="73"/>
      <x:c r="Q346" s="76"/>
      <x:c r="R346" s="73"/>
      <x:c r="S346" s="73"/>
      <x:c r="T346" s="73"/>
      <x:c r="U346" s="73"/>
      <x:c r="V346" s="73"/>
      <x:c r="W346" s="73"/>
      <x:c r="X346" s="73"/>
      <x:c r="Y346" s="73"/>
      <x:c r="Z346" s="73"/>
      <x:c r="AA346" s="73"/>
      <x:c r="AB346" s="76" t="str">
        <x:f>IF(A346="","",IF(OR(NOT(ISNUMBER(I346)),I346&lt;0,NOT(ISNUMBER(AP346)),AP346&lt;0,NOT(ISNUMBER(L346)),L346&lt;1,L346&gt;5,L346&lt;&gt;INT(L346),AND(J346&lt;&gt;"Public",J346&lt;&gt;"Partner",J346&lt;&gt;"Internal",J346&lt;&gt;"None"),AND(K346&lt;&gt;"High",K346&lt;&gt;"Medium",K346&lt;&gt;"Low",K346&lt;&gt;"None"),AND(W346&lt;&gt;"Hard-coded",W346&lt;&gt;"Configurable",W346&lt;&gt;"Policy-managed",W346&lt;&gt;"API/Library abstraction",W346&lt;&gt;"Automated"),AND(Z346&lt;&gt;"Y",Z346&lt;&gt;"N"),AND(AA346&lt;&gt;"Y",AA346&lt;&gt;"N")),"Incomplete",IF(Z346="Y",20,0)+L346*5+IF(AA346="Y",15,0)+IF(J346="Public",10,IF(J346="Partner",7,IF(J346="Internal",3,0)))+IF(W346="Hard-coded",10,IF(W346="Configurable",3,0))+IF(MAX(I346,AP346)&gt;=10,10,IF(MAX(I346,AP346)&gt;=5,7,IF(MAX(I346,AP346)&gt;=2,3,0)))+IF(K346="High",10,IF(K346="Medium",5,0))))</x:f>
      </x:c>
      <x:c r="AC346" s="73" t="str">
        <x:f>IF(A346="","",IF(NOT(ISNUMBER(AB346)),"Review inputs",IF(AB346&gt;=70,"P0 - Immediate",IF(AB346&gt;=50,"P1 - High",IF(AB346&gt;=30,"P2 - Medium",IF(AB346&gt;=15,"P3 - Low","P4 - Monitor"))))))</x:f>
      </x:c>
      <x:c r="AD346" s="73"/>
      <x:c r="AE346" s="73"/>
      <x:c r="AF346" s="73"/>
      <x:c r="AG346" s="77"/>
      <x:c r="AH346" s="73"/>
      <x:c r="AI346" s="91"/>
      <x:c r="AJ346" s="91"/>
      <x:c r="AK346" s="91"/>
      <x:c r="AL346" s="92"/>
      <x:c r="AM346" s="91"/>
      <x:c r="AN346" s="91"/>
      <x:c r="AO346" s="93"/>
      <x:c r="AP346" s="94"/>
      <x:c r="AQ346" s="91"/>
      <x:c r="AR346" s="91"/>
      <x:c r="AS346" s="91"/>
      <x:c r="AT346" s="91"/>
      <x:c r="AU346" s="91"/>
      <x:c r="AV346" s="91"/>
      <x:c r="AW346" s="91"/>
      <x:c r="AX346" s="91"/>
      <x:c r="AY346" s="91"/>
      <x:c r="AZ346" s="92"/>
      <x:c r="BA346" s="94"/>
      <x:c r="BB346" s="91"/>
      <x:c r="BC346" s="92"/>
      <x:c r="BD346" s="92"/>
      <x:c r="BE346" s="91"/>
      <x:c r="BF346" s="91"/>
      <x:c r="BG346" s="91"/>
      <x:c r="BH346" s="91"/>
      <x:c r="BI346" s="91"/>
      <x:c r="BJ346" s="91"/>
      <x:c r="BK346" s="91"/>
      <x:c r="BL346" s="91"/>
      <x:c r="BM346" s="73" t="str">
        <x:f>IF(A346="","",IF(AI346="Example","Example only",IF(AI346&lt;&gt;"Actual","Set record type",IF(COUNTIF($A$2:$A$1001,A346)&gt;1,"Duplicate record ID",IF(OR(D346="",E346="",AF346="",NOT(ISNUMBER(AG346)),AJ346="",AK346="",NOT(ISNUMBER(AL346)),AND(AM346&lt;&gt;"Observed",AM346&lt;&gt;"Corroborated",AM346&lt;&gt;"Declared"),OR(AN346="",AN346="Unknown"),OR(AQ346="",AQ346="Unknown"),OR(AR346="",AR346="Unknown",AR346="TBD"),OR(BC346="",NOT(ISNUMBER(BC346)))),"Evidence incomplete","Evidence recorded; review scope")))))</x:f>
      </x:c>
      <x:c r="BN346" s="73"/>
    </x:row>
    <x:row r="347" ht="34" customHeight="1">
      <x:c r="A347" s="73"/>
      <x:c r="B347" s="73"/>
      <x:c r="C347" s="73"/>
      <x:c r="D347" s="73"/>
      <x:c r="E347" s="73"/>
      <x:c r="F347" s="73"/>
      <x:c r="G347" s="73"/>
      <x:c r="H347" s="73"/>
      <x:c r="I347" s="75"/>
      <x:c r="J347" s="73"/>
      <x:c r="K347" s="73"/>
      <x:c r="L347" s="76"/>
      <x:c r="M347" s="73"/>
      <x:c r="N347" s="73"/>
      <x:c r="O347" s="73"/>
      <x:c r="P347" s="73"/>
      <x:c r="Q347" s="76"/>
      <x:c r="R347" s="73"/>
      <x:c r="S347" s="73"/>
      <x:c r="T347" s="73"/>
      <x:c r="U347" s="73"/>
      <x:c r="V347" s="73"/>
      <x:c r="W347" s="73"/>
      <x:c r="X347" s="73"/>
      <x:c r="Y347" s="73"/>
      <x:c r="Z347" s="73"/>
      <x:c r="AA347" s="73"/>
      <x:c r="AB347" s="76" t="str">
        <x:f>IF(A347="","",IF(OR(NOT(ISNUMBER(I347)),I347&lt;0,NOT(ISNUMBER(AP347)),AP347&lt;0,NOT(ISNUMBER(L347)),L347&lt;1,L347&gt;5,L347&lt;&gt;INT(L347),AND(J347&lt;&gt;"Public",J347&lt;&gt;"Partner",J347&lt;&gt;"Internal",J347&lt;&gt;"None"),AND(K347&lt;&gt;"High",K347&lt;&gt;"Medium",K347&lt;&gt;"Low",K347&lt;&gt;"None"),AND(W347&lt;&gt;"Hard-coded",W347&lt;&gt;"Configurable",W347&lt;&gt;"Policy-managed",W347&lt;&gt;"API/Library abstraction",W347&lt;&gt;"Automated"),AND(Z347&lt;&gt;"Y",Z347&lt;&gt;"N"),AND(AA347&lt;&gt;"Y",AA347&lt;&gt;"N")),"Incomplete",IF(Z347="Y",20,0)+L347*5+IF(AA347="Y",15,0)+IF(J347="Public",10,IF(J347="Partner",7,IF(J347="Internal",3,0)))+IF(W347="Hard-coded",10,IF(W347="Configurable",3,0))+IF(MAX(I347,AP347)&gt;=10,10,IF(MAX(I347,AP347)&gt;=5,7,IF(MAX(I347,AP347)&gt;=2,3,0)))+IF(K347="High",10,IF(K347="Medium",5,0))))</x:f>
      </x:c>
      <x:c r="AC347" s="73" t="str">
        <x:f>IF(A347="","",IF(NOT(ISNUMBER(AB347)),"Review inputs",IF(AB347&gt;=70,"P0 - Immediate",IF(AB347&gt;=50,"P1 - High",IF(AB347&gt;=30,"P2 - Medium",IF(AB347&gt;=15,"P3 - Low","P4 - Monitor"))))))</x:f>
      </x:c>
      <x:c r="AD347" s="73"/>
      <x:c r="AE347" s="73"/>
      <x:c r="AF347" s="73"/>
      <x:c r="AG347" s="77"/>
      <x:c r="AH347" s="73"/>
      <x:c r="AI347" s="91"/>
      <x:c r="AJ347" s="91"/>
      <x:c r="AK347" s="91"/>
      <x:c r="AL347" s="92"/>
      <x:c r="AM347" s="91"/>
      <x:c r="AN347" s="91"/>
      <x:c r="AO347" s="93"/>
      <x:c r="AP347" s="94"/>
      <x:c r="AQ347" s="91"/>
      <x:c r="AR347" s="91"/>
      <x:c r="AS347" s="91"/>
      <x:c r="AT347" s="91"/>
      <x:c r="AU347" s="91"/>
      <x:c r="AV347" s="91"/>
      <x:c r="AW347" s="91"/>
      <x:c r="AX347" s="91"/>
      <x:c r="AY347" s="91"/>
      <x:c r="AZ347" s="92"/>
      <x:c r="BA347" s="94"/>
      <x:c r="BB347" s="91"/>
      <x:c r="BC347" s="92"/>
      <x:c r="BD347" s="92"/>
      <x:c r="BE347" s="91"/>
      <x:c r="BF347" s="91"/>
      <x:c r="BG347" s="91"/>
      <x:c r="BH347" s="91"/>
      <x:c r="BI347" s="91"/>
      <x:c r="BJ347" s="91"/>
      <x:c r="BK347" s="91"/>
      <x:c r="BL347" s="91"/>
      <x:c r="BM347" s="73" t="str">
        <x:f>IF(A347="","",IF(AI347="Example","Example only",IF(AI347&lt;&gt;"Actual","Set record type",IF(COUNTIF($A$2:$A$1001,A347)&gt;1,"Duplicate record ID",IF(OR(D347="",E347="",AF347="",NOT(ISNUMBER(AG347)),AJ347="",AK347="",NOT(ISNUMBER(AL347)),AND(AM347&lt;&gt;"Observed",AM347&lt;&gt;"Corroborated",AM347&lt;&gt;"Declared"),OR(AN347="",AN347="Unknown"),OR(AQ347="",AQ347="Unknown"),OR(AR347="",AR347="Unknown",AR347="TBD"),OR(BC347="",NOT(ISNUMBER(BC347)))),"Evidence incomplete","Evidence recorded; review scope")))))</x:f>
      </x:c>
      <x:c r="BN347" s="73"/>
    </x:row>
    <x:row r="348" ht="34" customHeight="1">
      <x:c r="A348" s="73"/>
      <x:c r="B348" s="73"/>
      <x:c r="C348" s="73"/>
      <x:c r="D348" s="73"/>
      <x:c r="E348" s="73"/>
      <x:c r="F348" s="73"/>
      <x:c r="G348" s="73"/>
      <x:c r="H348" s="73"/>
      <x:c r="I348" s="75"/>
      <x:c r="J348" s="73"/>
      <x:c r="K348" s="73"/>
      <x:c r="L348" s="76"/>
      <x:c r="M348" s="73"/>
      <x:c r="N348" s="73"/>
      <x:c r="O348" s="73"/>
      <x:c r="P348" s="73"/>
      <x:c r="Q348" s="76"/>
      <x:c r="R348" s="73"/>
      <x:c r="S348" s="73"/>
      <x:c r="T348" s="73"/>
      <x:c r="U348" s="73"/>
      <x:c r="V348" s="73"/>
      <x:c r="W348" s="73"/>
      <x:c r="X348" s="73"/>
      <x:c r="Y348" s="73"/>
      <x:c r="Z348" s="73"/>
      <x:c r="AA348" s="73"/>
      <x:c r="AB348" s="76" t="str">
        <x:f>IF(A348="","",IF(OR(NOT(ISNUMBER(I348)),I348&lt;0,NOT(ISNUMBER(AP348)),AP348&lt;0,NOT(ISNUMBER(L348)),L348&lt;1,L348&gt;5,L348&lt;&gt;INT(L348),AND(J348&lt;&gt;"Public",J348&lt;&gt;"Partner",J348&lt;&gt;"Internal",J348&lt;&gt;"None"),AND(K348&lt;&gt;"High",K348&lt;&gt;"Medium",K348&lt;&gt;"Low",K348&lt;&gt;"None"),AND(W348&lt;&gt;"Hard-coded",W348&lt;&gt;"Configurable",W348&lt;&gt;"Policy-managed",W348&lt;&gt;"API/Library abstraction",W348&lt;&gt;"Automated"),AND(Z348&lt;&gt;"Y",Z348&lt;&gt;"N"),AND(AA348&lt;&gt;"Y",AA348&lt;&gt;"N")),"Incomplete",IF(Z348="Y",20,0)+L348*5+IF(AA348="Y",15,0)+IF(J348="Public",10,IF(J348="Partner",7,IF(J348="Internal",3,0)))+IF(W348="Hard-coded",10,IF(W348="Configurable",3,0))+IF(MAX(I348,AP348)&gt;=10,10,IF(MAX(I348,AP348)&gt;=5,7,IF(MAX(I348,AP348)&gt;=2,3,0)))+IF(K348="High",10,IF(K348="Medium",5,0))))</x:f>
      </x:c>
      <x:c r="AC348" s="73" t="str">
        <x:f>IF(A348="","",IF(NOT(ISNUMBER(AB348)),"Review inputs",IF(AB348&gt;=70,"P0 - Immediate",IF(AB348&gt;=50,"P1 - High",IF(AB348&gt;=30,"P2 - Medium",IF(AB348&gt;=15,"P3 - Low","P4 - Monitor"))))))</x:f>
      </x:c>
      <x:c r="AD348" s="73"/>
      <x:c r="AE348" s="73"/>
      <x:c r="AF348" s="73"/>
      <x:c r="AG348" s="77"/>
      <x:c r="AH348" s="73"/>
      <x:c r="AI348" s="91"/>
      <x:c r="AJ348" s="91"/>
      <x:c r="AK348" s="91"/>
      <x:c r="AL348" s="92"/>
      <x:c r="AM348" s="91"/>
      <x:c r="AN348" s="91"/>
      <x:c r="AO348" s="93"/>
      <x:c r="AP348" s="94"/>
      <x:c r="AQ348" s="91"/>
      <x:c r="AR348" s="91"/>
      <x:c r="AS348" s="91"/>
      <x:c r="AT348" s="91"/>
      <x:c r="AU348" s="91"/>
      <x:c r="AV348" s="91"/>
      <x:c r="AW348" s="91"/>
      <x:c r="AX348" s="91"/>
      <x:c r="AY348" s="91"/>
      <x:c r="AZ348" s="92"/>
      <x:c r="BA348" s="94"/>
      <x:c r="BB348" s="91"/>
      <x:c r="BC348" s="92"/>
      <x:c r="BD348" s="92"/>
      <x:c r="BE348" s="91"/>
      <x:c r="BF348" s="91"/>
      <x:c r="BG348" s="91"/>
      <x:c r="BH348" s="91"/>
      <x:c r="BI348" s="91"/>
      <x:c r="BJ348" s="91"/>
      <x:c r="BK348" s="91"/>
      <x:c r="BL348" s="91"/>
      <x:c r="BM348" s="73" t="str">
        <x:f>IF(A348="","",IF(AI348="Example","Example only",IF(AI348&lt;&gt;"Actual","Set record type",IF(COUNTIF($A$2:$A$1001,A348)&gt;1,"Duplicate record ID",IF(OR(D348="",E348="",AF348="",NOT(ISNUMBER(AG348)),AJ348="",AK348="",NOT(ISNUMBER(AL348)),AND(AM348&lt;&gt;"Observed",AM348&lt;&gt;"Corroborated",AM348&lt;&gt;"Declared"),OR(AN348="",AN348="Unknown"),OR(AQ348="",AQ348="Unknown"),OR(AR348="",AR348="Unknown",AR348="TBD"),OR(BC348="",NOT(ISNUMBER(BC348)))),"Evidence incomplete","Evidence recorded; review scope")))))</x:f>
      </x:c>
      <x:c r="BN348" s="73"/>
    </x:row>
    <x:row r="349" ht="34" customHeight="1">
      <x:c r="A349" s="73"/>
      <x:c r="B349" s="73"/>
      <x:c r="C349" s="73"/>
      <x:c r="D349" s="73"/>
      <x:c r="E349" s="73"/>
      <x:c r="F349" s="73"/>
      <x:c r="G349" s="73"/>
      <x:c r="H349" s="73"/>
      <x:c r="I349" s="75"/>
      <x:c r="J349" s="73"/>
      <x:c r="K349" s="73"/>
      <x:c r="L349" s="76"/>
      <x:c r="M349" s="73"/>
      <x:c r="N349" s="73"/>
      <x:c r="O349" s="73"/>
      <x:c r="P349" s="73"/>
      <x:c r="Q349" s="76"/>
      <x:c r="R349" s="73"/>
      <x:c r="S349" s="73"/>
      <x:c r="T349" s="73"/>
      <x:c r="U349" s="73"/>
      <x:c r="V349" s="73"/>
      <x:c r="W349" s="73"/>
      <x:c r="X349" s="73"/>
      <x:c r="Y349" s="73"/>
      <x:c r="Z349" s="73"/>
      <x:c r="AA349" s="73"/>
      <x:c r="AB349" s="76" t="str">
        <x:f>IF(A349="","",IF(OR(NOT(ISNUMBER(I349)),I349&lt;0,NOT(ISNUMBER(AP349)),AP349&lt;0,NOT(ISNUMBER(L349)),L349&lt;1,L349&gt;5,L349&lt;&gt;INT(L349),AND(J349&lt;&gt;"Public",J349&lt;&gt;"Partner",J349&lt;&gt;"Internal",J349&lt;&gt;"None"),AND(K349&lt;&gt;"High",K349&lt;&gt;"Medium",K349&lt;&gt;"Low",K349&lt;&gt;"None"),AND(W349&lt;&gt;"Hard-coded",W349&lt;&gt;"Configurable",W349&lt;&gt;"Policy-managed",W349&lt;&gt;"API/Library abstraction",W349&lt;&gt;"Automated"),AND(Z349&lt;&gt;"Y",Z349&lt;&gt;"N"),AND(AA349&lt;&gt;"Y",AA349&lt;&gt;"N")),"Incomplete",IF(Z349="Y",20,0)+L349*5+IF(AA349="Y",15,0)+IF(J349="Public",10,IF(J349="Partner",7,IF(J349="Internal",3,0)))+IF(W349="Hard-coded",10,IF(W349="Configurable",3,0))+IF(MAX(I349,AP349)&gt;=10,10,IF(MAX(I349,AP349)&gt;=5,7,IF(MAX(I349,AP349)&gt;=2,3,0)))+IF(K349="High",10,IF(K349="Medium",5,0))))</x:f>
      </x:c>
      <x:c r="AC349" s="73" t="str">
        <x:f>IF(A349="","",IF(NOT(ISNUMBER(AB349)),"Review inputs",IF(AB349&gt;=70,"P0 - Immediate",IF(AB349&gt;=50,"P1 - High",IF(AB349&gt;=30,"P2 - Medium",IF(AB349&gt;=15,"P3 - Low","P4 - Monitor"))))))</x:f>
      </x:c>
      <x:c r="AD349" s="73"/>
      <x:c r="AE349" s="73"/>
      <x:c r="AF349" s="73"/>
      <x:c r="AG349" s="77"/>
      <x:c r="AH349" s="73"/>
      <x:c r="AI349" s="91"/>
      <x:c r="AJ349" s="91"/>
      <x:c r="AK349" s="91"/>
      <x:c r="AL349" s="92"/>
      <x:c r="AM349" s="91"/>
      <x:c r="AN349" s="91"/>
      <x:c r="AO349" s="93"/>
      <x:c r="AP349" s="94"/>
      <x:c r="AQ349" s="91"/>
      <x:c r="AR349" s="91"/>
      <x:c r="AS349" s="91"/>
      <x:c r="AT349" s="91"/>
      <x:c r="AU349" s="91"/>
      <x:c r="AV349" s="91"/>
      <x:c r="AW349" s="91"/>
      <x:c r="AX349" s="91"/>
      <x:c r="AY349" s="91"/>
      <x:c r="AZ349" s="92"/>
      <x:c r="BA349" s="94"/>
      <x:c r="BB349" s="91"/>
      <x:c r="BC349" s="92"/>
      <x:c r="BD349" s="92"/>
      <x:c r="BE349" s="91"/>
      <x:c r="BF349" s="91"/>
      <x:c r="BG349" s="91"/>
      <x:c r="BH349" s="91"/>
      <x:c r="BI349" s="91"/>
      <x:c r="BJ349" s="91"/>
      <x:c r="BK349" s="91"/>
      <x:c r="BL349" s="91"/>
      <x:c r="BM349" s="73" t="str">
        <x:f>IF(A349="","",IF(AI349="Example","Example only",IF(AI349&lt;&gt;"Actual","Set record type",IF(COUNTIF($A$2:$A$1001,A349)&gt;1,"Duplicate record ID",IF(OR(D349="",E349="",AF349="",NOT(ISNUMBER(AG349)),AJ349="",AK349="",NOT(ISNUMBER(AL349)),AND(AM349&lt;&gt;"Observed",AM349&lt;&gt;"Corroborated",AM349&lt;&gt;"Declared"),OR(AN349="",AN349="Unknown"),OR(AQ349="",AQ349="Unknown"),OR(AR349="",AR349="Unknown",AR349="TBD"),OR(BC349="",NOT(ISNUMBER(BC349)))),"Evidence incomplete","Evidence recorded; review scope")))))</x:f>
      </x:c>
      <x:c r="BN349" s="73"/>
    </x:row>
    <x:row r="350" ht="34" customHeight="1">
      <x:c r="A350" s="73"/>
      <x:c r="B350" s="73"/>
      <x:c r="C350" s="73"/>
      <x:c r="D350" s="73"/>
      <x:c r="E350" s="73"/>
      <x:c r="F350" s="73"/>
      <x:c r="G350" s="73"/>
      <x:c r="H350" s="73"/>
      <x:c r="I350" s="75"/>
      <x:c r="J350" s="73"/>
      <x:c r="K350" s="73"/>
      <x:c r="L350" s="76"/>
      <x:c r="M350" s="73"/>
      <x:c r="N350" s="73"/>
      <x:c r="O350" s="73"/>
      <x:c r="P350" s="73"/>
      <x:c r="Q350" s="76"/>
      <x:c r="R350" s="73"/>
      <x:c r="S350" s="73"/>
      <x:c r="T350" s="73"/>
      <x:c r="U350" s="73"/>
      <x:c r="V350" s="73"/>
      <x:c r="W350" s="73"/>
      <x:c r="X350" s="73"/>
      <x:c r="Y350" s="73"/>
      <x:c r="Z350" s="73"/>
      <x:c r="AA350" s="73"/>
      <x:c r="AB350" s="76" t="str">
        <x:f>IF(A350="","",IF(OR(NOT(ISNUMBER(I350)),I350&lt;0,NOT(ISNUMBER(AP350)),AP350&lt;0,NOT(ISNUMBER(L350)),L350&lt;1,L350&gt;5,L350&lt;&gt;INT(L350),AND(J350&lt;&gt;"Public",J350&lt;&gt;"Partner",J350&lt;&gt;"Internal",J350&lt;&gt;"None"),AND(K350&lt;&gt;"High",K350&lt;&gt;"Medium",K350&lt;&gt;"Low",K350&lt;&gt;"None"),AND(W350&lt;&gt;"Hard-coded",W350&lt;&gt;"Configurable",W350&lt;&gt;"Policy-managed",W350&lt;&gt;"API/Library abstraction",W350&lt;&gt;"Automated"),AND(Z350&lt;&gt;"Y",Z350&lt;&gt;"N"),AND(AA350&lt;&gt;"Y",AA350&lt;&gt;"N")),"Incomplete",IF(Z350="Y",20,0)+L350*5+IF(AA350="Y",15,0)+IF(J350="Public",10,IF(J350="Partner",7,IF(J350="Internal",3,0)))+IF(W350="Hard-coded",10,IF(W350="Configurable",3,0))+IF(MAX(I350,AP350)&gt;=10,10,IF(MAX(I350,AP350)&gt;=5,7,IF(MAX(I350,AP350)&gt;=2,3,0)))+IF(K350="High",10,IF(K350="Medium",5,0))))</x:f>
      </x:c>
      <x:c r="AC350" s="73" t="str">
        <x:f>IF(A350="","",IF(NOT(ISNUMBER(AB350)),"Review inputs",IF(AB350&gt;=70,"P0 - Immediate",IF(AB350&gt;=50,"P1 - High",IF(AB350&gt;=30,"P2 - Medium",IF(AB350&gt;=15,"P3 - Low","P4 - Monitor"))))))</x:f>
      </x:c>
      <x:c r="AD350" s="73"/>
      <x:c r="AE350" s="73"/>
      <x:c r="AF350" s="73"/>
      <x:c r="AG350" s="77"/>
      <x:c r="AH350" s="73"/>
      <x:c r="AI350" s="91"/>
      <x:c r="AJ350" s="91"/>
      <x:c r="AK350" s="91"/>
      <x:c r="AL350" s="92"/>
      <x:c r="AM350" s="91"/>
      <x:c r="AN350" s="91"/>
      <x:c r="AO350" s="93"/>
      <x:c r="AP350" s="94"/>
      <x:c r="AQ350" s="91"/>
      <x:c r="AR350" s="91"/>
      <x:c r="AS350" s="91"/>
      <x:c r="AT350" s="91"/>
      <x:c r="AU350" s="91"/>
      <x:c r="AV350" s="91"/>
      <x:c r="AW350" s="91"/>
      <x:c r="AX350" s="91"/>
      <x:c r="AY350" s="91"/>
      <x:c r="AZ350" s="92"/>
      <x:c r="BA350" s="94"/>
      <x:c r="BB350" s="91"/>
      <x:c r="BC350" s="92"/>
      <x:c r="BD350" s="92"/>
      <x:c r="BE350" s="91"/>
      <x:c r="BF350" s="91"/>
      <x:c r="BG350" s="91"/>
      <x:c r="BH350" s="91"/>
      <x:c r="BI350" s="91"/>
      <x:c r="BJ350" s="91"/>
      <x:c r="BK350" s="91"/>
      <x:c r="BL350" s="91"/>
      <x:c r="BM350" s="73" t="str">
        <x:f>IF(A350="","",IF(AI350="Example","Example only",IF(AI350&lt;&gt;"Actual","Set record type",IF(COUNTIF($A$2:$A$1001,A350)&gt;1,"Duplicate record ID",IF(OR(D350="",E350="",AF350="",NOT(ISNUMBER(AG350)),AJ350="",AK350="",NOT(ISNUMBER(AL350)),AND(AM350&lt;&gt;"Observed",AM350&lt;&gt;"Corroborated",AM350&lt;&gt;"Declared"),OR(AN350="",AN350="Unknown"),OR(AQ350="",AQ350="Unknown"),OR(AR350="",AR350="Unknown",AR350="TBD"),OR(BC350="",NOT(ISNUMBER(BC350)))),"Evidence incomplete","Evidence recorded; review scope")))))</x:f>
      </x:c>
      <x:c r="BN350" s="73"/>
    </x:row>
    <x:row r="351" ht="34" customHeight="1">
      <x:c r="A351" s="73"/>
      <x:c r="B351" s="73"/>
      <x:c r="C351" s="73"/>
      <x:c r="D351" s="73"/>
      <x:c r="E351" s="73"/>
      <x:c r="F351" s="73"/>
      <x:c r="G351" s="73"/>
      <x:c r="H351" s="73"/>
      <x:c r="I351" s="75"/>
      <x:c r="J351" s="73"/>
      <x:c r="K351" s="73"/>
      <x:c r="L351" s="76"/>
      <x:c r="M351" s="73"/>
      <x:c r="N351" s="73"/>
      <x:c r="O351" s="73"/>
      <x:c r="P351" s="73"/>
      <x:c r="Q351" s="76"/>
      <x:c r="R351" s="73"/>
      <x:c r="S351" s="73"/>
      <x:c r="T351" s="73"/>
      <x:c r="U351" s="73"/>
      <x:c r="V351" s="73"/>
      <x:c r="W351" s="73"/>
      <x:c r="X351" s="73"/>
      <x:c r="Y351" s="73"/>
      <x:c r="Z351" s="73"/>
      <x:c r="AA351" s="73"/>
      <x:c r="AB351" s="76" t="str">
        <x:f>IF(A351="","",IF(OR(NOT(ISNUMBER(I351)),I351&lt;0,NOT(ISNUMBER(AP351)),AP351&lt;0,NOT(ISNUMBER(L351)),L351&lt;1,L351&gt;5,L351&lt;&gt;INT(L351),AND(J351&lt;&gt;"Public",J351&lt;&gt;"Partner",J351&lt;&gt;"Internal",J351&lt;&gt;"None"),AND(K351&lt;&gt;"High",K351&lt;&gt;"Medium",K351&lt;&gt;"Low",K351&lt;&gt;"None"),AND(W351&lt;&gt;"Hard-coded",W351&lt;&gt;"Configurable",W351&lt;&gt;"Policy-managed",W351&lt;&gt;"API/Library abstraction",W351&lt;&gt;"Automated"),AND(Z351&lt;&gt;"Y",Z351&lt;&gt;"N"),AND(AA351&lt;&gt;"Y",AA351&lt;&gt;"N")),"Incomplete",IF(Z351="Y",20,0)+L351*5+IF(AA351="Y",15,0)+IF(J351="Public",10,IF(J351="Partner",7,IF(J351="Internal",3,0)))+IF(W351="Hard-coded",10,IF(W351="Configurable",3,0))+IF(MAX(I351,AP351)&gt;=10,10,IF(MAX(I351,AP351)&gt;=5,7,IF(MAX(I351,AP351)&gt;=2,3,0)))+IF(K351="High",10,IF(K351="Medium",5,0))))</x:f>
      </x:c>
      <x:c r="AC351" s="73" t="str">
        <x:f>IF(A351="","",IF(NOT(ISNUMBER(AB351)),"Review inputs",IF(AB351&gt;=70,"P0 - Immediate",IF(AB351&gt;=50,"P1 - High",IF(AB351&gt;=30,"P2 - Medium",IF(AB351&gt;=15,"P3 - Low","P4 - Monitor"))))))</x:f>
      </x:c>
      <x:c r="AD351" s="73"/>
      <x:c r="AE351" s="73"/>
      <x:c r="AF351" s="73"/>
      <x:c r="AG351" s="77"/>
      <x:c r="AH351" s="73"/>
      <x:c r="AI351" s="91"/>
      <x:c r="AJ351" s="91"/>
      <x:c r="AK351" s="91"/>
      <x:c r="AL351" s="92"/>
      <x:c r="AM351" s="91"/>
      <x:c r="AN351" s="91"/>
      <x:c r="AO351" s="93"/>
      <x:c r="AP351" s="94"/>
      <x:c r="AQ351" s="91"/>
      <x:c r="AR351" s="91"/>
      <x:c r="AS351" s="91"/>
      <x:c r="AT351" s="91"/>
      <x:c r="AU351" s="91"/>
      <x:c r="AV351" s="91"/>
      <x:c r="AW351" s="91"/>
      <x:c r="AX351" s="91"/>
      <x:c r="AY351" s="91"/>
      <x:c r="AZ351" s="92"/>
      <x:c r="BA351" s="94"/>
      <x:c r="BB351" s="91"/>
      <x:c r="BC351" s="92"/>
      <x:c r="BD351" s="92"/>
      <x:c r="BE351" s="91"/>
      <x:c r="BF351" s="91"/>
      <x:c r="BG351" s="91"/>
      <x:c r="BH351" s="91"/>
      <x:c r="BI351" s="91"/>
      <x:c r="BJ351" s="91"/>
      <x:c r="BK351" s="91"/>
      <x:c r="BL351" s="91"/>
      <x:c r="BM351" s="73" t="str">
        <x:f>IF(A351="","",IF(AI351="Example","Example only",IF(AI351&lt;&gt;"Actual","Set record type",IF(COUNTIF($A$2:$A$1001,A351)&gt;1,"Duplicate record ID",IF(OR(D351="",E351="",AF351="",NOT(ISNUMBER(AG351)),AJ351="",AK351="",NOT(ISNUMBER(AL351)),AND(AM351&lt;&gt;"Observed",AM351&lt;&gt;"Corroborated",AM351&lt;&gt;"Declared"),OR(AN351="",AN351="Unknown"),OR(AQ351="",AQ351="Unknown"),OR(AR351="",AR351="Unknown",AR351="TBD"),OR(BC351="",NOT(ISNUMBER(BC351)))),"Evidence incomplete","Evidence recorded; review scope")))))</x:f>
      </x:c>
      <x:c r="BN351" s="73"/>
    </x:row>
    <x:row r="352" ht="34" customHeight="1">
      <x:c r="A352" s="73"/>
      <x:c r="B352" s="73"/>
      <x:c r="C352" s="73"/>
      <x:c r="D352" s="73"/>
      <x:c r="E352" s="73"/>
      <x:c r="F352" s="73"/>
      <x:c r="G352" s="73"/>
      <x:c r="H352" s="73"/>
      <x:c r="I352" s="75"/>
      <x:c r="J352" s="73"/>
      <x:c r="K352" s="73"/>
      <x:c r="L352" s="76"/>
      <x:c r="M352" s="73"/>
      <x:c r="N352" s="73"/>
      <x:c r="O352" s="73"/>
      <x:c r="P352" s="73"/>
      <x:c r="Q352" s="76"/>
      <x:c r="R352" s="73"/>
      <x:c r="S352" s="73"/>
      <x:c r="T352" s="73"/>
      <x:c r="U352" s="73"/>
      <x:c r="V352" s="73"/>
      <x:c r="W352" s="73"/>
      <x:c r="X352" s="73"/>
      <x:c r="Y352" s="73"/>
      <x:c r="Z352" s="73"/>
      <x:c r="AA352" s="73"/>
      <x:c r="AB352" s="76" t="str">
        <x:f>IF(A352="","",IF(OR(NOT(ISNUMBER(I352)),I352&lt;0,NOT(ISNUMBER(AP352)),AP352&lt;0,NOT(ISNUMBER(L352)),L352&lt;1,L352&gt;5,L352&lt;&gt;INT(L352),AND(J352&lt;&gt;"Public",J352&lt;&gt;"Partner",J352&lt;&gt;"Internal",J352&lt;&gt;"None"),AND(K352&lt;&gt;"High",K352&lt;&gt;"Medium",K352&lt;&gt;"Low",K352&lt;&gt;"None"),AND(W352&lt;&gt;"Hard-coded",W352&lt;&gt;"Configurable",W352&lt;&gt;"Policy-managed",W352&lt;&gt;"API/Library abstraction",W352&lt;&gt;"Automated"),AND(Z352&lt;&gt;"Y",Z352&lt;&gt;"N"),AND(AA352&lt;&gt;"Y",AA352&lt;&gt;"N")),"Incomplete",IF(Z352="Y",20,0)+L352*5+IF(AA352="Y",15,0)+IF(J352="Public",10,IF(J352="Partner",7,IF(J352="Internal",3,0)))+IF(W352="Hard-coded",10,IF(W352="Configurable",3,0))+IF(MAX(I352,AP352)&gt;=10,10,IF(MAX(I352,AP352)&gt;=5,7,IF(MAX(I352,AP352)&gt;=2,3,0)))+IF(K352="High",10,IF(K352="Medium",5,0))))</x:f>
      </x:c>
      <x:c r="AC352" s="73" t="str">
        <x:f>IF(A352="","",IF(NOT(ISNUMBER(AB352)),"Review inputs",IF(AB352&gt;=70,"P0 - Immediate",IF(AB352&gt;=50,"P1 - High",IF(AB352&gt;=30,"P2 - Medium",IF(AB352&gt;=15,"P3 - Low","P4 - Monitor"))))))</x:f>
      </x:c>
      <x:c r="AD352" s="73"/>
      <x:c r="AE352" s="73"/>
      <x:c r="AF352" s="73"/>
      <x:c r="AG352" s="77"/>
      <x:c r="AH352" s="73"/>
      <x:c r="AI352" s="91"/>
      <x:c r="AJ352" s="91"/>
      <x:c r="AK352" s="91"/>
      <x:c r="AL352" s="92"/>
      <x:c r="AM352" s="91"/>
      <x:c r="AN352" s="91"/>
      <x:c r="AO352" s="93"/>
      <x:c r="AP352" s="94"/>
      <x:c r="AQ352" s="91"/>
      <x:c r="AR352" s="91"/>
      <x:c r="AS352" s="91"/>
      <x:c r="AT352" s="91"/>
      <x:c r="AU352" s="91"/>
      <x:c r="AV352" s="91"/>
      <x:c r="AW352" s="91"/>
      <x:c r="AX352" s="91"/>
      <x:c r="AY352" s="91"/>
      <x:c r="AZ352" s="92"/>
      <x:c r="BA352" s="94"/>
      <x:c r="BB352" s="91"/>
      <x:c r="BC352" s="92"/>
      <x:c r="BD352" s="92"/>
      <x:c r="BE352" s="91"/>
      <x:c r="BF352" s="91"/>
      <x:c r="BG352" s="91"/>
      <x:c r="BH352" s="91"/>
      <x:c r="BI352" s="91"/>
      <x:c r="BJ352" s="91"/>
      <x:c r="BK352" s="91"/>
      <x:c r="BL352" s="91"/>
      <x:c r="BM352" s="73" t="str">
        <x:f>IF(A352="","",IF(AI352="Example","Example only",IF(AI352&lt;&gt;"Actual","Set record type",IF(COUNTIF($A$2:$A$1001,A352)&gt;1,"Duplicate record ID",IF(OR(D352="",E352="",AF352="",NOT(ISNUMBER(AG352)),AJ352="",AK352="",NOT(ISNUMBER(AL352)),AND(AM352&lt;&gt;"Observed",AM352&lt;&gt;"Corroborated",AM352&lt;&gt;"Declared"),OR(AN352="",AN352="Unknown"),OR(AQ352="",AQ352="Unknown"),OR(AR352="",AR352="Unknown",AR352="TBD"),OR(BC352="",NOT(ISNUMBER(BC352)))),"Evidence incomplete","Evidence recorded; review scope")))))</x:f>
      </x:c>
      <x:c r="BN352" s="73"/>
    </x:row>
    <x:row r="353" ht="34" customHeight="1">
      <x:c r="A353" s="73"/>
      <x:c r="B353" s="73"/>
      <x:c r="C353" s="73"/>
      <x:c r="D353" s="73"/>
      <x:c r="E353" s="73"/>
      <x:c r="F353" s="73"/>
      <x:c r="G353" s="73"/>
      <x:c r="H353" s="73"/>
      <x:c r="I353" s="75"/>
      <x:c r="J353" s="73"/>
      <x:c r="K353" s="73"/>
      <x:c r="L353" s="76"/>
      <x:c r="M353" s="73"/>
      <x:c r="N353" s="73"/>
      <x:c r="O353" s="73"/>
      <x:c r="P353" s="73"/>
      <x:c r="Q353" s="76"/>
      <x:c r="R353" s="73"/>
      <x:c r="S353" s="73"/>
      <x:c r="T353" s="73"/>
      <x:c r="U353" s="73"/>
      <x:c r="V353" s="73"/>
      <x:c r="W353" s="73"/>
      <x:c r="X353" s="73"/>
      <x:c r="Y353" s="73"/>
      <x:c r="Z353" s="73"/>
      <x:c r="AA353" s="73"/>
      <x:c r="AB353" s="76" t="str">
        <x:f>IF(A353="","",IF(OR(NOT(ISNUMBER(I353)),I353&lt;0,NOT(ISNUMBER(AP353)),AP353&lt;0,NOT(ISNUMBER(L353)),L353&lt;1,L353&gt;5,L353&lt;&gt;INT(L353),AND(J353&lt;&gt;"Public",J353&lt;&gt;"Partner",J353&lt;&gt;"Internal",J353&lt;&gt;"None"),AND(K353&lt;&gt;"High",K353&lt;&gt;"Medium",K353&lt;&gt;"Low",K353&lt;&gt;"None"),AND(W353&lt;&gt;"Hard-coded",W353&lt;&gt;"Configurable",W353&lt;&gt;"Policy-managed",W353&lt;&gt;"API/Library abstraction",W353&lt;&gt;"Automated"),AND(Z353&lt;&gt;"Y",Z353&lt;&gt;"N"),AND(AA353&lt;&gt;"Y",AA353&lt;&gt;"N")),"Incomplete",IF(Z353="Y",20,0)+L353*5+IF(AA353="Y",15,0)+IF(J353="Public",10,IF(J353="Partner",7,IF(J353="Internal",3,0)))+IF(W353="Hard-coded",10,IF(W353="Configurable",3,0))+IF(MAX(I353,AP353)&gt;=10,10,IF(MAX(I353,AP353)&gt;=5,7,IF(MAX(I353,AP353)&gt;=2,3,0)))+IF(K353="High",10,IF(K353="Medium",5,0))))</x:f>
      </x:c>
      <x:c r="AC353" s="73" t="str">
        <x:f>IF(A353="","",IF(NOT(ISNUMBER(AB353)),"Review inputs",IF(AB353&gt;=70,"P0 - Immediate",IF(AB353&gt;=50,"P1 - High",IF(AB353&gt;=30,"P2 - Medium",IF(AB353&gt;=15,"P3 - Low","P4 - Monitor"))))))</x:f>
      </x:c>
      <x:c r="AD353" s="73"/>
      <x:c r="AE353" s="73"/>
      <x:c r="AF353" s="73"/>
      <x:c r="AG353" s="77"/>
      <x:c r="AH353" s="73"/>
      <x:c r="AI353" s="91"/>
      <x:c r="AJ353" s="91"/>
      <x:c r="AK353" s="91"/>
      <x:c r="AL353" s="92"/>
      <x:c r="AM353" s="91"/>
      <x:c r="AN353" s="91"/>
      <x:c r="AO353" s="93"/>
      <x:c r="AP353" s="94"/>
      <x:c r="AQ353" s="91"/>
      <x:c r="AR353" s="91"/>
      <x:c r="AS353" s="91"/>
      <x:c r="AT353" s="91"/>
      <x:c r="AU353" s="91"/>
      <x:c r="AV353" s="91"/>
      <x:c r="AW353" s="91"/>
      <x:c r="AX353" s="91"/>
      <x:c r="AY353" s="91"/>
      <x:c r="AZ353" s="92"/>
      <x:c r="BA353" s="94"/>
      <x:c r="BB353" s="91"/>
      <x:c r="BC353" s="92"/>
      <x:c r="BD353" s="92"/>
      <x:c r="BE353" s="91"/>
      <x:c r="BF353" s="91"/>
      <x:c r="BG353" s="91"/>
      <x:c r="BH353" s="91"/>
      <x:c r="BI353" s="91"/>
      <x:c r="BJ353" s="91"/>
      <x:c r="BK353" s="91"/>
      <x:c r="BL353" s="91"/>
      <x:c r="BM353" s="73" t="str">
        <x:f>IF(A353="","",IF(AI353="Example","Example only",IF(AI353&lt;&gt;"Actual","Set record type",IF(COUNTIF($A$2:$A$1001,A353)&gt;1,"Duplicate record ID",IF(OR(D353="",E353="",AF353="",NOT(ISNUMBER(AG353)),AJ353="",AK353="",NOT(ISNUMBER(AL353)),AND(AM353&lt;&gt;"Observed",AM353&lt;&gt;"Corroborated",AM353&lt;&gt;"Declared"),OR(AN353="",AN353="Unknown"),OR(AQ353="",AQ353="Unknown"),OR(AR353="",AR353="Unknown",AR353="TBD"),OR(BC353="",NOT(ISNUMBER(BC353)))),"Evidence incomplete","Evidence recorded; review scope")))))</x:f>
      </x:c>
      <x:c r="BN353" s="73"/>
    </x:row>
    <x:row r="354" ht="34" customHeight="1">
      <x:c r="A354" s="73"/>
      <x:c r="B354" s="73"/>
      <x:c r="C354" s="73"/>
      <x:c r="D354" s="73"/>
      <x:c r="E354" s="73"/>
      <x:c r="F354" s="73"/>
      <x:c r="G354" s="73"/>
      <x:c r="H354" s="73"/>
      <x:c r="I354" s="75"/>
      <x:c r="J354" s="73"/>
      <x:c r="K354" s="73"/>
      <x:c r="L354" s="76"/>
      <x:c r="M354" s="73"/>
      <x:c r="N354" s="73"/>
      <x:c r="O354" s="73"/>
      <x:c r="P354" s="73"/>
      <x:c r="Q354" s="76"/>
      <x:c r="R354" s="73"/>
      <x:c r="S354" s="73"/>
      <x:c r="T354" s="73"/>
      <x:c r="U354" s="73"/>
      <x:c r="V354" s="73"/>
      <x:c r="W354" s="73"/>
      <x:c r="X354" s="73"/>
      <x:c r="Y354" s="73"/>
      <x:c r="Z354" s="73"/>
      <x:c r="AA354" s="73"/>
      <x:c r="AB354" s="76" t="str">
        <x:f>IF(A354="","",IF(OR(NOT(ISNUMBER(I354)),I354&lt;0,NOT(ISNUMBER(AP354)),AP354&lt;0,NOT(ISNUMBER(L354)),L354&lt;1,L354&gt;5,L354&lt;&gt;INT(L354),AND(J354&lt;&gt;"Public",J354&lt;&gt;"Partner",J354&lt;&gt;"Internal",J354&lt;&gt;"None"),AND(K354&lt;&gt;"High",K354&lt;&gt;"Medium",K354&lt;&gt;"Low",K354&lt;&gt;"None"),AND(W354&lt;&gt;"Hard-coded",W354&lt;&gt;"Configurable",W354&lt;&gt;"Policy-managed",W354&lt;&gt;"API/Library abstraction",W354&lt;&gt;"Automated"),AND(Z354&lt;&gt;"Y",Z354&lt;&gt;"N"),AND(AA354&lt;&gt;"Y",AA354&lt;&gt;"N")),"Incomplete",IF(Z354="Y",20,0)+L354*5+IF(AA354="Y",15,0)+IF(J354="Public",10,IF(J354="Partner",7,IF(J354="Internal",3,0)))+IF(W354="Hard-coded",10,IF(W354="Configurable",3,0))+IF(MAX(I354,AP354)&gt;=10,10,IF(MAX(I354,AP354)&gt;=5,7,IF(MAX(I354,AP354)&gt;=2,3,0)))+IF(K354="High",10,IF(K354="Medium",5,0))))</x:f>
      </x:c>
      <x:c r="AC354" s="73" t="str">
        <x:f>IF(A354="","",IF(NOT(ISNUMBER(AB354)),"Review inputs",IF(AB354&gt;=70,"P0 - Immediate",IF(AB354&gt;=50,"P1 - High",IF(AB354&gt;=30,"P2 - Medium",IF(AB354&gt;=15,"P3 - Low","P4 - Monitor"))))))</x:f>
      </x:c>
      <x:c r="AD354" s="73"/>
      <x:c r="AE354" s="73"/>
      <x:c r="AF354" s="73"/>
      <x:c r="AG354" s="77"/>
      <x:c r="AH354" s="73"/>
      <x:c r="AI354" s="91"/>
      <x:c r="AJ354" s="91"/>
      <x:c r="AK354" s="91"/>
      <x:c r="AL354" s="92"/>
      <x:c r="AM354" s="91"/>
      <x:c r="AN354" s="91"/>
      <x:c r="AO354" s="93"/>
      <x:c r="AP354" s="94"/>
      <x:c r="AQ354" s="91"/>
      <x:c r="AR354" s="91"/>
      <x:c r="AS354" s="91"/>
      <x:c r="AT354" s="91"/>
      <x:c r="AU354" s="91"/>
      <x:c r="AV354" s="91"/>
      <x:c r="AW354" s="91"/>
      <x:c r="AX354" s="91"/>
      <x:c r="AY354" s="91"/>
      <x:c r="AZ354" s="92"/>
      <x:c r="BA354" s="94"/>
      <x:c r="BB354" s="91"/>
      <x:c r="BC354" s="92"/>
      <x:c r="BD354" s="92"/>
      <x:c r="BE354" s="91"/>
      <x:c r="BF354" s="91"/>
      <x:c r="BG354" s="91"/>
      <x:c r="BH354" s="91"/>
      <x:c r="BI354" s="91"/>
      <x:c r="BJ354" s="91"/>
      <x:c r="BK354" s="91"/>
      <x:c r="BL354" s="91"/>
      <x:c r="BM354" s="73" t="str">
        <x:f>IF(A354="","",IF(AI354="Example","Example only",IF(AI354&lt;&gt;"Actual","Set record type",IF(COUNTIF($A$2:$A$1001,A354)&gt;1,"Duplicate record ID",IF(OR(D354="",E354="",AF354="",NOT(ISNUMBER(AG354)),AJ354="",AK354="",NOT(ISNUMBER(AL354)),AND(AM354&lt;&gt;"Observed",AM354&lt;&gt;"Corroborated",AM354&lt;&gt;"Declared"),OR(AN354="",AN354="Unknown"),OR(AQ354="",AQ354="Unknown"),OR(AR354="",AR354="Unknown",AR354="TBD"),OR(BC354="",NOT(ISNUMBER(BC354)))),"Evidence incomplete","Evidence recorded; review scope")))))</x:f>
      </x:c>
      <x:c r="BN354" s="73"/>
    </x:row>
    <x:row r="355" ht="34" customHeight="1">
      <x:c r="A355" s="73"/>
      <x:c r="B355" s="73"/>
      <x:c r="C355" s="73"/>
      <x:c r="D355" s="73"/>
      <x:c r="E355" s="73"/>
      <x:c r="F355" s="73"/>
      <x:c r="G355" s="73"/>
      <x:c r="H355" s="73"/>
      <x:c r="I355" s="75"/>
      <x:c r="J355" s="73"/>
      <x:c r="K355" s="73"/>
      <x:c r="L355" s="76"/>
      <x:c r="M355" s="73"/>
      <x:c r="N355" s="73"/>
      <x:c r="O355" s="73"/>
      <x:c r="P355" s="73"/>
      <x:c r="Q355" s="76"/>
      <x:c r="R355" s="73"/>
      <x:c r="S355" s="73"/>
      <x:c r="T355" s="73"/>
      <x:c r="U355" s="73"/>
      <x:c r="V355" s="73"/>
      <x:c r="W355" s="73"/>
      <x:c r="X355" s="73"/>
      <x:c r="Y355" s="73"/>
      <x:c r="Z355" s="73"/>
      <x:c r="AA355" s="73"/>
      <x:c r="AB355" s="76" t="str">
        <x:f>IF(A355="","",IF(OR(NOT(ISNUMBER(I355)),I355&lt;0,NOT(ISNUMBER(AP355)),AP355&lt;0,NOT(ISNUMBER(L355)),L355&lt;1,L355&gt;5,L355&lt;&gt;INT(L355),AND(J355&lt;&gt;"Public",J355&lt;&gt;"Partner",J355&lt;&gt;"Internal",J355&lt;&gt;"None"),AND(K355&lt;&gt;"High",K355&lt;&gt;"Medium",K355&lt;&gt;"Low",K355&lt;&gt;"None"),AND(W355&lt;&gt;"Hard-coded",W355&lt;&gt;"Configurable",W355&lt;&gt;"Policy-managed",W355&lt;&gt;"API/Library abstraction",W355&lt;&gt;"Automated"),AND(Z355&lt;&gt;"Y",Z355&lt;&gt;"N"),AND(AA355&lt;&gt;"Y",AA355&lt;&gt;"N")),"Incomplete",IF(Z355="Y",20,0)+L355*5+IF(AA355="Y",15,0)+IF(J355="Public",10,IF(J355="Partner",7,IF(J355="Internal",3,0)))+IF(W355="Hard-coded",10,IF(W355="Configurable",3,0))+IF(MAX(I355,AP355)&gt;=10,10,IF(MAX(I355,AP355)&gt;=5,7,IF(MAX(I355,AP355)&gt;=2,3,0)))+IF(K355="High",10,IF(K355="Medium",5,0))))</x:f>
      </x:c>
      <x:c r="AC355" s="73" t="str">
        <x:f>IF(A355="","",IF(NOT(ISNUMBER(AB355)),"Review inputs",IF(AB355&gt;=70,"P0 - Immediate",IF(AB355&gt;=50,"P1 - High",IF(AB355&gt;=30,"P2 - Medium",IF(AB355&gt;=15,"P3 - Low","P4 - Monitor"))))))</x:f>
      </x:c>
      <x:c r="AD355" s="73"/>
      <x:c r="AE355" s="73"/>
      <x:c r="AF355" s="73"/>
      <x:c r="AG355" s="77"/>
      <x:c r="AH355" s="73"/>
      <x:c r="AI355" s="91"/>
      <x:c r="AJ355" s="91"/>
      <x:c r="AK355" s="91"/>
      <x:c r="AL355" s="92"/>
      <x:c r="AM355" s="91"/>
      <x:c r="AN355" s="91"/>
      <x:c r="AO355" s="93"/>
      <x:c r="AP355" s="94"/>
      <x:c r="AQ355" s="91"/>
      <x:c r="AR355" s="91"/>
      <x:c r="AS355" s="91"/>
      <x:c r="AT355" s="91"/>
      <x:c r="AU355" s="91"/>
      <x:c r="AV355" s="91"/>
      <x:c r="AW355" s="91"/>
      <x:c r="AX355" s="91"/>
      <x:c r="AY355" s="91"/>
      <x:c r="AZ355" s="92"/>
      <x:c r="BA355" s="94"/>
      <x:c r="BB355" s="91"/>
      <x:c r="BC355" s="92"/>
      <x:c r="BD355" s="92"/>
      <x:c r="BE355" s="91"/>
      <x:c r="BF355" s="91"/>
      <x:c r="BG355" s="91"/>
      <x:c r="BH355" s="91"/>
      <x:c r="BI355" s="91"/>
      <x:c r="BJ355" s="91"/>
      <x:c r="BK355" s="91"/>
      <x:c r="BL355" s="91"/>
      <x:c r="BM355" s="73" t="str">
        <x:f>IF(A355="","",IF(AI355="Example","Example only",IF(AI355&lt;&gt;"Actual","Set record type",IF(COUNTIF($A$2:$A$1001,A355)&gt;1,"Duplicate record ID",IF(OR(D355="",E355="",AF355="",NOT(ISNUMBER(AG355)),AJ355="",AK355="",NOT(ISNUMBER(AL355)),AND(AM355&lt;&gt;"Observed",AM355&lt;&gt;"Corroborated",AM355&lt;&gt;"Declared"),OR(AN355="",AN355="Unknown"),OR(AQ355="",AQ355="Unknown"),OR(AR355="",AR355="Unknown",AR355="TBD"),OR(BC355="",NOT(ISNUMBER(BC355)))),"Evidence incomplete","Evidence recorded; review scope")))))</x:f>
      </x:c>
      <x:c r="BN355" s="73"/>
    </x:row>
    <x:row r="356" ht="34" customHeight="1">
      <x:c r="A356" s="73"/>
      <x:c r="B356" s="73"/>
      <x:c r="C356" s="73"/>
      <x:c r="D356" s="73"/>
      <x:c r="E356" s="73"/>
      <x:c r="F356" s="73"/>
      <x:c r="G356" s="73"/>
      <x:c r="H356" s="73"/>
      <x:c r="I356" s="75"/>
      <x:c r="J356" s="73"/>
      <x:c r="K356" s="73"/>
      <x:c r="L356" s="76"/>
      <x:c r="M356" s="73"/>
      <x:c r="N356" s="73"/>
      <x:c r="O356" s="73"/>
      <x:c r="P356" s="73"/>
      <x:c r="Q356" s="76"/>
      <x:c r="R356" s="73"/>
      <x:c r="S356" s="73"/>
      <x:c r="T356" s="73"/>
      <x:c r="U356" s="73"/>
      <x:c r="V356" s="73"/>
      <x:c r="W356" s="73"/>
      <x:c r="X356" s="73"/>
      <x:c r="Y356" s="73"/>
      <x:c r="Z356" s="73"/>
      <x:c r="AA356" s="73"/>
      <x:c r="AB356" s="76" t="str">
        <x:f>IF(A356="","",IF(OR(NOT(ISNUMBER(I356)),I356&lt;0,NOT(ISNUMBER(AP356)),AP356&lt;0,NOT(ISNUMBER(L356)),L356&lt;1,L356&gt;5,L356&lt;&gt;INT(L356),AND(J356&lt;&gt;"Public",J356&lt;&gt;"Partner",J356&lt;&gt;"Internal",J356&lt;&gt;"None"),AND(K356&lt;&gt;"High",K356&lt;&gt;"Medium",K356&lt;&gt;"Low",K356&lt;&gt;"None"),AND(W356&lt;&gt;"Hard-coded",W356&lt;&gt;"Configurable",W356&lt;&gt;"Policy-managed",W356&lt;&gt;"API/Library abstraction",W356&lt;&gt;"Automated"),AND(Z356&lt;&gt;"Y",Z356&lt;&gt;"N"),AND(AA356&lt;&gt;"Y",AA356&lt;&gt;"N")),"Incomplete",IF(Z356="Y",20,0)+L356*5+IF(AA356="Y",15,0)+IF(J356="Public",10,IF(J356="Partner",7,IF(J356="Internal",3,0)))+IF(W356="Hard-coded",10,IF(W356="Configurable",3,0))+IF(MAX(I356,AP356)&gt;=10,10,IF(MAX(I356,AP356)&gt;=5,7,IF(MAX(I356,AP356)&gt;=2,3,0)))+IF(K356="High",10,IF(K356="Medium",5,0))))</x:f>
      </x:c>
      <x:c r="AC356" s="73" t="str">
        <x:f>IF(A356="","",IF(NOT(ISNUMBER(AB356)),"Review inputs",IF(AB356&gt;=70,"P0 - Immediate",IF(AB356&gt;=50,"P1 - High",IF(AB356&gt;=30,"P2 - Medium",IF(AB356&gt;=15,"P3 - Low","P4 - Monitor"))))))</x:f>
      </x:c>
      <x:c r="AD356" s="73"/>
      <x:c r="AE356" s="73"/>
      <x:c r="AF356" s="73"/>
      <x:c r="AG356" s="77"/>
      <x:c r="AH356" s="73"/>
      <x:c r="AI356" s="91"/>
      <x:c r="AJ356" s="91"/>
      <x:c r="AK356" s="91"/>
      <x:c r="AL356" s="92"/>
      <x:c r="AM356" s="91"/>
      <x:c r="AN356" s="91"/>
      <x:c r="AO356" s="93"/>
      <x:c r="AP356" s="94"/>
      <x:c r="AQ356" s="91"/>
      <x:c r="AR356" s="91"/>
      <x:c r="AS356" s="91"/>
      <x:c r="AT356" s="91"/>
      <x:c r="AU356" s="91"/>
      <x:c r="AV356" s="91"/>
      <x:c r="AW356" s="91"/>
      <x:c r="AX356" s="91"/>
      <x:c r="AY356" s="91"/>
      <x:c r="AZ356" s="92"/>
      <x:c r="BA356" s="94"/>
      <x:c r="BB356" s="91"/>
      <x:c r="BC356" s="92"/>
      <x:c r="BD356" s="92"/>
      <x:c r="BE356" s="91"/>
      <x:c r="BF356" s="91"/>
      <x:c r="BG356" s="91"/>
      <x:c r="BH356" s="91"/>
      <x:c r="BI356" s="91"/>
      <x:c r="BJ356" s="91"/>
      <x:c r="BK356" s="91"/>
      <x:c r="BL356" s="91"/>
      <x:c r="BM356" s="73" t="str">
        <x:f>IF(A356="","",IF(AI356="Example","Example only",IF(AI356&lt;&gt;"Actual","Set record type",IF(COUNTIF($A$2:$A$1001,A356)&gt;1,"Duplicate record ID",IF(OR(D356="",E356="",AF356="",NOT(ISNUMBER(AG356)),AJ356="",AK356="",NOT(ISNUMBER(AL356)),AND(AM356&lt;&gt;"Observed",AM356&lt;&gt;"Corroborated",AM356&lt;&gt;"Declared"),OR(AN356="",AN356="Unknown"),OR(AQ356="",AQ356="Unknown"),OR(AR356="",AR356="Unknown",AR356="TBD"),OR(BC356="",NOT(ISNUMBER(BC356)))),"Evidence incomplete","Evidence recorded; review scope")))))</x:f>
      </x:c>
      <x:c r="BN356" s="73"/>
    </x:row>
    <x:row r="357" ht="34" customHeight="1">
      <x:c r="A357" s="73"/>
      <x:c r="B357" s="73"/>
      <x:c r="C357" s="73"/>
      <x:c r="D357" s="73"/>
      <x:c r="E357" s="73"/>
      <x:c r="F357" s="73"/>
      <x:c r="G357" s="73"/>
      <x:c r="H357" s="73"/>
      <x:c r="I357" s="75"/>
      <x:c r="J357" s="73"/>
      <x:c r="K357" s="73"/>
      <x:c r="L357" s="76"/>
      <x:c r="M357" s="73"/>
      <x:c r="N357" s="73"/>
      <x:c r="O357" s="73"/>
      <x:c r="P357" s="73"/>
      <x:c r="Q357" s="76"/>
      <x:c r="R357" s="73"/>
      <x:c r="S357" s="73"/>
      <x:c r="T357" s="73"/>
      <x:c r="U357" s="73"/>
      <x:c r="V357" s="73"/>
      <x:c r="W357" s="73"/>
      <x:c r="X357" s="73"/>
      <x:c r="Y357" s="73"/>
      <x:c r="Z357" s="73"/>
      <x:c r="AA357" s="73"/>
      <x:c r="AB357" s="76" t="str">
        <x:f>IF(A357="","",IF(OR(NOT(ISNUMBER(I357)),I357&lt;0,NOT(ISNUMBER(AP357)),AP357&lt;0,NOT(ISNUMBER(L357)),L357&lt;1,L357&gt;5,L357&lt;&gt;INT(L357),AND(J357&lt;&gt;"Public",J357&lt;&gt;"Partner",J357&lt;&gt;"Internal",J357&lt;&gt;"None"),AND(K357&lt;&gt;"High",K357&lt;&gt;"Medium",K357&lt;&gt;"Low",K357&lt;&gt;"None"),AND(W357&lt;&gt;"Hard-coded",W357&lt;&gt;"Configurable",W357&lt;&gt;"Policy-managed",W357&lt;&gt;"API/Library abstraction",W357&lt;&gt;"Automated"),AND(Z357&lt;&gt;"Y",Z357&lt;&gt;"N"),AND(AA357&lt;&gt;"Y",AA357&lt;&gt;"N")),"Incomplete",IF(Z357="Y",20,0)+L357*5+IF(AA357="Y",15,0)+IF(J357="Public",10,IF(J357="Partner",7,IF(J357="Internal",3,0)))+IF(W357="Hard-coded",10,IF(W357="Configurable",3,0))+IF(MAX(I357,AP357)&gt;=10,10,IF(MAX(I357,AP357)&gt;=5,7,IF(MAX(I357,AP357)&gt;=2,3,0)))+IF(K357="High",10,IF(K357="Medium",5,0))))</x:f>
      </x:c>
      <x:c r="AC357" s="73" t="str">
        <x:f>IF(A357="","",IF(NOT(ISNUMBER(AB357)),"Review inputs",IF(AB357&gt;=70,"P0 - Immediate",IF(AB357&gt;=50,"P1 - High",IF(AB357&gt;=30,"P2 - Medium",IF(AB357&gt;=15,"P3 - Low","P4 - Monitor"))))))</x:f>
      </x:c>
      <x:c r="AD357" s="73"/>
      <x:c r="AE357" s="73"/>
      <x:c r="AF357" s="73"/>
      <x:c r="AG357" s="77"/>
      <x:c r="AH357" s="73"/>
      <x:c r="AI357" s="91"/>
      <x:c r="AJ357" s="91"/>
      <x:c r="AK357" s="91"/>
      <x:c r="AL357" s="92"/>
      <x:c r="AM357" s="91"/>
      <x:c r="AN357" s="91"/>
      <x:c r="AO357" s="93"/>
      <x:c r="AP357" s="94"/>
      <x:c r="AQ357" s="91"/>
      <x:c r="AR357" s="91"/>
      <x:c r="AS357" s="91"/>
      <x:c r="AT357" s="91"/>
      <x:c r="AU357" s="91"/>
      <x:c r="AV357" s="91"/>
      <x:c r="AW357" s="91"/>
      <x:c r="AX357" s="91"/>
      <x:c r="AY357" s="91"/>
      <x:c r="AZ357" s="92"/>
      <x:c r="BA357" s="94"/>
      <x:c r="BB357" s="91"/>
      <x:c r="BC357" s="92"/>
      <x:c r="BD357" s="92"/>
      <x:c r="BE357" s="91"/>
      <x:c r="BF357" s="91"/>
      <x:c r="BG357" s="91"/>
      <x:c r="BH357" s="91"/>
      <x:c r="BI357" s="91"/>
      <x:c r="BJ357" s="91"/>
      <x:c r="BK357" s="91"/>
      <x:c r="BL357" s="91"/>
      <x:c r="BM357" s="73" t="str">
        <x:f>IF(A357="","",IF(AI357="Example","Example only",IF(AI357&lt;&gt;"Actual","Set record type",IF(COUNTIF($A$2:$A$1001,A357)&gt;1,"Duplicate record ID",IF(OR(D357="",E357="",AF357="",NOT(ISNUMBER(AG357)),AJ357="",AK357="",NOT(ISNUMBER(AL357)),AND(AM357&lt;&gt;"Observed",AM357&lt;&gt;"Corroborated",AM357&lt;&gt;"Declared"),OR(AN357="",AN357="Unknown"),OR(AQ357="",AQ357="Unknown"),OR(AR357="",AR357="Unknown",AR357="TBD"),OR(BC357="",NOT(ISNUMBER(BC357)))),"Evidence incomplete","Evidence recorded; review scope")))))</x:f>
      </x:c>
      <x:c r="BN357" s="73"/>
    </x:row>
    <x:row r="358" ht="34" customHeight="1">
      <x:c r="A358" s="73"/>
      <x:c r="B358" s="73"/>
      <x:c r="C358" s="73"/>
      <x:c r="D358" s="73"/>
      <x:c r="E358" s="73"/>
      <x:c r="F358" s="73"/>
      <x:c r="G358" s="73"/>
      <x:c r="H358" s="73"/>
      <x:c r="I358" s="75"/>
      <x:c r="J358" s="73"/>
      <x:c r="K358" s="73"/>
      <x:c r="L358" s="76"/>
      <x:c r="M358" s="73"/>
      <x:c r="N358" s="73"/>
      <x:c r="O358" s="73"/>
      <x:c r="P358" s="73"/>
      <x:c r="Q358" s="76"/>
      <x:c r="R358" s="73"/>
      <x:c r="S358" s="73"/>
      <x:c r="T358" s="73"/>
      <x:c r="U358" s="73"/>
      <x:c r="V358" s="73"/>
      <x:c r="W358" s="73"/>
      <x:c r="X358" s="73"/>
      <x:c r="Y358" s="73"/>
      <x:c r="Z358" s="73"/>
      <x:c r="AA358" s="73"/>
      <x:c r="AB358" s="76" t="str">
        <x:f>IF(A358="","",IF(OR(NOT(ISNUMBER(I358)),I358&lt;0,NOT(ISNUMBER(AP358)),AP358&lt;0,NOT(ISNUMBER(L358)),L358&lt;1,L358&gt;5,L358&lt;&gt;INT(L358),AND(J358&lt;&gt;"Public",J358&lt;&gt;"Partner",J358&lt;&gt;"Internal",J358&lt;&gt;"None"),AND(K358&lt;&gt;"High",K358&lt;&gt;"Medium",K358&lt;&gt;"Low",K358&lt;&gt;"None"),AND(W358&lt;&gt;"Hard-coded",W358&lt;&gt;"Configurable",W358&lt;&gt;"Policy-managed",W358&lt;&gt;"API/Library abstraction",W358&lt;&gt;"Automated"),AND(Z358&lt;&gt;"Y",Z358&lt;&gt;"N"),AND(AA358&lt;&gt;"Y",AA358&lt;&gt;"N")),"Incomplete",IF(Z358="Y",20,0)+L358*5+IF(AA358="Y",15,0)+IF(J358="Public",10,IF(J358="Partner",7,IF(J358="Internal",3,0)))+IF(W358="Hard-coded",10,IF(W358="Configurable",3,0))+IF(MAX(I358,AP358)&gt;=10,10,IF(MAX(I358,AP358)&gt;=5,7,IF(MAX(I358,AP358)&gt;=2,3,0)))+IF(K358="High",10,IF(K358="Medium",5,0))))</x:f>
      </x:c>
      <x:c r="AC358" s="73" t="str">
        <x:f>IF(A358="","",IF(NOT(ISNUMBER(AB358)),"Review inputs",IF(AB358&gt;=70,"P0 - Immediate",IF(AB358&gt;=50,"P1 - High",IF(AB358&gt;=30,"P2 - Medium",IF(AB358&gt;=15,"P3 - Low","P4 - Monitor"))))))</x:f>
      </x:c>
      <x:c r="AD358" s="73"/>
      <x:c r="AE358" s="73"/>
      <x:c r="AF358" s="73"/>
      <x:c r="AG358" s="77"/>
      <x:c r="AH358" s="73"/>
      <x:c r="AI358" s="91"/>
      <x:c r="AJ358" s="91"/>
      <x:c r="AK358" s="91"/>
      <x:c r="AL358" s="92"/>
      <x:c r="AM358" s="91"/>
      <x:c r="AN358" s="91"/>
      <x:c r="AO358" s="93"/>
      <x:c r="AP358" s="94"/>
      <x:c r="AQ358" s="91"/>
      <x:c r="AR358" s="91"/>
      <x:c r="AS358" s="91"/>
      <x:c r="AT358" s="91"/>
      <x:c r="AU358" s="91"/>
      <x:c r="AV358" s="91"/>
      <x:c r="AW358" s="91"/>
      <x:c r="AX358" s="91"/>
      <x:c r="AY358" s="91"/>
      <x:c r="AZ358" s="92"/>
      <x:c r="BA358" s="94"/>
      <x:c r="BB358" s="91"/>
      <x:c r="BC358" s="92"/>
      <x:c r="BD358" s="92"/>
      <x:c r="BE358" s="91"/>
      <x:c r="BF358" s="91"/>
      <x:c r="BG358" s="91"/>
      <x:c r="BH358" s="91"/>
      <x:c r="BI358" s="91"/>
      <x:c r="BJ358" s="91"/>
      <x:c r="BK358" s="91"/>
      <x:c r="BL358" s="91"/>
      <x:c r="BM358" s="73" t="str">
        <x:f>IF(A358="","",IF(AI358="Example","Example only",IF(AI358&lt;&gt;"Actual","Set record type",IF(COUNTIF($A$2:$A$1001,A358)&gt;1,"Duplicate record ID",IF(OR(D358="",E358="",AF358="",NOT(ISNUMBER(AG358)),AJ358="",AK358="",NOT(ISNUMBER(AL358)),AND(AM358&lt;&gt;"Observed",AM358&lt;&gt;"Corroborated",AM358&lt;&gt;"Declared"),OR(AN358="",AN358="Unknown"),OR(AQ358="",AQ358="Unknown"),OR(AR358="",AR358="Unknown",AR358="TBD"),OR(BC358="",NOT(ISNUMBER(BC358)))),"Evidence incomplete","Evidence recorded; review scope")))))</x:f>
      </x:c>
      <x:c r="BN358" s="73"/>
    </x:row>
    <x:row r="359" ht="34" customHeight="1">
      <x:c r="A359" s="73"/>
      <x:c r="B359" s="73"/>
      <x:c r="C359" s="73"/>
      <x:c r="D359" s="73"/>
      <x:c r="E359" s="73"/>
      <x:c r="F359" s="73"/>
      <x:c r="G359" s="73"/>
      <x:c r="H359" s="73"/>
      <x:c r="I359" s="75"/>
      <x:c r="J359" s="73"/>
      <x:c r="K359" s="73"/>
      <x:c r="L359" s="76"/>
      <x:c r="M359" s="73"/>
      <x:c r="N359" s="73"/>
      <x:c r="O359" s="73"/>
      <x:c r="P359" s="73"/>
      <x:c r="Q359" s="76"/>
      <x:c r="R359" s="73"/>
      <x:c r="S359" s="73"/>
      <x:c r="T359" s="73"/>
      <x:c r="U359" s="73"/>
      <x:c r="V359" s="73"/>
      <x:c r="W359" s="73"/>
      <x:c r="X359" s="73"/>
      <x:c r="Y359" s="73"/>
      <x:c r="Z359" s="73"/>
      <x:c r="AA359" s="73"/>
      <x:c r="AB359" s="76" t="str">
        <x:f>IF(A359="","",IF(OR(NOT(ISNUMBER(I359)),I359&lt;0,NOT(ISNUMBER(AP359)),AP359&lt;0,NOT(ISNUMBER(L359)),L359&lt;1,L359&gt;5,L359&lt;&gt;INT(L359),AND(J359&lt;&gt;"Public",J359&lt;&gt;"Partner",J359&lt;&gt;"Internal",J359&lt;&gt;"None"),AND(K359&lt;&gt;"High",K359&lt;&gt;"Medium",K359&lt;&gt;"Low",K359&lt;&gt;"None"),AND(W359&lt;&gt;"Hard-coded",W359&lt;&gt;"Configurable",W359&lt;&gt;"Policy-managed",W359&lt;&gt;"API/Library abstraction",W359&lt;&gt;"Automated"),AND(Z359&lt;&gt;"Y",Z359&lt;&gt;"N"),AND(AA359&lt;&gt;"Y",AA359&lt;&gt;"N")),"Incomplete",IF(Z359="Y",20,0)+L359*5+IF(AA359="Y",15,0)+IF(J359="Public",10,IF(J359="Partner",7,IF(J359="Internal",3,0)))+IF(W359="Hard-coded",10,IF(W359="Configurable",3,0))+IF(MAX(I359,AP359)&gt;=10,10,IF(MAX(I359,AP359)&gt;=5,7,IF(MAX(I359,AP359)&gt;=2,3,0)))+IF(K359="High",10,IF(K359="Medium",5,0))))</x:f>
      </x:c>
      <x:c r="AC359" s="73" t="str">
        <x:f>IF(A359="","",IF(NOT(ISNUMBER(AB359)),"Review inputs",IF(AB359&gt;=70,"P0 - Immediate",IF(AB359&gt;=50,"P1 - High",IF(AB359&gt;=30,"P2 - Medium",IF(AB359&gt;=15,"P3 - Low","P4 - Monitor"))))))</x:f>
      </x:c>
      <x:c r="AD359" s="73"/>
      <x:c r="AE359" s="73"/>
      <x:c r="AF359" s="73"/>
      <x:c r="AG359" s="77"/>
      <x:c r="AH359" s="73"/>
      <x:c r="AI359" s="91"/>
      <x:c r="AJ359" s="91"/>
      <x:c r="AK359" s="91"/>
      <x:c r="AL359" s="92"/>
      <x:c r="AM359" s="91"/>
      <x:c r="AN359" s="91"/>
      <x:c r="AO359" s="93"/>
      <x:c r="AP359" s="94"/>
      <x:c r="AQ359" s="91"/>
      <x:c r="AR359" s="91"/>
      <x:c r="AS359" s="91"/>
      <x:c r="AT359" s="91"/>
      <x:c r="AU359" s="91"/>
      <x:c r="AV359" s="91"/>
      <x:c r="AW359" s="91"/>
      <x:c r="AX359" s="91"/>
      <x:c r="AY359" s="91"/>
      <x:c r="AZ359" s="92"/>
      <x:c r="BA359" s="94"/>
      <x:c r="BB359" s="91"/>
      <x:c r="BC359" s="92"/>
      <x:c r="BD359" s="92"/>
      <x:c r="BE359" s="91"/>
      <x:c r="BF359" s="91"/>
      <x:c r="BG359" s="91"/>
      <x:c r="BH359" s="91"/>
      <x:c r="BI359" s="91"/>
      <x:c r="BJ359" s="91"/>
      <x:c r="BK359" s="91"/>
      <x:c r="BL359" s="91"/>
      <x:c r="BM359" s="73" t="str">
        <x:f>IF(A359="","",IF(AI359="Example","Example only",IF(AI359&lt;&gt;"Actual","Set record type",IF(COUNTIF($A$2:$A$1001,A359)&gt;1,"Duplicate record ID",IF(OR(D359="",E359="",AF359="",NOT(ISNUMBER(AG359)),AJ359="",AK359="",NOT(ISNUMBER(AL359)),AND(AM359&lt;&gt;"Observed",AM359&lt;&gt;"Corroborated",AM359&lt;&gt;"Declared"),OR(AN359="",AN359="Unknown"),OR(AQ359="",AQ359="Unknown"),OR(AR359="",AR359="Unknown",AR359="TBD"),OR(BC359="",NOT(ISNUMBER(BC359)))),"Evidence incomplete","Evidence recorded; review scope")))))</x:f>
      </x:c>
      <x:c r="BN359" s="73"/>
    </x:row>
    <x:row r="360" ht="34" customHeight="1">
      <x:c r="A360" s="73"/>
      <x:c r="B360" s="73"/>
      <x:c r="C360" s="73"/>
      <x:c r="D360" s="73"/>
      <x:c r="E360" s="73"/>
      <x:c r="F360" s="73"/>
      <x:c r="G360" s="73"/>
      <x:c r="H360" s="73"/>
      <x:c r="I360" s="75"/>
      <x:c r="J360" s="73"/>
      <x:c r="K360" s="73"/>
      <x:c r="L360" s="76"/>
      <x:c r="M360" s="73"/>
      <x:c r="N360" s="73"/>
      <x:c r="O360" s="73"/>
      <x:c r="P360" s="73"/>
      <x:c r="Q360" s="76"/>
      <x:c r="R360" s="73"/>
      <x:c r="S360" s="73"/>
      <x:c r="T360" s="73"/>
      <x:c r="U360" s="73"/>
      <x:c r="V360" s="73"/>
      <x:c r="W360" s="73"/>
      <x:c r="X360" s="73"/>
      <x:c r="Y360" s="73"/>
      <x:c r="Z360" s="73"/>
      <x:c r="AA360" s="73"/>
      <x:c r="AB360" s="76" t="str">
        <x:f>IF(A360="","",IF(OR(NOT(ISNUMBER(I360)),I360&lt;0,NOT(ISNUMBER(AP360)),AP360&lt;0,NOT(ISNUMBER(L360)),L360&lt;1,L360&gt;5,L360&lt;&gt;INT(L360),AND(J360&lt;&gt;"Public",J360&lt;&gt;"Partner",J360&lt;&gt;"Internal",J360&lt;&gt;"None"),AND(K360&lt;&gt;"High",K360&lt;&gt;"Medium",K360&lt;&gt;"Low",K360&lt;&gt;"None"),AND(W360&lt;&gt;"Hard-coded",W360&lt;&gt;"Configurable",W360&lt;&gt;"Policy-managed",W360&lt;&gt;"API/Library abstraction",W360&lt;&gt;"Automated"),AND(Z360&lt;&gt;"Y",Z360&lt;&gt;"N"),AND(AA360&lt;&gt;"Y",AA360&lt;&gt;"N")),"Incomplete",IF(Z360="Y",20,0)+L360*5+IF(AA360="Y",15,0)+IF(J360="Public",10,IF(J360="Partner",7,IF(J360="Internal",3,0)))+IF(W360="Hard-coded",10,IF(W360="Configurable",3,0))+IF(MAX(I360,AP360)&gt;=10,10,IF(MAX(I360,AP360)&gt;=5,7,IF(MAX(I360,AP360)&gt;=2,3,0)))+IF(K360="High",10,IF(K360="Medium",5,0))))</x:f>
      </x:c>
      <x:c r="AC360" s="73" t="str">
        <x:f>IF(A360="","",IF(NOT(ISNUMBER(AB360)),"Review inputs",IF(AB360&gt;=70,"P0 - Immediate",IF(AB360&gt;=50,"P1 - High",IF(AB360&gt;=30,"P2 - Medium",IF(AB360&gt;=15,"P3 - Low","P4 - Monitor"))))))</x:f>
      </x:c>
      <x:c r="AD360" s="73"/>
      <x:c r="AE360" s="73"/>
      <x:c r="AF360" s="73"/>
      <x:c r="AG360" s="77"/>
      <x:c r="AH360" s="73"/>
      <x:c r="AI360" s="91"/>
      <x:c r="AJ360" s="91"/>
      <x:c r="AK360" s="91"/>
      <x:c r="AL360" s="92"/>
      <x:c r="AM360" s="91"/>
      <x:c r="AN360" s="91"/>
      <x:c r="AO360" s="93"/>
      <x:c r="AP360" s="94"/>
      <x:c r="AQ360" s="91"/>
      <x:c r="AR360" s="91"/>
      <x:c r="AS360" s="91"/>
      <x:c r="AT360" s="91"/>
      <x:c r="AU360" s="91"/>
      <x:c r="AV360" s="91"/>
      <x:c r="AW360" s="91"/>
      <x:c r="AX360" s="91"/>
      <x:c r="AY360" s="91"/>
      <x:c r="AZ360" s="92"/>
      <x:c r="BA360" s="94"/>
      <x:c r="BB360" s="91"/>
      <x:c r="BC360" s="92"/>
      <x:c r="BD360" s="92"/>
      <x:c r="BE360" s="91"/>
      <x:c r="BF360" s="91"/>
      <x:c r="BG360" s="91"/>
      <x:c r="BH360" s="91"/>
      <x:c r="BI360" s="91"/>
      <x:c r="BJ360" s="91"/>
      <x:c r="BK360" s="91"/>
      <x:c r="BL360" s="91"/>
      <x:c r="BM360" s="73" t="str">
        <x:f>IF(A360="","",IF(AI360="Example","Example only",IF(AI360&lt;&gt;"Actual","Set record type",IF(COUNTIF($A$2:$A$1001,A360)&gt;1,"Duplicate record ID",IF(OR(D360="",E360="",AF360="",NOT(ISNUMBER(AG360)),AJ360="",AK360="",NOT(ISNUMBER(AL360)),AND(AM360&lt;&gt;"Observed",AM360&lt;&gt;"Corroborated",AM360&lt;&gt;"Declared"),OR(AN360="",AN360="Unknown"),OR(AQ360="",AQ360="Unknown"),OR(AR360="",AR360="Unknown",AR360="TBD"),OR(BC360="",NOT(ISNUMBER(BC360)))),"Evidence incomplete","Evidence recorded; review scope")))))</x:f>
      </x:c>
      <x:c r="BN360" s="73"/>
    </x:row>
    <x:row r="361" ht="34" customHeight="1">
      <x:c r="A361" s="73"/>
      <x:c r="B361" s="73"/>
      <x:c r="C361" s="73"/>
      <x:c r="D361" s="73"/>
      <x:c r="E361" s="73"/>
      <x:c r="F361" s="73"/>
      <x:c r="G361" s="73"/>
      <x:c r="H361" s="73"/>
      <x:c r="I361" s="75"/>
      <x:c r="J361" s="73"/>
      <x:c r="K361" s="73"/>
      <x:c r="L361" s="76"/>
      <x:c r="M361" s="73"/>
      <x:c r="N361" s="73"/>
      <x:c r="O361" s="73"/>
      <x:c r="P361" s="73"/>
      <x:c r="Q361" s="76"/>
      <x:c r="R361" s="73"/>
      <x:c r="S361" s="73"/>
      <x:c r="T361" s="73"/>
      <x:c r="U361" s="73"/>
      <x:c r="V361" s="73"/>
      <x:c r="W361" s="73"/>
      <x:c r="X361" s="73"/>
      <x:c r="Y361" s="73"/>
      <x:c r="Z361" s="73"/>
      <x:c r="AA361" s="73"/>
      <x:c r="AB361" s="76" t="str">
        <x:f>IF(A361="","",IF(OR(NOT(ISNUMBER(I361)),I361&lt;0,NOT(ISNUMBER(AP361)),AP361&lt;0,NOT(ISNUMBER(L361)),L361&lt;1,L361&gt;5,L361&lt;&gt;INT(L361),AND(J361&lt;&gt;"Public",J361&lt;&gt;"Partner",J361&lt;&gt;"Internal",J361&lt;&gt;"None"),AND(K361&lt;&gt;"High",K361&lt;&gt;"Medium",K361&lt;&gt;"Low",K361&lt;&gt;"None"),AND(W361&lt;&gt;"Hard-coded",W361&lt;&gt;"Configurable",W361&lt;&gt;"Policy-managed",W361&lt;&gt;"API/Library abstraction",W361&lt;&gt;"Automated"),AND(Z361&lt;&gt;"Y",Z361&lt;&gt;"N"),AND(AA361&lt;&gt;"Y",AA361&lt;&gt;"N")),"Incomplete",IF(Z361="Y",20,0)+L361*5+IF(AA361="Y",15,0)+IF(J361="Public",10,IF(J361="Partner",7,IF(J361="Internal",3,0)))+IF(W361="Hard-coded",10,IF(W361="Configurable",3,0))+IF(MAX(I361,AP361)&gt;=10,10,IF(MAX(I361,AP361)&gt;=5,7,IF(MAX(I361,AP361)&gt;=2,3,0)))+IF(K361="High",10,IF(K361="Medium",5,0))))</x:f>
      </x:c>
      <x:c r="AC361" s="73" t="str">
        <x:f>IF(A361="","",IF(NOT(ISNUMBER(AB361)),"Review inputs",IF(AB361&gt;=70,"P0 - Immediate",IF(AB361&gt;=50,"P1 - High",IF(AB361&gt;=30,"P2 - Medium",IF(AB361&gt;=15,"P3 - Low","P4 - Monitor"))))))</x:f>
      </x:c>
      <x:c r="AD361" s="73"/>
      <x:c r="AE361" s="73"/>
      <x:c r="AF361" s="73"/>
      <x:c r="AG361" s="77"/>
      <x:c r="AH361" s="73"/>
      <x:c r="AI361" s="91"/>
      <x:c r="AJ361" s="91"/>
      <x:c r="AK361" s="91"/>
      <x:c r="AL361" s="92"/>
      <x:c r="AM361" s="91"/>
      <x:c r="AN361" s="91"/>
      <x:c r="AO361" s="93"/>
      <x:c r="AP361" s="94"/>
      <x:c r="AQ361" s="91"/>
      <x:c r="AR361" s="91"/>
      <x:c r="AS361" s="91"/>
      <x:c r="AT361" s="91"/>
      <x:c r="AU361" s="91"/>
      <x:c r="AV361" s="91"/>
      <x:c r="AW361" s="91"/>
      <x:c r="AX361" s="91"/>
      <x:c r="AY361" s="91"/>
      <x:c r="AZ361" s="92"/>
      <x:c r="BA361" s="94"/>
      <x:c r="BB361" s="91"/>
      <x:c r="BC361" s="92"/>
      <x:c r="BD361" s="92"/>
      <x:c r="BE361" s="91"/>
      <x:c r="BF361" s="91"/>
      <x:c r="BG361" s="91"/>
      <x:c r="BH361" s="91"/>
      <x:c r="BI361" s="91"/>
      <x:c r="BJ361" s="91"/>
      <x:c r="BK361" s="91"/>
      <x:c r="BL361" s="91"/>
      <x:c r="BM361" s="73" t="str">
        <x:f>IF(A361="","",IF(AI361="Example","Example only",IF(AI361&lt;&gt;"Actual","Set record type",IF(COUNTIF($A$2:$A$1001,A361)&gt;1,"Duplicate record ID",IF(OR(D361="",E361="",AF361="",NOT(ISNUMBER(AG361)),AJ361="",AK361="",NOT(ISNUMBER(AL361)),AND(AM361&lt;&gt;"Observed",AM361&lt;&gt;"Corroborated",AM361&lt;&gt;"Declared"),OR(AN361="",AN361="Unknown"),OR(AQ361="",AQ361="Unknown"),OR(AR361="",AR361="Unknown",AR361="TBD"),OR(BC361="",NOT(ISNUMBER(BC361)))),"Evidence incomplete","Evidence recorded; review scope")))))</x:f>
      </x:c>
      <x:c r="BN361" s="73"/>
    </x:row>
    <x:row r="362" ht="34" customHeight="1">
      <x:c r="A362" s="73"/>
      <x:c r="B362" s="73"/>
      <x:c r="C362" s="73"/>
      <x:c r="D362" s="73"/>
      <x:c r="E362" s="73"/>
      <x:c r="F362" s="73"/>
      <x:c r="G362" s="73"/>
      <x:c r="H362" s="73"/>
      <x:c r="I362" s="75"/>
      <x:c r="J362" s="73"/>
      <x:c r="K362" s="73"/>
      <x:c r="L362" s="76"/>
      <x:c r="M362" s="73"/>
      <x:c r="N362" s="73"/>
      <x:c r="O362" s="73"/>
      <x:c r="P362" s="73"/>
      <x:c r="Q362" s="76"/>
      <x:c r="R362" s="73"/>
      <x:c r="S362" s="73"/>
      <x:c r="T362" s="73"/>
      <x:c r="U362" s="73"/>
      <x:c r="V362" s="73"/>
      <x:c r="W362" s="73"/>
      <x:c r="X362" s="73"/>
      <x:c r="Y362" s="73"/>
      <x:c r="Z362" s="73"/>
      <x:c r="AA362" s="73"/>
      <x:c r="AB362" s="76" t="str">
        <x:f>IF(A362="","",IF(OR(NOT(ISNUMBER(I362)),I362&lt;0,NOT(ISNUMBER(AP362)),AP362&lt;0,NOT(ISNUMBER(L362)),L362&lt;1,L362&gt;5,L362&lt;&gt;INT(L362),AND(J362&lt;&gt;"Public",J362&lt;&gt;"Partner",J362&lt;&gt;"Internal",J362&lt;&gt;"None"),AND(K362&lt;&gt;"High",K362&lt;&gt;"Medium",K362&lt;&gt;"Low",K362&lt;&gt;"None"),AND(W362&lt;&gt;"Hard-coded",W362&lt;&gt;"Configurable",W362&lt;&gt;"Policy-managed",W362&lt;&gt;"API/Library abstraction",W362&lt;&gt;"Automated"),AND(Z362&lt;&gt;"Y",Z362&lt;&gt;"N"),AND(AA362&lt;&gt;"Y",AA362&lt;&gt;"N")),"Incomplete",IF(Z362="Y",20,0)+L362*5+IF(AA362="Y",15,0)+IF(J362="Public",10,IF(J362="Partner",7,IF(J362="Internal",3,0)))+IF(W362="Hard-coded",10,IF(W362="Configurable",3,0))+IF(MAX(I362,AP362)&gt;=10,10,IF(MAX(I362,AP362)&gt;=5,7,IF(MAX(I362,AP362)&gt;=2,3,0)))+IF(K362="High",10,IF(K362="Medium",5,0))))</x:f>
      </x:c>
      <x:c r="AC362" s="73" t="str">
        <x:f>IF(A362="","",IF(NOT(ISNUMBER(AB362)),"Review inputs",IF(AB362&gt;=70,"P0 - Immediate",IF(AB362&gt;=50,"P1 - High",IF(AB362&gt;=30,"P2 - Medium",IF(AB362&gt;=15,"P3 - Low","P4 - Monitor"))))))</x:f>
      </x:c>
      <x:c r="AD362" s="73"/>
      <x:c r="AE362" s="73"/>
      <x:c r="AF362" s="73"/>
      <x:c r="AG362" s="77"/>
      <x:c r="AH362" s="73"/>
      <x:c r="AI362" s="91"/>
      <x:c r="AJ362" s="91"/>
      <x:c r="AK362" s="91"/>
      <x:c r="AL362" s="92"/>
      <x:c r="AM362" s="91"/>
      <x:c r="AN362" s="91"/>
      <x:c r="AO362" s="93"/>
      <x:c r="AP362" s="94"/>
      <x:c r="AQ362" s="91"/>
      <x:c r="AR362" s="91"/>
      <x:c r="AS362" s="91"/>
      <x:c r="AT362" s="91"/>
      <x:c r="AU362" s="91"/>
      <x:c r="AV362" s="91"/>
      <x:c r="AW362" s="91"/>
      <x:c r="AX362" s="91"/>
      <x:c r="AY362" s="91"/>
      <x:c r="AZ362" s="92"/>
      <x:c r="BA362" s="94"/>
      <x:c r="BB362" s="91"/>
      <x:c r="BC362" s="92"/>
      <x:c r="BD362" s="92"/>
      <x:c r="BE362" s="91"/>
      <x:c r="BF362" s="91"/>
      <x:c r="BG362" s="91"/>
      <x:c r="BH362" s="91"/>
      <x:c r="BI362" s="91"/>
      <x:c r="BJ362" s="91"/>
      <x:c r="BK362" s="91"/>
      <x:c r="BL362" s="91"/>
      <x:c r="BM362" s="73" t="str">
        <x:f>IF(A362="","",IF(AI362="Example","Example only",IF(AI362&lt;&gt;"Actual","Set record type",IF(COUNTIF($A$2:$A$1001,A362)&gt;1,"Duplicate record ID",IF(OR(D362="",E362="",AF362="",NOT(ISNUMBER(AG362)),AJ362="",AK362="",NOT(ISNUMBER(AL362)),AND(AM362&lt;&gt;"Observed",AM362&lt;&gt;"Corroborated",AM362&lt;&gt;"Declared"),OR(AN362="",AN362="Unknown"),OR(AQ362="",AQ362="Unknown"),OR(AR362="",AR362="Unknown",AR362="TBD"),OR(BC362="",NOT(ISNUMBER(BC362)))),"Evidence incomplete","Evidence recorded; review scope")))))</x:f>
      </x:c>
      <x:c r="BN362" s="73"/>
    </x:row>
    <x:row r="363" ht="34" customHeight="1">
      <x:c r="A363" s="73"/>
      <x:c r="B363" s="73"/>
      <x:c r="C363" s="73"/>
      <x:c r="D363" s="73"/>
      <x:c r="E363" s="73"/>
      <x:c r="F363" s="73"/>
      <x:c r="G363" s="73"/>
      <x:c r="H363" s="73"/>
      <x:c r="I363" s="75"/>
      <x:c r="J363" s="73"/>
      <x:c r="K363" s="73"/>
      <x:c r="L363" s="76"/>
      <x:c r="M363" s="73"/>
      <x:c r="N363" s="73"/>
      <x:c r="O363" s="73"/>
      <x:c r="P363" s="73"/>
      <x:c r="Q363" s="76"/>
      <x:c r="R363" s="73"/>
      <x:c r="S363" s="73"/>
      <x:c r="T363" s="73"/>
      <x:c r="U363" s="73"/>
      <x:c r="V363" s="73"/>
      <x:c r="W363" s="73"/>
      <x:c r="X363" s="73"/>
      <x:c r="Y363" s="73"/>
      <x:c r="Z363" s="73"/>
      <x:c r="AA363" s="73"/>
      <x:c r="AB363" s="76" t="str">
        <x:f>IF(A363="","",IF(OR(NOT(ISNUMBER(I363)),I363&lt;0,NOT(ISNUMBER(AP363)),AP363&lt;0,NOT(ISNUMBER(L363)),L363&lt;1,L363&gt;5,L363&lt;&gt;INT(L363),AND(J363&lt;&gt;"Public",J363&lt;&gt;"Partner",J363&lt;&gt;"Internal",J363&lt;&gt;"None"),AND(K363&lt;&gt;"High",K363&lt;&gt;"Medium",K363&lt;&gt;"Low",K363&lt;&gt;"None"),AND(W363&lt;&gt;"Hard-coded",W363&lt;&gt;"Configurable",W363&lt;&gt;"Policy-managed",W363&lt;&gt;"API/Library abstraction",W363&lt;&gt;"Automated"),AND(Z363&lt;&gt;"Y",Z363&lt;&gt;"N"),AND(AA363&lt;&gt;"Y",AA363&lt;&gt;"N")),"Incomplete",IF(Z363="Y",20,0)+L363*5+IF(AA363="Y",15,0)+IF(J363="Public",10,IF(J363="Partner",7,IF(J363="Internal",3,0)))+IF(W363="Hard-coded",10,IF(W363="Configurable",3,0))+IF(MAX(I363,AP363)&gt;=10,10,IF(MAX(I363,AP363)&gt;=5,7,IF(MAX(I363,AP363)&gt;=2,3,0)))+IF(K363="High",10,IF(K363="Medium",5,0))))</x:f>
      </x:c>
      <x:c r="AC363" s="73" t="str">
        <x:f>IF(A363="","",IF(NOT(ISNUMBER(AB363)),"Review inputs",IF(AB363&gt;=70,"P0 - Immediate",IF(AB363&gt;=50,"P1 - High",IF(AB363&gt;=30,"P2 - Medium",IF(AB363&gt;=15,"P3 - Low","P4 - Monitor"))))))</x:f>
      </x:c>
      <x:c r="AD363" s="73"/>
      <x:c r="AE363" s="73"/>
      <x:c r="AF363" s="73"/>
      <x:c r="AG363" s="77"/>
      <x:c r="AH363" s="73"/>
      <x:c r="AI363" s="91"/>
      <x:c r="AJ363" s="91"/>
      <x:c r="AK363" s="91"/>
      <x:c r="AL363" s="92"/>
      <x:c r="AM363" s="91"/>
      <x:c r="AN363" s="91"/>
      <x:c r="AO363" s="93"/>
      <x:c r="AP363" s="94"/>
      <x:c r="AQ363" s="91"/>
      <x:c r="AR363" s="91"/>
      <x:c r="AS363" s="91"/>
      <x:c r="AT363" s="91"/>
      <x:c r="AU363" s="91"/>
      <x:c r="AV363" s="91"/>
      <x:c r="AW363" s="91"/>
      <x:c r="AX363" s="91"/>
      <x:c r="AY363" s="91"/>
      <x:c r="AZ363" s="92"/>
      <x:c r="BA363" s="94"/>
      <x:c r="BB363" s="91"/>
      <x:c r="BC363" s="92"/>
      <x:c r="BD363" s="92"/>
      <x:c r="BE363" s="91"/>
      <x:c r="BF363" s="91"/>
      <x:c r="BG363" s="91"/>
      <x:c r="BH363" s="91"/>
      <x:c r="BI363" s="91"/>
      <x:c r="BJ363" s="91"/>
      <x:c r="BK363" s="91"/>
      <x:c r="BL363" s="91"/>
      <x:c r="BM363" s="73" t="str">
        <x:f>IF(A363="","",IF(AI363="Example","Example only",IF(AI363&lt;&gt;"Actual","Set record type",IF(COUNTIF($A$2:$A$1001,A363)&gt;1,"Duplicate record ID",IF(OR(D363="",E363="",AF363="",NOT(ISNUMBER(AG363)),AJ363="",AK363="",NOT(ISNUMBER(AL363)),AND(AM363&lt;&gt;"Observed",AM363&lt;&gt;"Corroborated",AM363&lt;&gt;"Declared"),OR(AN363="",AN363="Unknown"),OR(AQ363="",AQ363="Unknown"),OR(AR363="",AR363="Unknown",AR363="TBD"),OR(BC363="",NOT(ISNUMBER(BC363)))),"Evidence incomplete","Evidence recorded; review scope")))))</x:f>
      </x:c>
      <x:c r="BN363" s="73"/>
    </x:row>
    <x:row r="364" ht="34" customHeight="1">
      <x:c r="A364" s="73"/>
      <x:c r="B364" s="73"/>
      <x:c r="C364" s="73"/>
      <x:c r="D364" s="73"/>
      <x:c r="E364" s="73"/>
      <x:c r="F364" s="73"/>
      <x:c r="G364" s="73"/>
      <x:c r="H364" s="73"/>
      <x:c r="I364" s="75"/>
      <x:c r="J364" s="73"/>
      <x:c r="K364" s="73"/>
      <x:c r="L364" s="76"/>
      <x:c r="M364" s="73"/>
      <x:c r="N364" s="73"/>
      <x:c r="O364" s="73"/>
      <x:c r="P364" s="73"/>
      <x:c r="Q364" s="76"/>
      <x:c r="R364" s="73"/>
      <x:c r="S364" s="73"/>
      <x:c r="T364" s="73"/>
      <x:c r="U364" s="73"/>
      <x:c r="V364" s="73"/>
      <x:c r="W364" s="73"/>
      <x:c r="X364" s="73"/>
      <x:c r="Y364" s="73"/>
      <x:c r="Z364" s="73"/>
      <x:c r="AA364" s="73"/>
      <x:c r="AB364" s="76" t="str">
        <x:f>IF(A364="","",IF(OR(NOT(ISNUMBER(I364)),I364&lt;0,NOT(ISNUMBER(AP364)),AP364&lt;0,NOT(ISNUMBER(L364)),L364&lt;1,L364&gt;5,L364&lt;&gt;INT(L364),AND(J364&lt;&gt;"Public",J364&lt;&gt;"Partner",J364&lt;&gt;"Internal",J364&lt;&gt;"None"),AND(K364&lt;&gt;"High",K364&lt;&gt;"Medium",K364&lt;&gt;"Low",K364&lt;&gt;"None"),AND(W364&lt;&gt;"Hard-coded",W364&lt;&gt;"Configurable",W364&lt;&gt;"Policy-managed",W364&lt;&gt;"API/Library abstraction",W364&lt;&gt;"Automated"),AND(Z364&lt;&gt;"Y",Z364&lt;&gt;"N"),AND(AA364&lt;&gt;"Y",AA364&lt;&gt;"N")),"Incomplete",IF(Z364="Y",20,0)+L364*5+IF(AA364="Y",15,0)+IF(J364="Public",10,IF(J364="Partner",7,IF(J364="Internal",3,0)))+IF(W364="Hard-coded",10,IF(W364="Configurable",3,0))+IF(MAX(I364,AP364)&gt;=10,10,IF(MAX(I364,AP364)&gt;=5,7,IF(MAX(I364,AP364)&gt;=2,3,0)))+IF(K364="High",10,IF(K364="Medium",5,0))))</x:f>
      </x:c>
      <x:c r="AC364" s="73" t="str">
        <x:f>IF(A364="","",IF(NOT(ISNUMBER(AB364)),"Review inputs",IF(AB364&gt;=70,"P0 - Immediate",IF(AB364&gt;=50,"P1 - High",IF(AB364&gt;=30,"P2 - Medium",IF(AB364&gt;=15,"P3 - Low","P4 - Monitor"))))))</x:f>
      </x:c>
      <x:c r="AD364" s="73"/>
      <x:c r="AE364" s="73"/>
      <x:c r="AF364" s="73"/>
      <x:c r="AG364" s="77"/>
      <x:c r="AH364" s="73"/>
      <x:c r="AI364" s="91"/>
      <x:c r="AJ364" s="91"/>
      <x:c r="AK364" s="91"/>
      <x:c r="AL364" s="92"/>
      <x:c r="AM364" s="91"/>
      <x:c r="AN364" s="91"/>
      <x:c r="AO364" s="93"/>
      <x:c r="AP364" s="94"/>
      <x:c r="AQ364" s="91"/>
      <x:c r="AR364" s="91"/>
      <x:c r="AS364" s="91"/>
      <x:c r="AT364" s="91"/>
      <x:c r="AU364" s="91"/>
      <x:c r="AV364" s="91"/>
      <x:c r="AW364" s="91"/>
      <x:c r="AX364" s="91"/>
      <x:c r="AY364" s="91"/>
      <x:c r="AZ364" s="92"/>
      <x:c r="BA364" s="94"/>
      <x:c r="BB364" s="91"/>
      <x:c r="BC364" s="92"/>
      <x:c r="BD364" s="92"/>
      <x:c r="BE364" s="91"/>
      <x:c r="BF364" s="91"/>
      <x:c r="BG364" s="91"/>
      <x:c r="BH364" s="91"/>
      <x:c r="BI364" s="91"/>
      <x:c r="BJ364" s="91"/>
      <x:c r="BK364" s="91"/>
      <x:c r="BL364" s="91"/>
      <x:c r="BM364" s="73" t="str">
        <x:f>IF(A364="","",IF(AI364="Example","Example only",IF(AI364&lt;&gt;"Actual","Set record type",IF(COUNTIF($A$2:$A$1001,A364)&gt;1,"Duplicate record ID",IF(OR(D364="",E364="",AF364="",NOT(ISNUMBER(AG364)),AJ364="",AK364="",NOT(ISNUMBER(AL364)),AND(AM364&lt;&gt;"Observed",AM364&lt;&gt;"Corroborated",AM364&lt;&gt;"Declared"),OR(AN364="",AN364="Unknown"),OR(AQ364="",AQ364="Unknown"),OR(AR364="",AR364="Unknown",AR364="TBD"),OR(BC364="",NOT(ISNUMBER(BC364)))),"Evidence incomplete","Evidence recorded; review scope")))))</x:f>
      </x:c>
      <x:c r="BN364" s="73"/>
    </x:row>
    <x:row r="365" ht="34" customHeight="1">
      <x:c r="A365" s="73"/>
      <x:c r="B365" s="73"/>
      <x:c r="C365" s="73"/>
      <x:c r="D365" s="73"/>
      <x:c r="E365" s="73"/>
      <x:c r="F365" s="73"/>
      <x:c r="G365" s="73"/>
      <x:c r="H365" s="73"/>
      <x:c r="I365" s="75"/>
      <x:c r="J365" s="73"/>
      <x:c r="K365" s="73"/>
      <x:c r="L365" s="76"/>
      <x:c r="M365" s="73"/>
      <x:c r="N365" s="73"/>
      <x:c r="O365" s="73"/>
      <x:c r="P365" s="73"/>
      <x:c r="Q365" s="76"/>
      <x:c r="R365" s="73"/>
      <x:c r="S365" s="73"/>
      <x:c r="T365" s="73"/>
      <x:c r="U365" s="73"/>
      <x:c r="V365" s="73"/>
      <x:c r="W365" s="73"/>
      <x:c r="X365" s="73"/>
      <x:c r="Y365" s="73"/>
      <x:c r="Z365" s="73"/>
      <x:c r="AA365" s="73"/>
      <x:c r="AB365" s="76" t="str">
        <x:f>IF(A365="","",IF(OR(NOT(ISNUMBER(I365)),I365&lt;0,NOT(ISNUMBER(AP365)),AP365&lt;0,NOT(ISNUMBER(L365)),L365&lt;1,L365&gt;5,L365&lt;&gt;INT(L365),AND(J365&lt;&gt;"Public",J365&lt;&gt;"Partner",J365&lt;&gt;"Internal",J365&lt;&gt;"None"),AND(K365&lt;&gt;"High",K365&lt;&gt;"Medium",K365&lt;&gt;"Low",K365&lt;&gt;"None"),AND(W365&lt;&gt;"Hard-coded",W365&lt;&gt;"Configurable",W365&lt;&gt;"Policy-managed",W365&lt;&gt;"API/Library abstraction",W365&lt;&gt;"Automated"),AND(Z365&lt;&gt;"Y",Z365&lt;&gt;"N"),AND(AA365&lt;&gt;"Y",AA365&lt;&gt;"N")),"Incomplete",IF(Z365="Y",20,0)+L365*5+IF(AA365="Y",15,0)+IF(J365="Public",10,IF(J365="Partner",7,IF(J365="Internal",3,0)))+IF(W365="Hard-coded",10,IF(W365="Configurable",3,0))+IF(MAX(I365,AP365)&gt;=10,10,IF(MAX(I365,AP365)&gt;=5,7,IF(MAX(I365,AP365)&gt;=2,3,0)))+IF(K365="High",10,IF(K365="Medium",5,0))))</x:f>
      </x:c>
      <x:c r="AC365" s="73" t="str">
        <x:f>IF(A365="","",IF(NOT(ISNUMBER(AB365)),"Review inputs",IF(AB365&gt;=70,"P0 - Immediate",IF(AB365&gt;=50,"P1 - High",IF(AB365&gt;=30,"P2 - Medium",IF(AB365&gt;=15,"P3 - Low","P4 - Monitor"))))))</x:f>
      </x:c>
      <x:c r="AD365" s="73"/>
      <x:c r="AE365" s="73"/>
      <x:c r="AF365" s="73"/>
      <x:c r="AG365" s="77"/>
      <x:c r="AH365" s="73"/>
      <x:c r="AI365" s="91"/>
      <x:c r="AJ365" s="91"/>
      <x:c r="AK365" s="91"/>
      <x:c r="AL365" s="92"/>
      <x:c r="AM365" s="91"/>
      <x:c r="AN365" s="91"/>
      <x:c r="AO365" s="93"/>
      <x:c r="AP365" s="94"/>
      <x:c r="AQ365" s="91"/>
      <x:c r="AR365" s="91"/>
      <x:c r="AS365" s="91"/>
      <x:c r="AT365" s="91"/>
      <x:c r="AU365" s="91"/>
      <x:c r="AV365" s="91"/>
      <x:c r="AW365" s="91"/>
      <x:c r="AX365" s="91"/>
      <x:c r="AY365" s="91"/>
      <x:c r="AZ365" s="92"/>
      <x:c r="BA365" s="94"/>
      <x:c r="BB365" s="91"/>
      <x:c r="BC365" s="92"/>
      <x:c r="BD365" s="92"/>
      <x:c r="BE365" s="91"/>
      <x:c r="BF365" s="91"/>
      <x:c r="BG365" s="91"/>
      <x:c r="BH365" s="91"/>
      <x:c r="BI365" s="91"/>
      <x:c r="BJ365" s="91"/>
      <x:c r="BK365" s="91"/>
      <x:c r="BL365" s="91"/>
      <x:c r="BM365" s="73" t="str">
        <x:f>IF(A365="","",IF(AI365="Example","Example only",IF(AI365&lt;&gt;"Actual","Set record type",IF(COUNTIF($A$2:$A$1001,A365)&gt;1,"Duplicate record ID",IF(OR(D365="",E365="",AF365="",NOT(ISNUMBER(AG365)),AJ365="",AK365="",NOT(ISNUMBER(AL365)),AND(AM365&lt;&gt;"Observed",AM365&lt;&gt;"Corroborated",AM365&lt;&gt;"Declared"),OR(AN365="",AN365="Unknown"),OR(AQ365="",AQ365="Unknown"),OR(AR365="",AR365="Unknown",AR365="TBD"),OR(BC365="",NOT(ISNUMBER(BC365)))),"Evidence incomplete","Evidence recorded; review scope")))))</x:f>
      </x:c>
      <x:c r="BN365" s="73"/>
    </x:row>
    <x:row r="366" ht="34" customHeight="1">
      <x:c r="A366" s="73"/>
      <x:c r="B366" s="73"/>
      <x:c r="C366" s="73"/>
      <x:c r="D366" s="73"/>
      <x:c r="E366" s="73"/>
      <x:c r="F366" s="73"/>
      <x:c r="G366" s="73"/>
      <x:c r="H366" s="73"/>
      <x:c r="I366" s="75"/>
      <x:c r="J366" s="73"/>
      <x:c r="K366" s="73"/>
      <x:c r="L366" s="76"/>
      <x:c r="M366" s="73"/>
      <x:c r="N366" s="73"/>
      <x:c r="O366" s="73"/>
      <x:c r="P366" s="73"/>
      <x:c r="Q366" s="76"/>
      <x:c r="R366" s="73"/>
      <x:c r="S366" s="73"/>
      <x:c r="T366" s="73"/>
      <x:c r="U366" s="73"/>
      <x:c r="V366" s="73"/>
      <x:c r="W366" s="73"/>
      <x:c r="X366" s="73"/>
      <x:c r="Y366" s="73"/>
      <x:c r="Z366" s="73"/>
      <x:c r="AA366" s="73"/>
      <x:c r="AB366" s="76" t="str">
        <x:f>IF(A366="","",IF(OR(NOT(ISNUMBER(I366)),I366&lt;0,NOT(ISNUMBER(AP366)),AP366&lt;0,NOT(ISNUMBER(L366)),L366&lt;1,L366&gt;5,L366&lt;&gt;INT(L366),AND(J366&lt;&gt;"Public",J366&lt;&gt;"Partner",J366&lt;&gt;"Internal",J366&lt;&gt;"None"),AND(K366&lt;&gt;"High",K366&lt;&gt;"Medium",K366&lt;&gt;"Low",K366&lt;&gt;"None"),AND(W366&lt;&gt;"Hard-coded",W366&lt;&gt;"Configurable",W366&lt;&gt;"Policy-managed",W366&lt;&gt;"API/Library abstraction",W366&lt;&gt;"Automated"),AND(Z366&lt;&gt;"Y",Z366&lt;&gt;"N"),AND(AA366&lt;&gt;"Y",AA366&lt;&gt;"N")),"Incomplete",IF(Z366="Y",20,0)+L366*5+IF(AA366="Y",15,0)+IF(J366="Public",10,IF(J366="Partner",7,IF(J366="Internal",3,0)))+IF(W366="Hard-coded",10,IF(W366="Configurable",3,0))+IF(MAX(I366,AP366)&gt;=10,10,IF(MAX(I366,AP366)&gt;=5,7,IF(MAX(I366,AP366)&gt;=2,3,0)))+IF(K366="High",10,IF(K366="Medium",5,0))))</x:f>
      </x:c>
      <x:c r="AC366" s="73" t="str">
        <x:f>IF(A366="","",IF(NOT(ISNUMBER(AB366)),"Review inputs",IF(AB366&gt;=70,"P0 - Immediate",IF(AB366&gt;=50,"P1 - High",IF(AB366&gt;=30,"P2 - Medium",IF(AB366&gt;=15,"P3 - Low","P4 - Monitor"))))))</x:f>
      </x:c>
      <x:c r="AD366" s="73"/>
      <x:c r="AE366" s="73"/>
      <x:c r="AF366" s="73"/>
      <x:c r="AG366" s="77"/>
      <x:c r="AH366" s="73"/>
      <x:c r="AI366" s="91"/>
      <x:c r="AJ366" s="91"/>
      <x:c r="AK366" s="91"/>
      <x:c r="AL366" s="92"/>
      <x:c r="AM366" s="91"/>
      <x:c r="AN366" s="91"/>
      <x:c r="AO366" s="93"/>
      <x:c r="AP366" s="94"/>
      <x:c r="AQ366" s="91"/>
      <x:c r="AR366" s="91"/>
      <x:c r="AS366" s="91"/>
      <x:c r="AT366" s="91"/>
      <x:c r="AU366" s="91"/>
      <x:c r="AV366" s="91"/>
      <x:c r="AW366" s="91"/>
      <x:c r="AX366" s="91"/>
      <x:c r="AY366" s="91"/>
      <x:c r="AZ366" s="92"/>
      <x:c r="BA366" s="94"/>
      <x:c r="BB366" s="91"/>
      <x:c r="BC366" s="92"/>
      <x:c r="BD366" s="92"/>
      <x:c r="BE366" s="91"/>
      <x:c r="BF366" s="91"/>
      <x:c r="BG366" s="91"/>
      <x:c r="BH366" s="91"/>
      <x:c r="BI366" s="91"/>
      <x:c r="BJ366" s="91"/>
      <x:c r="BK366" s="91"/>
      <x:c r="BL366" s="91"/>
      <x:c r="BM366" s="73" t="str">
        <x:f>IF(A366="","",IF(AI366="Example","Example only",IF(AI366&lt;&gt;"Actual","Set record type",IF(COUNTIF($A$2:$A$1001,A366)&gt;1,"Duplicate record ID",IF(OR(D366="",E366="",AF366="",NOT(ISNUMBER(AG366)),AJ366="",AK366="",NOT(ISNUMBER(AL366)),AND(AM366&lt;&gt;"Observed",AM366&lt;&gt;"Corroborated",AM366&lt;&gt;"Declared"),OR(AN366="",AN366="Unknown"),OR(AQ366="",AQ366="Unknown"),OR(AR366="",AR366="Unknown",AR366="TBD"),OR(BC366="",NOT(ISNUMBER(BC366)))),"Evidence incomplete","Evidence recorded; review scope")))))</x:f>
      </x:c>
      <x:c r="BN366" s="73"/>
    </x:row>
    <x:row r="367" ht="34" customHeight="1">
      <x:c r="A367" s="73"/>
      <x:c r="B367" s="73"/>
      <x:c r="C367" s="73"/>
      <x:c r="D367" s="73"/>
      <x:c r="E367" s="73"/>
      <x:c r="F367" s="73"/>
      <x:c r="G367" s="73"/>
      <x:c r="H367" s="73"/>
      <x:c r="I367" s="75"/>
      <x:c r="J367" s="73"/>
      <x:c r="K367" s="73"/>
      <x:c r="L367" s="76"/>
      <x:c r="M367" s="73"/>
      <x:c r="N367" s="73"/>
      <x:c r="O367" s="73"/>
      <x:c r="P367" s="73"/>
      <x:c r="Q367" s="76"/>
      <x:c r="R367" s="73"/>
      <x:c r="S367" s="73"/>
      <x:c r="T367" s="73"/>
      <x:c r="U367" s="73"/>
      <x:c r="V367" s="73"/>
      <x:c r="W367" s="73"/>
      <x:c r="X367" s="73"/>
      <x:c r="Y367" s="73"/>
      <x:c r="Z367" s="73"/>
      <x:c r="AA367" s="73"/>
      <x:c r="AB367" s="76" t="str">
        <x:f>IF(A367="","",IF(OR(NOT(ISNUMBER(I367)),I367&lt;0,NOT(ISNUMBER(AP367)),AP367&lt;0,NOT(ISNUMBER(L367)),L367&lt;1,L367&gt;5,L367&lt;&gt;INT(L367),AND(J367&lt;&gt;"Public",J367&lt;&gt;"Partner",J367&lt;&gt;"Internal",J367&lt;&gt;"None"),AND(K367&lt;&gt;"High",K367&lt;&gt;"Medium",K367&lt;&gt;"Low",K367&lt;&gt;"None"),AND(W367&lt;&gt;"Hard-coded",W367&lt;&gt;"Configurable",W367&lt;&gt;"Policy-managed",W367&lt;&gt;"API/Library abstraction",W367&lt;&gt;"Automated"),AND(Z367&lt;&gt;"Y",Z367&lt;&gt;"N"),AND(AA367&lt;&gt;"Y",AA367&lt;&gt;"N")),"Incomplete",IF(Z367="Y",20,0)+L367*5+IF(AA367="Y",15,0)+IF(J367="Public",10,IF(J367="Partner",7,IF(J367="Internal",3,0)))+IF(W367="Hard-coded",10,IF(W367="Configurable",3,0))+IF(MAX(I367,AP367)&gt;=10,10,IF(MAX(I367,AP367)&gt;=5,7,IF(MAX(I367,AP367)&gt;=2,3,0)))+IF(K367="High",10,IF(K367="Medium",5,0))))</x:f>
      </x:c>
      <x:c r="AC367" s="73" t="str">
        <x:f>IF(A367="","",IF(NOT(ISNUMBER(AB367)),"Review inputs",IF(AB367&gt;=70,"P0 - Immediate",IF(AB367&gt;=50,"P1 - High",IF(AB367&gt;=30,"P2 - Medium",IF(AB367&gt;=15,"P3 - Low","P4 - Monitor"))))))</x:f>
      </x:c>
      <x:c r="AD367" s="73"/>
      <x:c r="AE367" s="73"/>
      <x:c r="AF367" s="73"/>
      <x:c r="AG367" s="77"/>
      <x:c r="AH367" s="73"/>
      <x:c r="AI367" s="91"/>
      <x:c r="AJ367" s="91"/>
      <x:c r="AK367" s="91"/>
      <x:c r="AL367" s="92"/>
      <x:c r="AM367" s="91"/>
      <x:c r="AN367" s="91"/>
      <x:c r="AO367" s="93"/>
      <x:c r="AP367" s="94"/>
      <x:c r="AQ367" s="91"/>
      <x:c r="AR367" s="91"/>
      <x:c r="AS367" s="91"/>
      <x:c r="AT367" s="91"/>
      <x:c r="AU367" s="91"/>
      <x:c r="AV367" s="91"/>
      <x:c r="AW367" s="91"/>
      <x:c r="AX367" s="91"/>
      <x:c r="AY367" s="91"/>
      <x:c r="AZ367" s="92"/>
      <x:c r="BA367" s="94"/>
      <x:c r="BB367" s="91"/>
      <x:c r="BC367" s="92"/>
      <x:c r="BD367" s="92"/>
      <x:c r="BE367" s="91"/>
      <x:c r="BF367" s="91"/>
      <x:c r="BG367" s="91"/>
      <x:c r="BH367" s="91"/>
      <x:c r="BI367" s="91"/>
      <x:c r="BJ367" s="91"/>
      <x:c r="BK367" s="91"/>
      <x:c r="BL367" s="91"/>
      <x:c r="BM367" s="73" t="str">
        <x:f>IF(A367="","",IF(AI367="Example","Example only",IF(AI367&lt;&gt;"Actual","Set record type",IF(COUNTIF($A$2:$A$1001,A367)&gt;1,"Duplicate record ID",IF(OR(D367="",E367="",AF367="",NOT(ISNUMBER(AG367)),AJ367="",AK367="",NOT(ISNUMBER(AL367)),AND(AM367&lt;&gt;"Observed",AM367&lt;&gt;"Corroborated",AM367&lt;&gt;"Declared"),OR(AN367="",AN367="Unknown"),OR(AQ367="",AQ367="Unknown"),OR(AR367="",AR367="Unknown",AR367="TBD"),OR(BC367="",NOT(ISNUMBER(BC367)))),"Evidence incomplete","Evidence recorded; review scope")))))</x:f>
      </x:c>
      <x:c r="BN367" s="73"/>
    </x:row>
    <x:row r="368" ht="34" customHeight="1">
      <x:c r="A368" s="73"/>
      <x:c r="B368" s="73"/>
      <x:c r="C368" s="73"/>
      <x:c r="D368" s="73"/>
      <x:c r="E368" s="73"/>
      <x:c r="F368" s="73"/>
      <x:c r="G368" s="73"/>
      <x:c r="H368" s="73"/>
      <x:c r="I368" s="75"/>
      <x:c r="J368" s="73"/>
      <x:c r="K368" s="73"/>
      <x:c r="L368" s="76"/>
      <x:c r="M368" s="73"/>
      <x:c r="N368" s="73"/>
      <x:c r="O368" s="73"/>
      <x:c r="P368" s="73"/>
      <x:c r="Q368" s="76"/>
      <x:c r="R368" s="73"/>
      <x:c r="S368" s="73"/>
      <x:c r="T368" s="73"/>
      <x:c r="U368" s="73"/>
      <x:c r="V368" s="73"/>
      <x:c r="W368" s="73"/>
      <x:c r="X368" s="73"/>
      <x:c r="Y368" s="73"/>
      <x:c r="Z368" s="73"/>
      <x:c r="AA368" s="73"/>
      <x:c r="AB368" s="76" t="str">
        <x:f>IF(A368="","",IF(OR(NOT(ISNUMBER(I368)),I368&lt;0,NOT(ISNUMBER(AP368)),AP368&lt;0,NOT(ISNUMBER(L368)),L368&lt;1,L368&gt;5,L368&lt;&gt;INT(L368),AND(J368&lt;&gt;"Public",J368&lt;&gt;"Partner",J368&lt;&gt;"Internal",J368&lt;&gt;"None"),AND(K368&lt;&gt;"High",K368&lt;&gt;"Medium",K368&lt;&gt;"Low",K368&lt;&gt;"None"),AND(W368&lt;&gt;"Hard-coded",W368&lt;&gt;"Configurable",W368&lt;&gt;"Policy-managed",W368&lt;&gt;"API/Library abstraction",W368&lt;&gt;"Automated"),AND(Z368&lt;&gt;"Y",Z368&lt;&gt;"N"),AND(AA368&lt;&gt;"Y",AA368&lt;&gt;"N")),"Incomplete",IF(Z368="Y",20,0)+L368*5+IF(AA368="Y",15,0)+IF(J368="Public",10,IF(J368="Partner",7,IF(J368="Internal",3,0)))+IF(W368="Hard-coded",10,IF(W368="Configurable",3,0))+IF(MAX(I368,AP368)&gt;=10,10,IF(MAX(I368,AP368)&gt;=5,7,IF(MAX(I368,AP368)&gt;=2,3,0)))+IF(K368="High",10,IF(K368="Medium",5,0))))</x:f>
      </x:c>
      <x:c r="AC368" s="73" t="str">
        <x:f>IF(A368="","",IF(NOT(ISNUMBER(AB368)),"Review inputs",IF(AB368&gt;=70,"P0 - Immediate",IF(AB368&gt;=50,"P1 - High",IF(AB368&gt;=30,"P2 - Medium",IF(AB368&gt;=15,"P3 - Low","P4 - Monitor"))))))</x:f>
      </x:c>
      <x:c r="AD368" s="73"/>
      <x:c r="AE368" s="73"/>
      <x:c r="AF368" s="73"/>
      <x:c r="AG368" s="77"/>
      <x:c r="AH368" s="73"/>
      <x:c r="AI368" s="91"/>
      <x:c r="AJ368" s="91"/>
      <x:c r="AK368" s="91"/>
      <x:c r="AL368" s="92"/>
      <x:c r="AM368" s="91"/>
      <x:c r="AN368" s="91"/>
      <x:c r="AO368" s="93"/>
      <x:c r="AP368" s="94"/>
      <x:c r="AQ368" s="91"/>
      <x:c r="AR368" s="91"/>
      <x:c r="AS368" s="91"/>
      <x:c r="AT368" s="91"/>
      <x:c r="AU368" s="91"/>
      <x:c r="AV368" s="91"/>
      <x:c r="AW368" s="91"/>
      <x:c r="AX368" s="91"/>
      <x:c r="AY368" s="91"/>
      <x:c r="AZ368" s="92"/>
      <x:c r="BA368" s="94"/>
      <x:c r="BB368" s="91"/>
      <x:c r="BC368" s="92"/>
      <x:c r="BD368" s="92"/>
      <x:c r="BE368" s="91"/>
      <x:c r="BF368" s="91"/>
      <x:c r="BG368" s="91"/>
      <x:c r="BH368" s="91"/>
      <x:c r="BI368" s="91"/>
      <x:c r="BJ368" s="91"/>
      <x:c r="BK368" s="91"/>
      <x:c r="BL368" s="91"/>
      <x:c r="BM368" s="73" t="str">
        <x:f>IF(A368="","",IF(AI368="Example","Example only",IF(AI368&lt;&gt;"Actual","Set record type",IF(COUNTIF($A$2:$A$1001,A368)&gt;1,"Duplicate record ID",IF(OR(D368="",E368="",AF368="",NOT(ISNUMBER(AG368)),AJ368="",AK368="",NOT(ISNUMBER(AL368)),AND(AM368&lt;&gt;"Observed",AM368&lt;&gt;"Corroborated",AM368&lt;&gt;"Declared"),OR(AN368="",AN368="Unknown"),OR(AQ368="",AQ368="Unknown"),OR(AR368="",AR368="Unknown",AR368="TBD"),OR(BC368="",NOT(ISNUMBER(BC368)))),"Evidence incomplete","Evidence recorded; review scope")))))</x:f>
      </x:c>
      <x:c r="BN368" s="73"/>
    </x:row>
    <x:row r="369" ht="34" customHeight="1">
      <x:c r="A369" s="73"/>
      <x:c r="B369" s="73"/>
      <x:c r="C369" s="73"/>
      <x:c r="D369" s="73"/>
      <x:c r="E369" s="73"/>
      <x:c r="F369" s="73"/>
      <x:c r="G369" s="73"/>
      <x:c r="H369" s="73"/>
      <x:c r="I369" s="75"/>
      <x:c r="J369" s="73"/>
      <x:c r="K369" s="73"/>
      <x:c r="L369" s="76"/>
      <x:c r="M369" s="73"/>
      <x:c r="N369" s="73"/>
      <x:c r="O369" s="73"/>
      <x:c r="P369" s="73"/>
      <x:c r="Q369" s="76"/>
      <x:c r="R369" s="73"/>
      <x:c r="S369" s="73"/>
      <x:c r="T369" s="73"/>
      <x:c r="U369" s="73"/>
      <x:c r="V369" s="73"/>
      <x:c r="W369" s="73"/>
      <x:c r="X369" s="73"/>
      <x:c r="Y369" s="73"/>
      <x:c r="Z369" s="73"/>
      <x:c r="AA369" s="73"/>
      <x:c r="AB369" s="76" t="str">
        <x:f>IF(A369="","",IF(OR(NOT(ISNUMBER(I369)),I369&lt;0,NOT(ISNUMBER(AP369)),AP369&lt;0,NOT(ISNUMBER(L369)),L369&lt;1,L369&gt;5,L369&lt;&gt;INT(L369),AND(J369&lt;&gt;"Public",J369&lt;&gt;"Partner",J369&lt;&gt;"Internal",J369&lt;&gt;"None"),AND(K369&lt;&gt;"High",K369&lt;&gt;"Medium",K369&lt;&gt;"Low",K369&lt;&gt;"None"),AND(W369&lt;&gt;"Hard-coded",W369&lt;&gt;"Configurable",W369&lt;&gt;"Policy-managed",W369&lt;&gt;"API/Library abstraction",W369&lt;&gt;"Automated"),AND(Z369&lt;&gt;"Y",Z369&lt;&gt;"N"),AND(AA369&lt;&gt;"Y",AA369&lt;&gt;"N")),"Incomplete",IF(Z369="Y",20,0)+L369*5+IF(AA369="Y",15,0)+IF(J369="Public",10,IF(J369="Partner",7,IF(J369="Internal",3,0)))+IF(W369="Hard-coded",10,IF(W369="Configurable",3,0))+IF(MAX(I369,AP369)&gt;=10,10,IF(MAX(I369,AP369)&gt;=5,7,IF(MAX(I369,AP369)&gt;=2,3,0)))+IF(K369="High",10,IF(K369="Medium",5,0))))</x:f>
      </x:c>
      <x:c r="AC369" s="73" t="str">
        <x:f>IF(A369="","",IF(NOT(ISNUMBER(AB369)),"Review inputs",IF(AB369&gt;=70,"P0 - Immediate",IF(AB369&gt;=50,"P1 - High",IF(AB369&gt;=30,"P2 - Medium",IF(AB369&gt;=15,"P3 - Low","P4 - Monitor"))))))</x:f>
      </x:c>
      <x:c r="AD369" s="73"/>
      <x:c r="AE369" s="73"/>
      <x:c r="AF369" s="73"/>
      <x:c r="AG369" s="77"/>
      <x:c r="AH369" s="73"/>
      <x:c r="AI369" s="91"/>
      <x:c r="AJ369" s="91"/>
      <x:c r="AK369" s="91"/>
      <x:c r="AL369" s="92"/>
      <x:c r="AM369" s="91"/>
      <x:c r="AN369" s="91"/>
      <x:c r="AO369" s="93"/>
      <x:c r="AP369" s="94"/>
      <x:c r="AQ369" s="91"/>
      <x:c r="AR369" s="91"/>
      <x:c r="AS369" s="91"/>
      <x:c r="AT369" s="91"/>
      <x:c r="AU369" s="91"/>
      <x:c r="AV369" s="91"/>
      <x:c r="AW369" s="91"/>
      <x:c r="AX369" s="91"/>
      <x:c r="AY369" s="91"/>
      <x:c r="AZ369" s="92"/>
      <x:c r="BA369" s="94"/>
      <x:c r="BB369" s="91"/>
      <x:c r="BC369" s="92"/>
      <x:c r="BD369" s="92"/>
      <x:c r="BE369" s="91"/>
      <x:c r="BF369" s="91"/>
      <x:c r="BG369" s="91"/>
      <x:c r="BH369" s="91"/>
      <x:c r="BI369" s="91"/>
      <x:c r="BJ369" s="91"/>
      <x:c r="BK369" s="91"/>
      <x:c r="BL369" s="91"/>
      <x:c r="BM369" s="73" t="str">
        <x:f>IF(A369="","",IF(AI369="Example","Example only",IF(AI369&lt;&gt;"Actual","Set record type",IF(COUNTIF($A$2:$A$1001,A369)&gt;1,"Duplicate record ID",IF(OR(D369="",E369="",AF369="",NOT(ISNUMBER(AG369)),AJ369="",AK369="",NOT(ISNUMBER(AL369)),AND(AM369&lt;&gt;"Observed",AM369&lt;&gt;"Corroborated",AM369&lt;&gt;"Declared"),OR(AN369="",AN369="Unknown"),OR(AQ369="",AQ369="Unknown"),OR(AR369="",AR369="Unknown",AR369="TBD"),OR(BC369="",NOT(ISNUMBER(BC369)))),"Evidence incomplete","Evidence recorded; review scope")))))</x:f>
      </x:c>
      <x:c r="BN369" s="73"/>
    </x:row>
    <x:row r="370" ht="34" customHeight="1">
      <x:c r="A370" s="73"/>
      <x:c r="B370" s="73"/>
      <x:c r="C370" s="73"/>
      <x:c r="D370" s="73"/>
      <x:c r="E370" s="73"/>
      <x:c r="F370" s="73"/>
      <x:c r="G370" s="73"/>
      <x:c r="H370" s="73"/>
      <x:c r="I370" s="75"/>
      <x:c r="J370" s="73"/>
      <x:c r="K370" s="73"/>
      <x:c r="L370" s="76"/>
      <x:c r="M370" s="73"/>
      <x:c r="N370" s="73"/>
      <x:c r="O370" s="73"/>
      <x:c r="P370" s="73"/>
      <x:c r="Q370" s="76"/>
      <x:c r="R370" s="73"/>
      <x:c r="S370" s="73"/>
      <x:c r="T370" s="73"/>
      <x:c r="U370" s="73"/>
      <x:c r="V370" s="73"/>
      <x:c r="W370" s="73"/>
      <x:c r="X370" s="73"/>
      <x:c r="Y370" s="73"/>
      <x:c r="Z370" s="73"/>
      <x:c r="AA370" s="73"/>
      <x:c r="AB370" s="76" t="str">
        <x:f>IF(A370="","",IF(OR(NOT(ISNUMBER(I370)),I370&lt;0,NOT(ISNUMBER(AP370)),AP370&lt;0,NOT(ISNUMBER(L370)),L370&lt;1,L370&gt;5,L370&lt;&gt;INT(L370),AND(J370&lt;&gt;"Public",J370&lt;&gt;"Partner",J370&lt;&gt;"Internal",J370&lt;&gt;"None"),AND(K370&lt;&gt;"High",K370&lt;&gt;"Medium",K370&lt;&gt;"Low",K370&lt;&gt;"None"),AND(W370&lt;&gt;"Hard-coded",W370&lt;&gt;"Configurable",W370&lt;&gt;"Policy-managed",W370&lt;&gt;"API/Library abstraction",W370&lt;&gt;"Automated"),AND(Z370&lt;&gt;"Y",Z370&lt;&gt;"N"),AND(AA370&lt;&gt;"Y",AA370&lt;&gt;"N")),"Incomplete",IF(Z370="Y",20,0)+L370*5+IF(AA370="Y",15,0)+IF(J370="Public",10,IF(J370="Partner",7,IF(J370="Internal",3,0)))+IF(W370="Hard-coded",10,IF(W370="Configurable",3,0))+IF(MAX(I370,AP370)&gt;=10,10,IF(MAX(I370,AP370)&gt;=5,7,IF(MAX(I370,AP370)&gt;=2,3,0)))+IF(K370="High",10,IF(K370="Medium",5,0))))</x:f>
      </x:c>
      <x:c r="AC370" s="73" t="str">
        <x:f>IF(A370="","",IF(NOT(ISNUMBER(AB370)),"Review inputs",IF(AB370&gt;=70,"P0 - Immediate",IF(AB370&gt;=50,"P1 - High",IF(AB370&gt;=30,"P2 - Medium",IF(AB370&gt;=15,"P3 - Low","P4 - Monitor"))))))</x:f>
      </x:c>
      <x:c r="AD370" s="73"/>
      <x:c r="AE370" s="73"/>
      <x:c r="AF370" s="73"/>
      <x:c r="AG370" s="77"/>
      <x:c r="AH370" s="73"/>
      <x:c r="AI370" s="91"/>
      <x:c r="AJ370" s="91"/>
      <x:c r="AK370" s="91"/>
      <x:c r="AL370" s="92"/>
      <x:c r="AM370" s="91"/>
      <x:c r="AN370" s="91"/>
      <x:c r="AO370" s="93"/>
      <x:c r="AP370" s="94"/>
      <x:c r="AQ370" s="91"/>
      <x:c r="AR370" s="91"/>
      <x:c r="AS370" s="91"/>
      <x:c r="AT370" s="91"/>
      <x:c r="AU370" s="91"/>
      <x:c r="AV370" s="91"/>
      <x:c r="AW370" s="91"/>
      <x:c r="AX370" s="91"/>
      <x:c r="AY370" s="91"/>
      <x:c r="AZ370" s="92"/>
      <x:c r="BA370" s="94"/>
      <x:c r="BB370" s="91"/>
      <x:c r="BC370" s="92"/>
      <x:c r="BD370" s="92"/>
      <x:c r="BE370" s="91"/>
      <x:c r="BF370" s="91"/>
      <x:c r="BG370" s="91"/>
      <x:c r="BH370" s="91"/>
      <x:c r="BI370" s="91"/>
      <x:c r="BJ370" s="91"/>
      <x:c r="BK370" s="91"/>
      <x:c r="BL370" s="91"/>
      <x:c r="BM370" s="73" t="str">
        <x:f>IF(A370="","",IF(AI370="Example","Example only",IF(AI370&lt;&gt;"Actual","Set record type",IF(COUNTIF($A$2:$A$1001,A370)&gt;1,"Duplicate record ID",IF(OR(D370="",E370="",AF370="",NOT(ISNUMBER(AG370)),AJ370="",AK370="",NOT(ISNUMBER(AL370)),AND(AM370&lt;&gt;"Observed",AM370&lt;&gt;"Corroborated",AM370&lt;&gt;"Declared"),OR(AN370="",AN370="Unknown"),OR(AQ370="",AQ370="Unknown"),OR(AR370="",AR370="Unknown",AR370="TBD"),OR(BC370="",NOT(ISNUMBER(BC370)))),"Evidence incomplete","Evidence recorded; review scope")))))</x:f>
      </x:c>
      <x:c r="BN370" s="73"/>
    </x:row>
    <x:row r="371" ht="34" customHeight="1">
      <x:c r="A371" s="73"/>
      <x:c r="B371" s="73"/>
      <x:c r="C371" s="73"/>
      <x:c r="D371" s="73"/>
      <x:c r="E371" s="73"/>
      <x:c r="F371" s="73"/>
      <x:c r="G371" s="73"/>
      <x:c r="H371" s="73"/>
      <x:c r="I371" s="75"/>
      <x:c r="J371" s="73"/>
      <x:c r="K371" s="73"/>
      <x:c r="L371" s="76"/>
      <x:c r="M371" s="73"/>
      <x:c r="N371" s="73"/>
      <x:c r="O371" s="73"/>
      <x:c r="P371" s="73"/>
      <x:c r="Q371" s="76"/>
      <x:c r="R371" s="73"/>
      <x:c r="S371" s="73"/>
      <x:c r="T371" s="73"/>
      <x:c r="U371" s="73"/>
      <x:c r="V371" s="73"/>
      <x:c r="W371" s="73"/>
      <x:c r="X371" s="73"/>
      <x:c r="Y371" s="73"/>
      <x:c r="Z371" s="73"/>
      <x:c r="AA371" s="73"/>
      <x:c r="AB371" s="76" t="str">
        <x:f>IF(A371="","",IF(OR(NOT(ISNUMBER(I371)),I371&lt;0,NOT(ISNUMBER(AP371)),AP371&lt;0,NOT(ISNUMBER(L371)),L371&lt;1,L371&gt;5,L371&lt;&gt;INT(L371),AND(J371&lt;&gt;"Public",J371&lt;&gt;"Partner",J371&lt;&gt;"Internal",J371&lt;&gt;"None"),AND(K371&lt;&gt;"High",K371&lt;&gt;"Medium",K371&lt;&gt;"Low",K371&lt;&gt;"None"),AND(W371&lt;&gt;"Hard-coded",W371&lt;&gt;"Configurable",W371&lt;&gt;"Policy-managed",W371&lt;&gt;"API/Library abstraction",W371&lt;&gt;"Automated"),AND(Z371&lt;&gt;"Y",Z371&lt;&gt;"N"),AND(AA371&lt;&gt;"Y",AA371&lt;&gt;"N")),"Incomplete",IF(Z371="Y",20,0)+L371*5+IF(AA371="Y",15,0)+IF(J371="Public",10,IF(J371="Partner",7,IF(J371="Internal",3,0)))+IF(W371="Hard-coded",10,IF(W371="Configurable",3,0))+IF(MAX(I371,AP371)&gt;=10,10,IF(MAX(I371,AP371)&gt;=5,7,IF(MAX(I371,AP371)&gt;=2,3,0)))+IF(K371="High",10,IF(K371="Medium",5,0))))</x:f>
      </x:c>
      <x:c r="AC371" s="73" t="str">
        <x:f>IF(A371="","",IF(NOT(ISNUMBER(AB371)),"Review inputs",IF(AB371&gt;=70,"P0 - Immediate",IF(AB371&gt;=50,"P1 - High",IF(AB371&gt;=30,"P2 - Medium",IF(AB371&gt;=15,"P3 - Low","P4 - Monitor"))))))</x:f>
      </x:c>
      <x:c r="AD371" s="73"/>
      <x:c r="AE371" s="73"/>
      <x:c r="AF371" s="73"/>
      <x:c r="AG371" s="77"/>
      <x:c r="AH371" s="73"/>
      <x:c r="AI371" s="91"/>
      <x:c r="AJ371" s="91"/>
      <x:c r="AK371" s="91"/>
      <x:c r="AL371" s="92"/>
      <x:c r="AM371" s="91"/>
      <x:c r="AN371" s="91"/>
      <x:c r="AO371" s="93"/>
      <x:c r="AP371" s="94"/>
      <x:c r="AQ371" s="91"/>
      <x:c r="AR371" s="91"/>
      <x:c r="AS371" s="91"/>
      <x:c r="AT371" s="91"/>
      <x:c r="AU371" s="91"/>
      <x:c r="AV371" s="91"/>
      <x:c r="AW371" s="91"/>
      <x:c r="AX371" s="91"/>
      <x:c r="AY371" s="91"/>
      <x:c r="AZ371" s="92"/>
      <x:c r="BA371" s="94"/>
      <x:c r="BB371" s="91"/>
      <x:c r="BC371" s="92"/>
      <x:c r="BD371" s="92"/>
      <x:c r="BE371" s="91"/>
      <x:c r="BF371" s="91"/>
      <x:c r="BG371" s="91"/>
      <x:c r="BH371" s="91"/>
      <x:c r="BI371" s="91"/>
      <x:c r="BJ371" s="91"/>
      <x:c r="BK371" s="91"/>
      <x:c r="BL371" s="91"/>
      <x:c r="BM371" s="73" t="str">
        <x:f>IF(A371="","",IF(AI371="Example","Example only",IF(AI371&lt;&gt;"Actual","Set record type",IF(COUNTIF($A$2:$A$1001,A371)&gt;1,"Duplicate record ID",IF(OR(D371="",E371="",AF371="",NOT(ISNUMBER(AG371)),AJ371="",AK371="",NOT(ISNUMBER(AL371)),AND(AM371&lt;&gt;"Observed",AM371&lt;&gt;"Corroborated",AM371&lt;&gt;"Declared"),OR(AN371="",AN371="Unknown"),OR(AQ371="",AQ371="Unknown"),OR(AR371="",AR371="Unknown",AR371="TBD"),OR(BC371="",NOT(ISNUMBER(BC371)))),"Evidence incomplete","Evidence recorded; review scope")))))</x:f>
      </x:c>
      <x:c r="BN371" s="73"/>
    </x:row>
    <x:row r="372" ht="34" customHeight="1">
      <x:c r="A372" s="73"/>
      <x:c r="B372" s="73"/>
      <x:c r="C372" s="73"/>
      <x:c r="D372" s="73"/>
      <x:c r="E372" s="73"/>
      <x:c r="F372" s="73"/>
      <x:c r="G372" s="73"/>
      <x:c r="H372" s="73"/>
      <x:c r="I372" s="75"/>
      <x:c r="J372" s="73"/>
      <x:c r="K372" s="73"/>
      <x:c r="L372" s="76"/>
      <x:c r="M372" s="73"/>
      <x:c r="N372" s="73"/>
      <x:c r="O372" s="73"/>
      <x:c r="P372" s="73"/>
      <x:c r="Q372" s="76"/>
      <x:c r="R372" s="73"/>
      <x:c r="S372" s="73"/>
      <x:c r="T372" s="73"/>
      <x:c r="U372" s="73"/>
      <x:c r="V372" s="73"/>
      <x:c r="W372" s="73"/>
      <x:c r="X372" s="73"/>
      <x:c r="Y372" s="73"/>
      <x:c r="Z372" s="73"/>
      <x:c r="AA372" s="73"/>
      <x:c r="AB372" s="76" t="str">
        <x:f>IF(A372="","",IF(OR(NOT(ISNUMBER(I372)),I372&lt;0,NOT(ISNUMBER(AP372)),AP372&lt;0,NOT(ISNUMBER(L372)),L372&lt;1,L372&gt;5,L372&lt;&gt;INT(L372),AND(J372&lt;&gt;"Public",J372&lt;&gt;"Partner",J372&lt;&gt;"Internal",J372&lt;&gt;"None"),AND(K372&lt;&gt;"High",K372&lt;&gt;"Medium",K372&lt;&gt;"Low",K372&lt;&gt;"None"),AND(W372&lt;&gt;"Hard-coded",W372&lt;&gt;"Configurable",W372&lt;&gt;"Policy-managed",W372&lt;&gt;"API/Library abstraction",W372&lt;&gt;"Automated"),AND(Z372&lt;&gt;"Y",Z372&lt;&gt;"N"),AND(AA372&lt;&gt;"Y",AA372&lt;&gt;"N")),"Incomplete",IF(Z372="Y",20,0)+L372*5+IF(AA372="Y",15,0)+IF(J372="Public",10,IF(J372="Partner",7,IF(J372="Internal",3,0)))+IF(W372="Hard-coded",10,IF(W372="Configurable",3,0))+IF(MAX(I372,AP372)&gt;=10,10,IF(MAX(I372,AP372)&gt;=5,7,IF(MAX(I372,AP372)&gt;=2,3,0)))+IF(K372="High",10,IF(K372="Medium",5,0))))</x:f>
      </x:c>
      <x:c r="AC372" s="73" t="str">
        <x:f>IF(A372="","",IF(NOT(ISNUMBER(AB372)),"Review inputs",IF(AB372&gt;=70,"P0 - Immediate",IF(AB372&gt;=50,"P1 - High",IF(AB372&gt;=30,"P2 - Medium",IF(AB372&gt;=15,"P3 - Low","P4 - Monitor"))))))</x:f>
      </x:c>
      <x:c r="AD372" s="73"/>
      <x:c r="AE372" s="73"/>
      <x:c r="AF372" s="73"/>
      <x:c r="AG372" s="77"/>
      <x:c r="AH372" s="73"/>
      <x:c r="AI372" s="91"/>
      <x:c r="AJ372" s="91"/>
      <x:c r="AK372" s="91"/>
      <x:c r="AL372" s="92"/>
      <x:c r="AM372" s="91"/>
      <x:c r="AN372" s="91"/>
      <x:c r="AO372" s="93"/>
      <x:c r="AP372" s="94"/>
      <x:c r="AQ372" s="91"/>
      <x:c r="AR372" s="91"/>
      <x:c r="AS372" s="91"/>
      <x:c r="AT372" s="91"/>
      <x:c r="AU372" s="91"/>
      <x:c r="AV372" s="91"/>
      <x:c r="AW372" s="91"/>
      <x:c r="AX372" s="91"/>
      <x:c r="AY372" s="91"/>
      <x:c r="AZ372" s="92"/>
      <x:c r="BA372" s="94"/>
      <x:c r="BB372" s="91"/>
      <x:c r="BC372" s="92"/>
      <x:c r="BD372" s="92"/>
      <x:c r="BE372" s="91"/>
      <x:c r="BF372" s="91"/>
      <x:c r="BG372" s="91"/>
      <x:c r="BH372" s="91"/>
      <x:c r="BI372" s="91"/>
      <x:c r="BJ372" s="91"/>
      <x:c r="BK372" s="91"/>
      <x:c r="BL372" s="91"/>
      <x:c r="BM372" s="73" t="str">
        <x:f>IF(A372="","",IF(AI372="Example","Example only",IF(AI372&lt;&gt;"Actual","Set record type",IF(COUNTIF($A$2:$A$1001,A372)&gt;1,"Duplicate record ID",IF(OR(D372="",E372="",AF372="",NOT(ISNUMBER(AG372)),AJ372="",AK372="",NOT(ISNUMBER(AL372)),AND(AM372&lt;&gt;"Observed",AM372&lt;&gt;"Corroborated",AM372&lt;&gt;"Declared"),OR(AN372="",AN372="Unknown"),OR(AQ372="",AQ372="Unknown"),OR(AR372="",AR372="Unknown",AR372="TBD"),OR(BC372="",NOT(ISNUMBER(BC372)))),"Evidence incomplete","Evidence recorded; review scope")))))</x:f>
      </x:c>
      <x:c r="BN372" s="73"/>
    </x:row>
    <x:row r="373" ht="34" customHeight="1">
      <x:c r="A373" s="73"/>
      <x:c r="B373" s="73"/>
      <x:c r="C373" s="73"/>
      <x:c r="D373" s="73"/>
      <x:c r="E373" s="73"/>
      <x:c r="F373" s="73"/>
      <x:c r="G373" s="73"/>
      <x:c r="H373" s="73"/>
      <x:c r="I373" s="75"/>
      <x:c r="J373" s="73"/>
      <x:c r="K373" s="73"/>
      <x:c r="L373" s="76"/>
      <x:c r="M373" s="73"/>
      <x:c r="N373" s="73"/>
      <x:c r="O373" s="73"/>
      <x:c r="P373" s="73"/>
      <x:c r="Q373" s="76"/>
      <x:c r="R373" s="73"/>
      <x:c r="S373" s="73"/>
      <x:c r="T373" s="73"/>
      <x:c r="U373" s="73"/>
      <x:c r="V373" s="73"/>
      <x:c r="W373" s="73"/>
      <x:c r="X373" s="73"/>
      <x:c r="Y373" s="73"/>
      <x:c r="Z373" s="73"/>
      <x:c r="AA373" s="73"/>
      <x:c r="AB373" s="76" t="str">
        <x:f>IF(A373="","",IF(OR(NOT(ISNUMBER(I373)),I373&lt;0,NOT(ISNUMBER(AP373)),AP373&lt;0,NOT(ISNUMBER(L373)),L373&lt;1,L373&gt;5,L373&lt;&gt;INT(L373),AND(J373&lt;&gt;"Public",J373&lt;&gt;"Partner",J373&lt;&gt;"Internal",J373&lt;&gt;"None"),AND(K373&lt;&gt;"High",K373&lt;&gt;"Medium",K373&lt;&gt;"Low",K373&lt;&gt;"None"),AND(W373&lt;&gt;"Hard-coded",W373&lt;&gt;"Configurable",W373&lt;&gt;"Policy-managed",W373&lt;&gt;"API/Library abstraction",W373&lt;&gt;"Automated"),AND(Z373&lt;&gt;"Y",Z373&lt;&gt;"N"),AND(AA373&lt;&gt;"Y",AA373&lt;&gt;"N")),"Incomplete",IF(Z373="Y",20,0)+L373*5+IF(AA373="Y",15,0)+IF(J373="Public",10,IF(J373="Partner",7,IF(J373="Internal",3,0)))+IF(W373="Hard-coded",10,IF(W373="Configurable",3,0))+IF(MAX(I373,AP373)&gt;=10,10,IF(MAX(I373,AP373)&gt;=5,7,IF(MAX(I373,AP373)&gt;=2,3,0)))+IF(K373="High",10,IF(K373="Medium",5,0))))</x:f>
      </x:c>
      <x:c r="AC373" s="73" t="str">
        <x:f>IF(A373="","",IF(NOT(ISNUMBER(AB373)),"Review inputs",IF(AB373&gt;=70,"P0 - Immediate",IF(AB373&gt;=50,"P1 - High",IF(AB373&gt;=30,"P2 - Medium",IF(AB373&gt;=15,"P3 - Low","P4 - Monitor"))))))</x:f>
      </x:c>
      <x:c r="AD373" s="73"/>
      <x:c r="AE373" s="73"/>
      <x:c r="AF373" s="73"/>
      <x:c r="AG373" s="77"/>
      <x:c r="AH373" s="73"/>
      <x:c r="AI373" s="91"/>
      <x:c r="AJ373" s="91"/>
      <x:c r="AK373" s="91"/>
      <x:c r="AL373" s="92"/>
      <x:c r="AM373" s="91"/>
      <x:c r="AN373" s="91"/>
      <x:c r="AO373" s="93"/>
      <x:c r="AP373" s="94"/>
      <x:c r="AQ373" s="91"/>
      <x:c r="AR373" s="91"/>
      <x:c r="AS373" s="91"/>
      <x:c r="AT373" s="91"/>
      <x:c r="AU373" s="91"/>
      <x:c r="AV373" s="91"/>
      <x:c r="AW373" s="91"/>
      <x:c r="AX373" s="91"/>
      <x:c r="AY373" s="91"/>
      <x:c r="AZ373" s="92"/>
      <x:c r="BA373" s="94"/>
      <x:c r="BB373" s="91"/>
      <x:c r="BC373" s="92"/>
      <x:c r="BD373" s="92"/>
      <x:c r="BE373" s="91"/>
      <x:c r="BF373" s="91"/>
      <x:c r="BG373" s="91"/>
      <x:c r="BH373" s="91"/>
      <x:c r="BI373" s="91"/>
      <x:c r="BJ373" s="91"/>
      <x:c r="BK373" s="91"/>
      <x:c r="BL373" s="91"/>
      <x:c r="BM373" s="73" t="str">
        <x:f>IF(A373="","",IF(AI373="Example","Example only",IF(AI373&lt;&gt;"Actual","Set record type",IF(COUNTIF($A$2:$A$1001,A373)&gt;1,"Duplicate record ID",IF(OR(D373="",E373="",AF373="",NOT(ISNUMBER(AG373)),AJ373="",AK373="",NOT(ISNUMBER(AL373)),AND(AM373&lt;&gt;"Observed",AM373&lt;&gt;"Corroborated",AM373&lt;&gt;"Declared"),OR(AN373="",AN373="Unknown"),OR(AQ373="",AQ373="Unknown"),OR(AR373="",AR373="Unknown",AR373="TBD"),OR(BC373="",NOT(ISNUMBER(BC373)))),"Evidence incomplete","Evidence recorded; review scope")))))</x:f>
      </x:c>
      <x:c r="BN373" s="73"/>
    </x:row>
    <x:row r="374" ht="34" customHeight="1">
      <x:c r="A374" s="73"/>
      <x:c r="B374" s="73"/>
      <x:c r="C374" s="73"/>
      <x:c r="D374" s="73"/>
      <x:c r="E374" s="73"/>
      <x:c r="F374" s="73"/>
      <x:c r="G374" s="73"/>
      <x:c r="H374" s="73"/>
      <x:c r="I374" s="75"/>
      <x:c r="J374" s="73"/>
      <x:c r="K374" s="73"/>
      <x:c r="L374" s="76"/>
      <x:c r="M374" s="73"/>
      <x:c r="N374" s="73"/>
      <x:c r="O374" s="73"/>
      <x:c r="P374" s="73"/>
      <x:c r="Q374" s="76"/>
      <x:c r="R374" s="73"/>
      <x:c r="S374" s="73"/>
      <x:c r="T374" s="73"/>
      <x:c r="U374" s="73"/>
      <x:c r="V374" s="73"/>
      <x:c r="W374" s="73"/>
      <x:c r="X374" s="73"/>
      <x:c r="Y374" s="73"/>
      <x:c r="Z374" s="73"/>
      <x:c r="AA374" s="73"/>
      <x:c r="AB374" s="76" t="str">
        <x:f>IF(A374="","",IF(OR(NOT(ISNUMBER(I374)),I374&lt;0,NOT(ISNUMBER(AP374)),AP374&lt;0,NOT(ISNUMBER(L374)),L374&lt;1,L374&gt;5,L374&lt;&gt;INT(L374),AND(J374&lt;&gt;"Public",J374&lt;&gt;"Partner",J374&lt;&gt;"Internal",J374&lt;&gt;"None"),AND(K374&lt;&gt;"High",K374&lt;&gt;"Medium",K374&lt;&gt;"Low",K374&lt;&gt;"None"),AND(W374&lt;&gt;"Hard-coded",W374&lt;&gt;"Configurable",W374&lt;&gt;"Policy-managed",W374&lt;&gt;"API/Library abstraction",W374&lt;&gt;"Automated"),AND(Z374&lt;&gt;"Y",Z374&lt;&gt;"N"),AND(AA374&lt;&gt;"Y",AA374&lt;&gt;"N")),"Incomplete",IF(Z374="Y",20,0)+L374*5+IF(AA374="Y",15,0)+IF(J374="Public",10,IF(J374="Partner",7,IF(J374="Internal",3,0)))+IF(W374="Hard-coded",10,IF(W374="Configurable",3,0))+IF(MAX(I374,AP374)&gt;=10,10,IF(MAX(I374,AP374)&gt;=5,7,IF(MAX(I374,AP374)&gt;=2,3,0)))+IF(K374="High",10,IF(K374="Medium",5,0))))</x:f>
      </x:c>
      <x:c r="AC374" s="73" t="str">
        <x:f>IF(A374="","",IF(NOT(ISNUMBER(AB374)),"Review inputs",IF(AB374&gt;=70,"P0 - Immediate",IF(AB374&gt;=50,"P1 - High",IF(AB374&gt;=30,"P2 - Medium",IF(AB374&gt;=15,"P3 - Low","P4 - Monitor"))))))</x:f>
      </x:c>
      <x:c r="AD374" s="73"/>
      <x:c r="AE374" s="73"/>
      <x:c r="AF374" s="73"/>
      <x:c r="AG374" s="77"/>
      <x:c r="AH374" s="73"/>
      <x:c r="AI374" s="91"/>
      <x:c r="AJ374" s="91"/>
      <x:c r="AK374" s="91"/>
      <x:c r="AL374" s="92"/>
      <x:c r="AM374" s="91"/>
      <x:c r="AN374" s="91"/>
      <x:c r="AO374" s="93"/>
      <x:c r="AP374" s="94"/>
      <x:c r="AQ374" s="91"/>
      <x:c r="AR374" s="91"/>
      <x:c r="AS374" s="91"/>
      <x:c r="AT374" s="91"/>
      <x:c r="AU374" s="91"/>
      <x:c r="AV374" s="91"/>
      <x:c r="AW374" s="91"/>
      <x:c r="AX374" s="91"/>
      <x:c r="AY374" s="91"/>
      <x:c r="AZ374" s="92"/>
      <x:c r="BA374" s="94"/>
      <x:c r="BB374" s="91"/>
      <x:c r="BC374" s="92"/>
      <x:c r="BD374" s="92"/>
      <x:c r="BE374" s="91"/>
      <x:c r="BF374" s="91"/>
      <x:c r="BG374" s="91"/>
      <x:c r="BH374" s="91"/>
      <x:c r="BI374" s="91"/>
      <x:c r="BJ374" s="91"/>
      <x:c r="BK374" s="91"/>
      <x:c r="BL374" s="91"/>
      <x:c r="BM374" s="73" t="str">
        <x:f>IF(A374="","",IF(AI374="Example","Example only",IF(AI374&lt;&gt;"Actual","Set record type",IF(COUNTIF($A$2:$A$1001,A374)&gt;1,"Duplicate record ID",IF(OR(D374="",E374="",AF374="",NOT(ISNUMBER(AG374)),AJ374="",AK374="",NOT(ISNUMBER(AL374)),AND(AM374&lt;&gt;"Observed",AM374&lt;&gt;"Corroborated",AM374&lt;&gt;"Declared"),OR(AN374="",AN374="Unknown"),OR(AQ374="",AQ374="Unknown"),OR(AR374="",AR374="Unknown",AR374="TBD"),OR(BC374="",NOT(ISNUMBER(BC374)))),"Evidence incomplete","Evidence recorded; review scope")))))</x:f>
      </x:c>
      <x:c r="BN374" s="73"/>
    </x:row>
    <x:row r="375" ht="34" customHeight="1">
      <x:c r="A375" s="73"/>
      <x:c r="B375" s="73"/>
      <x:c r="C375" s="73"/>
      <x:c r="D375" s="73"/>
      <x:c r="E375" s="73"/>
      <x:c r="F375" s="73"/>
      <x:c r="G375" s="73"/>
      <x:c r="H375" s="73"/>
      <x:c r="I375" s="75"/>
      <x:c r="J375" s="73"/>
      <x:c r="K375" s="73"/>
      <x:c r="L375" s="76"/>
      <x:c r="M375" s="73"/>
      <x:c r="N375" s="73"/>
      <x:c r="O375" s="73"/>
      <x:c r="P375" s="73"/>
      <x:c r="Q375" s="76"/>
      <x:c r="R375" s="73"/>
      <x:c r="S375" s="73"/>
      <x:c r="T375" s="73"/>
      <x:c r="U375" s="73"/>
      <x:c r="V375" s="73"/>
      <x:c r="W375" s="73"/>
      <x:c r="X375" s="73"/>
      <x:c r="Y375" s="73"/>
      <x:c r="Z375" s="73"/>
      <x:c r="AA375" s="73"/>
      <x:c r="AB375" s="76" t="str">
        <x:f>IF(A375="","",IF(OR(NOT(ISNUMBER(I375)),I375&lt;0,NOT(ISNUMBER(AP375)),AP375&lt;0,NOT(ISNUMBER(L375)),L375&lt;1,L375&gt;5,L375&lt;&gt;INT(L375),AND(J375&lt;&gt;"Public",J375&lt;&gt;"Partner",J375&lt;&gt;"Internal",J375&lt;&gt;"None"),AND(K375&lt;&gt;"High",K375&lt;&gt;"Medium",K375&lt;&gt;"Low",K375&lt;&gt;"None"),AND(W375&lt;&gt;"Hard-coded",W375&lt;&gt;"Configurable",W375&lt;&gt;"Policy-managed",W375&lt;&gt;"API/Library abstraction",W375&lt;&gt;"Automated"),AND(Z375&lt;&gt;"Y",Z375&lt;&gt;"N"),AND(AA375&lt;&gt;"Y",AA375&lt;&gt;"N")),"Incomplete",IF(Z375="Y",20,0)+L375*5+IF(AA375="Y",15,0)+IF(J375="Public",10,IF(J375="Partner",7,IF(J375="Internal",3,0)))+IF(W375="Hard-coded",10,IF(W375="Configurable",3,0))+IF(MAX(I375,AP375)&gt;=10,10,IF(MAX(I375,AP375)&gt;=5,7,IF(MAX(I375,AP375)&gt;=2,3,0)))+IF(K375="High",10,IF(K375="Medium",5,0))))</x:f>
      </x:c>
      <x:c r="AC375" s="73" t="str">
        <x:f>IF(A375="","",IF(NOT(ISNUMBER(AB375)),"Review inputs",IF(AB375&gt;=70,"P0 - Immediate",IF(AB375&gt;=50,"P1 - High",IF(AB375&gt;=30,"P2 - Medium",IF(AB375&gt;=15,"P3 - Low","P4 - Monitor"))))))</x:f>
      </x:c>
      <x:c r="AD375" s="73"/>
      <x:c r="AE375" s="73"/>
      <x:c r="AF375" s="73"/>
      <x:c r="AG375" s="77"/>
      <x:c r="AH375" s="73"/>
      <x:c r="AI375" s="91"/>
      <x:c r="AJ375" s="91"/>
      <x:c r="AK375" s="91"/>
      <x:c r="AL375" s="92"/>
      <x:c r="AM375" s="91"/>
      <x:c r="AN375" s="91"/>
      <x:c r="AO375" s="93"/>
      <x:c r="AP375" s="94"/>
      <x:c r="AQ375" s="91"/>
      <x:c r="AR375" s="91"/>
      <x:c r="AS375" s="91"/>
      <x:c r="AT375" s="91"/>
      <x:c r="AU375" s="91"/>
      <x:c r="AV375" s="91"/>
      <x:c r="AW375" s="91"/>
      <x:c r="AX375" s="91"/>
      <x:c r="AY375" s="91"/>
      <x:c r="AZ375" s="92"/>
      <x:c r="BA375" s="94"/>
      <x:c r="BB375" s="91"/>
      <x:c r="BC375" s="92"/>
      <x:c r="BD375" s="92"/>
      <x:c r="BE375" s="91"/>
      <x:c r="BF375" s="91"/>
      <x:c r="BG375" s="91"/>
      <x:c r="BH375" s="91"/>
      <x:c r="BI375" s="91"/>
      <x:c r="BJ375" s="91"/>
      <x:c r="BK375" s="91"/>
      <x:c r="BL375" s="91"/>
      <x:c r="BM375" s="73" t="str">
        <x:f>IF(A375="","",IF(AI375="Example","Example only",IF(AI375&lt;&gt;"Actual","Set record type",IF(COUNTIF($A$2:$A$1001,A375)&gt;1,"Duplicate record ID",IF(OR(D375="",E375="",AF375="",NOT(ISNUMBER(AG375)),AJ375="",AK375="",NOT(ISNUMBER(AL375)),AND(AM375&lt;&gt;"Observed",AM375&lt;&gt;"Corroborated",AM375&lt;&gt;"Declared"),OR(AN375="",AN375="Unknown"),OR(AQ375="",AQ375="Unknown"),OR(AR375="",AR375="Unknown",AR375="TBD"),OR(BC375="",NOT(ISNUMBER(BC375)))),"Evidence incomplete","Evidence recorded; review scope")))))</x:f>
      </x:c>
      <x:c r="BN375" s="73"/>
    </x:row>
    <x:row r="376" ht="34" customHeight="1">
      <x:c r="A376" s="73"/>
      <x:c r="B376" s="73"/>
      <x:c r="C376" s="73"/>
      <x:c r="D376" s="73"/>
      <x:c r="E376" s="73"/>
      <x:c r="F376" s="73"/>
      <x:c r="G376" s="73"/>
      <x:c r="H376" s="73"/>
      <x:c r="I376" s="75"/>
      <x:c r="J376" s="73"/>
      <x:c r="K376" s="73"/>
      <x:c r="L376" s="76"/>
      <x:c r="M376" s="73"/>
      <x:c r="N376" s="73"/>
      <x:c r="O376" s="73"/>
      <x:c r="P376" s="73"/>
      <x:c r="Q376" s="76"/>
      <x:c r="R376" s="73"/>
      <x:c r="S376" s="73"/>
      <x:c r="T376" s="73"/>
      <x:c r="U376" s="73"/>
      <x:c r="V376" s="73"/>
      <x:c r="W376" s="73"/>
      <x:c r="X376" s="73"/>
      <x:c r="Y376" s="73"/>
      <x:c r="Z376" s="73"/>
      <x:c r="AA376" s="73"/>
      <x:c r="AB376" s="76" t="str">
        <x:f>IF(A376="","",IF(OR(NOT(ISNUMBER(I376)),I376&lt;0,NOT(ISNUMBER(AP376)),AP376&lt;0,NOT(ISNUMBER(L376)),L376&lt;1,L376&gt;5,L376&lt;&gt;INT(L376),AND(J376&lt;&gt;"Public",J376&lt;&gt;"Partner",J376&lt;&gt;"Internal",J376&lt;&gt;"None"),AND(K376&lt;&gt;"High",K376&lt;&gt;"Medium",K376&lt;&gt;"Low",K376&lt;&gt;"None"),AND(W376&lt;&gt;"Hard-coded",W376&lt;&gt;"Configurable",W376&lt;&gt;"Policy-managed",W376&lt;&gt;"API/Library abstraction",W376&lt;&gt;"Automated"),AND(Z376&lt;&gt;"Y",Z376&lt;&gt;"N"),AND(AA376&lt;&gt;"Y",AA376&lt;&gt;"N")),"Incomplete",IF(Z376="Y",20,0)+L376*5+IF(AA376="Y",15,0)+IF(J376="Public",10,IF(J376="Partner",7,IF(J376="Internal",3,0)))+IF(W376="Hard-coded",10,IF(W376="Configurable",3,0))+IF(MAX(I376,AP376)&gt;=10,10,IF(MAX(I376,AP376)&gt;=5,7,IF(MAX(I376,AP376)&gt;=2,3,0)))+IF(K376="High",10,IF(K376="Medium",5,0))))</x:f>
      </x:c>
      <x:c r="AC376" s="73" t="str">
        <x:f>IF(A376="","",IF(NOT(ISNUMBER(AB376)),"Review inputs",IF(AB376&gt;=70,"P0 - Immediate",IF(AB376&gt;=50,"P1 - High",IF(AB376&gt;=30,"P2 - Medium",IF(AB376&gt;=15,"P3 - Low","P4 - Monitor"))))))</x:f>
      </x:c>
      <x:c r="AD376" s="73"/>
      <x:c r="AE376" s="73"/>
      <x:c r="AF376" s="73"/>
      <x:c r="AG376" s="77"/>
      <x:c r="AH376" s="73"/>
      <x:c r="AI376" s="91"/>
      <x:c r="AJ376" s="91"/>
      <x:c r="AK376" s="91"/>
      <x:c r="AL376" s="92"/>
      <x:c r="AM376" s="91"/>
      <x:c r="AN376" s="91"/>
      <x:c r="AO376" s="93"/>
      <x:c r="AP376" s="94"/>
      <x:c r="AQ376" s="91"/>
      <x:c r="AR376" s="91"/>
      <x:c r="AS376" s="91"/>
      <x:c r="AT376" s="91"/>
      <x:c r="AU376" s="91"/>
      <x:c r="AV376" s="91"/>
      <x:c r="AW376" s="91"/>
      <x:c r="AX376" s="91"/>
      <x:c r="AY376" s="91"/>
      <x:c r="AZ376" s="92"/>
      <x:c r="BA376" s="94"/>
      <x:c r="BB376" s="91"/>
      <x:c r="BC376" s="92"/>
      <x:c r="BD376" s="92"/>
      <x:c r="BE376" s="91"/>
      <x:c r="BF376" s="91"/>
      <x:c r="BG376" s="91"/>
      <x:c r="BH376" s="91"/>
      <x:c r="BI376" s="91"/>
      <x:c r="BJ376" s="91"/>
      <x:c r="BK376" s="91"/>
      <x:c r="BL376" s="91"/>
      <x:c r="BM376" s="73" t="str">
        <x:f>IF(A376="","",IF(AI376="Example","Example only",IF(AI376&lt;&gt;"Actual","Set record type",IF(COUNTIF($A$2:$A$1001,A376)&gt;1,"Duplicate record ID",IF(OR(D376="",E376="",AF376="",NOT(ISNUMBER(AG376)),AJ376="",AK376="",NOT(ISNUMBER(AL376)),AND(AM376&lt;&gt;"Observed",AM376&lt;&gt;"Corroborated",AM376&lt;&gt;"Declared"),OR(AN376="",AN376="Unknown"),OR(AQ376="",AQ376="Unknown"),OR(AR376="",AR376="Unknown",AR376="TBD"),OR(BC376="",NOT(ISNUMBER(BC376)))),"Evidence incomplete","Evidence recorded; review scope")))))</x:f>
      </x:c>
      <x:c r="BN376" s="73"/>
    </x:row>
    <x:row r="377" ht="34" customHeight="1">
      <x:c r="A377" s="73"/>
      <x:c r="B377" s="73"/>
      <x:c r="C377" s="73"/>
      <x:c r="D377" s="73"/>
      <x:c r="E377" s="73"/>
      <x:c r="F377" s="73"/>
      <x:c r="G377" s="73"/>
      <x:c r="H377" s="73"/>
      <x:c r="I377" s="75"/>
      <x:c r="J377" s="73"/>
      <x:c r="K377" s="73"/>
      <x:c r="L377" s="76"/>
      <x:c r="M377" s="73"/>
      <x:c r="N377" s="73"/>
      <x:c r="O377" s="73"/>
      <x:c r="P377" s="73"/>
      <x:c r="Q377" s="76"/>
      <x:c r="R377" s="73"/>
      <x:c r="S377" s="73"/>
      <x:c r="T377" s="73"/>
      <x:c r="U377" s="73"/>
      <x:c r="V377" s="73"/>
      <x:c r="W377" s="73"/>
      <x:c r="X377" s="73"/>
      <x:c r="Y377" s="73"/>
      <x:c r="Z377" s="73"/>
      <x:c r="AA377" s="73"/>
      <x:c r="AB377" s="76" t="str">
        <x:f>IF(A377="","",IF(OR(NOT(ISNUMBER(I377)),I377&lt;0,NOT(ISNUMBER(AP377)),AP377&lt;0,NOT(ISNUMBER(L377)),L377&lt;1,L377&gt;5,L377&lt;&gt;INT(L377),AND(J377&lt;&gt;"Public",J377&lt;&gt;"Partner",J377&lt;&gt;"Internal",J377&lt;&gt;"None"),AND(K377&lt;&gt;"High",K377&lt;&gt;"Medium",K377&lt;&gt;"Low",K377&lt;&gt;"None"),AND(W377&lt;&gt;"Hard-coded",W377&lt;&gt;"Configurable",W377&lt;&gt;"Policy-managed",W377&lt;&gt;"API/Library abstraction",W377&lt;&gt;"Automated"),AND(Z377&lt;&gt;"Y",Z377&lt;&gt;"N"),AND(AA377&lt;&gt;"Y",AA377&lt;&gt;"N")),"Incomplete",IF(Z377="Y",20,0)+L377*5+IF(AA377="Y",15,0)+IF(J377="Public",10,IF(J377="Partner",7,IF(J377="Internal",3,0)))+IF(W377="Hard-coded",10,IF(W377="Configurable",3,0))+IF(MAX(I377,AP377)&gt;=10,10,IF(MAX(I377,AP377)&gt;=5,7,IF(MAX(I377,AP377)&gt;=2,3,0)))+IF(K377="High",10,IF(K377="Medium",5,0))))</x:f>
      </x:c>
      <x:c r="AC377" s="73" t="str">
        <x:f>IF(A377="","",IF(NOT(ISNUMBER(AB377)),"Review inputs",IF(AB377&gt;=70,"P0 - Immediate",IF(AB377&gt;=50,"P1 - High",IF(AB377&gt;=30,"P2 - Medium",IF(AB377&gt;=15,"P3 - Low","P4 - Monitor"))))))</x:f>
      </x:c>
      <x:c r="AD377" s="73"/>
      <x:c r="AE377" s="73"/>
      <x:c r="AF377" s="73"/>
      <x:c r="AG377" s="77"/>
      <x:c r="AH377" s="73"/>
      <x:c r="AI377" s="91"/>
      <x:c r="AJ377" s="91"/>
      <x:c r="AK377" s="91"/>
      <x:c r="AL377" s="92"/>
      <x:c r="AM377" s="91"/>
      <x:c r="AN377" s="91"/>
      <x:c r="AO377" s="93"/>
      <x:c r="AP377" s="94"/>
      <x:c r="AQ377" s="91"/>
      <x:c r="AR377" s="91"/>
      <x:c r="AS377" s="91"/>
      <x:c r="AT377" s="91"/>
      <x:c r="AU377" s="91"/>
      <x:c r="AV377" s="91"/>
      <x:c r="AW377" s="91"/>
      <x:c r="AX377" s="91"/>
      <x:c r="AY377" s="91"/>
      <x:c r="AZ377" s="92"/>
      <x:c r="BA377" s="94"/>
      <x:c r="BB377" s="91"/>
      <x:c r="BC377" s="92"/>
      <x:c r="BD377" s="92"/>
      <x:c r="BE377" s="91"/>
      <x:c r="BF377" s="91"/>
      <x:c r="BG377" s="91"/>
      <x:c r="BH377" s="91"/>
      <x:c r="BI377" s="91"/>
      <x:c r="BJ377" s="91"/>
      <x:c r="BK377" s="91"/>
      <x:c r="BL377" s="91"/>
      <x:c r="BM377" s="73" t="str">
        <x:f>IF(A377="","",IF(AI377="Example","Example only",IF(AI377&lt;&gt;"Actual","Set record type",IF(COUNTIF($A$2:$A$1001,A377)&gt;1,"Duplicate record ID",IF(OR(D377="",E377="",AF377="",NOT(ISNUMBER(AG377)),AJ377="",AK377="",NOT(ISNUMBER(AL377)),AND(AM377&lt;&gt;"Observed",AM377&lt;&gt;"Corroborated",AM377&lt;&gt;"Declared"),OR(AN377="",AN377="Unknown"),OR(AQ377="",AQ377="Unknown"),OR(AR377="",AR377="Unknown",AR377="TBD"),OR(BC377="",NOT(ISNUMBER(BC377)))),"Evidence incomplete","Evidence recorded; review scope")))))</x:f>
      </x:c>
      <x:c r="BN377" s="73"/>
    </x:row>
    <x:row r="378" ht="34" customHeight="1">
      <x:c r="A378" s="73"/>
      <x:c r="B378" s="73"/>
      <x:c r="C378" s="73"/>
      <x:c r="D378" s="73"/>
      <x:c r="E378" s="73"/>
      <x:c r="F378" s="73"/>
      <x:c r="G378" s="73"/>
      <x:c r="H378" s="73"/>
      <x:c r="I378" s="75"/>
      <x:c r="J378" s="73"/>
      <x:c r="K378" s="73"/>
      <x:c r="L378" s="76"/>
      <x:c r="M378" s="73"/>
      <x:c r="N378" s="73"/>
      <x:c r="O378" s="73"/>
      <x:c r="P378" s="73"/>
      <x:c r="Q378" s="76"/>
      <x:c r="R378" s="73"/>
      <x:c r="S378" s="73"/>
      <x:c r="T378" s="73"/>
      <x:c r="U378" s="73"/>
      <x:c r="V378" s="73"/>
      <x:c r="W378" s="73"/>
      <x:c r="X378" s="73"/>
      <x:c r="Y378" s="73"/>
      <x:c r="Z378" s="73"/>
      <x:c r="AA378" s="73"/>
      <x:c r="AB378" s="76" t="str">
        <x:f>IF(A378="","",IF(OR(NOT(ISNUMBER(I378)),I378&lt;0,NOT(ISNUMBER(AP378)),AP378&lt;0,NOT(ISNUMBER(L378)),L378&lt;1,L378&gt;5,L378&lt;&gt;INT(L378),AND(J378&lt;&gt;"Public",J378&lt;&gt;"Partner",J378&lt;&gt;"Internal",J378&lt;&gt;"None"),AND(K378&lt;&gt;"High",K378&lt;&gt;"Medium",K378&lt;&gt;"Low",K378&lt;&gt;"None"),AND(W378&lt;&gt;"Hard-coded",W378&lt;&gt;"Configurable",W378&lt;&gt;"Policy-managed",W378&lt;&gt;"API/Library abstraction",W378&lt;&gt;"Automated"),AND(Z378&lt;&gt;"Y",Z378&lt;&gt;"N"),AND(AA378&lt;&gt;"Y",AA378&lt;&gt;"N")),"Incomplete",IF(Z378="Y",20,0)+L378*5+IF(AA378="Y",15,0)+IF(J378="Public",10,IF(J378="Partner",7,IF(J378="Internal",3,0)))+IF(W378="Hard-coded",10,IF(W378="Configurable",3,0))+IF(MAX(I378,AP378)&gt;=10,10,IF(MAX(I378,AP378)&gt;=5,7,IF(MAX(I378,AP378)&gt;=2,3,0)))+IF(K378="High",10,IF(K378="Medium",5,0))))</x:f>
      </x:c>
      <x:c r="AC378" s="73" t="str">
        <x:f>IF(A378="","",IF(NOT(ISNUMBER(AB378)),"Review inputs",IF(AB378&gt;=70,"P0 - Immediate",IF(AB378&gt;=50,"P1 - High",IF(AB378&gt;=30,"P2 - Medium",IF(AB378&gt;=15,"P3 - Low","P4 - Monitor"))))))</x:f>
      </x:c>
      <x:c r="AD378" s="73"/>
      <x:c r="AE378" s="73"/>
      <x:c r="AF378" s="73"/>
      <x:c r="AG378" s="77"/>
      <x:c r="AH378" s="73"/>
      <x:c r="AI378" s="91"/>
      <x:c r="AJ378" s="91"/>
      <x:c r="AK378" s="91"/>
      <x:c r="AL378" s="92"/>
      <x:c r="AM378" s="91"/>
      <x:c r="AN378" s="91"/>
      <x:c r="AO378" s="93"/>
      <x:c r="AP378" s="94"/>
      <x:c r="AQ378" s="91"/>
      <x:c r="AR378" s="91"/>
      <x:c r="AS378" s="91"/>
      <x:c r="AT378" s="91"/>
      <x:c r="AU378" s="91"/>
      <x:c r="AV378" s="91"/>
      <x:c r="AW378" s="91"/>
      <x:c r="AX378" s="91"/>
      <x:c r="AY378" s="91"/>
      <x:c r="AZ378" s="92"/>
      <x:c r="BA378" s="94"/>
      <x:c r="BB378" s="91"/>
      <x:c r="BC378" s="92"/>
      <x:c r="BD378" s="92"/>
      <x:c r="BE378" s="91"/>
      <x:c r="BF378" s="91"/>
      <x:c r="BG378" s="91"/>
      <x:c r="BH378" s="91"/>
      <x:c r="BI378" s="91"/>
      <x:c r="BJ378" s="91"/>
      <x:c r="BK378" s="91"/>
      <x:c r="BL378" s="91"/>
      <x:c r="BM378" s="73" t="str">
        <x:f>IF(A378="","",IF(AI378="Example","Example only",IF(AI378&lt;&gt;"Actual","Set record type",IF(COUNTIF($A$2:$A$1001,A378)&gt;1,"Duplicate record ID",IF(OR(D378="",E378="",AF378="",NOT(ISNUMBER(AG378)),AJ378="",AK378="",NOT(ISNUMBER(AL378)),AND(AM378&lt;&gt;"Observed",AM378&lt;&gt;"Corroborated",AM378&lt;&gt;"Declared"),OR(AN378="",AN378="Unknown"),OR(AQ378="",AQ378="Unknown"),OR(AR378="",AR378="Unknown",AR378="TBD"),OR(BC378="",NOT(ISNUMBER(BC378)))),"Evidence incomplete","Evidence recorded; review scope")))))</x:f>
      </x:c>
      <x:c r="BN378" s="73"/>
    </x:row>
    <x:row r="379" ht="34" customHeight="1">
      <x:c r="A379" s="73"/>
      <x:c r="B379" s="73"/>
      <x:c r="C379" s="73"/>
      <x:c r="D379" s="73"/>
      <x:c r="E379" s="73"/>
      <x:c r="F379" s="73"/>
      <x:c r="G379" s="73"/>
      <x:c r="H379" s="73"/>
      <x:c r="I379" s="75"/>
      <x:c r="J379" s="73"/>
      <x:c r="K379" s="73"/>
      <x:c r="L379" s="76"/>
      <x:c r="M379" s="73"/>
      <x:c r="N379" s="73"/>
      <x:c r="O379" s="73"/>
      <x:c r="P379" s="73"/>
      <x:c r="Q379" s="76"/>
      <x:c r="R379" s="73"/>
      <x:c r="S379" s="73"/>
      <x:c r="T379" s="73"/>
      <x:c r="U379" s="73"/>
      <x:c r="V379" s="73"/>
      <x:c r="W379" s="73"/>
      <x:c r="X379" s="73"/>
      <x:c r="Y379" s="73"/>
      <x:c r="Z379" s="73"/>
      <x:c r="AA379" s="73"/>
      <x:c r="AB379" s="76" t="str">
        <x:f>IF(A379="","",IF(OR(NOT(ISNUMBER(I379)),I379&lt;0,NOT(ISNUMBER(AP379)),AP379&lt;0,NOT(ISNUMBER(L379)),L379&lt;1,L379&gt;5,L379&lt;&gt;INT(L379),AND(J379&lt;&gt;"Public",J379&lt;&gt;"Partner",J379&lt;&gt;"Internal",J379&lt;&gt;"None"),AND(K379&lt;&gt;"High",K379&lt;&gt;"Medium",K379&lt;&gt;"Low",K379&lt;&gt;"None"),AND(W379&lt;&gt;"Hard-coded",W379&lt;&gt;"Configurable",W379&lt;&gt;"Policy-managed",W379&lt;&gt;"API/Library abstraction",W379&lt;&gt;"Automated"),AND(Z379&lt;&gt;"Y",Z379&lt;&gt;"N"),AND(AA379&lt;&gt;"Y",AA379&lt;&gt;"N")),"Incomplete",IF(Z379="Y",20,0)+L379*5+IF(AA379="Y",15,0)+IF(J379="Public",10,IF(J379="Partner",7,IF(J379="Internal",3,0)))+IF(W379="Hard-coded",10,IF(W379="Configurable",3,0))+IF(MAX(I379,AP379)&gt;=10,10,IF(MAX(I379,AP379)&gt;=5,7,IF(MAX(I379,AP379)&gt;=2,3,0)))+IF(K379="High",10,IF(K379="Medium",5,0))))</x:f>
      </x:c>
      <x:c r="AC379" s="73" t="str">
        <x:f>IF(A379="","",IF(NOT(ISNUMBER(AB379)),"Review inputs",IF(AB379&gt;=70,"P0 - Immediate",IF(AB379&gt;=50,"P1 - High",IF(AB379&gt;=30,"P2 - Medium",IF(AB379&gt;=15,"P3 - Low","P4 - Monitor"))))))</x:f>
      </x:c>
      <x:c r="AD379" s="73"/>
      <x:c r="AE379" s="73"/>
      <x:c r="AF379" s="73"/>
      <x:c r="AG379" s="77"/>
      <x:c r="AH379" s="73"/>
      <x:c r="AI379" s="91"/>
      <x:c r="AJ379" s="91"/>
      <x:c r="AK379" s="91"/>
      <x:c r="AL379" s="92"/>
      <x:c r="AM379" s="91"/>
      <x:c r="AN379" s="91"/>
      <x:c r="AO379" s="93"/>
      <x:c r="AP379" s="94"/>
      <x:c r="AQ379" s="91"/>
      <x:c r="AR379" s="91"/>
      <x:c r="AS379" s="91"/>
      <x:c r="AT379" s="91"/>
      <x:c r="AU379" s="91"/>
      <x:c r="AV379" s="91"/>
      <x:c r="AW379" s="91"/>
      <x:c r="AX379" s="91"/>
      <x:c r="AY379" s="91"/>
      <x:c r="AZ379" s="92"/>
      <x:c r="BA379" s="94"/>
      <x:c r="BB379" s="91"/>
      <x:c r="BC379" s="92"/>
      <x:c r="BD379" s="92"/>
      <x:c r="BE379" s="91"/>
      <x:c r="BF379" s="91"/>
      <x:c r="BG379" s="91"/>
      <x:c r="BH379" s="91"/>
      <x:c r="BI379" s="91"/>
      <x:c r="BJ379" s="91"/>
      <x:c r="BK379" s="91"/>
      <x:c r="BL379" s="91"/>
      <x:c r="BM379" s="73" t="str">
        <x:f>IF(A379="","",IF(AI379="Example","Example only",IF(AI379&lt;&gt;"Actual","Set record type",IF(COUNTIF($A$2:$A$1001,A379)&gt;1,"Duplicate record ID",IF(OR(D379="",E379="",AF379="",NOT(ISNUMBER(AG379)),AJ379="",AK379="",NOT(ISNUMBER(AL379)),AND(AM379&lt;&gt;"Observed",AM379&lt;&gt;"Corroborated",AM379&lt;&gt;"Declared"),OR(AN379="",AN379="Unknown"),OR(AQ379="",AQ379="Unknown"),OR(AR379="",AR379="Unknown",AR379="TBD"),OR(BC379="",NOT(ISNUMBER(BC379)))),"Evidence incomplete","Evidence recorded; review scope")))))</x:f>
      </x:c>
      <x:c r="BN379" s="73"/>
    </x:row>
    <x:row r="380" ht="34" customHeight="1">
      <x:c r="A380" s="73"/>
      <x:c r="B380" s="73"/>
      <x:c r="C380" s="73"/>
      <x:c r="D380" s="73"/>
      <x:c r="E380" s="73"/>
      <x:c r="F380" s="73"/>
      <x:c r="G380" s="73"/>
      <x:c r="H380" s="73"/>
      <x:c r="I380" s="75"/>
      <x:c r="J380" s="73"/>
      <x:c r="K380" s="73"/>
      <x:c r="L380" s="76"/>
      <x:c r="M380" s="73"/>
      <x:c r="N380" s="73"/>
      <x:c r="O380" s="73"/>
      <x:c r="P380" s="73"/>
      <x:c r="Q380" s="76"/>
      <x:c r="R380" s="73"/>
      <x:c r="S380" s="73"/>
      <x:c r="T380" s="73"/>
      <x:c r="U380" s="73"/>
      <x:c r="V380" s="73"/>
      <x:c r="W380" s="73"/>
      <x:c r="X380" s="73"/>
      <x:c r="Y380" s="73"/>
      <x:c r="Z380" s="73"/>
      <x:c r="AA380" s="73"/>
      <x:c r="AB380" s="76" t="str">
        <x:f>IF(A380="","",IF(OR(NOT(ISNUMBER(I380)),I380&lt;0,NOT(ISNUMBER(AP380)),AP380&lt;0,NOT(ISNUMBER(L380)),L380&lt;1,L380&gt;5,L380&lt;&gt;INT(L380),AND(J380&lt;&gt;"Public",J380&lt;&gt;"Partner",J380&lt;&gt;"Internal",J380&lt;&gt;"None"),AND(K380&lt;&gt;"High",K380&lt;&gt;"Medium",K380&lt;&gt;"Low",K380&lt;&gt;"None"),AND(W380&lt;&gt;"Hard-coded",W380&lt;&gt;"Configurable",W380&lt;&gt;"Policy-managed",W380&lt;&gt;"API/Library abstraction",W380&lt;&gt;"Automated"),AND(Z380&lt;&gt;"Y",Z380&lt;&gt;"N"),AND(AA380&lt;&gt;"Y",AA380&lt;&gt;"N")),"Incomplete",IF(Z380="Y",20,0)+L380*5+IF(AA380="Y",15,0)+IF(J380="Public",10,IF(J380="Partner",7,IF(J380="Internal",3,0)))+IF(W380="Hard-coded",10,IF(W380="Configurable",3,0))+IF(MAX(I380,AP380)&gt;=10,10,IF(MAX(I380,AP380)&gt;=5,7,IF(MAX(I380,AP380)&gt;=2,3,0)))+IF(K380="High",10,IF(K380="Medium",5,0))))</x:f>
      </x:c>
      <x:c r="AC380" s="73" t="str">
        <x:f>IF(A380="","",IF(NOT(ISNUMBER(AB380)),"Review inputs",IF(AB380&gt;=70,"P0 - Immediate",IF(AB380&gt;=50,"P1 - High",IF(AB380&gt;=30,"P2 - Medium",IF(AB380&gt;=15,"P3 - Low","P4 - Monitor"))))))</x:f>
      </x:c>
      <x:c r="AD380" s="73"/>
      <x:c r="AE380" s="73"/>
      <x:c r="AF380" s="73"/>
      <x:c r="AG380" s="77"/>
      <x:c r="AH380" s="73"/>
      <x:c r="AI380" s="91"/>
      <x:c r="AJ380" s="91"/>
      <x:c r="AK380" s="91"/>
      <x:c r="AL380" s="92"/>
      <x:c r="AM380" s="91"/>
      <x:c r="AN380" s="91"/>
      <x:c r="AO380" s="93"/>
      <x:c r="AP380" s="94"/>
      <x:c r="AQ380" s="91"/>
      <x:c r="AR380" s="91"/>
      <x:c r="AS380" s="91"/>
      <x:c r="AT380" s="91"/>
      <x:c r="AU380" s="91"/>
      <x:c r="AV380" s="91"/>
      <x:c r="AW380" s="91"/>
      <x:c r="AX380" s="91"/>
      <x:c r="AY380" s="91"/>
      <x:c r="AZ380" s="92"/>
      <x:c r="BA380" s="94"/>
      <x:c r="BB380" s="91"/>
      <x:c r="BC380" s="92"/>
      <x:c r="BD380" s="92"/>
      <x:c r="BE380" s="91"/>
      <x:c r="BF380" s="91"/>
      <x:c r="BG380" s="91"/>
      <x:c r="BH380" s="91"/>
      <x:c r="BI380" s="91"/>
      <x:c r="BJ380" s="91"/>
      <x:c r="BK380" s="91"/>
      <x:c r="BL380" s="91"/>
      <x:c r="BM380" s="73" t="str">
        <x:f>IF(A380="","",IF(AI380="Example","Example only",IF(AI380&lt;&gt;"Actual","Set record type",IF(COUNTIF($A$2:$A$1001,A380)&gt;1,"Duplicate record ID",IF(OR(D380="",E380="",AF380="",NOT(ISNUMBER(AG380)),AJ380="",AK380="",NOT(ISNUMBER(AL380)),AND(AM380&lt;&gt;"Observed",AM380&lt;&gt;"Corroborated",AM380&lt;&gt;"Declared"),OR(AN380="",AN380="Unknown"),OR(AQ380="",AQ380="Unknown"),OR(AR380="",AR380="Unknown",AR380="TBD"),OR(BC380="",NOT(ISNUMBER(BC380)))),"Evidence incomplete","Evidence recorded; review scope")))))</x:f>
      </x:c>
      <x:c r="BN380" s="73"/>
    </x:row>
    <x:row r="381" ht="34" customHeight="1">
      <x:c r="A381" s="73"/>
      <x:c r="B381" s="73"/>
      <x:c r="C381" s="73"/>
      <x:c r="D381" s="73"/>
      <x:c r="E381" s="73"/>
      <x:c r="F381" s="73"/>
      <x:c r="G381" s="73"/>
      <x:c r="H381" s="73"/>
      <x:c r="I381" s="75"/>
      <x:c r="J381" s="73"/>
      <x:c r="K381" s="73"/>
      <x:c r="L381" s="76"/>
      <x:c r="M381" s="73"/>
      <x:c r="N381" s="73"/>
      <x:c r="O381" s="73"/>
      <x:c r="P381" s="73"/>
      <x:c r="Q381" s="76"/>
      <x:c r="R381" s="73"/>
      <x:c r="S381" s="73"/>
      <x:c r="T381" s="73"/>
      <x:c r="U381" s="73"/>
      <x:c r="V381" s="73"/>
      <x:c r="W381" s="73"/>
      <x:c r="X381" s="73"/>
      <x:c r="Y381" s="73"/>
      <x:c r="Z381" s="73"/>
      <x:c r="AA381" s="73"/>
      <x:c r="AB381" s="76" t="str">
        <x:f>IF(A381="","",IF(OR(NOT(ISNUMBER(I381)),I381&lt;0,NOT(ISNUMBER(AP381)),AP381&lt;0,NOT(ISNUMBER(L381)),L381&lt;1,L381&gt;5,L381&lt;&gt;INT(L381),AND(J381&lt;&gt;"Public",J381&lt;&gt;"Partner",J381&lt;&gt;"Internal",J381&lt;&gt;"None"),AND(K381&lt;&gt;"High",K381&lt;&gt;"Medium",K381&lt;&gt;"Low",K381&lt;&gt;"None"),AND(W381&lt;&gt;"Hard-coded",W381&lt;&gt;"Configurable",W381&lt;&gt;"Policy-managed",W381&lt;&gt;"API/Library abstraction",W381&lt;&gt;"Automated"),AND(Z381&lt;&gt;"Y",Z381&lt;&gt;"N"),AND(AA381&lt;&gt;"Y",AA381&lt;&gt;"N")),"Incomplete",IF(Z381="Y",20,0)+L381*5+IF(AA381="Y",15,0)+IF(J381="Public",10,IF(J381="Partner",7,IF(J381="Internal",3,0)))+IF(W381="Hard-coded",10,IF(W381="Configurable",3,0))+IF(MAX(I381,AP381)&gt;=10,10,IF(MAX(I381,AP381)&gt;=5,7,IF(MAX(I381,AP381)&gt;=2,3,0)))+IF(K381="High",10,IF(K381="Medium",5,0))))</x:f>
      </x:c>
      <x:c r="AC381" s="73" t="str">
        <x:f>IF(A381="","",IF(NOT(ISNUMBER(AB381)),"Review inputs",IF(AB381&gt;=70,"P0 - Immediate",IF(AB381&gt;=50,"P1 - High",IF(AB381&gt;=30,"P2 - Medium",IF(AB381&gt;=15,"P3 - Low","P4 - Monitor"))))))</x:f>
      </x:c>
      <x:c r="AD381" s="73"/>
      <x:c r="AE381" s="73"/>
      <x:c r="AF381" s="73"/>
      <x:c r="AG381" s="77"/>
      <x:c r="AH381" s="73"/>
      <x:c r="AI381" s="91"/>
      <x:c r="AJ381" s="91"/>
      <x:c r="AK381" s="91"/>
      <x:c r="AL381" s="92"/>
      <x:c r="AM381" s="91"/>
      <x:c r="AN381" s="91"/>
      <x:c r="AO381" s="93"/>
      <x:c r="AP381" s="94"/>
      <x:c r="AQ381" s="91"/>
      <x:c r="AR381" s="91"/>
      <x:c r="AS381" s="91"/>
      <x:c r="AT381" s="91"/>
      <x:c r="AU381" s="91"/>
      <x:c r="AV381" s="91"/>
      <x:c r="AW381" s="91"/>
      <x:c r="AX381" s="91"/>
      <x:c r="AY381" s="91"/>
      <x:c r="AZ381" s="92"/>
      <x:c r="BA381" s="94"/>
      <x:c r="BB381" s="91"/>
      <x:c r="BC381" s="92"/>
      <x:c r="BD381" s="92"/>
      <x:c r="BE381" s="91"/>
      <x:c r="BF381" s="91"/>
      <x:c r="BG381" s="91"/>
      <x:c r="BH381" s="91"/>
      <x:c r="BI381" s="91"/>
      <x:c r="BJ381" s="91"/>
      <x:c r="BK381" s="91"/>
      <x:c r="BL381" s="91"/>
      <x:c r="BM381" s="73" t="str">
        <x:f>IF(A381="","",IF(AI381="Example","Example only",IF(AI381&lt;&gt;"Actual","Set record type",IF(COUNTIF($A$2:$A$1001,A381)&gt;1,"Duplicate record ID",IF(OR(D381="",E381="",AF381="",NOT(ISNUMBER(AG381)),AJ381="",AK381="",NOT(ISNUMBER(AL381)),AND(AM381&lt;&gt;"Observed",AM381&lt;&gt;"Corroborated",AM381&lt;&gt;"Declared"),OR(AN381="",AN381="Unknown"),OR(AQ381="",AQ381="Unknown"),OR(AR381="",AR381="Unknown",AR381="TBD"),OR(BC381="",NOT(ISNUMBER(BC381)))),"Evidence incomplete","Evidence recorded; review scope")))))</x:f>
      </x:c>
      <x:c r="BN381" s="73"/>
    </x:row>
    <x:row r="382" ht="34" customHeight="1">
      <x:c r="A382" s="73"/>
      <x:c r="B382" s="73"/>
      <x:c r="C382" s="73"/>
      <x:c r="D382" s="73"/>
      <x:c r="E382" s="73"/>
      <x:c r="F382" s="73"/>
      <x:c r="G382" s="73"/>
      <x:c r="H382" s="73"/>
      <x:c r="I382" s="75"/>
      <x:c r="J382" s="73"/>
      <x:c r="K382" s="73"/>
      <x:c r="L382" s="76"/>
      <x:c r="M382" s="73"/>
      <x:c r="N382" s="73"/>
      <x:c r="O382" s="73"/>
      <x:c r="P382" s="73"/>
      <x:c r="Q382" s="76"/>
      <x:c r="R382" s="73"/>
      <x:c r="S382" s="73"/>
      <x:c r="T382" s="73"/>
      <x:c r="U382" s="73"/>
      <x:c r="V382" s="73"/>
      <x:c r="W382" s="73"/>
      <x:c r="X382" s="73"/>
      <x:c r="Y382" s="73"/>
      <x:c r="Z382" s="73"/>
      <x:c r="AA382" s="73"/>
      <x:c r="AB382" s="76" t="str">
        <x:f>IF(A382="","",IF(OR(NOT(ISNUMBER(I382)),I382&lt;0,NOT(ISNUMBER(AP382)),AP382&lt;0,NOT(ISNUMBER(L382)),L382&lt;1,L382&gt;5,L382&lt;&gt;INT(L382),AND(J382&lt;&gt;"Public",J382&lt;&gt;"Partner",J382&lt;&gt;"Internal",J382&lt;&gt;"None"),AND(K382&lt;&gt;"High",K382&lt;&gt;"Medium",K382&lt;&gt;"Low",K382&lt;&gt;"None"),AND(W382&lt;&gt;"Hard-coded",W382&lt;&gt;"Configurable",W382&lt;&gt;"Policy-managed",W382&lt;&gt;"API/Library abstraction",W382&lt;&gt;"Automated"),AND(Z382&lt;&gt;"Y",Z382&lt;&gt;"N"),AND(AA382&lt;&gt;"Y",AA382&lt;&gt;"N")),"Incomplete",IF(Z382="Y",20,0)+L382*5+IF(AA382="Y",15,0)+IF(J382="Public",10,IF(J382="Partner",7,IF(J382="Internal",3,0)))+IF(W382="Hard-coded",10,IF(W382="Configurable",3,0))+IF(MAX(I382,AP382)&gt;=10,10,IF(MAX(I382,AP382)&gt;=5,7,IF(MAX(I382,AP382)&gt;=2,3,0)))+IF(K382="High",10,IF(K382="Medium",5,0))))</x:f>
      </x:c>
      <x:c r="AC382" s="73" t="str">
        <x:f>IF(A382="","",IF(NOT(ISNUMBER(AB382)),"Review inputs",IF(AB382&gt;=70,"P0 - Immediate",IF(AB382&gt;=50,"P1 - High",IF(AB382&gt;=30,"P2 - Medium",IF(AB382&gt;=15,"P3 - Low","P4 - Monitor"))))))</x:f>
      </x:c>
      <x:c r="AD382" s="73"/>
      <x:c r="AE382" s="73"/>
      <x:c r="AF382" s="73"/>
      <x:c r="AG382" s="77"/>
      <x:c r="AH382" s="73"/>
      <x:c r="AI382" s="91"/>
      <x:c r="AJ382" s="91"/>
      <x:c r="AK382" s="91"/>
      <x:c r="AL382" s="92"/>
      <x:c r="AM382" s="91"/>
      <x:c r="AN382" s="91"/>
      <x:c r="AO382" s="93"/>
      <x:c r="AP382" s="94"/>
      <x:c r="AQ382" s="91"/>
      <x:c r="AR382" s="91"/>
      <x:c r="AS382" s="91"/>
      <x:c r="AT382" s="91"/>
      <x:c r="AU382" s="91"/>
      <x:c r="AV382" s="91"/>
      <x:c r="AW382" s="91"/>
      <x:c r="AX382" s="91"/>
      <x:c r="AY382" s="91"/>
      <x:c r="AZ382" s="92"/>
      <x:c r="BA382" s="94"/>
      <x:c r="BB382" s="91"/>
      <x:c r="BC382" s="92"/>
      <x:c r="BD382" s="92"/>
      <x:c r="BE382" s="91"/>
      <x:c r="BF382" s="91"/>
      <x:c r="BG382" s="91"/>
      <x:c r="BH382" s="91"/>
      <x:c r="BI382" s="91"/>
      <x:c r="BJ382" s="91"/>
      <x:c r="BK382" s="91"/>
      <x:c r="BL382" s="91"/>
      <x:c r="BM382" s="73" t="str">
        <x:f>IF(A382="","",IF(AI382="Example","Example only",IF(AI382&lt;&gt;"Actual","Set record type",IF(COUNTIF($A$2:$A$1001,A382)&gt;1,"Duplicate record ID",IF(OR(D382="",E382="",AF382="",NOT(ISNUMBER(AG382)),AJ382="",AK382="",NOT(ISNUMBER(AL382)),AND(AM382&lt;&gt;"Observed",AM382&lt;&gt;"Corroborated",AM382&lt;&gt;"Declared"),OR(AN382="",AN382="Unknown"),OR(AQ382="",AQ382="Unknown"),OR(AR382="",AR382="Unknown",AR382="TBD"),OR(BC382="",NOT(ISNUMBER(BC382)))),"Evidence incomplete","Evidence recorded; review scope")))))</x:f>
      </x:c>
      <x:c r="BN382" s="73"/>
    </x:row>
    <x:row r="383" ht="34" customHeight="1">
      <x:c r="A383" s="73"/>
      <x:c r="B383" s="73"/>
      <x:c r="C383" s="73"/>
      <x:c r="D383" s="73"/>
      <x:c r="E383" s="73"/>
      <x:c r="F383" s="73"/>
      <x:c r="G383" s="73"/>
      <x:c r="H383" s="73"/>
      <x:c r="I383" s="75"/>
      <x:c r="J383" s="73"/>
      <x:c r="K383" s="73"/>
      <x:c r="L383" s="76"/>
      <x:c r="M383" s="73"/>
      <x:c r="N383" s="73"/>
      <x:c r="O383" s="73"/>
      <x:c r="P383" s="73"/>
      <x:c r="Q383" s="76"/>
      <x:c r="R383" s="73"/>
      <x:c r="S383" s="73"/>
      <x:c r="T383" s="73"/>
      <x:c r="U383" s="73"/>
      <x:c r="V383" s="73"/>
      <x:c r="W383" s="73"/>
      <x:c r="X383" s="73"/>
      <x:c r="Y383" s="73"/>
      <x:c r="Z383" s="73"/>
      <x:c r="AA383" s="73"/>
      <x:c r="AB383" s="76" t="str">
        <x:f>IF(A383="","",IF(OR(NOT(ISNUMBER(I383)),I383&lt;0,NOT(ISNUMBER(AP383)),AP383&lt;0,NOT(ISNUMBER(L383)),L383&lt;1,L383&gt;5,L383&lt;&gt;INT(L383),AND(J383&lt;&gt;"Public",J383&lt;&gt;"Partner",J383&lt;&gt;"Internal",J383&lt;&gt;"None"),AND(K383&lt;&gt;"High",K383&lt;&gt;"Medium",K383&lt;&gt;"Low",K383&lt;&gt;"None"),AND(W383&lt;&gt;"Hard-coded",W383&lt;&gt;"Configurable",W383&lt;&gt;"Policy-managed",W383&lt;&gt;"API/Library abstraction",W383&lt;&gt;"Automated"),AND(Z383&lt;&gt;"Y",Z383&lt;&gt;"N"),AND(AA383&lt;&gt;"Y",AA383&lt;&gt;"N")),"Incomplete",IF(Z383="Y",20,0)+L383*5+IF(AA383="Y",15,0)+IF(J383="Public",10,IF(J383="Partner",7,IF(J383="Internal",3,0)))+IF(W383="Hard-coded",10,IF(W383="Configurable",3,0))+IF(MAX(I383,AP383)&gt;=10,10,IF(MAX(I383,AP383)&gt;=5,7,IF(MAX(I383,AP383)&gt;=2,3,0)))+IF(K383="High",10,IF(K383="Medium",5,0))))</x:f>
      </x:c>
      <x:c r="AC383" s="73" t="str">
        <x:f>IF(A383="","",IF(NOT(ISNUMBER(AB383)),"Review inputs",IF(AB383&gt;=70,"P0 - Immediate",IF(AB383&gt;=50,"P1 - High",IF(AB383&gt;=30,"P2 - Medium",IF(AB383&gt;=15,"P3 - Low","P4 - Monitor"))))))</x:f>
      </x:c>
      <x:c r="AD383" s="73"/>
      <x:c r="AE383" s="73"/>
      <x:c r="AF383" s="73"/>
      <x:c r="AG383" s="77"/>
      <x:c r="AH383" s="73"/>
      <x:c r="AI383" s="91"/>
      <x:c r="AJ383" s="91"/>
      <x:c r="AK383" s="91"/>
      <x:c r="AL383" s="92"/>
      <x:c r="AM383" s="91"/>
      <x:c r="AN383" s="91"/>
      <x:c r="AO383" s="93"/>
      <x:c r="AP383" s="94"/>
      <x:c r="AQ383" s="91"/>
      <x:c r="AR383" s="91"/>
      <x:c r="AS383" s="91"/>
      <x:c r="AT383" s="91"/>
      <x:c r="AU383" s="91"/>
      <x:c r="AV383" s="91"/>
      <x:c r="AW383" s="91"/>
      <x:c r="AX383" s="91"/>
      <x:c r="AY383" s="91"/>
      <x:c r="AZ383" s="92"/>
      <x:c r="BA383" s="94"/>
      <x:c r="BB383" s="91"/>
      <x:c r="BC383" s="92"/>
      <x:c r="BD383" s="92"/>
      <x:c r="BE383" s="91"/>
      <x:c r="BF383" s="91"/>
      <x:c r="BG383" s="91"/>
      <x:c r="BH383" s="91"/>
      <x:c r="BI383" s="91"/>
      <x:c r="BJ383" s="91"/>
      <x:c r="BK383" s="91"/>
      <x:c r="BL383" s="91"/>
      <x:c r="BM383" s="73" t="str">
        <x:f>IF(A383="","",IF(AI383="Example","Example only",IF(AI383&lt;&gt;"Actual","Set record type",IF(COUNTIF($A$2:$A$1001,A383)&gt;1,"Duplicate record ID",IF(OR(D383="",E383="",AF383="",NOT(ISNUMBER(AG383)),AJ383="",AK383="",NOT(ISNUMBER(AL383)),AND(AM383&lt;&gt;"Observed",AM383&lt;&gt;"Corroborated",AM383&lt;&gt;"Declared"),OR(AN383="",AN383="Unknown"),OR(AQ383="",AQ383="Unknown"),OR(AR383="",AR383="Unknown",AR383="TBD"),OR(BC383="",NOT(ISNUMBER(BC383)))),"Evidence incomplete","Evidence recorded; review scope")))))</x:f>
      </x:c>
      <x:c r="BN383" s="73"/>
    </x:row>
    <x:row r="384" ht="34" customHeight="1">
      <x:c r="A384" s="73"/>
      <x:c r="B384" s="73"/>
      <x:c r="C384" s="73"/>
      <x:c r="D384" s="73"/>
      <x:c r="E384" s="73"/>
      <x:c r="F384" s="73"/>
      <x:c r="G384" s="73"/>
      <x:c r="H384" s="73"/>
      <x:c r="I384" s="75"/>
      <x:c r="J384" s="73"/>
      <x:c r="K384" s="73"/>
      <x:c r="L384" s="76"/>
      <x:c r="M384" s="73"/>
      <x:c r="N384" s="73"/>
      <x:c r="O384" s="73"/>
      <x:c r="P384" s="73"/>
      <x:c r="Q384" s="76"/>
      <x:c r="R384" s="73"/>
      <x:c r="S384" s="73"/>
      <x:c r="T384" s="73"/>
      <x:c r="U384" s="73"/>
      <x:c r="V384" s="73"/>
      <x:c r="W384" s="73"/>
      <x:c r="X384" s="73"/>
      <x:c r="Y384" s="73"/>
      <x:c r="Z384" s="73"/>
      <x:c r="AA384" s="73"/>
      <x:c r="AB384" s="76" t="str">
        <x:f>IF(A384="","",IF(OR(NOT(ISNUMBER(I384)),I384&lt;0,NOT(ISNUMBER(AP384)),AP384&lt;0,NOT(ISNUMBER(L384)),L384&lt;1,L384&gt;5,L384&lt;&gt;INT(L384),AND(J384&lt;&gt;"Public",J384&lt;&gt;"Partner",J384&lt;&gt;"Internal",J384&lt;&gt;"None"),AND(K384&lt;&gt;"High",K384&lt;&gt;"Medium",K384&lt;&gt;"Low",K384&lt;&gt;"None"),AND(W384&lt;&gt;"Hard-coded",W384&lt;&gt;"Configurable",W384&lt;&gt;"Policy-managed",W384&lt;&gt;"API/Library abstraction",W384&lt;&gt;"Automated"),AND(Z384&lt;&gt;"Y",Z384&lt;&gt;"N"),AND(AA384&lt;&gt;"Y",AA384&lt;&gt;"N")),"Incomplete",IF(Z384="Y",20,0)+L384*5+IF(AA384="Y",15,0)+IF(J384="Public",10,IF(J384="Partner",7,IF(J384="Internal",3,0)))+IF(W384="Hard-coded",10,IF(W384="Configurable",3,0))+IF(MAX(I384,AP384)&gt;=10,10,IF(MAX(I384,AP384)&gt;=5,7,IF(MAX(I384,AP384)&gt;=2,3,0)))+IF(K384="High",10,IF(K384="Medium",5,0))))</x:f>
      </x:c>
      <x:c r="AC384" s="73" t="str">
        <x:f>IF(A384="","",IF(NOT(ISNUMBER(AB384)),"Review inputs",IF(AB384&gt;=70,"P0 - Immediate",IF(AB384&gt;=50,"P1 - High",IF(AB384&gt;=30,"P2 - Medium",IF(AB384&gt;=15,"P3 - Low","P4 - Monitor"))))))</x:f>
      </x:c>
      <x:c r="AD384" s="73"/>
      <x:c r="AE384" s="73"/>
      <x:c r="AF384" s="73"/>
      <x:c r="AG384" s="77"/>
      <x:c r="AH384" s="73"/>
      <x:c r="AI384" s="91"/>
      <x:c r="AJ384" s="91"/>
      <x:c r="AK384" s="91"/>
      <x:c r="AL384" s="92"/>
      <x:c r="AM384" s="91"/>
      <x:c r="AN384" s="91"/>
      <x:c r="AO384" s="93"/>
      <x:c r="AP384" s="94"/>
      <x:c r="AQ384" s="91"/>
      <x:c r="AR384" s="91"/>
      <x:c r="AS384" s="91"/>
      <x:c r="AT384" s="91"/>
      <x:c r="AU384" s="91"/>
      <x:c r="AV384" s="91"/>
      <x:c r="AW384" s="91"/>
      <x:c r="AX384" s="91"/>
      <x:c r="AY384" s="91"/>
      <x:c r="AZ384" s="92"/>
      <x:c r="BA384" s="94"/>
      <x:c r="BB384" s="91"/>
      <x:c r="BC384" s="92"/>
      <x:c r="BD384" s="92"/>
      <x:c r="BE384" s="91"/>
      <x:c r="BF384" s="91"/>
      <x:c r="BG384" s="91"/>
      <x:c r="BH384" s="91"/>
      <x:c r="BI384" s="91"/>
      <x:c r="BJ384" s="91"/>
      <x:c r="BK384" s="91"/>
      <x:c r="BL384" s="91"/>
      <x:c r="BM384" s="73" t="str">
        <x:f>IF(A384="","",IF(AI384="Example","Example only",IF(AI384&lt;&gt;"Actual","Set record type",IF(COUNTIF($A$2:$A$1001,A384)&gt;1,"Duplicate record ID",IF(OR(D384="",E384="",AF384="",NOT(ISNUMBER(AG384)),AJ384="",AK384="",NOT(ISNUMBER(AL384)),AND(AM384&lt;&gt;"Observed",AM384&lt;&gt;"Corroborated",AM384&lt;&gt;"Declared"),OR(AN384="",AN384="Unknown"),OR(AQ384="",AQ384="Unknown"),OR(AR384="",AR384="Unknown",AR384="TBD"),OR(BC384="",NOT(ISNUMBER(BC384)))),"Evidence incomplete","Evidence recorded; review scope")))))</x:f>
      </x:c>
      <x:c r="BN384" s="73"/>
    </x:row>
    <x:row r="385" ht="34" customHeight="1">
      <x:c r="A385" s="73"/>
      <x:c r="B385" s="73"/>
      <x:c r="C385" s="73"/>
      <x:c r="D385" s="73"/>
      <x:c r="E385" s="73"/>
      <x:c r="F385" s="73"/>
      <x:c r="G385" s="73"/>
      <x:c r="H385" s="73"/>
      <x:c r="I385" s="75"/>
      <x:c r="J385" s="73"/>
      <x:c r="K385" s="73"/>
      <x:c r="L385" s="76"/>
      <x:c r="M385" s="73"/>
      <x:c r="N385" s="73"/>
      <x:c r="O385" s="73"/>
      <x:c r="P385" s="73"/>
      <x:c r="Q385" s="76"/>
      <x:c r="R385" s="73"/>
      <x:c r="S385" s="73"/>
      <x:c r="T385" s="73"/>
      <x:c r="U385" s="73"/>
      <x:c r="V385" s="73"/>
      <x:c r="W385" s="73"/>
      <x:c r="X385" s="73"/>
      <x:c r="Y385" s="73"/>
      <x:c r="Z385" s="73"/>
      <x:c r="AA385" s="73"/>
      <x:c r="AB385" s="76" t="str">
        <x:f>IF(A385="","",IF(OR(NOT(ISNUMBER(I385)),I385&lt;0,NOT(ISNUMBER(AP385)),AP385&lt;0,NOT(ISNUMBER(L385)),L385&lt;1,L385&gt;5,L385&lt;&gt;INT(L385),AND(J385&lt;&gt;"Public",J385&lt;&gt;"Partner",J385&lt;&gt;"Internal",J385&lt;&gt;"None"),AND(K385&lt;&gt;"High",K385&lt;&gt;"Medium",K385&lt;&gt;"Low",K385&lt;&gt;"None"),AND(W385&lt;&gt;"Hard-coded",W385&lt;&gt;"Configurable",W385&lt;&gt;"Policy-managed",W385&lt;&gt;"API/Library abstraction",W385&lt;&gt;"Automated"),AND(Z385&lt;&gt;"Y",Z385&lt;&gt;"N"),AND(AA385&lt;&gt;"Y",AA385&lt;&gt;"N")),"Incomplete",IF(Z385="Y",20,0)+L385*5+IF(AA385="Y",15,0)+IF(J385="Public",10,IF(J385="Partner",7,IF(J385="Internal",3,0)))+IF(W385="Hard-coded",10,IF(W385="Configurable",3,0))+IF(MAX(I385,AP385)&gt;=10,10,IF(MAX(I385,AP385)&gt;=5,7,IF(MAX(I385,AP385)&gt;=2,3,0)))+IF(K385="High",10,IF(K385="Medium",5,0))))</x:f>
      </x:c>
      <x:c r="AC385" s="73" t="str">
        <x:f>IF(A385="","",IF(NOT(ISNUMBER(AB385)),"Review inputs",IF(AB385&gt;=70,"P0 - Immediate",IF(AB385&gt;=50,"P1 - High",IF(AB385&gt;=30,"P2 - Medium",IF(AB385&gt;=15,"P3 - Low","P4 - Monitor"))))))</x:f>
      </x:c>
      <x:c r="AD385" s="73"/>
      <x:c r="AE385" s="73"/>
      <x:c r="AF385" s="73"/>
      <x:c r="AG385" s="77"/>
      <x:c r="AH385" s="73"/>
      <x:c r="AI385" s="91"/>
      <x:c r="AJ385" s="91"/>
      <x:c r="AK385" s="91"/>
      <x:c r="AL385" s="92"/>
      <x:c r="AM385" s="91"/>
      <x:c r="AN385" s="91"/>
      <x:c r="AO385" s="93"/>
      <x:c r="AP385" s="94"/>
      <x:c r="AQ385" s="91"/>
      <x:c r="AR385" s="91"/>
      <x:c r="AS385" s="91"/>
      <x:c r="AT385" s="91"/>
      <x:c r="AU385" s="91"/>
      <x:c r="AV385" s="91"/>
      <x:c r="AW385" s="91"/>
      <x:c r="AX385" s="91"/>
      <x:c r="AY385" s="91"/>
      <x:c r="AZ385" s="92"/>
      <x:c r="BA385" s="94"/>
      <x:c r="BB385" s="91"/>
      <x:c r="BC385" s="92"/>
      <x:c r="BD385" s="92"/>
      <x:c r="BE385" s="91"/>
      <x:c r="BF385" s="91"/>
      <x:c r="BG385" s="91"/>
      <x:c r="BH385" s="91"/>
      <x:c r="BI385" s="91"/>
      <x:c r="BJ385" s="91"/>
      <x:c r="BK385" s="91"/>
      <x:c r="BL385" s="91"/>
      <x:c r="BM385" s="73" t="str">
        <x:f>IF(A385="","",IF(AI385="Example","Example only",IF(AI385&lt;&gt;"Actual","Set record type",IF(COUNTIF($A$2:$A$1001,A385)&gt;1,"Duplicate record ID",IF(OR(D385="",E385="",AF385="",NOT(ISNUMBER(AG385)),AJ385="",AK385="",NOT(ISNUMBER(AL385)),AND(AM385&lt;&gt;"Observed",AM385&lt;&gt;"Corroborated",AM385&lt;&gt;"Declared"),OR(AN385="",AN385="Unknown"),OR(AQ385="",AQ385="Unknown"),OR(AR385="",AR385="Unknown",AR385="TBD"),OR(BC385="",NOT(ISNUMBER(BC385)))),"Evidence incomplete","Evidence recorded; review scope")))))</x:f>
      </x:c>
      <x:c r="BN385" s="73"/>
    </x:row>
    <x:row r="386" ht="34" customHeight="1">
      <x:c r="A386" s="73"/>
      <x:c r="B386" s="73"/>
      <x:c r="C386" s="73"/>
      <x:c r="D386" s="73"/>
      <x:c r="E386" s="73"/>
      <x:c r="F386" s="73"/>
      <x:c r="G386" s="73"/>
      <x:c r="H386" s="73"/>
      <x:c r="I386" s="75"/>
      <x:c r="J386" s="73"/>
      <x:c r="K386" s="73"/>
      <x:c r="L386" s="76"/>
      <x:c r="M386" s="73"/>
      <x:c r="N386" s="73"/>
      <x:c r="O386" s="73"/>
      <x:c r="P386" s="73"/>
      <x:c r="Q386" s="76"/>
      <x:c r="R386" s="73"/>
      <x:c r="S386" s="73"/>
      <x:c r="T386" s="73"/>
      <x:c r="U386" s="73"/>
      <x:c r="V386" s="73"/>
      <x:c r="W386" s="73"/>
      <x:c r="X386" s="73"/>
      <x:c r="Y386" s="73"/>
      <x:c r="Z386" s="73"/>
      <x:c r="AA386" s="73"/>
      <x:c r="AB386" s="76" t="str">
        <x:f>IF(A386="","",IF(OR(NOT(ISNUMBER(I386)),I386&lt;0,NOT(ISNUMBER(AP386)),AP386&lt;0,NOT(ISNUMBER(L386)),L386&lt;1,L386&gt;5,L386&lt;&gt;INT(L386),AND(J386&lt;&gt;"Public",J386&lt;&gt;"Partner",J386&lt;&gt;"Internal",J386&lt;&gt;"None"),AND(K386&lt;&gt;"High",K386&lt;&gt;"Medium",K386&lt;&gt;"Low",K386&lt;&gt;"None"),AND(W386&lt;&gt;"Hard-coded",W386&lt;&gt;"Configurable",W386&lt;&gt;"Policy-managed",W386&lt;&gt;"API/Library abstraction",W386&lt;&gt;"Automated"),AND(Z386&lt;&gt;"Y",Z386&lt;&gt;"N"),AND(AA386&lt;&gt;"Y",AA386&lt;&gt;"N")),"Incomplete",IF(Z386="Y",20,0)+L386*5+IF(AA386="Y",15,0)+IF(J386="Public",10,IF(J386="Partner",7,IF(J386="Internal",3,0)))+IF(W386="Hard-coded",10,IF(W386="Configurable",3,0))+IF(MAX(I386,AP386)&gt;=10,10,IF(MAX(I386,AP386)&gt;=5,7,IF(MAX(I386,AP386)&gt;=2,3,0)))+IF(K386="High",10,IF(K386="Medium",5,0))))</x:f>
      </x:c>
      <x:c r="AC386" s="73" t="str">
        <x:f>IF(A386="","",IF(NOT(ISNUMBER(AB386)),"Review inputs",IF(AB386&gt;=70,"P0 - Immediate",IF(AB386&gt;=50,"P1 - High",IF(AB386&gt;=30,"P2 - Medium",IF(AB386&gt;=15,"P3 - Low","P4 - Monitor"))))))</x:f>
      </x:c>
      <x:c r="AD386" s="73"/>
      <x:c r="AE386" s="73"/>
      <x:c r="AF386" s="73"/>
      <x:c r="AG386" s="77"/>
      <x:c r="AH386" s="73"/>
      <x:c r="AI386" s="91"/>
      <x:c r="AJ386" s="91"/>
      <x:c r="AK386" s="91"/>
      <x:c r="AL386" s="92"/>
      <x:c r="AM386" s="91"/>
      <x:c r="AN386" s="91"/>
      <x:c r="AO386" s="93"/>
      <x:c r="AP386" s="94"/>
      <x:c r="AQ386" s="91"/>
      <x:c r="AR386" s="91"/>
      <x:c r="AS386" s="91"/>
      <x:c r="AT386" s="91"/>
      <x:c r="AU386" s="91"/>
      <x:c r="AV386" s="91"/>
      <x:c r="AW386" s="91"/>
      <x:c r="AX386" s="91"/>
      <x:c r="AY386" s="91"/>
      <x:c r="AZ386" s="92"/>
      <x:c r="BA386" s="94"/>
      <x:c r="BB386" s="91"/>
      <x:c r="BC386" s="92"/>
      <x:c r="BD386" s="92"/>
      <x:c r="BE386" s="91"/>
      <x:c r="BF386" s="91"/>
      <x:c r="BG386" s="91"/>
      <x:c r="BH386" s="91"/>
      <x:c r="BI386" s="91"/>
      <x:c r="BJ386" s="91"/>
      <x:c r="BK386" s="91"/>
      <x:c r="BL386" s="91"/>
      <x:c r="BM386" s="73" t="str">
        <x:f>IF(A386="","",IF(AI386="Example","Example only",IF(AI386&lt;&gt;"Actual","Set record type",IF(COUNTIF($A$2:$A$1001,A386)&gt;1,"Duplicate record ID",IF(OR(D386="",E386="",AF386="",NOT(ISNUMBER(AG386)),AJ386="",AK386="",NOT(ISNUMBER(AL386)),AND(AM386&lt;&gt;"Observed",AM386&lt;&gt;"Corroborated",AM386&lt;&gt;"Declared"),OR(AN386="",AN386="Unknown"),OR(AQ386="",AQ386="Unknown"),OR(AR386="",AR386="Unknown",AR386="TBD"),OR(BC386="",NOT(ISNUMBER(BC386)))),"Evidence incomplete","Evidence recorded; review scope")))))</x:f>
      </x:c>
      <x:c r="BN386" s="73"/>
    </x:row>
    <x:row r="387" ht="34" customHeight="1">
      <x:c r="A387" s="73"/>
      <x:c r="B387" s="73"/>
      <x:c r="C387" s="73"/>
      <x:c r="D387" s="73"/>
      <x:c r="E387" s="73"/>
      <x:c r="F387" s="73"/>
      <x:c r="G387" s="73"/>
      <x:c r="H387" s="73"/>
      <x:c r="I387" s="75"/>
      <x:c r="J387" s="73"/>
      <x:c r="K387" s="73"/>
      <x:c r="L387" s="76"/>
      <x:c r="M387" s="73"/>
      <x:c r="N387" s="73"/>
      <x:c r="O387" s="73"/>
      <x:c r="P387" s="73"/>
      <x:c r="Q387" s="76"/>
      <x:c r="R387" s="73"/>
      <x:c r="S387" s="73"/>
      <x:c r="T387" s="73"/>
      <x:c r="U387" s="73"/>
      <x:c r="V387" s="73"/>
      <x:c r="W387" s="73"/>
      <x:c r="X387" s="73"/>
      <x:c r="Y387" s="73"/>
      <x:c r="Z387" s="73"/>
      <x:c r="AA387" s="73"/>
      <x:c r="AB387" s="76" t="str">
        <x:f>IF(A387="","",IF(OR(NOT(ISNUMBER(I387)),I387&lt;0,NOT(ISNUMBER(AP387)),AP387&lt;0,NOT(ISNUMBER(L387)),L387&lt;1,L387&gt;5,L387&lt;&gt;INT(L387),AND(J387&lt;&gt;"Public",J387&lt;&gt;"Partner",J387&lt;&gt;"Internal",J387&lt;&gt;"None"),AND(K387&lt;&gt;"High",K387&lt;&gt;"Medium",K387&lt;&gt;"Low",K387&lt;&gt;"None"),AND(W387&lt;&gt;"Hard-coded",W387&lt;&gt;"Configurable",W387&lt;&gt;"Policy-managed",W387&lt;&gt;"API/Library abstraction",W387&lt;&gt;"Automated"),AND(Z387&lt;&gt;"Y",Z387&lt;&gt;"N"),AND(AA387&lt;&gt;"Y",AA387&lt;&gt;"N")),"Incomplete",IF(Z387="Y",20,0)+L387*5+IF(AA387="Y",15,0)+IF(J387="Public",10,IF(J387="Partner",7,IF(J387="Internal",3,0)))+IF(W387="Hard-coded",10,IF(W387="Configurable",3,0))+IF(MAX(I387,AP387)&gt;=10,10,IF(MAX(I387,AP387)&gt;=5,7,IF(MAX(I387,AP387)&gt;=2,3,0)))+IF(K387="High",10,IF(K387="Medium",5,0))))</x:f>
      </x:c>
      <x:c r="AC387" s="73" t="str">
        <x:f>IF(A387="","",IF(NOT(ISNUMBER(AB387)),"Review inputs",IF(AB387&gt;=70,"P0 - Immediate",IF(AB387&gt;=50,"P1 - High",IF(AB387&gt;=30,"P2 - Medium",IF(AB387&gt;=15,"P3 - Low","P4 - Monitor"))))))</x:f>
      </x:c>
      <x:c r="AD387" s="73"/>
      <x:c r="AE387" s="73"/>
      <x:c r="AF387" s="73"/>
      <x:c r="AG387" s="77"/>
      <x:c r="AH387" s="73"/>
      <x:c r="AI387" s="91"/>
      <x:c r="AJ387" s="91"/>
      <x:c r="AK387" s="91"/>
      <x:c r="AL387" s="92"/>
      <x:c r="AM387" s="91"/>
      <x:c r="AN387" s="91"/>
      <x:c r="AO387" s="93"/>
      <x:c r="AP387" s="94"/>
      <x:c r="AQ387" s="91"/>
      <x:c r="AR387" s="91"/>
      <x:c r="AS387" s="91"/>
      <x:c r="AT387" s="91"/>
      <x:c r="AU387" s="91"/>
      <x:c r="AV387" s="91"/>
      <x:c r="AW387" s="91"/>
      <x:c r="AX387" s="91"/>
      <x:c r="AY387" s="91"/>
      <x:c r="AZ387" s="92"/>
      <x:c r="BA387" s="94"/>
      <x:c r="BB387" s="91"/>
      <x:c r="BC387" s="92"/>
      <x:c r="BD387" s="92"/>
      <x:c r="BE387" s="91"/>
      <x:c r="BF387" s="91"/>
      <x:c r="BG387" s="91"/>
      <x:c r="BH387" s="91"/>
      <x:c r="BI387" s="91"/>
      <x:c r="BJ387" s="91"/>
      <x:c r="BK387" s="91"/>
      <x:c r="BL387" s="91"/>
      <x:c r="BM387" s="73" t="str">
        <x:f>IF(A387="","",IF(AI387="Example","Example only",IF(AI387&lt;&gt;"Actual","Set record type",IF(COUNTIF($A$2:$A$1001,A387)&gt;1,"Duplicate record ID",IF(OR(D387="",E387="",AF387="",NOT(ISNUMBER(AG387)),AJ387="",AK387="",NOT(ISNUMBER(AL387)),AND(AM387&lt;&gt;"Observed",AM387&lt;&gt;"Corroborated",AM387&lt;&gt;"Declared"),OR(AN387="",AN387="Unknown"),OR(AQ387="",AQ387="Unknown"),OR(AR387="",AR387="Unknown",AR387="TBD"),OR(BC387="",NOT(ISNUMBER(BC387)))),"Evidence incomplete","Evidence recorded; review scope")))))</x:f>
      </x:c>
      <x:c r="BN387" s="73"/>
    </x:row>
    <x:row r="388" ht="34" customHeight="1">
      <x:c r="A388" s="73"/>
      <x:c r="B388" s="73"/>
      <x:c r="C388" s="73"/>
      <x:c r="D388" s="73"/>
      <x:c r="E388" s="73"/>
      <x:c r="F388" s="73"/>
      <x:c r="G388" s="73"/>
      <x:c r="H388" s="73"/>
      <x:c r="I388" s="75"/>
      <x:c r="J388" s="73"/>
      <x:c r="K388" s="73"/>
      <x:c r="L388" s="76"/>
      <x:c r="M388" s="73"/>
      <x:c r="N388" s="73"/>
      <x:c r="O388" s="73"/>
      <x:c r="P388" s="73"/>
      <x:c r="Q388" s="76"/>
      <x:c r="R388" s="73"/>
      <x:c r="S388" s="73"/>
      <x:c r="T388" s="73"/>
      <x:c r="U388" s="73"/>
      <x:c r="V388" s="73"/>
      <x:c r="W388" s="73"/>
      <x:c r="X388" s="73"/>
      <x:c r="Y388" s="73"/>
      <x:c r="Z388" s="73"/>
      <x:c r="AA388" s="73"/>
      <x:c r="AB388" s="76" t="str">
        <x:f>IF(A388="","",IF(OR(NOT(ISNUMBER(I388)),I388&lt;0,NOT(ISNUMBER(AP388)),AP388&lt;0,NOT(ISNUMBER(L388)),L388&lt;1,L388&gt;5,L388&lt;&gt;INT(L388),AND(J388&lt;&gt;"Public",J388&lt;&gt;"Partner",J388&lt;&gt;"Internal",J388&lt;&gt;"None"),AND(K388&lt;&gt;"High",K388&lt;&gt;"Medium",K388&lt;&gt;"Low",K388&lt;&gt;"None"),AND(W388&lt;&gt;"Hard-coded",W388&lt;&gt;"Configurable",W388&lt;&gt;"Policy-managed",W388&lt;&gt;"API/Library abstraction",W388&lt;&gt;"Automated"),AND(Z388&lt;&gt;"Y",Z388&lt;&gt;"N"),AND(AA388&lt;&gt;"Y",AA388&lt;&gt;"N")),"Incomplete",IF(Z388="Y",20,0)+L388*5+IF(AA388="Y",15,0)+IF(J388="Public",10,IF(J388="Partner",7,IF(J388="Internal",3,0)))+IF(W388="Hard-coded",10,IF(W388="Configurable",3,0))+IF(MAX(I388,AP388)&gt;=10,10,IF(MAX(I388,AP388)&gt;=5,7,IF(MAX(I388,AP388)&gt;=2,3,0)))+IF(K388="High",10,IF(K388="Medium",5,0))))</x:f>
      </x:c>
      <x:c r="AC388" s="73" t="str">
        <x:f>IF(A388="","",IF(NOT(ISNUMBER(AB388)),"Review inputs",IF(AB388&gt;=70,"P0 - Immediate",IF(AB388&gt;=50,"P1 - High",IF(AB388&gt;=30,"P2 - Medium",IF(AB388&gt;=15,"P3 - Low","P4 - Monitor"))))))</x:f>
      </x:c>
      <x:c r="AD388" s="73"/>
      <x:c r="AE388" s="73"/>
      <x:c r="AF388" s="73"/>
      <x:c r="AG388" s="77"/>
      <x:c r="AH388" s="73"/>
      <x:c r="AI388" s="91"/>
      <x:c r="AJ388" s="91"/>
      <x:c r="AK388" s="91"/>
      <x:c r="AL388" s="92"/>
      <x:c r="AM388" s="91"/>
      <x:c r="AN388" s="91"/>
      <x:c r="AO388" s="93"/>
      <x:c r="AP388" s="94"/>
      <x:c r="AQ388" s="91"/>
      <x:c r="AR388" s="91"/>
      <x:c r="AS388" s="91"/>
      <x:c r="AT388" s="91"/>
      <x:c r="AU388" s="91"/>
      <x:c r="AV388" s="91"/>
      <x:c r="AW388" s="91"/>
      <x:c r="AX388" s="91"/>
      <x:c r="AY388" s="91"/>
      <x:c r="AZ388" s="92"/>
      <x:c r="BA388" s="94"/>
      <x:c r="BB388" s="91"/>
      <x:c r="BC388" s="92"/>
      <x:c r="BD388" s="92"/>
      <x:c r="BE388" s="91"/>
      <x:c r="BF388" s="91"/>
      <x:c r="BG388" s="91"/>
      <x:c r="BH388" s="91"/>
      <x:c r="BI388" s="91"/>
      <x:c r="BJ388" s="91"/>
      <x:c r="BK388" s="91"/>
      <x:c r="BL388" s="91"/>
      <x:c r="BM388" s="73" t="str">
        <x:f>IF(A388="","",IF(AI388="Example","Example only",IF(AI388&lt;&gt;"Actual","Set record type",IF(COUNTIF($A$2:$A$1001,A388)&gt;1,"Duplicate record ID",IF(OR(D388="",E388="",AF388="",NOT(ISNUMBER(AG388)),AJ388="",AK388="",NOT(ISNUMBER(AL388)),AND(AM388&lt;&gt;"Observed",AM388&lt;&gt;"Corroborated",AM388&lt;&gt;"Declared"),OR(AN388="",AN388="Unknown"),OR(AQ388="",AQ388="Unknown"),OR(AR388="",AR388="Unknown",AR388="TBD"),OR(BC388="",NOT(ISNUMBER(BC388)))),"Evidence incomplete","Evidence recorded; review scope")))))</x:f>
      </x:c>
      <x:c r="BN388" s="73"/>
    </x:row>
    <x:row r="389" ht="34" customHeight="1">
      <x:c r="A389" s="73"/>
      <x:c r="B389" s="73"/>
      <x:c r="C389" s="73"/>
      <x:c r="D389" s="73"/>
      <x:c r="E389" s="73"/>
      <x:c r="F389" s="73"/>
      <x:c r="G389" s="73"/>
      <x:c r="H389" s="73"/>
      <x:c r="I389" s="75"/>
      <x:c r="J389" s="73"/>
      <x:c r="K389" s="73"/>
      <x:c r="L389" s="76"/>
      <x:c r="M389" s="73"/>
      <x:c r="N389" s="73"/>
      <x:c r="O389" s="73"/>
      <x:c r="P389" s="73"/>
      <x:c r="Q389" s="76"/>
      <x:c r="R389" s="73"/>
      <x:c r="S389" s="73"/>
      <x:c r="T389" s="73"/>
      <x:c r="U389" s="73"/>
      <x:c r="V389" s="73"/>
      <x:c r="W389" s="73"/>
      <x:c r="X389" s="73"/>
      <x:c r="Y389" s="73"/>
      <x:c r="Z389" s="73"/>
      <x:c r="AA389" s="73"/>
      <x:c r="AB389" s="76" t="str">
        <x:f>IF(A389="","",IF(OR(NOT(ISNUMBER(I389)),I389&lt;0,NOT(ISNUMBER(AP389)),AP389&lt;0,NOT(ISNUMBER(L389)),L389&lt;1,L389&gt;5,L389&lt;&gt;INT(L389),AND(J389&lt;&gt;"Public",J389&lt;&gt;"Partner",J389&lt;&gt;"Internal",J389&lt;&gt;"None"),AND(K389&lt;&gt;"High",K389&lt;&gt;"Medium",K389&lt;&gt;"Low",K389&lt;&gt;"None"),AND(W389&lt;&gt;"Hard-coded",W389&lt;&gt;"Configurable",W389&lt;&gt;"Policy-managed",W389&lt;&gt;"API/Library abstraction",W389&lt;&gt;"Automated"),AND(Z389&lt;&gt;"Y",Z389&lt;&gt;"N"),AND(AA389&lt;&gt;"Y",AA389&lt;&gt;"N")),"Incomplete",IF(Z389="Y",20,0)+L389*5+IF(AA389="Y",15,0)+IF(J389="Public",10,IF(J389="Partner",7,IF(J389="Internal",3,0)))+IF(W389="Hard-coded",10,IF(W389="Configurable",3,0))+IF(MAX(I389,AP389)&gt;=10,10,IF(MAX(I389,AP389)&gt;=5,7,IF(MAX(I389,AP389)&gt;=2,3,0)))+IF(K389="High",10,IF(K389="Medium",5,0))))</x:f>
      </x:c>
      <x:c r="AC389" s="73" t="str">
        <x:f>IF(A389="","",IF(NOT(ISNUMBER(AB389)),"Review inputs",IF(AB389&gt;=70,"P0 - Immediate",IF(AB389&gt;=50,"P1 - High",IF(AB389&gt;=30,"P2 - Medium",IF(AB389&gt;=15,"P3 - Low","P4 - Monitor"))))))</x:f>
      </x:c>
      <x:c r="AD389" s="73"/>
      <x:c r="AE389" s="73"/>
      <x:c r="AF389" s="73"/>
      <x:c r="AG389" s="77"/>
      <x:c r="AH389" s="73"/>
      <x:c r="AI389" s="91"/>
      <x:c r="AJ389" s="91"/>
      <x:c r="AK389" s="91"/>
      <x:c r="AL389" s="92"/>
      <x:c r="AM389" s="91"/>
      <x:c r="AN389" s="91"/>
      <x:c r="AO389" s="93"/>
      <x:c r="AP389" s="94"/>
      <x:c r="AQ389" s="91"/>
      <x:c r="AR389" s="91"/>
      <x:c r="AS389" s="91"/>
      <x:c r="AT389" s="91"/>
      <x:c r="AU389" s="91"/>
      <x:c r="AV389" s="91"/>
      <x:c r="AW389" s="91"/>
      <x:c r="AX389" s="91"/>
      <x:c r="AY389" s="91"/>
      <x:c r="AZ389" s="92"/>
      <x:c r="BA389" s="94"/>
      <x:c r="BB389" s="91"/>
      <x:c r="BC389" s="92"/>
      <x:c r="BD389" s="92"/>
      <x:c r="BE389" s="91"/>
      <x:c r="BF389" s="91"/>
      <x:c r="BG389" s="91"/>
      <x:c r="BH389" s="91"/>
      <x:c r="BI389" s="91"/>
      <x:c r="BJ389" s="91"/>
      <x:c r="BK389" s="91"/>
      <x:c r="BL389" s="91"/>
      <x:c r="BM389" s="73" t="str">
        <x:f>IF(A389="","",IF(AI389="Example","Example only",IF(AI389&lt;&gt;"Actual","Set record type",IF(COUNTIF($A$2:$A$1001,A389)&gt;1,"Duplicate record ID",IF(OR(D389="",E389="",AF389="",NOT(ISNUMBER(AG389)),AJ389="",AK389="",NOT(ISNUMBER(AL389)),AND(AM389&lt;&gt;"Observed",AM389&lt;&gt;"Corroborated",AM389&lt;&gt;"Declared"),OR(AN389="",AN389="Unknown"),OR(AQ389="",AQ389="Unknown"),OR(AR389="",AR389="Unknown",AR389="TBD"),OR(BC389="",NOT(ISNUMBER(BC389)))),"Evidence incomplete","Evidence recorded; review scope")))))</x:f>
      </x:c>
      <x:c r="BN389" s="73"/>
    </x:row>
    <x:row r="390" ht="34" customHeight="1">
      <x:c r="A390" s="73"/>
      <x:c r="B390" s="73"/>
      <x:c r="C390" s="73"/>
      <x:c r="D390" s="73"/>
      <x:c r="E390" s="73"/>
      <x:c r="F390" s="73"/>
      <x:c r="G390" s="73"/>
      <x:c r="H390" s="73"/>
      <x:c r="I390" s="75"/>
      <x:c r="J390" s="73"/>
      <x:c r="K390" s="73"/>
      <x:c r="L390" s="76"/>
      <x:c r="M390" s="73"/>
      <x:c r="N390" s="73"/>
      <x:c r="O390" s="73"/>
      <x:c r="P390" s="73"/>
      <x:c r="Q390" s="76"/>
      <x:c r="R390" s="73"/>
      <x:c r="S390" s="73"/>
      <x:c r="T390" s="73"/>
      <x:c r="U390" s="73"/>
      <x:c r="V390" s="73"/>
      <x:c r="W390" s="73"/>
      <x:c r="X390" s="73"/>
      <x:c r="Y390" s="73"/>
      <x:c r="Z390" s="73"/>
      <x:c r="AA390" s="73"/>
      <x:c r="AB390" s="76" t="str">
        <x:f>IF(A390="","",IF(OR(NOT(ISNUMBER(I390)),I390&lt;0,NOT(ISNUMBER(AP390)),AP390&lt;0,NOT(ISNUMBER(L390)),L390&lt;1,L390&gt;5,L390&lt;&gt;INT(L390),AND(J390&lt;&gt;"Public",J390&lt;&gt;"Partner",J390&lt;&gt;"Internal",J390&lt;&gt;"None"),AND(K390&lt;&gt;"High",K390&lt;&gt;"Medium",K390&lt;&gt;"Low",K390&lt;&gt;"None"),AND(W390&lt;&gt;"Hard-coded",W390&lt;&gt;"Configurable",W390&lt;&gt;"Policy-managed",W390&lt;&gt;"API/Library abstraction",W390&lt;&gt;"Automated"),AND(Z390&lt;&gt;"Y",Z390&lt;&gt;"N"),AND(AA390&lt;&gt;"Y",AA390&lt;&gt;"N")),"Incomplete",IF(Z390="Y",20,0)+L390*5+IF(AA390="Y",15,0)+IF(J390="Public",10,IF(J390="Partner",7,IF(J390="Internal",3,0)))+IF(W390="Hard-coded",10,IF(W390="Configurable",3,0))+IF(MAX(I390,AP390)&gt;=10,10,IF(MAX(I390,AP390)&gt;=5,7,IF(MAX(I390,AP390)&gt;=2,3,0)))+IF(K390="High",10,IF(K390="Medium",5,0))))</x:f>
      </x:c>
      <x:c r="AC390" s="73" t="str">
        <x:f>IF(A390="","",IF(NOT(ISNUMBER(AB390)),"Review inputs",IF(AB390&gt;=70,"P0 - Immediate",IF(AB390&gt;=50,"P1 - High",IF(AB390&gt;=30,"P2 - Medium",IF(AB390&gt;=15,"P3 - Low","P4 - Monitor"))))))</x:f>
      </x:c>
      <x:c r="AD390" s="73"/>
      <x:c r="AE390" s="73"/>
      <x:c r="AF390" s="73"/>
      <x:c r="AG390" s="77"/>
      <x:c r="AH390" s="73"/>
      <x:c r="AI390" s="91"/>
      <x:c r="AJ390" s="91"/>
      <x:c r="AK390" s="91"/>
      <x:c r="AL390" s="92"/>
      <x:c r="AM390" s="91"/>
      <x:c r="AN390" s="91"/>
      <x:c r="AO390" s="93"/>
      <x:c r="AP390" s="94"/>
      <x:c r="AQ390" s="91"/>
      <x:c r="AR390" s="91"/>
      <x:c r="AS390" s="91"/>
      <x:c r="AT390" s="91"/>
      <x:c r="AU390" s="91"/>
      <x:c r="AV390" s="91"/>
      <x:c r="AW390" s="91"/>
      <x:c r="AX390" s="91"/>
      <x:c r="AY390" s="91"/>
      <x:c r="AZ390" s="92"/>
      <x:c r="BA390" s="94"/>
      <x:c r="BB390" s="91"/>
      <x:c r="BC390" s="92"/>
      <x:c r="BD390" s="92"/>
      <x:c r="BE390" s="91"/>
      <x:c r="BF390" s="91"/>
      <x:c r="BG390" s="91"/>
      <x:c r="BH390" s="91"/>
      <x:c r="BI390" s="91"/>
      <x:c r="BJ390" s="91"/>
      <x:c r="BK390" s="91"/>
      <x:c r="BL390" s="91"/>
      <x:c r="BM390" s="73" t="str">
        <x:f>IF(A390="","",IF(AI390="Example","Example only",IF(AI390&lt;&gt;"Actual","Set record type",IF(COUNTIF($A$2:$A$1001,A390)&gt;1,"Duplicate record ID",IF(OR(D390="",E390="",AF390="",NOT(ISNUMBER(AG390)),AJ390="",AK390="",NOT(ISNUMBER(AL390)),AND(AM390&lt;&gt;"Observed",AM390&lt;&gt;"Corroborated",AM390&lt;&gt;"Declared"),OR(AN390="",AN390="Unknown"),OR(AQ390="",AQ390="Unknown"),OR(AR390="",AR390="Unknown",AR390="TBD"),OR(BC390="",NOT(ISNUMBER(BC390)))),"Evidence incomplete","Evidence recorded; review scope")))))</x:f>
      </x:c>
      <x:c r="BN390" s="73"/>
    </x:row>
    <x:row r="391" ht="34" customHeight="1">
      <x:c r="A391" s="73"/>
      <x:c r="B391" s="73"/>
      <x:c r="C391" s="73"/>
      <x:c r="D391" s="73"/>
      <x:c r="E391" s="73"/>
      <x:c r="F391" s="73"/>
      <x:c r="G391" s="73"/>
      <x:c r="H391" s="73"/>
      <x:c r="I391" s="75"/>
      <x:c r="J391" s="73"/>
      <x:c r="K391" s="73"/>
      <x:c r="L391" s="76"/>
      <x:c r="M391" s="73"/>
      <x:c r="N391" s="73"/>
      <x:c r="O391" s="73"/>
      <x:c r="P391" s="73"/>
      <x:c r="Q391" s="76"/>
      <x:c r="R391" s="73"/>
      <x:c r="S391" s="73"/>
      <x:c r="T391" s="73"/>
      <x:c r="U391" s="73"/>
      <x:c r="V391" s="73"/>
      <x:c r="W391" s="73"/>
      <x:c r="X391" s="73"/>
      <x:c r="Y391" s="73"/>
      <x:c r="Z391" s="73"/>
      <x:c r="AA391" s="73"/>
      <x:c r="AB391" s="76" t="str">
        <x:f>IF(A391="","",IF(OR(NOT(ISNUMBER(I391)),I391&lt;0,NOT(ISNUMBER(AP391)),AP391&lt;0,NOT(ISNUMBER(L391)),L391&lt;1,L391&gt;5,L391&lt;&gt;INT(L391),AND(J391&lt;&gt;"Public",J391&lt;&gt;"Partner",J391&lt;&gt;"Internal",J391&lt;&gt;"None"),AND(K391&lt;&gt;"High",K391&lt;&gt;"Medium",K391&lt;&gt;"Low",K391&lt;&gt;"None"),AND(W391&lt;&gt;"Hard-coded",W391&lt;&gt;"Configurable",W391&lt;&gt;"Policy-managed",W391&lt;&gt;"API/Library abstraction",W391&lt;&gt;"Automated"),AND(Z391&lt;&gt;"Y",Z391&lt;&gt;"N"),AND(AA391&lt;&gt;"Y",AA391&lt;&gt;"N")),"Incomplete",IF(Z391="Y",20,0)+L391*5+IF(AA391="Y",15,0)+IF(J391="Public",10,IF(J391="Partner",7,IF(J391="Internal",3,0)))+IF(W391="Hard-coded",10,IF(W391="Configurable",3,0))+IF(MAX(I391,AP391)&gt;=10,10,IF(MAX(I391,AP391)&gt;=5,7,IF(MAX(I391,AP391)&gt;=2,3,0)))+IF(K391="High",10,IF(K391="Medium",5,0))))</x:f>
      </x:c>
      <x:c r="AC391" s="73" t="str">
        <x:f>IF(A391="","",IF(NOT(ISNUMBER(AB391)),"Review inputs",IF(AB391&gt;=70,"P0 - Immediate",IF(AB391&gt;=50,"P1 - High",IF(AB391&gt;=30,"P2 - Medium",IF(AB391&gt;=15,"P3 - Low","P4 - Monitor"))))))</x:f>
      </x:c>
      <x:c r="AD391" s="73"/>
      <x:c r="AE391" s="73"/>
      <x:c r="AF391" s="73"/>
      <x:c r="AG391" s="77"/>
      <x:c r="AH391" s="73"/>
      <x:c r="AI391" s="91"/>
      <x:c r="AJ391" s="91"/>
      <x:c r="AK391" s="91"/>
      <x:c r="AL391" s="92"/>
      <x:c r="AM391" s="91"/>
      <x:c r="AN391" s="91"/>
      <x:c r="AO391" s="93"/>
      <x:c r="AP391" s="94"/>
      <x:c r="AQ391" s="91"/>
      <x:c r="AR391" s="91"/>
      <x:c r="AS391" s="91"/>
      <x:c r="AT391" s="91"/>
      <x:c r="AU391" s="91"/>
      <x:c r="AV391" s="91"/>
      <x:c r="AW391" s="91"/>
      <x:c r="AX391" s="91"/>
      <x:c r="AY391" s="91"/>
      <x:c r="AZ391" s="92"/>
      <x:c r="BA391" s="94"/>
      <x:c r="BB391" s="91"/>
      <x:c r="BC391" s="92"/>
      <x:c r="BD391" s="92"/>
      <x:c r="BE391" s="91"/>
      <x:c r="BF391" s="91"/>
      <x:c r="BG391" s="91"/>
      <x:c r="BH391" s="91"/>
      <x:c r="BI391" s="91"/>
      <x:c r="BJ391" s="91"/>
      <x:c r="BK391" s="91"/>
      <x:c r="BL391" s="91"/>
      <x:c r="BM391" s="73" t="str">
        <x:f>IF(A391="","",IF(AI391="Example","Example only",IF(AI391&lt;&gt;"Actual","Set record type",IF(COUNTIF($A$2:$A$1001,A391)&gt;1,"Duplicate record ID",IF(OR(D391="",E391="",AF391="",NOT(ISNUMBER(AG391)),AJ391="",AK391="",NOT(ISNUMBER(AL391)),AND(AM391&lt;&gt;"Observed",AM391&lt;&gt;"Corroborated",AM391&lt;&gt;"Declared"),OR(AN391="",AN391="Unknown"),OR(AQ391="",AQ391="Unknown"),OR(AR391="",AR391="Unknown",AR391="TBD"),OR(BC391="",NOT(ISNUMBER(BC391)))),"Evidence incomplete","Evidence recorded; review scope")))))</x:f>
      </x:c>
      <x:c r="BN391" s="73"/>
    </x:row>
    <x:row r="392" ht="34" customHeight="1">
      <x:c r="A392" s="73"/>
      <x:c r="B392" s="73"/>
      <x:c r="C392" s="73"/>
      <x:c r="D392" s="73"/>
      <x:c r="E392" s="73"/>
      <x:c r="F392" s="73"/>
      <x:c r="G392" s="73"/>
      <x:c r="H392" s="73"/>
      <x:c r="I392" s="75"/>
      <x:c r="J392" s="73"/>
      <x:c r="K392" s="73"/>
      <x:c r="L392" s="76"/>
      <x:c r="M392" s="73"/>
      <x:c r="N392" s="73"/>
      <x:c r="O392" s="73"/>
      <x:c r="P392" s="73"/>
      <x:c r="Q392" s="76"/>
      <x:c r="R392" s="73"/>
      <x:c r="S392" s="73"/>
      <x:c r="T392" s="73"/>
      <x:c r="U392" s="73"/>
      <x:c r="V392" s="73"/>
      <x:c r="W392" s="73"/>
      <x:c r="X392" s="73"/>
      <x:c r="Y392" s="73"/>
      <x:c r="Z392" s="73"/>
      <x:c r="AA392" s="73"/>
      <x:c r="AB392" s="76" t="str">
        <x:f>IF(A392="","",IF(OR(NOT(ISNUMBER(I392)),I392&lt;0,NOT(ISNUMBER(AP392)),AP392&lt;0,NOT(ISNUMBER(L392)),L392&lt;1,L392&gt;5,L392&lt;&gt;INT(L392),AND(J392&lt;&gt;"Public",J392&lt;&gt;"Partner",J392&lt;&gt;"Internal",J392&lt;&gt;"None"),AND(K392&lt;&gt;"High",K392&lt;&gt;"Medium",K392&lt;&gt;"Low",K392&lt;&gt;"None"),AND(W392&lt;&gt;"Hard-coded",W392&lt;&gt;"Configurable",W392&lt;&gt;"Policy-managed",W392&lt;&gt;"API/Library abstraction",W392&lt;&gt;"Automated"),AND(Z392&lt;&gt;"Y",Z392&lt;&gt;"N"),AND(AA392&lt;&gt;"Y",AA392&lt;&gt;"N")),"Incomplete",IF(Z392="Y",20,0)+L392*5+IF(AA392="Y",15,0)+IF(J392="Public",10,IF(J392="Partner",7,IF(J392="Internal",3,0)))+IF(W392="Hard-coded",10,IF(W392="Configurable",3,0))+IF(MAX(I392,AP392)&gt;=10,10,IF(MAX(I392,AP392)&gt;=5,7,IF(MAX(I392,AP392)&gt;=2,3,0)))+IF(K392="High",10,IF(K392="Medium",5,0))))</x:f>
      </x:c>
      <x:c r="AC392" s="73" t="str">
        <x:f>IF(A392="","",IF(NOT(ISNUMBER(AB392)),"Review inputs",IF(AB392&gt;=70,"P0 - Immediate",IF(AB392&gt;=50,"P1 - High",IF(AB392&gt;=30,"P2 - Medium",IF(AB392&gt;=15,"P3 - Low","P4 - Monitor"))))))</x:f>
      </x:c>
      <x:c r="AD392" s="73"/>
      <x:c r="AE392" s="73"/>
      <x:c r="AF392" s="73"/>
      <x:c r="AG392" s="77"/>
      <x:c r="AH392" s="73"/>
      <x:c r="AI392" s="91"/>
      <x:c r="AJ392" s="91"/>
      <x:c r="AK392" s="91"/>
      <x:c r="AL392" s="92"/>
      <x:c r="AM392" s="91"/>
      <x:c r="AN392" s="91"/>
      <x:c r="AO392" s="93"/>
      <x:c r="AP392" s="94"/>
      <x:c r="AQ392" s="91"/>
      <x:c r="AR392" s="91"/>
      <x:c r="AS392" s="91"/>
      <x:c r="AT392" s="91"/>
      <x:c r="AU392" s="91"/>
      <x:c r="AV392" s="91"/>
      <x:c r="AW392" s="91"/>
      <x:c r="AX392" s="91"/>
      <x:c r="AY392" s="91"/>
      <x:c r="AZ392" s="92"/>
      <x:c r="BA392" s="94"/>
      <x:c r="BB392" s="91"/>
      <x:c r="BC392" s="92"/>
      <x:c r="BD392" s="92"/>
      <x:c r="BE392" s="91"/>
      <x:c r="BF392" s="91"/>
      <x:c r="BG392" s="91"/>
      <x:c r="BH392" s="91"/>
      <x:c r="BI392" s="91"/>
      <x:c r="BJ392" s="91"/>
      <x:c r="BK392" s="91"/>
      <x:c r="BL392" s="91"/>
      <x:c r="BM392" s="73" t="str">
        <x:f>IF(A392="","",IF(AI392="Example","Example only",IF(AI392&lt;&gt;"Actual","Set record type",IF(COUNTIF($A$2:$A$1001,A392)&gt;1,"Duplicate record ID",IF(OR(D392="",E392="",AF392="",NOT(ISNUMBER(AG392)),AJ392="",AK392="",NOT(ISNUMBER(AL392)),AND(AM392&lt;&gt;"Observed",AM392&lt;&gt;"Corroborated",AM392&lt;&gt;"Declared"),OR(AN392="",AN392="Unknown"),OR(AQ392="",AQ392="Unknown"),OR(AR392="",AR392="Unknown",AR392="TBD"),OR(BC392="",NOT(ISNUMBER(BC392)))),"Evidence incomplete","Evidence recorded; review scope")))))</x:f>
      </x:c>
      <x:c r="BN392" s="73"/>
    </x:row>
    <x:row r="393" ht="34" customHeight="1">
      <x:c r="A393" s="73"/>
      <x:c r="B393" s="73"/>
      <x:c r="C393" s="73"/>
      <x:c r="D393" s="73"/>
      <x:c r="E393" s="73"/>
      <x:c r="F393" s="73"/>
      <x:c r="G393" s="73"/>
      <x:c r="H393" s="73"/>
      <x:c r="I393" s="75"/>
      <x:c r="J393" s="73"/>
      <x:c r="K393" s="73"/>
      <x:c r="L393" s="76"/>
      <x:c r="M393" s="73"/>
      <x:c r="N393" s="73"/>
      <x:c r="O393" s="73"/>
      <x:c r="P393" s="73"/>
      <x:c r="Q393" s="76"/>
      <x:c r="R393" s="73"/>
      <x:c r="S393" s="73"/>
      <x:c r="T393" s="73"/>
      <x:c r="U393" s="73"/>
      <x:c r="V393" s="73"/>
      <x:c r="W393" s="73"/>
      <x:c r="X393" s="73"/>
      <x:c r="Y393" s="73"/>
      <x:c r="Z393" s="73"/>
      <x:c r="AA393" s="73"/>
      <x:c r="AB393" s="76" t="str">
        <x:f>IF(A393="","",IF(OR(NOT(ISNUMBER(I393)),I393&lt;0,NOT(ISNUMBER(AP393)),AP393&lt;0,NOT(ISNUMBER(L393)),L393&lt;1,L393&gt;5,L393&lt;&gt;INT(L393),AND(J393&lt;&gt;"Public",J393&lt;&gt;"Partner",J393&lt;&gt;"Internal",J393&lt;&gt;"None"),AND(K393&lt;&gt;"High",K393&lt;&gt;"Medium",K393&lt;&gt;"Low",K393&lt;&gt;"None"),AND(W393&lt;&gt;"Hard-coded",W393&lt;&gt;"Configurable",W393&lt;&gt;"Policy-managed",W393&lt;&gt;"API/Library abstraction",W393&lt;&gt;"Automated"),AND(Z393&lt;&gt;"Y",Z393&lt;&gt;"N"),AND(AA393&lt;&gt;"Y",AA393&lt;&gt;"N")),"Incomplete",IF(Z393="Y",20,0)+L393*5+IF(AA393="Y",15,0)+IF(J393="Public",10,IF(J393="Partner",7,IF(J393="Internal",3,0)))+IF(W393="Hard-coded",10,IF(W393="Configurable",3,0))+IF(MAX(I393,AP393)&gt;=10,10,IF(MAX(I393,AP393)&gt;=5,7,IF(MAX(I393,AP393)&gt;=2,3,0)))+IF(K393="High",10,IF(K393="Medium",5,0))))</x:f>
      </x:c>
      <x:c r="AC393" s="73" t="str">
        <x:f>IF(A393="","",IF(NOT(ISNUMBER(AB393)),"Review inputs",IF(AB393&gt;=70,"P0 - Immediate",IF(AB393&gt;=50,"P1 - High",IF(AB393&gt;=30,"P2 - Medium",IF(AB393&gt;=15,"P3 - Low","P4 - Monitor"))))))</x:f>
      </x:c>
      <x:c r="AD393" s="73"/>
      <x:c r="AE393" s="73"/>
      <x:c r="AF393" s="73"/>
      <x:c r="AG393" s="77"/>
      <x:c r="AH393" s="73"/>
      <x:c r="AI393" s="91"/>
      <x:c r="AJ393" s="91"/>
      <x:c r="AK393" s="91"/>
      <x:c r="AL393" s="92"/>
      <x:c r="AM393" s="91"/>
      <x:c r="AN393" s="91"/>
      <x:c r="AO393" s="93"/>
      <x:c r="AP393" s="94"/>
      <x:c r="AQ393" s="91"/>
      <x:c r="AR393" s="91"/>
      <x:c r="AS393" s="91"/>
      <x:c r="AT393" s="91"/>
      <x:c r="AU393" s="91"/>
      <x:c r="AV393" s="91"/>
      <x:c r="AW393" s="91"/>
      <x:c r="AX393" s="91"/>
      <x:c r="AY393" s="91"/>
      <x:c r="AZ393" s="92"/>
      <x:c r="BA393" s="94"/>
      <x:c r="BB393" s="91"/>
      <x:c r="BC393" s="92"/>
      <x:c r="BD393" s="92"/>
      <x:c r="BE393" s="91"/>
      <x:c r="BF393" s="91"/>
      <x:c r="BG393" s="91"/>
      <x:c r="BH393" s="91"/>
      <x:c r="BI393" s="91"/>
      <x:c r="BJ393" s="91"/>
      <x:c r="BK393" s="91"/>
      <x:c r="BL393" s="91"/>
      <x:c r="BM393" s="73" t="str">
        <x:f>IF(A393="","",IF(AI393="Example","Example only",IF(AI393&lt;&gt;"Actual","Set record type",IF(COUNTIF($A$2:$A$1001,A393)&gt;1,"Duplicate record ID",IF(OR(D393="",E393="",AF393="",NOT(ISNUMBER(AG393)),AJ393="",AK393="",NOT(ISNUMBER(AL393)),AND(AM393&lt;&gt;"Observed",AM393&lt;&gt;"Corroborated",AM393&lt;&gt;"Declared"),OR(AN393="",AN393="Unknown"),OR(AQ393="",AQ393="Unknown"),OR(AR393="",AR393="Unknown",AR393="TBD"),OR(BC393="",NOT(ISNUMBER(BC393)))),"Evidence incomplete","Evidence recorded; review scope")))))</x:f>
      </x:c>
      <x:c r="BN393" s="73"/>
    </x:row>
    <x:row r="394" ht="34" customHeight="1">
      <x:c r="A394" s="73"/>
      <x:c r="B394" s="73"/>
      <x:c r="C394" s="73"/>
      <x:c r="D394" s="73"/>
      <x:c r="E394" s="73"/>
      <x:c r="F394" s="73"/>
      <x:c r="G394" s="73"/>
      <x:c r="H394" s="73"/>
      <x:c r="I394" s="75"/>
      <x:c r="J394" s="73"/>
      <x:c r="K394" s="73"/>
      <x:c r="L394" s="76"/>
      <x:c r="M394" s="73"/>
      <x:c r="N394" s="73"/>
      <x:c r="O394" s="73"/>
      <x:c r="P394" s="73"/>
      <x:c r="Q394" s="76"/>
      <x:c r="R394" s="73"/>
      <x:c r="S394" s="73"/>
      <x:c r="T394" s="73"/>
      <x:c r="U394" s="73"/>
      <x:c r="V394" s="73"/>
      <x:c r="W394" s="73"/>
      <x:c r="X394" s="73"/>
      <x:c r="Y394" s="73"/>
      <x:c r="Z394" s="73"/>
      <x:c r="AA394" s="73"/>
      <x:c r="AB394" s="76" t="str">
        <x:f>IF(A394="","",IF(OR(NOT(ISNUMBER(I394)),I394&lt;0,NOT(ISNUMBER(AP394)),AP394&lt;0,NOT(ISNUMBER(L394)),L394&lt;1,L394&gt;5,L394&lt;&gt;INT(L394),AND(J394&lt;&gt;"Public",J394&lt;&gt;"Partner",J394&lt;&gt;"Internal",J394&lt;&gt;"None"),AND(K394&lt;&gt;"High",K394&lt;&gt;"Medium",K394&lt;&gt;"Low",K394&lt;&gt;"None"),AND(W394&lt;&gt;"Hard-coded",W394&lt;&gt;"Configurable",W394&lt;&gt;"Policy-managed",W394&lt;&gt;"API/Library abstraction",W394&lt;&gt;"Automated"),AND(Z394&lt;&gt;"Y",Z394&lt;&gt;"N"),AND(AA394&lt;&gt;"Y",AA394&lt;&gt;"N")),"Incomplete",IF(Z394="Y",20,0)+L394*5+IF(AA394="Y",15,0)+IF(J394="Public",10,IF(J394="Partner",7,IF(J394="Internal",3,0)))+IF(W394="Hard-coded",10,IF(W394="Configurable",3,0))+IF(MAX(I394,AP394)&gt;=10,10,IF(MAX(I394,AP394)&gt;=5,7,IF(MAX(I394,AP394)&gt;=2,3,0)))+IF(K394="High",10,IF(K394="Medium",5,0))))</x:f>
      </x:c>
      <x:c r="AC394" s="73" t="str">
        <x:f>IF(A394="","",IF(NOT(ISNUMBER(AB394)),"Review inputs",IF(AB394&gt;=70,"P0 - Immediate",IF(AB394&gt;=50,"P1 - High",IF(AB394&gt;=30,"P2 - Medium",IF(AB394&gt;=15,"P3 - Low","P4 - Monitor"))))))</x:f>
      </x:c>
      <x:c r="AD394" s="73"/>
      <x:c r="AE394" s="73"/>
      <x:c r="AF394" s="73"/>
      <x:c r="AG394" s="77"/>
      <x:c r="AH394" s="73"/>
      <x:c r="AI394" s="91"/>
      <x:c r="AJ394" s="91"/>
      <x:c r="AK394" s="91"/>
      <x:c r="AL394" s="92"/>
      <x:c r="AM394" s="91"/>
      <x:c r="AN394" s="91"/>
      <x:c r="AO394" s="93"/>
      <x:c r="AP394" s="94"/>
      <x:c r="AQ394" s="91"/>
      <x:c r="AR394" s="91"/>
      <x:c r="AS394" s="91"/>
      <x:c r="AT394" s="91"/>
      <x:c r="AU394" s="91"/>
      <x:c r="AV394" s="91"/>
      <x:c r="AW394" s="91"/>
      <x:c r="AX394" s="91"/>
      <x:c r="AY394" s="91"/>
      <x:c r="AZ394" s="92"/>
      <x:c r="BA394" s="94"/>
      <x:c r="BB394" s="91"/>
      <x:c r="BC394" s="92"/>
      <x:c r="BD394" s="92"/>
      <x:c r="BE394" s="91"/>
      <x:c r="BF394" s="91"/>
      <x:c r="BG394" s="91"/>
      <x:c r="BH394" s="91"/>
      <x:c r="BI394" s="91"/>
      <x:c r="BJ394" s="91"/>
      <x:c r="BK394" s="91"/>
      <x:c r="BL394" s="91"/>
      <x:c r="BM394" s="73" t="str">
        <x:f>IF(A394="","",IF(AI394="Example","Example only",IF(AI394&lt;&gt;"Actual","Set record type",IF(COUNTIF($A$2:$A$1001,A394)&gt;1,"Duplicate record ID",IF(OR(D394="",E394="",AF394="",NOT(ISNUMBER(AG394)),AJ394="",AK394="",NOT(ISNUMBER(AL394)),AND(AM394&lt;&gt;"Observed",AM394&lt;&gt;"Corroborated",AM394&lt;&gt;"Declared"),OR(AN394="",AN394="Unknown"),OR(AQ394="",AQ394="Unknown"),OR(AR394="",AR394="Unknown",AR394="TBD"),OR(BC394="",NOT(ISNUMBER(BC394)))),"Evidence incomplete","Evidence recorded; review scope")))))</x:f>
      </x:c>
      <x:c r="BN394" s="73"/>
    </x:row>
    <x:row r="395" ht="34" customHeight="1">
      <x:c r="A395" s="73"/>
      <x:c r="B395" s="73"/>
      <x:c r="C395" s="73"/>
      <x:c r="D395" s="73"/>
      <x:c r="E395" s="73"/>
      <x:c r="F395" s="73"/>
      <x:c r="G395" s="73"/>
      <x:c r="H395" s="73"/>
      <x:c r="I395" s="75"/>
      <x:c r="J395" s="73"/>
      <x:c r="K395" s="73"/>
      <x:c r="L395" s="76"/>
      <x:c r="M395" s="73"/>
      <x:c r="N395" s="73"/>
      <x:c r="O395" s="73"/>
      <x:c r="P395" s="73"/>
      <x:c r="Q395" s="76"/>
      <x:c r="R395" s="73"/>
      <x:c r="S395" s="73"/>
      <x:c r="T395" s="73"/>
      <x:c r="U395" s="73"/>
      <x:c r="V395" s="73"/>
      <x:c r="W395" s="73"/>
      <x:c r="X395" s="73"/>
      <x:c r="Y395" s="73"/>
      <x:c r="Z395" s="73"/>
      <x:c r="AA395" s="73"/>
      <x:c r="AB395" s="76" t="str">
        <x:f>IF(A395="","",IF(OR(NOT(ISNUMBER(I395)),I395&lt;0,NOT(ISNUMBER(AP395)),AP395&lt;0,NOT(ISNUMBER(L395)),L395&lt;1,L395&gt;5,L395&lt;&gt;INT(L395),AND(J395&lt;&gt;"Public",J395&lt;&gt;"Partner",J395&lt;&gt;"Internal",J395&lt;&gt;"None"),AND(K395&lt;&gt;"High",K395&lt;&gt;"Medium",K395&lt;&gt;"Low",K395&lt;&gt;"None"),AND(W395&lt;&gt;"Hard-coded",W395&lt;&gt;"Configurable",W395&lt;&gt;"Policy-managed",W395&lt;&gt;"API/Library abstraction",W395&lt;&gt;"Automated"),AND(Z395&lt;&gt;"Y",Z395&lt;&gt;"N"),AND(AA395&lt;&gt;"Y",AA395&lt;&gt;"N")),"Incomplete",IF(Z395="Y",20,0)+L395*5+IF(AA395="Y",15,0)+IF(J395="Public",10,IF(J395="Partner",7,IF(J395="Internal",3,0)))+IF(W395="Hard-coded",10,IF(W395="Configurable",3,0))+IF(MAX(I395,AP395)&gt;=10,10,IF(MAX(I395,AP395)&gt;=5,7,IF(MAX(I395,AP395)&gt;=2,3,0)))+IF(K395="High",10,IF(K395="Medium",5,0))))</x:f>
      </x:c>
      <x:c r="AC395" s="73" t="str">
        <x:f>IF(A395="","",IF(NOT(ISNUMBER(AB395)),"Review inputs",IF(AB395&gt;=70,"P0 - Immediate",IF(AB395&gt;=50,"P1 - High",IF(AB395&gt;=30,"P2 - Medium",IF(AB395&gt;=15,"P3 - Low","P4 - Monitor"))))))</x:f>
      </x:c>
      <x:c r="AD395" s="73"/>
      <x:c r="AE395" s="73"/>
      <x:c r="AF395" s="73"/>
      <x:c r="AG395" s="77"/>
      <x:c r="AH395" s="73"/>
      <x:c r="AI395" s="91"/>
      <x:c r="AJ395" s="91"/>
      <x:c r="AK395" s="91"/>
      <x:c r="AL395" s="92"/>
      <x:c r="AM395" s="91"/>
      <x:c r="AN395" s="91"/>
      <x:c r="AO395" s="93"/>
      <x:c r="AP395" s="94"/>
      <x:c r="AQ395" s="91"/>
      <x:c r="AR395" s="91"/>
      <x:c r="AS395" s="91"/>
      <x:c r="AT395" s="91"/>
      <x:c r="AU395" s="91"/>
      <x:c r="AV395" s="91"/>
      <x:c r="AW395" s="91"/>
      <x:c r="AX395" s="91"/>
      <x:c r="AY395" s="91"/>
      <x:c r="AZ395" s="92"/>
      <x:c r="BA395" s="94"/>
      <x:c r="BB395" s="91"/>
      <x:c r="BC395" s="92"/>
      <x:c r="BD395" s="92"/>
      <x:c r="BE395" s="91"/>
      <x:c r="BF395" s="91"/>
      <x:c r="BG395" s="91"/>
      <x:c r="BH395" s="91"/>
      <x:c r="BI395" s="91"/>
      <x:c r="BJ395" s="91"/>
      <x:c r="BK395" s="91"/>
      <x:c r="BL395" s="91"/>
      <x:c r="BM395" s="73" t="str">
        <x:f>IF(A395="","",IF(AI395="Example","Example only",IF(AI395&lt;&gt;"Actual","Set record type",IF(COUNTIF($A$2:$A$1001,A395)&gt;1,"Duplicate record ID",IF(OR(D395="",E395="",AF395="",NOT(ISNUMBER(AG395)),AJ395="",AK395="",NOT(ISNUMBER(AL395)),AND(AM395&lt;&gt;"Observed",AM395&lt;&gt;"Corroborated",AM395&lt;&gt;"Declared"),OR(AN395="",AN395="Unknown"),OR(AQ395="",AQ395="Unknown"),OR(AR395="",AR395="Unknown",AR395="TBD"),OR(BC395="",NOT(ISNUMBER(BC395)))),"Evidence incomplete","Evidence recorded; review scope")))))</x:f>
      </x:c>
      <x:c r="BN395" s="73"/>
    </x:row>
    <x:row r="396" ht="34" customHeight="1">
      <x:c r="A396" s="73"/>
      <x:c r="B396" s="73"/>
      <x:c r="C396" s="73"/>
      <x:c r="D396" s="73"/>
      <x:c r="E396" s="73"/>
      <x:c r="F396" s="73"/>
      <x:c r="G396" s="73"/>
      <x:c r="H396" s="73"/>
      <x:c r="I396" s="75"/>
      <x:c r="J396" s="73"/>
      <x:c r="K396" s="73"/>
      <x:c r="L396" s="76"/>
      <x:c r="M396" s="73"/>
      <x:c r="N396" s="73"/>
      <x:c r="O396" s="73"/>
      <x:c r="P396" s="73"/>
      <x:c r="Q396" s="76"/>
      <x:c r="R396" s="73"/>
      <x:c r="S396" s="73"/>
      <x:c r="T396" s="73"/>
      <x:c r="U396" s="73"/>
      <x:c r="V396" s="73"/>
      <x:c r="W396" s="73"/>
      <x:c r="X396" s="73"/>
      <x:c r="Y396" s="73"/>
      <x:c r="Z396" s="73"/>
      <x:c r="AA396" s="73"/>
      <x:c r="AB396" s="76" t="str">
        <x:f>IF(A396="","",IF(OR(NOT(ISNUMBER(I396)),I396&lt;0,NOT(ISNUMBER(AP396)),AP396&lt;0,NOT(ISNUMBER(L396)),L396&lt;1,L396&gt;5,L396&lt;&gt;INT(L396),AND(J396&lt;&gt;"Public",J396&lt;&gt;"Partner",J396&lt;&gt;"Internal",J396&lt;&gt;"None"),AND(K396&lt;&gt;"High",K396&lt;&gt;"Medium",K396&lt;&gt;"Low",K396&lt;&gt;"None"),AND(W396&lt;&gt;"Hard-coded",W396&lt;&gt;"Configurable",W396&lt;&gt;"Policy-managed",W396&lt;&gt;"API/Library abstraction",W396&lt;&gt;"Automated"),AND(Z396&lt;&gt;"Y",Z396&lt;&gt;"N"),AND(AA396&lt;&gt;"Y",AA396&lt;&gt;"N")),"Incomplete",IF(Z396="Y",20,0)+L396*5+IF(AA396="Y",15,0)+IF(J396="Public",10,IF(J396="Partner",7,IF(J396="Internal",3,0)))+IF(W396="Hard-coded",10,IF(W396="Configurable",3,0))+IF(MAX(I396,AP396)&gt;=10,10,IF(MAX(I396,AP396)&gt;=5,7,IF(MAX(I396,AP396)&gt;=2,3,0)))+IF(K396="High",10,IF(K396="Medium",5,0))))</x:f>
      </x:c>
      <x:c r="AC396" s="73" t="str">
        <x:f>IF(A396="","",IF(NOT(ISNUMBER(AB396)),"Review inputs",IF(AB396&gt;=70,"P0 - Immediate",IF(AB396&gt;=50,"P1 - High",IF(AB396&gt;=30,"P2 - Medium",IF(AB396&gt;=15,"P3 - Low","P4 - Monitor"))))))</x:f>
      </x:c>
      <x:c r="AD396" s="73"/>
      <x:c r="AE396" s="73"/>
      <x:c r="AF396" s="73"/>
      <x:c r="AG396" s="77"/>
      <x:c r="AH396" s="73"/>
      <x:c r="AI396" s="91"/>
      <x:c r="AJ396" s="91"/>
      <x:c r="AK396" s="91"/>
      <x:c r="AL396" s="92"/>
      <x:c r="AM396" s="91"/>
      <x:c r="AN396" s="91"/>
      <x:c r="AO396" s="93"/>
      <x:c r="AP396" s="94"/>
      <x:c r="AQ396" s="91"/>
      <x:c r="AR396" s="91"/>
      <x:c r="AS396" s="91"/>
      <x:c r="AT396" s="91"/>
      <x:c r="AU396" s="91"/>
      <x:c r="AV396" s="91"/>
      <x:c r="AW396" s="91"/>
      <x:c r="AX396" s="91"/>
      <x:c r="AY396" s="91"/>
      <x:c r="AZ396" s="92"/>
      <x:c r="BA396" s="94"/>
      <x:c r="BB396" s="91"/>
      <x:c r="BC396" s="92"/>
      <x:c r="BD396" s="92"/>
      <x:c r="BE396" s="91"/>
      <x:c r="BF396" s="91"/>
      <x:c r="BG396" s="91"/>
      <x:c r="BH396" s="91"/>
      <x:c r="BI396" s="91"/>
      <x:c r="BJ396" s="91"/>
      <x:c r="BK396" s="91"/>
      <x:c r="BL396" s="91"/>
      <x:c r="BM396" s="73" t="str">
        <x:f>IF(A396="","",IF(AI396="Example","Example only",IF(AI396&lt;&gt;"Actual","Set record type",IF(COUNTIF($A$2:$A$1001,A396)&gt;1,"Duplicate record ID",IF(OR(D396="",E396="",AF396="",NOT(ISNUMBER(AG396)),AJ396="",AK396="",NOT(ISNUMBER(AL396)),AND(AM396&lt;&gt;"Observed",AM396&lt;&gt;"Corroborated",AM396&lt;&gt;"Declared"),OR(AN396="",AN396="Unknown"),OR(AQ396="",AQ396="Unknown"),OR(AR396="",AR396="Unknown",AR396="TBD"),OR(BC396="",NOT(ISNUMBER(BC396)))),"Evidence incomplete","Evidence recorded; review scope")))))</x:f>
      </x:c>
      <x:c r="BN396" s="73"/>
    </x:row>
    <x:row r="397" ht="34" customHeight="1">
      <x:c r="A397" s="73"/>
      <x:c r="B397" s="73"/>
      <x:c r="C397" s="73"/>
      <x:c r="D397" s="73"/>
      <x:c r="E397" s="73"/>
      <x:c r="F397" s="73"/>
      <x:c r="G397" s="73"/>
      <x:c r="H397" s="73"/>
      <x:c r="I397" s="75"/>
      <x:c r="J397" s="73"/>
      <x:c r="K397" s="73"/>
      <x:c r="L397" s="76"/>
      <x:c r="M397" s="73"/>
      <x:c r="N397" s="73"/>
      <x:c r="O397" s="73"/>
      <x:c r="P397" s="73"/>
      <x:c r="Q397" s="76"/>
      <x:c r="R397" s="73"/>
      <x:c r="S397" s="73"/>
      <x:c r="T397" s="73"/>
      <x:c r="U397" s="73"/>
      <x:c r="V397" s="73"/>
      <x:c r="W397" s="73"/>
      <x:c r="X397" s="73"/>
      <x:c r="Y397" s="73"/>
      <x:c r="Z397" s="73"/>
      <x:c r="AA397" s="73"/>
      <x:c r="AB397" s="76" t="str">
        <x:f>IF(A397="","",IF(OR(NOT(ISNUMBER(I397)),I397&lt;0,NOT(ISNUMBER(AP397)),AP397&lt;0,NOT(ISNUMBER(L397)),L397&lt;1,L397&gt;5,L397&lt;&gt;INT(L397),AND(J397&lt;&gt;"Public",J397&lt;&gt;"Partner",J397&lt;&gt;"Internal",J397&lt;&gt;"None"),AND(K397&lt;&gt;"High",K397&lt;&gt;"Medium",K397&lt;&gt;"Low",K397&lt;&gt;"None"),AND(W397&lt;&gt;"Hard-coded",W397&lt;&gt;"Configurable",W397&lt;&gt;"Policy-managed",W397&lt;&gt;"API/Library abstraction",W397&lt;&gt;"Automated"),AND(Z397&lt;&gt;"Y",Z397&lt;&gt;"N"),AND(AA397&lt;&gt;"Y",AA397&lt;&gt;"N")),"Incomplete",IF(Z397="Y",20,0)+L397*5+IF(AA397="Y",15,0)+IF(J397="Public",10,IF(J397="Partner",7,IF(J397="Internal",3,0)))+IF(W397="Hard-coded",10,IF(W397="Configurable",3,0))+IF(MAX(I397,AP397)&gt;=10,10,IF(MAX(I397,AP397)&gt;=5,7,IF(MAX(I397,AP397)&gt;=2,3,0)))+IF(K397="High",10,IF(K397="Medium",5,0))))</x:f>
      </x:c>
      <x:c r="AC397" s="73" t="str">
        <x:f>IF(A397="","",IF(NOT(ISNUMBER(AB397)),"Review inputs",IF(AB397&gt;=70,"P0 - Immediate",IF(AB397&gt;=50,"P1 - High",IF(AB397&gt;=30,"P2 - Medium",IF(AB397&gt;=15,"P3 - Low","P4 - Monitor"))))))</x:f>
      </x:c>
      <x:c r="AD397" s="73"/>
      <x:c r="AE397" s="73"/>
      <x:c r="AF397" s="73"/>
      <x:c r="AG397" s="77"/>
      <x:c r="AH397" s="73"/>
      <x:c r="AI397" s="91"/>
      <x:c r="AJ397" s="91"/>
      <x:c r="AK397" s="91"/>
      <x:c r="AL397" s="92"/>
      <x:c r="AM397" s="91"/>
      <x:c r="AN397" s="91"/>
      <x:c r="AO397" s="93"/>
      <x:c r="AP397" s="94"/>
      <x:c r="AQ397" s="91"/>
      <x:c r="AR397" s="91"/>
      <x:c r="AS397" s="91"/>
      <x:c r="AT397" s="91"/>
      <x:c r="AU397" s="91"/>
      <x:c r="AV397" s="91"/>
      <x:c r="AW397" s="91"/>
      <x:c r="AX397" s="91"/>
      <x:c r="AY397" s="91"/>
      <x:c r="AZ397" s="92"/>
      <x:c r="BA397" s="94"/>
      <x:c r="BB397" s="91"/>
      <x:c r="BC397" s="92"/>
      <x:c r="BD397" s="92"/>
      <x:c r="BE397" s="91"/>
      <x:c r="BF397" s="91"/>
      <x:c r="BG397" s="91"/>
      <x:c r="BH397" s="91"/>
      <x:c r="BI397" s="91"/>
      <x:c r="BJ397" s="91"/>
      <x:c r="BK397" s="91"/>
      <x:c r="BL397" s="91"/>
      <x:c r="BM397" s="73" t="str">
        <x:f>IF(A397="","",IF(AI397="Example","Example only",IF(AI397&lt;&gt;"Actual","Set record type",IF(COUNTIF($A$2:$A$1001,A397)&gt;1,"Duplicate record ID",IF(OR(D397="",E397="",AF397="",NOT(ISNUMBER(AG397)),AJ397="",AK397="",NOT(ISNUMBER(AL397)),AND(AM397&lt;&gt;"Observed",AM397&lt;&gt;"Corroborated",AM397&lt;&gt;"Declared"),OR(AN397="",AN397="Unknown"),OR(AQ397="",AQ397="Unknown"),OR(AR397="",AR397="Unknown",AR397="TBD"),OR(BC397="",NOT(ISNUMBER(BC397)))),"Evidence incomplete","Evidence recorded; review scope")))))</x:f>
      </x:c>
      <x:c r="BN397" s="73"/>
    </x:row>
    <x:row r="398" ht="34" customHeight="1">
      <x:c r="A398" s="73"/>
      <x:c r="B398" s="73"/>
      <x:c r="C398" s="73"/>
      <x:c r="D398" s="73"/>
      <x:c r="E398" s="73"/>
      <x:c r="F398" s="73"/>
      <x:c r="G398" s="73"/>
      <x:c r="H398" s="73"/>
      <x:c r="I398" s="75"/>
      <x:c r="J398" s="73"/>
      <x:c r="K398" s="73"/>
      <x:c r="L398" s="76"/>
      <x:c r="M398" s="73"/>
      <x:c r="N398" s="73"/>
      <x:c r="O398" s="73"/>
      <x:c r="P398" s="73"/>
      <x:c r="Q398" s="76"/>
      <x:c r="R398" s="73"/>
      <x:c r="S398" s="73"/>
      <x:c r="T398" s="73"/>
      <x:c r="U398" s="73"/>
      <x:c r="V398" s="73"/>
      <x:c r="W398" s="73"/>
      <x:c r="X398" s="73"/>
      <x:c r="Y398" s="73"/>
      <x:c r="Z398" s="73"/>
      <x:c r="AA398" s="73"/>
      <x:c r="AB398" s="76" t="str">
        <x:f>IF(A398="","",IF(OR(NOT(ISNUMBER(I398)),I398&lt;0,NOT(ISNUMBER(AP398)),AP398&lt;0,NOT(ISNUMBER(L398)),L398&lt;1,L398&gt;5,L398&lt;&gt;INT(L398),AND(J398&lt;&gt;"Public",J398&lt;&gt;"Partner",J398&lt;&gt;"Internal",J398&lt;&gt;"None"),AND(K398&lt;&gt;"High",K398&lt;&gt;"Medium",K398&lt;&gt;"Low",K398&lt;&gt;"None"),AND(W398&lt;&gt;"Hard-coded",W398&lt;&gt;"Configurable",W398&lt;&gt;"Policy-managed",W398&lt;&gt;"API/Library abstraction",W398&lt;&gt;"Automated"),AND(Z398&lt;&gt;"Y",Z398&lt;&gt;"N"),AND(AA398&lt;&gt;"Y",AA398&lt;&gt;"N")),"Incomplete",IF(Z398="Y",20,0)+L398*5+IF(AA398="Y",15,0)+IF(J398="Public",10,IF(J398="Partner",7,IF(J398="Internal",3,0)))+IF(W398="Hard-coded",10,IF(W398="Configurable",3,0))+IF(MAX(I398,AP398)&gt;=10,10,IF(MAX(I398,AP398)&gt;=5,7,IF(MAX(I398,AP398)&gt;=2,3,0)))+IF(K398="High",10,IF(K398="Medium",5,0))))</x:f>
      </x:c>
      <x:c r="AC398" s="73" t="str">
        <x:f>IF(A398="","",IF(NOT(ISNUMBER(AB398)),"Review inputs",IF(AB398&gt;=70,"P0 - Immediate",IF(AB398&gt;=50,"P1 - High",IF(AB398&gt;=30,"P2 - Medium",IF(AB398&gt;=15,"P3 - Low","P4 - Monitor"))))))</x:f>
      </x:c>
      <x:c r="AD398" s="73"/>
      <x:c r="AE398" s="73"/>
      <x:c r="AF398" s="73"/>
      <x:c r="AG398" s="77"/>
      <x:c r="AH398" s="73"/>
      <x:c r="AI398" s="91"/>
      <x:c r="AJ398" s="91"/>
      <x:c r="AK398" s="91"/>
      <x:c r="AL398" s="92"/>
      <x:c r="AM398" s="91"/>
      <x:c r="AN398" s="91"/>
      <x:c r="AO398" s="93"/>
      <x:c r="AP398" s="94"/>
      <x:c r="AQ398" s="91"/>
      <x:c r="AR398" s="91"/>
      <x:c r="AS398" s="91"/>
      <x:c r="AT398" s="91"/>
      <x:c r="AU398" s="91"/>
      <x:c r="AV398" s="91"/>
      <x:c r="AW398" s="91"/>
      <x:c r="AX398" s="91"/>
      <x:c r="AY398" s="91"/>
      <x:c r="AZ398" s="92"/>
      <x:c r="BA398" s="94"/>
      <x:c r="BB398" s="91"/>
      <x:c r="BC398" s="92"/>
      <x:c r="BD398" s="92"/>
      <x:c r="BE398" s="91"/>
      <x:c r="BF398" s="91"/>
      <x:c r="BG398" s="91"/>
      <x:c r="BH398" s="91"/>
      <x:c r="BI398" s="91"/>
      <x:c r="BJ398" s="91"/>
      <x:c r="BK398" s="91"/>
      <x:c r="BL398" s="91"/>
      <x:c r="BM398" s="73" t="str">
        <x:f>IF(A398="","",IF(AI398="Example","Example only",IF(AI398&lt;&gt;"Actual","Set record type",IF(COUNTIF($A$2:$A$1001,A398)&gt;1,"Duplicate record ID",IF(OR(D398="",E398="",AF398="",NOT(ISNUMBER(AG398)),AJ398="",AK398="",NOT(ISNUMBER(AL398)),AND(AM398&lt;&gt;"Observed",AM398&lt;&gt;"Corroborated",AM398&lt;&gt;"Declared"),OR(AN398="",AN398="Unknown"),OR(AQ398="",AQ398="Unknown"),OR(AR398="",AR398="Unknown",AR398="TBD"),OR(BC398="",NOT(ISNUMBER(BC398)))),"Evidence incomplete","Evidence recorded; review scope")))))</x:f>
      </x:c>
      <x:c r="BN398" s="73"/>
    </x:row>
    <x:row r="399" ht="34" customHeight="1">
      <x:c r="A399" s="73"/>
      <x:c r="B399" s="73"/>
      <x:c r="C399" s="73"/>
      <x:c r="D399" s="73"/>
      <x:c r="E399" s="73"/>
      <x:c r="F399" s="73"/>
      <x:c r="G399" s="73"/>
      <x:c r="H399" s="73"/>
      <x:c r="I399" s="75"/>
      <x:c r="J399" s="73"/>
      <x:c r="K399" s="73"/>
      <x:c r="L399" s="76"/>
      <x:c r="M399" s="73"/>
      <x:c r="N399" s="73"/>
      <x:c r="O399" s="73"/>
      <x:c r="P399" s="73"/>
      <x:c r="Q399" s="76"/>
      <x:c r="R399" s="73"/>
      <x:c r="S399" s="73"/>
      <x:c r="T399" s="73"/>
      <x:c r="U399" s="73"/>
      <x:c r="V399" s="73"/>
      <x:c r="W399" s="73"/>
      <x:c r="X399" s="73"/>
      <x:c r="Y399" s="73"/>
      <x:c r="Z399" s="73"/>
      <x:c r="AA399" s="73"/>
      <x:c r="AB399" s="76" t="str">
        <x:f>IF(A399="","",IF(OR(NOT(ISNUMBER(I399)),I399&lt;0,NOT(ISNUMBER(AP399)),AP399&lt;0,NOT(ISNUMBER(L399)),L399&lt;1,L399&gt;5,L399&lt;&gt;INT(L399),AND(J399&lt;&gt;"Public",J399&lt;&gt;"Partner",J399&lt;&gt;"Internal",J399&lt;&gt;"None"),AND(K399&lt;&gt;"High",K399&lt;&gt;"Medium",K399&lt;&gt;"Low",K399&lt;&gt;"None"),AND(W399&lt;&gt;"Hard-coded",W399&lt;&gt;"Configurable",W399&lt;&gt;"Policy-managed",W399&lt;&gt;"API/Library abstraction",W399&lt;&gt;"Automated"),AND(Z399&lt;&gt;"Y",Z399&lt;&gt;"N"),AND(AA399&lt;&gt;"Y",AA399&lt;&gt;"N")),"Incomplete",IF(Z399="Y",20,0)+L399*5+IF(AA399="Y",15,0)+IF(J399="Public",10,IF(J399="Partner",7,IF(J399="Internal",3,0)))+IF(W399="Hard-coded",10,IF(W399="Configurable",3,0))+IF(MAX(I399,AP399)&gt;=10,10,IF(MAX(I399,AP399)&gt;=5,7,IF(MAX(I399,AP399)&gt;=2,3,0)))+IF(K399="High",10,IF(K399="Medium",5,0))))</x:f>
      </x:c>
      <x:c r="AC399" s="73" t="str">
        <x:f>IF(A399="","",IF(NOT(ISNUMBER(AB399)),"Review inputs",IF(AB399&gt;=70,"P0 - Immediate",IF(AB399&gt;=50,"P1 - High",IF(AB399&gt;=30,"P2 - Medium",IF(AB399&gt;=15,"P3 - Low","P4 - Monitor"))))))</x:f>
      </x:c>
      <x:c r="AD399" s="73"/>
      <x:c r="AE399" s="73"/>
      <x:c r="AF399" s="73"/>
      <x:c r="AG399" s="77"/>
      <x:c r="AH399" s="73"/>
      <x:c r="AI399" s="91"/>
      <x:c r="AJ399" s="91"/>
      <x:c r="AK399" s="91"/>
      <x:c r="AL399" s="92"/>
      <x:c r="AM399" s="91"/>
      <x:c r="AN399" s="91"/>
      <x:c r="AO399" s="93"/>
      <x:c r="AP399" s="94"/>
      <x:c r="AQ399" s="91"/>
      <x:c r="AR399" s="91"/>
      <x:c r="AS399" s="91"/>
      <x:c r="AT399" s="91"/>
      <x:c r="AU399" s="91"/>
      <x:c r="AV399" s="91"/>
      <x:c r="AW399" s="91"/>
      <x:c r="AX399" s="91"/>
      <x:c r="AY399" s="91"/>
      <x:c r="AZ399" s="92"/>
      <x:c r="BA399" s="94"/>
      <x:c r="BB399" s="91"/>
      <x:c r="BC399" s="92"/>
      <x:c r="BD399" s="92"/>
      <x:c r="BE399" s="91"/>
      <x:c r="BF399" s="91"/>
      <x:c r="BG399" s="91"/>
      <x:c r="BH399" s="91"/>
      <x:c r="BI399" s="91"/>
      <x:c r="BJ399" s="91"/>
      <x:c r="BK399" s="91"/>
      <x:c r="BL399" s="91"/>
      <x:c r="BM399" s="73" t="str">
        <x:f>IF(A399="","",IF(AI399="Example","Example only",IF(AI399&lt;&gt;"Actual","Set record type",IF(COUNTIF($A$2:$A$1001,A399)&gt;1,"Duplicate record ID",IF(OR(D399="",E399="",AF399="",NOT(ISNUMBER(AG399)),AJ399="",AK399="",NOT(ISNUMBER(AL399)),AND(AM399&lt;&gt;"Observed",AM399&lt;&gt;"Corroborated",AM399&lt;&gt;"Declared"),OR(AN399="",AN399="Unknown"),OR(AQ399="",AQ399="Unknown"),OR(AR399="",AR399="Unknown",AR399="TBD"),OR(BC399="",NOT(ISNUMBER(BC399)))),"Evidence incomplete","Evidence recorded; review scope")))))</x:f>
      </x:c>
      <x:c r="BN399" s="73"/>
    </x:row>
    <x:row r="400" ht="34" customHeight="1">
      <x:c r="A400" s="73"/>
      <x:c r="B400" s="73"/>
      <x:c r="C400" s="73"/>
      <x:c r="D400" s="73"/>
      <x:c r="E400" s="73"/>
      <x:c r="F400" s="73"/>
      <x:c r="G400" s="73"/>
      <x:c r="H400" s="73"/>
      <x:c r="I400" s="75"/>
      <x:c r="J400" s="73"/>
      <x:c r="K400" s="73"/>
      <x:c r="L400" s="76"/>
      <x:c r="M400" s="73"/>
      <x:c r="N400" s="73"/>
      <x:c r="O400" s="73"/>
      <x:c r="P400" s="73"/>
      <x:c r="Q400" s="76"/>
      <x:c r="R400" s="73"/>
      <x:c r="S400" s="73"/>
      <x:c r="T400" s="73"/>
      <x:c r="U400" s="73"/>
      <x:c r="V400" s="73"/>
      <x:c r="W400" s="73"/>
      <x:c r="X400" s="73"/>
      <x:c r="Y400" s="73"/>
      <x:c r="Z400" s="73"/>
      <x:c r="AA400" s="73"/>
      <x:c r="AB400" s="76" t="str">
        <x:f>IF(A400="","",IF(OR(NOT(ISNUMBER(I400)),I400&lt;0,NOT(ISNUMBER(AP400)),AP400&lt;0,NOT(ISNUMBER(L400)),L400&lt;1,L400&gt;5,L400&lt;&gt;INT(L400),AND(J400&lt;&gt;"Public",J400&lt;&gt;"Partner",J400&lt;&gt;"Internal",J400&lt;&gt;"None"),AND(K400&lt;&gt;"High",K400&lt;&gt;"Medium",K400&lt;&gt;"Low",K400&lt;&gt;"None"),AND(W400&lt;&gt;"Hard-coded",W400&lt;&gt;"Configurable",W400&lt;&gt;"Policy-managed",W400&lt;&gt;"API/Library abstraction",W400&lt;&gt;"Automated"),AND(Z400&lt;&gt;"Y",Z400&lt;&gt;"N"),AND(AA400&lt;&gt;"Y",AA400&lt;&gt;"N")),"Incomplete",IF(Z400="Y",20,0)+L400*5+IF(AA400="Y",15,0)+IF(J400="Public",10,IF(J400="Partner",7,IF(J400="Internal",3,0)))+IF(W400="Hard-coded",10,IF(W400="Configurable",3,0))+IF(MAX(I400,AP400)&gt;=10,10,IF(MAX(I400,AP400)&gt;=5,7,IF(MAX(I400,AP400)&gt;=2,3,0)))+IF(K400="High",10,IF(K400="Medium",5,0))))</x:f>
      </x:c>
      <x:c r="AC400" s="73" t="str">
        <x:f>IF(A400="","",IF(NOT(ISNUMBER(AB400)),"Review inputs",IF(AB400&gt;=70,"P0 - Immediate",IF(AB400&gt;=50,"P1 - High",IF(AB400&gt;=30,"P2 - Medium",IF(AB400&gt;=15,"P3 - Low","P4 - Monitor"))))))</x:f>
      </x:c>
      <x:c r="AD400" s="73"/>
      <x:c r="AE400" s="73"/>
      <x:c r="AF400" s="73"/>
      <x:c r="AG400" s="77"/>
      <x:c r="AH400" s="73"/>
      <x:c r="AI400" s="91"/>
      <x:c r="AJ400" s="91"/>
      <x:c r="AK400" s="91"/>
      <x:c r="AL400" s="92"/>
      <x:c r="AM400" s="91"/>
      <x:c r="AN400" s="91"/>
      <x:c r="AO400" s="93"/>
      <x:c r="AP400" s="94"/>
      <x:c r="AQ400" s="91"/>
      <x:c r="AR400" s="91"/>
      <x:c r="AS400" s="91"/>
      <x:c r="AT400" s="91"/>
      <x:c r="AU400" s="91"/>
      <x:c r="AV400" s="91"/>
      <x:c r="AW400" s="91"/>
      <x:c r="AX400" s="91"/>
      <x:c r="AY400" s="91"/>
      <x:c r="AZ400" s="92"/>
      <x:c r="BA400" s="94"/>
      <x:c r="BB400" s="91"/>
      <x:c r="BC400" s="92"/>
      <x:c r="BD400" s="92"/>
      <x:c r="BE400" s="91"/>
      <x:c r="BF400" s="91"/>
      <x:c r="BG400" s="91"/>
      <x:c r="BH400" s="91"/>
      <x:c r="BI400" s="91"/>
      <x:c r="BJ400" s="91"/>
      <x:c r="BK400" s="91"/>
      <x:c r="BL400" s="91"/>
      <x:c r="BM400" s="73" t="str">
        <x:f>IF(A400="","",IF(AI400="Example","Example only",IF(AI400&lt;&gt;"Actual","Set record type",IF(COUNTIF($A$2:$A$1001,A400)&gt;1,"Duplicate record ID",IF(OR(D400="",E400="",AF400="",NOT(ISNUMBER(AG400)),AJ400="",AK400="",NOT(ISNUMBER(AL400)),AND(AM400&lt;&gt;"Observed",AM400&lt;&gt;"Corroborated",AM400&lt;&gt;"Declared"),OR(AN400="",AN400="Unknown"),OR(AQ400="",AQ400="Unknown"),OR(AR400="",AR400="Unknown",AR400="TBD"),OR(BC400="",NOT(ISNUMBER(BC400)))),"Evidence incomplete","Evidence recorded; review scope")))))</x:f>
      </x:c>
      <x:c r="BN400" s="73"/>
    </x:row>
    <x:row r="401" ht="34" customHeight="1">
      <x:c r="A401" s="73"/>
      <x:c r="B401" s="73"/>
      <x:c r="C401" s="73"/>
      <x:c r="D401" s="73"/>
      <x:c r="E401" s="73"/>
      <x:c r="F401" s="73"/>
      <x:c r="G401" s="73"/>
      <x:c r="H401" s="73"/>
      <x:c r="I401" s="75"/>
      <x:c r="J401" s="73"/>
      <x:c r="K401" s="73"/>
      <x:c r="L401" s="76"/>
      <x:c r="M401" s="73"/>
      <x:c r="N401" s="73"/>
      <x:c r="O401" s="73"/>
      <x:c r="P401" s="73"/>
      <x:c r="Q401" s="76"/>
      <x:c r="R401" s="73"/>
      <x:c r="S401" s="73"/>
      <x:c r="T401" s="73"/>
      <x:c r="U401" s="73"/>
      <x:c r="V401" s="73"/>
      <x:c r="W401" s="73"/>
      <x:c r="X401" s="73"/>
      <x:c r="Y401" s="73"/>
      <x:c r="Z401" s="73"/>
      <x:c r="AA401" s="73"/>
      <x:c r="AB401" s="76" t="str">
        <x:f>IF(A401="","",IF(OR(NOT(ISNUMBER(I401)),I401&lt;0,NOT(ISNUMBER(AP401)),AP401&lt;0,NOT(ISNUMBER(L401)),L401&lt;1,L401&gt;5,L401&lt;&gt;INT(L401),AND(J401&lt;&gt;"Public",J401&lt;&gt;"Partner",J401&lt;&gt;"Internal",J401&lt;&gt;"None"),AND(K401&lt;&gt;"High",K401&lt;&gt;"Medium",K401&lt;&gt;"Low",K401&lt;&gt;"None"),AND(W401&lt;&gt;"Hard-coded",W401&lt;&gt;"Configurable",W401&lt;&gt;"Policy-managed",W401&lt;&gt;"API/Library abstraction",W401&lt;&gt;"Automated"),AND(Z401&lt;&gt;"Y",Z401&lt;&gt;"N"),AND(AA401&lt;&gt;"Y",AA401&lt;&gt;"N")),"Incomplete",IF(Z401="Y",20,0)+L401*5+IF(AA401="Y",15,0)+IF(J401="Public",10,IF(J401="Partner",7,IF(J401="Internal",3,0)))+IF(W401="Hard-coded",10,IF(W401="Configurable",3,0))+IF(MAX(I401,AP401)&gt;=10,10,IF(MAX(I401,AP401)&gt;=5,7,IF(MAX(I401,AP401)&gt;=2,3,0)))+IF(K401="High",10,IF(K401="Medium",5,0))))</x:f>
      </x:c>
      <x:c r="AC401" s="73" t="str">
        <x:f>IF(A401="","",IF(NOT(ISNUMBER(AB401)),"Review inputs",IF(AB401&gt;=70,"P0 - Immediate",IF(AB401&gt;=50,"P1 - High",IF(AB401&gt;=30,"P2 - Medium",IF(AB401&gt;=15,"P3 - Low","P4 - Monitor"))))))</x:f>
      </x:c>
      <x:c r="AD401" s="73"/>
      <x:c r="AE401" s="73"/>
      <x:c r="AF401" s="73"/>
      <x:c r="AG401" s="77"/>
      <x:c r="AH401" s="73"/>
      <x:c r="AI401" s="91"/>
      <x:c r="AJ401" s="91"/>
      <x:c r="AK401" s="91"/>
      <x:c r="AL401" s="92"/>
      <x:c r="AM401" s="91"/>
      <x:c r="AN401" s="91"/>
      <x:c r="AO401" s="93"/>
      <x:c r="AP401" s="94"/>
      <x:c r="AQ401" s="91"/>
      <x:c r="AR401" s="91"/>
      <x:c r="AS401" s="91"/>
      <x:c r="AT401" s="91"/>
      <x:c r="AU401" s="91"/>
      <x:c r="AV401" s="91"/>
      <x:c r="AW401" s="91"/>
      <x:c r="AX401" s="91"/>
      <x:c r="AY401" s="91"/>
      <x:c r="AZ401" s="92"/>
      <x:c r="BA401" s="94"/>
      <x:c r="BB401" s="91"/>
      <x:c r="BC401" s="92"/>
      <x:c r="BD401" s="92"/>
      <x:c r="BE401" s="91"/>
      <x:c r="BF401" s="91"/>
      <x:c r="BG401" s="91"/>
      <x:c r="BH401" s="91"/>
      <x:c r="BI401" s="91"/>
      <x:c r="BJ401" s="91"/>
      <x:c r="BK401" s="91"/>
      <x:c r="BL401" s="91"/>
      <x:c r="BM401" s="73" t="str">
        <x:f>IF(A401="","",IF(AI401="Example","Example only",IF(AI401&lt;&gt;"Actual","Set record type",IF(COUNTIF($A$2:$A$1001,A401)&gt;1,"Duplicate record ID",IF(OR(D401="",E401="",AF401="",NOT(ISNUMBER(AG401)),AJ401="",AK401="",NOT(ISNUMBER(AL401)),AND(AM401&lt;&gt;"Observed",AM401&lt;&gt;"Corroborated",AM401&lt;&gt;"Declared"),OR(AN401="",AN401="Unknown"),OR(AQ401="",AQ401="Unknown"),OR(AR401="",AR401="Unknown",AR401="TBD"),OR(BC401="",NOT(ISNUMBER(BC401)))),"Evidence incomplete","Evidence recorded; review scope")))))</x:f>
      </x:c>
      <x:c r="BN401" s="73"/>
    </x:row>
    <x:row r="402" ht="34" customHeight="1">
      <x:c r="A402" s="73"/>
      <x:c r="B402" s="73"/>
      <x:c r="C402" s="73"/>
      <x:c r="D402" s="73"/>
      <x:c r="E402" s="73"/>
      <x:c r="F402" s="73"/>
      <x:c r="G402" s="73"/>
      <x:c r="H402" s="73"/>
      <x:c r="I402" s="75"/>
      <x:c r="J402" s="73"/>
      <x:c r="K402" s="73"/>
      <x:c r="L402" s="76"/>
      <x:c r="M402" s="73"/>
      <x:c r="N402" s="73"/>
      <x:c r="O402" s="73"/>
      <x:c r="P402" s="73"/>
      <x:c r="Q402" s="76"/>
      <x:c r="R402" s="73"/>
      <x:c r="S402" s="73"/>
      <x:c r="T402" s="73"/>
      <x:c r="U402" s="73"/>
      <x:c r="V402" s="73"/>
      <x:c r="W402" s="73"/>
      <x:c r="X402" s="73"/>
      <x:c r="Y402" s="73"/>
      <x:c r="Z402" s="73"/>
      <x:c r="AA402" s="73"/>
      <x:c r="AB402" s="76" t="str">
        <x:f>IF(A402="","",IF(OR(NOT(ISNUMBER(I402)),I402&lt;0,NOT(ISNUMBER(AP402)),AP402&lt;0,NOT(ISNUMBER(L402)),L402&lt;1,L402&gt;5,L402&lt;&gt;INT(L402),AND(J402&lt;&gt;"Public",J402&lt;&gt;"Partner",J402&lt;&gt;"Internal",J402&lt;&gt;"None"),AND(K402&lt;&gt;"High",K402&lt;&gt;"Medium",K402&lt;&gt;"Low",K402&lt;&gt;"None"),AND(W402&lt;&gt;"Hard-coded",W402&lt;&gt;"Configurable",W402&lt;&gt;"Policy-managed",W402&lt;&gt;"API/Library abstraction",W402&lt;&gt;"Automated"),AND(Z402&lt;&gt;"Y",Z402&lt;&gt;"N"),AND(AA402&lt;&gt;"Y",AA402&lt;&gt;"N")),"Incomplete",IF(Z402="Y",20,0)+L402*5+IF(AA402="Y",15,0)+IF(J402="Public",10,IF(J402="Partner",7,IF(J402="Internal",3,0)))+IF(W402="Hard-coded",10,IF(W402="Configurable",3,0))+IF(MAX(I402,AP402)&gt;=10,10,IF(MAX(I402,AP402)&gt;=5,7,IF(MAX(I402,AP402)&gt;=2,3,0)))+IF(K402="High",10,IF(K402="Medium",5,0))))</x:f>
      </x:c>
      <x:c r="AC402" s="73" t="str">
        <x:f>IF(A402="","",IF(NOT(ISNUMBER(AB402)),"Review inputs",IF(AB402&gt;=70,"P0 - Immediate",IF(AB402&gt;=50,"P1 - High",IF(AB402&gt;=30,"P2 - Medium",IF(AB402&gt;=15,"P3 - Low","P4 - Monitor"))))))</x:f>
      </x:c>
      <x:c r="AD402" s="73"/>
      <x:c r="AE402" s="73"/>
      <x:c r="AF402" s="73"/>
      <x:c r="AG402" s="77"/>
      <x:c r="AH402" s="73"/>
      <x:c r="AI402" s="91"/>
      <x:c r="AJ402" s="91"/>
      <x:c r="AK402" s="91"/>
      <x:c r="AL402" s="92"/>
      <x:c r="AM402" s="91"/>
      <x:c r="AN402" s="91"/>
      <x:c r="AO402" s="93"/>
      <x:c r="AP402" s="94"/>
      <x:c r="AQ402" s="91"/>
      <x:c r="AR402" s="91"/>
      <x:c r="AS402" s="91"/>
      <x:c r="AT402" s="91"/>
      <x:c r="AU402" s="91"/>
      <x:c r="AV402" s="91"/>
      <x:c r="AW402" s="91"/>
      <x:c r="AX402" s="91"/>
      <x:c r="AY402" s="91"/>
      <x:c r="AZ402" s="92"/>
      <x:c r="BA402" s="94"/>
      <x:c r="BB402" s="91"/>
      <x:c r="BC402" s="92"/>
      <x:c r="BD402" s="92"/>
      <x:c r="BE402" s="91"/>
      <x:c r="BF402" s="91"/>
      <x:c r="BG402" s="91"/>
      <x:c r="BH402" s="91"/>
      <x:c r="BI402" s="91"/>
      <x:c r="BJ402" s="91"/>
      <x:c r="BK402" s="91"/>
      <x:c r="BL402" s="91"/>
      <x:c r="BM402" s="73" t="str">
        <x:f>IF(A402="","",IF(AI402="Example","Example only",IF(AI402&lt;&gt;"Actual","Set record type",IF(COUNTIF($A$2:$A$1001,A402)&gt;1,"Duplicate record ID",IF(OR(D402="",E402="",AF402="",NOT(ISNUMBER(AG402)),AJ402="",AK402="",NOT(ISNUMBER(AL402)),AND(AM402&lt;&gt;"Observed",AM402&lt;&gt;"Corroborated",AM402&lt;&gt;"Declared"),OR(AN402="",AN402="Unknown"),OR(AQ402="",AQ402="Unknown"),OR(AR402="",AR402="Unknown",AR402="TBD"),OR(BC402="",NOT(ISNUMBER(BC402)))),"Evidence incomplete","Evidence recorded; review scope")))))</x:f>
      </x:c>
      <x:c r="BN402" s="73"/>
    </x:row>
    <x:row r="403" ht="34" customHeight="1">
      <x:c r="A403" s="73"/>
      <x:c r="B403" s="73"/>
      <x:c r="C403" s="73"/>
      <x:c r="D403" s="73"/>
      <x:c r="E403" s="73"/>
      <x:c r="F403" s="73"/>
      <x:c r="G403" s="73"/>
      <x:c r="H403" s="73"/>
      <x:c r="I403" s="75"/>
      <x:c r="J403" s="73"/>
      <x:c r="K403" s="73"/>
      <x:c r="L403" s="76"/>
      <x:c r="M403" s="73"/>
      <x:c r="N403" s="73"/>
      <x:c r="O403" s="73"/>
      <x:c r="P403" s="73"/>
      <x:c r="Q403" s="76"/>
      <x:c r="R403" s="73"/>
      <x:c r="S403" s="73"/>
      <x:c r="T403" s="73"/>
      <x:c r="U403" s="73"/>
      <x:c r="V403" s="73"/>
      <x:c r="W403" s="73"/>
      <x:c r="X403" s="73"/>
      <x:c r="Y403" s="73"/>
      <x:c r="Z403" s="73"/>
      <x:c r="AA403" s="73"/>
      <x:c r="AB403" s="76" t="str">
        <x:f>IF(A403="","",IF(OR(NOT(ISNUMBER(I403)),I403&lt;0,NOT(ISNUMBER(AP403)),AP403&lt;0,NOT(ISNUMBER(L403)),L403&lt;1,L403&gt;5,L403&lt;&gt;INT(L403),AND(J403&lt;&gt;"Public",J403&lt;&gt;"Partner",J403&lt;&gt;"Internal",J403&lt;&gt;"None"),AND(K403&lt;&gt;"High",K403&lt;&gt;"Medium",K403&lt;&gt;"Low",K403&lt;&gt;"None"),AND(W403&lt;&gt;"Hard-coded",W403&lt;&gt;"Configurable",W403&lt;&gt;"Policy-managed",W403&lt;&gt;"API/Library abstraction",W403&lt;&gt;"Automated"),AND(Z403&lt;&gt;"Y",Z403&lt;&gt;"N"),AND(AA403&lt;&gt;"Y",AA403&lt;&gt;"N")),"Incomplete",IF(Z403="Y",20,0)+L403*5+IF(AA403="Y",15,0)+IF(J403="Public",10,IF(J403="Partner",7,IF(J403="Internal",3,0)))+IF(W403="Hard-coded",10,IF(W403="Configurable",3,0))+IF(MAX(I403,AP403)&gt;=10,10,IF(MAX(I403,AP403)&gt;=5,7,IF(MAX(I403,AP403)&gt;=2,3,0)))+IF(K403="High",10,IF(K403="Medium",5,0))))</x:f>
      </x:c>
      <x:c r="AC403" s="73" t="str">
        <x:f>IF(A403="","",IF(NOT(ISNUMBER(AB403)),"Review inputs",IF(AB403&gt;=70,"P0 - Immediate",IF(AB403&gt;=50,"P1 - High",IF(AB403&gt;=30,"P2 - Medium",IF(AB403&gt;=15,"P3 - Low","P4 - Monitor"))))))</x:f>
      </x:c>
      <x:c r="AD403" s="73"/>
      <x:c r="AE403" s="73"/>
      <x:c r="AF403" s="73"/>
      <x:c r="AG403" s="77"/>
      <x:c r="AH403" s="73"/>
      <x:c r="AI403" s="91"/>
      <x:c r="AJ403" s="91"/>
      <x:c r="AK403" s="91"/>
      <x:c r="AL403" s="92"/>
      <x:c r="AM403" s="91"/>
      <x:c r="AN403" s="91"/>
      <x:c r="AO403" s="93"/>
      <x:c r="AP403" s="94"/>
      <x:c r="AQ403" s="91"/>
      <x:c r="AR403" s="91"/>
      <x:c r="AS403" s="91"/>
      <x:c r="AT403" s="91"/>
      <x:c r="AU403" s="91"/>
      <x:c r="AV403" s="91"/>
      <x:c r="AW403" s="91"/>
      <x:c r="AX403" s="91"/>
      <x:c r="AY403" s="91"/>
      <x:c r="AZ403" s="92"/>
      <x:c r="BA403" s="94"/>
      <x:c r="BB403" s="91"/>
      <x:c r="BC403" s="92"/>
      <x:c r="BD403" s="92"/>
      <x:c r="BE403" s="91"/>
      <x:c r="BF403" s="91"/>
      <x:c r="BG403" s="91"/>
      <x:c r="BH403" s="91"/>
      <x:c r="BI403" s="91"/>
      <x:c r="BJ403" s="91"/>
      <x:c r="BK403" s="91"/>
      <x:c r="BL403" s="91"/>
      <x:c r="BM403" s="73" t="str">
        <x:f>IF(A403="","",IF(AI403="Example","Example only",IF(AI403&lt;&gt;"Actual","Set record type",IF(COUNTIF($A$2:$A$1001,A403)&gt;1,"Duplicate record ID",IF(OR(D403="",E403="",AF403="",NOT(ISNUMBER(AG403)),AJ403="",AK403="",NOT(ISNUMBER(AL403)),AND(AM403&lt;&gt;"Observed",AM403&lt;&gt;"Corroborated",AM403&lt;&gt;"Declared"),OR(AN403="",AN403="Unknown"),OR(AQ403="",AQ403="Unknown"),OR(AR403="",AR403="Unknown",AR403="TBD"),OR(BC403="",NOT(ISNUMBER(BC403)))),"Evidence incomplete","Evidence recorded; review scope")))))</x:f>
      </x:c>
      <x:c r="BN403" s="73"/>
    </x:row>
    <x:row r="404" ht="34" customHeight="1">
      <x:c r="A404" s="73"/>
      <x:c r="B404" s="73"/>
      <x:c r="C404" s="73"/>
      <x:c r="D404" s="73"/>
      <x:c r="E404" s="73"/>
      <x:c r="F404" s="73"/>
      <x:c r="G404" s="73"/>
      <x:c r="H404" s="73"/>
      <x:c r="I404" s="75"/>
      <x:c r="J404" s="73"/>
      <x:c r="K404" s="73"/>
      <x:c r="L404" s="76"/>
      <x:c r="M404" s="73"/>
      <x:c r="N404" s="73"/>
      <x:c r="O404" s="73"/>
      <x:c r="P404" s="73"/>
      <x:c r="Q404" s="76"/>
      <x:c r="R404" s="73"/>
      <x:c r="S404" s="73"/>
      <x:c r="T404" s="73"/>
      <x:c r="U404" s="73"/>
      <x:c r="V404" s="73"/>
      <x:c r="W404" s="73"/>
      <x:c r="X404" s="73"/>
      <x:c r="Y404" s="73"/>
      <x:c r="Z404" s="73"/>
      <x:c r="AA404" s="73"/>
      <x:c r="AB404" s="76" t="str">
        <x:f>IF(A404="","",IF(OR(NOT(ISNUMBER(I404)),I404&lt;0,NOT(ISNUMBER(AP404)),AP404&lt;0,NOT(ISNUMBER(L404)),L404&lt;1,L404&gt;5,L404&lt;&gt;INT(L404),AND(J404&lt;&gt;"Public",J404&lt;&gt;"Partner",J404&lt;&gt;"Internal",J404&lt;&gt;"None"),AND(K404&lt;&gt;"High",K404&lt;&gt;"Medium",K404&lt;&gt;"Low",K404&lt;&gt;"None"),AND(W404&lt;&gt;"Hard-coded",W404&lt;&gt;"Configurable",W404&lt;&gt;"Policy-managed",W404&lt;&gt;"API/Library abstraction",W404&lt;&gt;"Automated"),AND(Z404&lt;&gt;"Y",Z404&lt;&gt;"N"),AND(AA404&lt;&gt;"Y",AA404&lt;&gt;"N")),"Incomplete",IF(Z404="Y",20,0)+L404*5+IF(AA404="Y",15,0)+IF(J404="Public",10,IF(J404="Partner",7,IF(J404="Internal",3,0)))+IF(W404="Hard-coded",10,IF(W404="Configurable",3,0))+IF(MAX(I404,AP404)&gt;=10,10,IF(MAX(I404,AP404)&gt;=5,7,IF(MAX(I404,AP404)&gt;=2,3,0)))+IF(K404="High",10,IF(K404="Medium",5,0))))</x:f>
      </x:c>
      <x:c r="AC404" s="73" t="str">
        <x:f>IF(A404="","",IF(NOT(ISNUMBER(AB404)),"Review inputs",IF(AB404&gt;=70,"P0 - Immediate",IF(AB404&gt;=50,"P1 - High",IF(AB404&gt;=30,"P2 - Medium",IF(AB404&gt;=15,"P3 - Low","P4 - Monitor"))))))</x:f>
      </x:c>
      <x:c r="AD404" s="73"/>
      <x:c r="AE404" s="73"/>
      <x:c r="AF404" s="73"/>
      <x:c r="AG404" s="77"/>
      <x:c r="AH404" s="73"/>
      <x:c r="AI404" s="91"/>
      <x:c r="AJ404" s="91"/>
      <x:c r="AK404" s="91"/>
      <x:c r="AL404" s="92"/>
      <x:c r="AM404" s="91"/>
      <x:c r="AN404" s="91"/>
      <x:c r="AO404" s="93"/>
      <x:c r="AP404" s="94"/>
      <x:c r="AQ404" s="91"/>
      <x:c r="AR404" s="91"/>
      <x:c r="AS404" s="91"/>
      <x:c r="AT404" s="91"/>
      <x:c r="AU404" s="91"/>
      <x:c r="AV404" s="91"/>
      <x:c r="AW404" s="91"/>
      <x:c r="AX404" s="91"/>
      <x:c r="AY404" s="91"/>
      <x:c r="AZ404" s="92"/>
      <x:c r="BA404" s="94"/>
      <x:c r="BB404" s="91"/>
      <x:c r="BC404" s="92"/>
      <x:c r="BD404" s="92"/>
      <x:c r="BE404" s="91"/>
      <x:c r="BF404" s="91"/>
      <x:c r="BG404" s="91"/>
      <x:c r="BH404" s="91"/>
      <x:c r="BI404" s="91"/>
      <x:c r="BJ404" s="91"/>
      <x:c r="BK404" s="91"/>
      <x:c r="BL404" s="91"/>
      <x:c r="BM404" s="73" t="str">
        <x:f>IF(A404="","",IF(AI404="Example","Example only",IF(AI404&lt;&gt;"Actual","Set record type",IF(COUNTIF($A$2:$A$1001,A404)&gt;1,"Duplicate record ID",IF(OR(D404="",E404="",AF404="",NOT(ISNUMBER(AG404)),AJ404="",AK404="",NOT(ISNUMBER(AL404)),AND(AM404&lt;&gt;"Observed",AM404&lt;&gt;"Corroborated",AM404&lt;&gt;"Declared"),OR(AN404="",AN404="Unknown"),OR(AQ404="",AQ404="Unknown"),OR(AR404="",AR404="Unknown",AR404="TBD"),OR(BC404="",NOT(ISNUMBER(BC404)))),"Evidence incomplete","Evidence recorded; review scope")))))</x:f>
      </x:c>
      <x:c r="BN404" s="73"/>
    </x:row>
    <x:row r="405" ht="34" customHeight="1">
      <x:c r="A405" s="73"/>
      <x:c r="B405" s="73"/>
      <x:c r="C405" s="73"/>
      <x:c r="D405" s="73"/>
      <x:c r="E405" s="73"/>
      <x:c r="F405" s="73"/>
      <x:c r="G405" s="73"/>
      <x:c r="H405" s="73"/>
      <x:c r="I405" s="75"/>
      <x:c r="J405" s="73"/>
      <x:c r="K405" s="73"/>
      <x:c r="L405" s="76"/>
      <x:c r="M405" s="73"/>
      <x:c r="N405" s="73"/>
      <x:c r="O405" s="73"/>
      <x:c r="P405" s="73"/>
      <x:c r="Q405" s="76"/>
      <x:c r="R405" s="73"/>
      <x:c r="S405" s="73"/>
      <x:c r="T405" s="73"/>
      <x:c r="U405" s="73"/>
      <x:c r="V405" s="73"/>
      <x:c r="W405" s="73"/>
      <x:c r="X405" s="73"/>
      <x:c r="Y405" s="73"/>
      <x:c r="Z405" s="73"/>
      <x:c r="AA405" s="73"/>
      <x:c r="AB405" s="76" t="str">
        <x:f>IF(A405="","",IF(OR(NOT(ISNUMBER(I405)),I405&lt;0,NOT(ISNUMBER(AP405)),AP405&lt;0,NOT(ISNUMBER(L405)),L405&lt;1,L405&gt;5,L405&lt;&gt;INT(L405),AND(J405&lt;&gt;"Public",J405&lt;&gt;"Partner",J405&lt;&gt;"Internal",J405&lt;&gt;"None"),AND(K405&lt;&gt;"High",K405&lt;&gt;"Medium",K405&lt;&gt;"Low",K405&lt;&gt;"None"),AND(W405&lt;&gt;"Hard-coded",W405&lt;&gt;"Configurable",W405&lt;&gt;"Policy-managed",W405&lt;&gt;"API/Library abstraction",W405&lt;&gt;"Automated"),AND(Z405&lt;&gt;"Y",Z405&lt;&gt;"N"),AND(AA405&lt;&gt;"Y",AA405&lt;&gt;"N")),"Incomplete",IF(Z405="Y",20,0)+L405*5+IF(AA405="Y",15,0)+IF(J405="Public",10,IF(J405="Partner",7,IF(J405="Internal",3,0)))+IF(W405="Hard-coded",10,IF(W405="Configurable",3,0))+IF(MAX(I405,AP405)&gt;=10,10,IF(MAX(I405,AP405)&gt;=5,7,IF(MAX(I405,AP405)&gt;=2,3,0)))+IF(K405="High",10,IF(K405="Medium",5,0))))</x:f>
      </x:c>
      <x:c r="AC405" s="73" t="str">
        <x:f>IF(A405="","",IF(NOT(ISNUMBER(AB405)),"Review inputs",IF(AB405&gt;=70,"P0 - Immediate",IF(AB405&gt;=50,"P1 - High",IF(AB405&gt;=30,"P2 - Medium",IF(AB405&gt;=15,"P3 - Low","P4 - Monitor"))))))</x:f>
      </x:c>
      <x:c r="AD405" s="73"/>
      <x:c r="AE405" s="73"/>
      <x:c r="AF405" s="73"/>
      <x:c r="AG405" s="77"/>
      <x:c r="AH405" s="73"/>
      <x:c r="AI405" s="91"/>
      <x:c r="AJ405" s="91"/>
      <x:c r="AK405" s="91"/>
      <x:c r="AL405" s="92"/>
      <x:c r="AM405" s="91"/>
      <x:c r="AN405" s="91"/>
      <x:c r="AO405" s="93"/>
      <x:c r="AP405" s="94"/>
      <x:c r="AQ405" s="91"/>
      <x:c r="AR405" s="91"/>
      <x:c r="AS405" s="91"/>
      <x:c r="AT405" s="91"/>
      <x:c r="AU405" s="91"/>
      <x:c r="AV405" s="91"/>
      <x:c r="AW405" s="91"/>
      <x:c r="AX405" s="91"/>
      <x:c r="AY405" s="91"/>
      <x:c r="AZ405" s="92"/>
      <x:c r="BA405" s="94"/>
      <x:c r="BB405" s="91"/>
      <x:c r="BC405" s="92"/>
      <x:c r="BD405" s="92"/>
      <x:c r="BE405" s="91"/>
      <x:c r="BF405" s="91"/>
      <x:c r="BG405" s="91"/>
      <x:c r="BH405" s="91"/>
      <x:c r="BI405" s="91"/>
      <x:c r="BJ405" s="91"/>
      <x:c r="BK405" s="91"/>
      <x:c r="BL405" s="91"/>
      <x:c r="BM405" s="73" t="str">
        <x:f>IF(A405="","",IF(AI405="Example","Example only",IF(AI405&lt;&gt;"Actual","Set record type",IF(COUNTIF($A$2:$A$1001,A405)&gt;1,"Duplicate record ID",IF(OR(D405="",E405="",AF405="",NOT(ISNUMBER(AG405)),AJ405="",AK405="",NOT(ISNUMBER(AL405)),AND(AM405&lt;&gt;"Observed",AM405&lt;&gt;"Corroborated",AM405&lt;&gt;"Declared"),OR(AN405="",AN405="Unknown"),OR(AQ405="",AQ405="Unknown"),OR(AR405="",AR405="Unknown",AR405="TBD"),OR(BC405="",NOT(ISNUMBER(BC405)))),"Evidence incomplete","Evidence recorded; review scope")))))</x:f>
      </x:c>
      <x:c r="BN405" s="73"/>
    </x:row>
    <x:row r="406" ht="34" customHeight="1">
      <x:c r="A406" s="73"/>
      <x:c r="B406" s="73"/>
      <x:c r="C406" s="73"/>
      <x:c r="D406" s="73"/>
      <x:c r="E406" s="73"/>
      <x:c r="F406" s="73"/>
      <x:c r="G406" s="73"/>
      <x:c r="H406" s="73"/>
      <x:c r="I406" s="75"/>
      <x:c r="J406" s="73"/>
      <x:c r="K406" s="73"/>
      <x:c r="L406" s="76"/>
      <x:c r="M406" s="73"/>
      <x:c r="N406" s="73"/>
      <x:c r="O406" s="73"/>
      <x:c r="P406" s="73"/>
      <x:c r="Q406" s="76"/>
      <x:c r="R406" s="73"/>
      <x:c r="S406" s="73"/>
      <x:c r="T406" s="73"/>
      <x:c r="U406" s="73"/>
      <x:c r="V406" s="73"/>
      <x:c r="W406" s="73"/>
      <x:c r="X406" s="73"/>
      <x:c r="Y406" s="73"/>
      <x:c r="Z406" s="73"/>
      <x:c r="AA406" s="73"/>
      <x:c r="AB406" s="76" t="str">
        <x:f>IF(A406="","",IF(OR(NOT(ISNUMBER(I406)),I406&lt;0,NOT(ISNUMBER(AP406)),AP406&lt;0,NOT(ISNUMBER(L406)),L406&lt;1,L406&gt;5,L406&lt;&gt;INT(L406),AND(J406&lt;&gt;"Public",J406&lt;&gt;"Partner",J406&lt;&gt;"Internal",J406&lt;&gt;"None"),AND(K406&lt;&gt;"High",K406&lt;&gt;"Medium",K406&lt;&gt;"Low",K406&lt;&gt;"None"),AND(W406&lt;&gt;"Hard-coded",W406&lt;&gt;"Configurable",W406&lt;&gt;"Policy-managed",W406&lt;&gt;"API/Library abstraction",W406&lt;&gt;"Automated"),AND(Z406&lt;&gt;"Y",Z406&lt;&gt;"N"),AND(AA406&lt;&gt;"Y",AA406&lt;&gt;"N")),"Incomplete",IF(Z406="Y",20,0)+L406*5+IF(AA406="Y",15,0)+IF(J406="Public",10,IF(J406="Partner",7,IF(J406="Internal",3,0)))+IF(W406="Hard-coded",10,IF(W406="Configurable",3,0))+IF(MAX(I406,AP406)&gt;=10,10,IF(MAX(I406,AP406)&gt;=5,7,IF(MAX(I406,AP406)&gt;=2,3,0)))+IF(K406="High",10,IF(K406="Medium",5,0))))</x:f>
      </x:c>
      <x:c r="AC406" s="73" t="str">
        <x:f>IF(A406="","",IF(NOT(ISNUMBER(AB406)),"Review inputs",IF(AB406&gt;=70,"P0 - Immediate",IF(AB406&gt;=50,"P1 - High",IF(AB406&gt;=30,"P2 - Medium",IF(AB406&gt;=15,"P3 - Low","P4 - Monitor"))))))</x:f>
      </x:c>
      <x:c r="AD406" s="73"/>
      <x:c r="AE406" s="73"/>
      <x:c r="AF406" s="73"/>
      <x:c r="AG406" s="77"/>
      <x:c r="AH406" s="73"/>
      <x:c r="AI406" s="91"/>
      <x:c r="AJ406" s="91"/>
      <x:c r="AK406" s="91"/>
      <x:c r="AL406" s="92"/>
      <x:c r="AM406" s="91"/>
      <x:c r="AN406" s="91"/>
      <x:c r="AO406" s="93"/>
      <x:c r="AP406" s="94"/>
      <x:c r="AQ406" s="91"/>
      <x:c r="AR406" s="91"/>
      <x:c r="AS406" s="91"/>
      <x:c r="AT406" s="91"/>
      <x:c r="AU406" s="91"/>
      <x:c r="AV406" s="91"/>
      <x:c r="AW406" s="91"/>
      <x:c r="AX406" s="91"/>
      <x:c r="AY406" s="91"/>
      <x:c r="AZ406" s="92"/>
      <x:c r="BA406" s="94"/>
      <x:c r="BB406" s="91"/>
      <x:c r="BC406" s="92"/>
      <x:c r="BD406" s="92"/>
      <x:c r="BE406" s="91"/>
      <x:c r="BF406" s="91"/>
      <x:c r="BG406" s="91"/>
      <x:c r="BH406" s="91"/>
      <x:c r="BI406" s="91"/>
      <x:c r="BJ406" s="91"/>
      <x:c r="BK406" s="91"/>
      <x:c r="BL406" s="91"/>
      <x:c r="BM406" s="73" t="str">
        <x:f>IF(A406="","",IF(AI406="Example","Example only",IF(AI406&lt;&gt;"Actual","Set record type",IF(COUNTIF($A$2:$A$1001,A406)&gt;1,"Duplicate record ID",IF(OR(D406="",E406="",AF406="",NOT(ISNUMBER(AG406)),AJ406="",AK406="",NOT(ISNUMBER(AL406)),AND(AM406&lt;&gt;"Observed",AM406&lt;&gt;"Corroborated",AM406&lt;&gt;"Declared"),OR(AN406="",AN406="Unknown"),OR(AQ406="",AQ406="Unknown"),OR(AR406="",AR406="Unknown",AR406="TBD"),OR(BC406="",NOT(ISNUMBER(BC406)))),"Evidence incomplete","Evidence recorded; review scope")))))</x:f>
      </x:c>
      <x:c r="BN406" s="73"/>
    </x:row>
    <x:row r="407" ht="34" customHeight="1">
      <x:c r="A407" s="73"/>
      <x:c r="B407" s="73"/>
      <x:c r="C407" s="73"/>
      <x:c r="D407" s="73"/>
      <x:c r="E407" s="73"/>
      <x:c r="F407" s="73"/>
      <x:c r="G407" s="73"/>
      <x:c r="H407" s="73"/>
      <x:c r="I407" s="75"/>
      <x:c r="J407" s="73"/>
      <x:c r="K407" s="73"/>
      <x:c r="L407" s="76"/>
      <x:c r="M407" s="73"/>
      <x:c r="N407" s="73"/>
      <x:c r="O407" s="73"/>
      <x:c r="P407" s="73"/>
      <x:c r="Q407" s="76"/>
      <x:c r="R407" s="73"/>
      <x:c r="S407" s="73"/>
      <x:c r="T407" s="73"/>
      <x:c r="U407" s="73"/>
      <x:c r="V407" s="73"/>
      <x:c r="W407" s="73"/>
      <x:c r="X407" s="73"/>
      <x:c r="Y407" s="73"/>
      <x:c r="Z407" s="73"/>
      <x:c r="AA407" s="73"/>
      <x:c r="AB407" s="76" t="str">
        <x:f>IF(A407="","",IF(OR(NOT(ISNUMBER(I407)),I407&lt;0,NOT(ISNUMBER(AP407)),AP407&lt;0,NOT(ISNUMBER(L407)),L407&lt;1,L407&gt;5,L407&lt;&gt;INT(L407),AND(J407&lt;&gt;"Public",J407&lt;&gt;"Partner",J407&lt;&gt;"Internal",J407&lt;&gt;"None"),AND(K407&lt;&gt;"High",K407&lt;&gt;"Medium",K407&lt;&gt;"Low",K407&lt;&gt;"None"),AND(W407&lt;&gt;"Hard-coded",W407&lt;&gt;"Configurable",W407&lt;&gt;"Policy-managed",W407&lt;&gt;"API/Library abstraction",W407&lt;&gt;"Automated"),AND(Z407&lt;&gt;"Y",Z407&lt;&gt;"N"),AND(AA407&lt;&gt;"Y",AA407&lt;&gt;"N")),"Incomplete",IF(Z407="Y",20,0)+L407*5+IF(AA407="Y",15,0)+IF(J407="Public",10,IF(J407="Partner",7,IF(J407="Internal",3,0)))+IF(W407="Hard-coded",10,IF(W407="Configurable",3,0))+IF(MAX(I407,AP407)&gt;=10,10,IF(MAX(I407,AP407)&gt;=5,7,IF(MAX(I407,AP407)&gt;=2,3,0)))+IF(K407="High",10,IF(K407="Medium",5,0))))</x:f>
      </x:c>
      <x:c r="AC407" s="73" t="str">
        <x:f>IF(A407="","",IF(NOT(ISNUMBER(AB407)),"Review inputs",IF(AB407&gt;=70,"P0 - Immediate",IF(AB407&gt;=50,"P1 - High",IF(AB407&gt;=30,"P2 - Medium",IF(AB407&gt;=15,"P3 - Low","P4 - Monitor"))))))</x:f>
      </x:c>
      <x:c r="AD407" s="73"/>
      <x:c r="AE407" s="73"/>
      <x:c r="AF407" s="73"/>
      <x:c r="AG407" s="77"/>
      <x:c r="AH407" s="73"/>
      <x:c r="AI407" s="91"/>
      <x:c r="AJ407" s="91"/>
      <x:c r="AK407" s="91"/>
      <x:c r="AL407" s="92"/>
      <x:c r="AM407" s="91"/>
      <x:c r="AN407" s="91"/>
      <x:c r="AO407" s="93"/>
      <x:c r="AP407" s="94"/>
      <x:c r="AQ407" s="91"/>
      <x:c r="AR407" s="91"/>
      <x:c r="AS407" s="91"/>
      <x:c r="AT407" s="91"/>
      <x:c r="AU407" s="91"/>
      <x:c r="AV407" s="91"/>
      <x:c r="AW407" s="91"/>
      <x:c r="AX407" s="91"/>
      <x:c r="AY407" s="91"/>
      <x:c r="AZ407" s="92"/>
      <x:c r="BA407" s="94"/>
      <x:c r="BB407" s="91"/>
      <x:c r="BC407" s="92"/>
      <x:c r="BD407" s="92"/>
      <x:c r="BE407" s="91"/>
      <x:c r="BF407" s="91"/>
      <x:c r="BG407" s="91"/>
      <x:c r="BH407" s="91"/>
      <x:c r="BI407" s="91"/>
      <x:c r="BJ407" s="91"/>
      <x:c r="BK407" s="91"/>
      <x:c r="BL407" s="91"/>
      <x:c r="BM407" s="73" t="str">
        <x:f>IF(A407="","",IF(AI407="Example","Example only",IF(AI407&lt;&gt;"Actual","Set record type",IF(COUNTIF($A$2:$A$1001,A407)&gt;1,"Duplicate record ID",IF(OR(D407="",E407="",AF407="",NOT(ISNUMBER(AG407)),AJ407="",AK407="",NOT(ISNUMBER(AL407)),AND(AM407&lt;&gt;"Observed",AM407&lt;&gt;"Corroborated",AM407&lt;&gt;"Declared"),OR(AN407="",AN407="Unknown"),OR(AQ407="",AQ407="Unknown"),OR(AR407="",AR407="Unknown",AR407="TBD"),OR(BC407="",NOT(ISNUMBER(BC407)))),"Evidence incomplete","Evidence recorded; review scope")))))</x:f>
      </x:c>
      <x:c r="BN407" s="73"/>
    </x:row>
    <x:row r="408" ht="34" customHeight="1">
      <x:c r="A408" s="73"/>
      <x:c r="B408" s="73"/>
      <x:c r="C408" s="73"/>
      <x:c r="D408" s="73"/>
      <x:c r="E408" s="73"/>
      <x:c r="F408" s="73"/>
      <x:c r="G408" s="73"/>
      <x:c r="H408" s="73"/>
      <x:c r="I408" s="75"/>
      <x:c r="J408" s="73"/>
      <x:c r="K408" s="73"/>
      <x:c r="L408" s="76"/>
      <x:c r="M408" s="73"/>
      <x:c r="N408" s="73"/>
      <x:c r="O408" s="73"/>
      <x:c r="P408" s="73"/>
      <x:c r="Q408" s="76"/>
      <x:c r="R408" s="73"/>
      <x:c r="S408" s="73"/>
      <x:c r="T408" s="73"/>
      <x:c r="U408" s="73"/>
      <x:c r="V408" s="73"/>
      <x:c r="W408" s="73"/>
      <x:c r="X408" s="73"/>
      <x:c r="Y408" s="73"/>
      <x:c r="Z408" s="73"/>
      <x:c r="AA408" s="73"/>
      <x:c r="AB408" s="76" t="str">
        <x:f>IF(A408="","",IF(OR(NOT(ISNUMBER(I408)),I408&lt;0,NOT(ISNUMBER(AP408)),AP408&lt;0,NOT(ISNUMBER(L408)),L408&lt;1,L408&gt;5,L408&lt;&gt;INT(L408),AND(J408&lt;&gt;"Public",J408&lt;&gt;"Partner",J408&lt;&gt;"Internal",J408&lt;&gt;"None"),AND(K408&lt;&gt;"High",K408&lt;&gt;"Medium",K408&lt;&gt;"Low",K408&lt;&gt;"None"),AND(W408&lt;&gt;"Hard-coded",W408&lt;&gt;"Configurable",W408&lt;&gt;"Policy-managed",W408&lt;&gt;"API/Library abstraction",W408&lt;&gt;"Automated"),AND(Z408&lt;&gt;"Y",Z408&lt;&gt;"N"),AND(AA408&lt;&gt;"Y",AA408&lt;&gt;"N")),"Incomplete",IF(Z408="Y",20,0)+L408*5+IF(AA408="Y",15,0)+IF(J408="Public",10,IF(J408="Partner",7,IF(J408="Internal",3,0)))+IF(W408="Hard-coded",10,IF(W408="Configurable",3,0))+IF(MAX(I408,AP408)&gt;=10,10,IF(MAX(I408,AP408)&gt;=5,7,IF(MAX(I408,AP408)&gt;=2,3,0)))+IF(K408="High",10,IF(K408="Medium",5,0))))</x:f>
      </x:c>
      <x:c r="AC408" s="73" t="str">
        <x:f>IF(A408="","",IF(NOT(ISNUMBER(AB408)),"Review inputs",IF(AB408&gt;=70,"P0 - Immediate",IF(AB408&gt;=50,"P1 - High",IF(AB408&gt;=30,"P2 - Medium",IF(AB408&gt;=15,"P3 - Low","P4 - Monitor"))))))</x:f>
      </x:c>
      <x:c r="AD408" s="73"/>
      <x:c r="AE408" s="73"/>
      <x:c r="AF408" s="73"/>
      <x:c r="AG408" s="77"/>
      <x:c r="AH408" s="73"/>
      <x:c r="AI408" s="91"/>
      <x:c r="AJ408" s="91"/>
      <x:c r="AK408" s="91"/>
      <x:c r="AL408" s="92"/>
      <x:c r="AM408" s="91"/>
      <x:c r="AN408" s="91"/>
      <x:c r="AO408" s="93"/>
      <x:c r="AP408" s="94"/>
      <x:c r="AQ408" s="91"/>
      <x:c r="AR408" s="91"/>
      <x:c r="AS408" s="91"/>
      <x:c r="AT408" s="91"/>
      <x:c r="AU408" s="91"/>
      <x:c r="AV408" s="91"/>
      <x:c r="AW408" s="91"/>
      <x:c r="AX408" s="91"/>
      <x:c r="AY408" s="91"/>
      <x:c r="AZ408" s="92"/>
      <x:c r="BA408" s="94"/>
      <x:c r="BB408" s="91"/>
      <x:c r="BC408" s="92"/>
      <x:c r="BD408" s="92"/>
      <x:c r="BE408" s="91"/>
      <x:c r="BF408" s="91"/>
      <x:c r="BG408" s="91"/>
      <x:c r="BH408" s="91"/>
      <x:c r="BI408" s="91"/>
      <x:c r="BJ408" s="91"/>
      <x:c r="BK408" s="91"/>
      <x:c r="BL408" s="91"/>
      <x:c r="BM408" s="73" t="str">
        <x:f>IF(A408="","",IF(AI408="Example","Example only",IF(AI408&lt;&gt;"Actual","Set record type",IF(COUNTIF($A$2:$A$1001,A408)&gt;1,"Duplicate record ID",IF(OR(D408="",E408="",AF408="",NOT(ISNUMBER(AG408)),AJ408="",AK408="",NOT(ISNUMBER(AL408)),AND(AM408&lt;&gt;"Observed",AM408&lt;&gt;"Corroborated",AM408&lt;&gt;"Declared"),OR(AN408="",AN408="Unknown"),OR(AQ408="",AQ408="Unknown"),OR(AR408="",AR408="Unknown",AR408="TBD"),OR(BC408="",NOT(ISNUMBER(BC408)))),"Evidence incomplete","Evidence recorded; review scope")))))</x:f>
      </x:c>
      <x:c r="BN408" s="73"/>
    </x:row>
    <x:row r="409" ht="34" customHeight="1">
      <x:c r="A409" s="73"/>
      <x:c r="B409" s="73"/>
      <x:c r="C409" s="73"/>
      <x:c r="D409" s="73"/>
      <x:c r="E409" s="73"/>
      <x:c r="F409" s="73"/>
      <x:c r="G409" s="73"/>
      <x:c r="H409" s="73"/>
      <x:c r="I409" s="75"/>
      <x:c r="J409" s="73"/>
      <x:c r="K409" s="73"/>
      <x:c r="L409" s="76"/>
      <x:c r="M409" s="73"/>
      <x:c r="N409" s="73"/>
      <x:c r="O409" s="73"/>
      <x:c r="P409" s="73"/>
      <x:c r="Q409" s="76"/>
      <x:c r="R409" s="73"/>
      <x:c r="S409" s="73"/>
      <x:c r="T409" s="73"/>
      <x:c r="U409" s="73"/>
      <x:c r="V409" s="73"/>
      <x:c r="W409" s="73"/>
      <x:c r="X409" s="73"/>
      <x:c r="Y409" s="73"/>
      <x:c r="Z409" s="73"/>
      <x:c r="AA409" s="73"/>
      <x:c r="AB409" s="76" t="str">
        <x:f>IF(A409="","",IF(OR(NOT(ISNUMBER(I409)),I409&lt;0,NOT(ISNUMBER(AP409)),AP409&lt;0,NOT(ISNUMBER(L409)),L409&lt;1,L409&gt;5,L409&lt;&gt;INT(L409),AND(J409&lt;&gt;"Public",J409&lt;&gt;"Partner",J409&lt;&gt;"Internal",J409&lt;&gt;"None"),AND(K409&lt;&gt;"High",K409&lt;&gt;"Medium",K409&lt;&gt;"Low",K409&lt;&gt;"None"),AND(W409&lt;&gt;"Hard-coded",W409&lt;&gt;"Configurable",W409&lt;&gt;"Policy-managed",W409&lt;&gt;"API/Library abstraction",W409&lt;&gt;"Automated"),AND(Z409&lt;&gt;"Y",Z409&lt;&gt;"N"),AND(AA409&lt;&gt;"Y",AA409&lt;&gt;"N")),"Incomplete",IF(Z409="Y",20,0)+L409*5+IF(AA409="Y",15,0)+IF(J409="Public",10,IF(J409="Partner",7,IF(J409="Internal",3,0)))+IF(W409="Hard-coded",10,IF(W409="Configurable",3,0))+IF(MAX(I409,AP409)&gt;=10,10,IF(MAX(I409,AP409)&gt;=5,7,IF(MAX(I409,AP409)&gt;=2,3,0)))+IF(K409="High",10,IF(K409="Medium",5,0))))</x:f>
      </x:c>
      <x:c r="AC409" s="73" t="str">
        <x:f>IF(A409="","",IF(NOT(ISNUMBER(AB409)),"Review inputs",IF(AB409&gt;=70,"P0 - Immediate",IF(AB409&gt;=50,"P1 - High",IF(AB409&gt;=30,"P2 - Medium",IF(AB409&gt;=15,"P3 - Low","P4 - Monitor"))))))</x:f>
      </x:c>
      <x:c r="AD409" s="73"/>
      <x:c r="AE409" s="73"/>
      <x:c r="AF409" s="73"/>
      <x:c r="AG409" s="77"/>
      <x:c r="AH409" s="73"/>
      <x:c r="AI409" s="91"/>
      <x:c r="AJ409" s="91"/>
      <x:c r="AK409" s="91"/>
      <x:c r="AL409" s="92"/>
      <x:c r="AM409" s="91"/>
      <x:c r="AN409" s="91"/>
      <x:c r="AO409" s="93"/>
      <x:c r="AP409" s="94"/>
      <x:c r="AQ409" s="91"/>
      <x:c r="AR409" s="91"/>
      <x:c r="AS409" s="91"/>
      <x:c r="AT409" s="91"/>
      <x:c r="AU409" s="91"/>
      <x:c r="AV409" s="91"/>
      <x:c r="AW409" s="91"/>
      <x:c r="AX409" s="91"/>
      <x:c r="AY409" s="91"/>
      <x:c r="AZ409" s="92"/>
      <x:c r="BA409" s="94"/>
      <x:c r="BB409" s="91"/>
      <x:c r="BC409" s="92"/>
      <x:c r="BD409" s="92"/>
      <x:c r="BE409" s="91"/>
      <x:c r="BF409" s="91"/>
      <x:c r="BG409" s="91"/>
      <x:c r="BH409" s="91"/>
      <x:c r="BI409" s="91"/>
      <x:c r="BJ409" s="91"/>
      <x:c r="BK409" s="91"/>
      <x:c r="BL409" s="91"/>
      <x:c r="BM409" s="73" t="str">
        <x:f>IF(A409="","",IF(AI409="Example","Example only",IF(AI409&lt;&gt;"Actual","Set record type",IF(COUNTIF($A$2:$A$1001,A409)&gt;1,"Duplicate record ID",IF(OR(D409="",E409="",AF409="",NOT(ISNUMBER(AG409)),AJ409="",AK409="",NOT(ISNUMBER(AL409)),AND(AM409&lt;&gt;"Observed",AM409&lt;&gt;"Corroborated",AM409&lt;&gt;"Declared"),OR(AN409="",AN409="Unknown"),OR(AQ409="",AQ409="Unknown"),OR(AR409="",AR409="Unknown",AR409="TBD"),OR(BC409="",NOT(ISNUMBER(BC409)))),"Evidence incomplete","Evidence recorded; review scope")))))</x:f>
      </x:c>
      <x:c r="BN409" s="73"/>
    </x:row>
    <x:row r="410" ht="34" customHeight="1">
      <x:c r="A410" s="73"/>
      <x:c r="B410" s="73"/>
      <x:c r="C410" s="73"/>
      <x:c r="D410" s="73"/>
      <x:c r="E410" s="73"/>
      <x:c r="F410" s="73"/>
      <x:c r="G410" s="73"/>
      <x:c r="H410" s="73"/>
      <x:c r="I410" s="75"/>
      <x:c r="J410" s="73"/>
      <x:c r="K410" s="73"/>
      <x:c r="L410" s="76"/>
      <x:c r="M410" s="73"/>
      <x:c r="N410" s="73"/>
      <x:c r="O410" s="73"/>
      <x:c r="P410" s="73"/>
      <x:c r="Q410" s="76"/>
      <x:c r="R410" s="73"/>
      <x:c r="S410" s="73"/>
      <x:c r="T410" s="73"/>
      <x:c r="U410" s="73"/>
      <x:c r="V410" s="73"/>
      <x:c r="W410" s="73"/>
      <x:c r="X410" s="73"/>
      <x:c r="Y410" s="73"/>
      <x:c r="Z410" s="73"/>
      <x:c r="AA410" s="73"/>
      <x:c r="AB410" s="76" t="str">
        <x:f>IF(A410="","",IF(OR(NOT(ISNUMBER(I410)),I410&lt;0,NOT(ISNUMBER(AP410)),AP410&lt;0,NOT(ISNUMBER(L410)),L410&lt;1,L410&gt;5,L410&lt;&gt;INT(L410),AND(J410&lt;&gt;"Public",J410&lt;&gt;"Partner",J410&lt;&gt;"Internal",J410&lt;&gt;"None"),AND(K410&lt;&gt;"High",K410&lt;&gt;"Medium",K410&lt;&gt;"Low",K410&lt;&gt;"None"),AND(W410&lt;&gt;"Hard-coded",W410&lt;&gt;"Configurable",W410&lt;&gt;"Policy-managed",W410&lt;&gt;"API/Library abstraction",W410&lt;&gt;"Automated"),AND(Z410&lt;&gt;"Y",Z410&lt;&gt;"N"),AND(AA410&lt;&gt;"Y",AA410&lt;&gt;"N")),"Incomplete",IF(Z410="Y",20,0)+L410*5+IF(AA410="Y",15,0)+IF(J410="Public",10,IF(J410="Partner",7,IF(J410="Internal",3,0)))+IF(W410="Hard-coded",10,IF(W410="Configurable",3,0))+IF(MAX(I410,AP410)&gt;=10,10,IF(MAX(I410,AP410)&gt;=5,7,IF(MAX(I410,AP410)&gt;=2,3,0)))+IF(K410="High",10,IF(K410="Medium",5,0))))</x:f>
      </x:c>
      <x:c r="AC410" s="73" t="str">
        <x:f>IF(A410="","",IF(NOT(ISNUMBER(AB410)),"Review inputs",IF(AB410&gt;=70,"P0 - Immediate",IF(AB410&gt;=50,"P1 - High",IF(AB410&gt;=30,"P2 - Medium",IF(AB410&gt;=15,"P3 - Low","P4 - Monitor"))))))</x:f>
      </x:c>
      <x:c r="AD410" s="73"/>
      <x:c r="AE410" s="73"/>
      <x:c r="AF410" s="73"/>
      <x:c r="AG410" s="77"/>
      <x:c r="AH410" s="73"/>
      <x:c r="AI410" s="91"/>
      <x:c r="AJ410" s="91"/>
      <x:c r="AK410" s="91"/>
      <x:c r="AL410" s="92"/>
      <x:c r="AM410" s="91"/>
      <x:c r="AN410" s="91"/>
      <x:c r="AO410" s="93"/>
      <x:c r="AP410" s="94"/>
      <x:c r="AQ410" s="91"/>
      <x:c r="AR410" s="91"/>
      <x:c r="AS410" s="91"/>
      <x:c r="AT410" s="91"/>
      <x:c r="AU410" s="91"/>
      <x:c r="AV410" s="91"/>
      <x:c r="AW410" s="91"/>
      <x:c r="AX410" s="91"/>
      <x:c r="AY410" s="91"/>
      <x:c r="AZ410" s="92"/>
      <x:c r="BA410" s="94"/>
      <x:c r="BB410" s="91"/>
      <x:c r="BC410" s="92"/>
      <x:c r="BD410" s="92"/>
      <x:c r="BE410" s="91"/>
      <x:c r="BF410" s="91"/>
      <x:c r="BG410" s="91"/>
      <x:c r="BH410" s="91"/>
      <x:c r="BI410" s="91"/>
      <x:c r="BJ410" s="91"/>
      <x:c r="BK410" s="91"/>
      <x:c r="BL410" s="91"/>
      <x:c r="BM410" s="73" t="str">
        <x:f>IF(A410="","",IF(AI410="Example","Example only",IF(AI410&lt;&gt;"Actual","Set record type",IF(COUNTIF($A$2:$A$1001,A410)&gt;1,"Duplicate record ID",IF(OR(D410="",E410="",AF410="",NOT(ISNUMBER(AG410)),AJ410="",AK410="",NOT(ISNUMBER(AL410)),AND(AM410&lt;&gt;"Observed",AM410&lt;&gt;"Corroborated",AM410&lt;&gt;"Declared"),OR(AN410="",AN410="Unknown"),OR(AQ410="",AQ410="Unknown"),OR(AR410="",AR410="Unknown",AR410="TBD"),OR(BC410="",NOT(ISNUMBER(BC410)))),"Evidence incomplete","Evidence recorded; review scope")))))</x:f>
      </x:c>
      <x:c r="BN410" s="73"/>
    </x:row>
    <x:row r="411" ht="34" customHeight="1">
      <x:c r="A411" s="73"/>
      <x:c r="B411" s="73"/>
      <x:c r="C411" s="73"/>
      <x:c r="D411" s="73"/>
      <x:c r="E411" s="73"/>
      <x:c r="F411" s="73"/>
      <x:c r="G411" s="73"/>
      <x:c r="H411" s="73"/>
      <x:c r="I411" s="75"/>
      <x:c r="J411" s="73"/>
      <x:c r="K411" s="73"/>
      <x:c r="L411" s="76"/>
      <x:c r="M411" s="73"/>
      <x:c r="N411" s="73"/>
      <x:c r="O411" s="73"/>
      <x:c r="P411" s="73"/>
      <x:c r="Q411" s="76"/>
      <x:c r="R411" s="73"/>
      <x:c r="S411" s="73"/>
      <x:c r="T411" s="73"/>
      <x:c r="U411" s="73"/>
      <x:c r="V411" s="73"/>
      <x:c r="W411" s="73"/>
      <x:c r="X411" s="73"/>
      <x:c r="Y411" s="73"/>
      <x:c r="Z411" s="73"/>
      <x:c r="AA411" s="73"/>
      <x:c r="AB411" s="76" t="str">
        <x:f>IF(A411="","",IF(OR(NOT(ISNUMBER(I411)),I411&lt;0,NOT(ISNUMBER(AP411)),AP411&lt;0,NOT(ISNUMBER(L411)),L411&lt;1,L411&gt;5,L411&lt;&gt;INT(L411),AND(J411&lt;&gt;"Public",J411&lt;&gt;"Partner",J411&lt;&gt;"Internal",J411&lt;&gt;"None"),AND(K411&lt;&gt;"High",K411&lt;&gt;"Medium",K411&lt;&gt;"Low",K411&lt;&gt;"None"),AND(W411&lt;&gt;"Hard-coded",W411&lt;&gt;"Configurable",W411&lt;&gt;"Policy-managed",W411&lt;&gt;"API/Library abstraction",W411&lt;&gt;"Automated"),AND(Z411&lt;&gt;"Y",Z411&lt;&gt;"N"),AND(AA411&lt;&gt;"Y",AA411&lt;&gt;"N")),"Incomplete",IF(Z411="Y",20,0)+L411*5+IF(AA411="Y",15,0)+IF(J411="Public",10,IF(J411="Partner",7,IF(J411="Internal",3,0)))+IF(W411="Hard-coded",10,IF(W411="Configurable",3,0))+IF(MAX(I411,AP411)&gt;=10,10,IF(MAX(I411,AP411)&gt;=5,7,IF(MAX(I411,AP411)&gt;=2,3,0)))+IF(K411="High",10,IF(K411="Medium",5,0))))</x:f>
      </x:c>
      <x:c r="AC411" s="73" t="str">
        <x:f>IF(A411="","",IF(NOT(ISNUMBER(AB411)),"Review inputs",IF(AB411&gt;=70,"P0 - Immediate",IF(AB411&gt;=50,"P1 - High",IF(AB411&gt;=30,"P2 - Medium",IF(AB411&gt;=15,"P3 - Low","P4 - Monitor"))))))</x:f>
      </x:c>
      <x:c r="AD411" s="73"/>
      <x:c r="AE411" s="73"/>
      <x:c r="AF411" s="73"/>
      <x:c r="AG411" s="77"/>
      <x:c r="AH411" s="73"/>
      <x:c r="AI411" s="91"/>
      <x:c r="AJ411" s="91"/>
      <x:c r="AK411" s="91"/>
      <x:c r="AL411" s="92"/>
      <x:c r="AM411" s="91"/>
      <x:c r="AN411" s="91"/>
      <x:c r="AO411" s="93"/>
      <x:c r="AP411" s="94"/>
      <x:c r="AQ411" s="91"/>
      <x:c r="AR411" s="91"/>
      <x:c r="AS411" s="91"/>
      <x:c r="AT411" s="91"/>
      <x:c r="AU411" s="91"/>
      <x:c r="AV411" s="91"/>
      <x:c r="AW411" s="91"/>
      <x:c r="AX411" s="91"/>
      <x:c r="AY411" s="91"/>
      <x:c r="AZ411" s="92"/>
      <x:c r="BA411" s="94"/>
      <x:c r="BB411" s="91"/>
      <x:c r="BC411" s="92"/>
      <x:c r="BD411" s="92"/>
      <x:c r="BE411" s="91"/>
      <x:c r="BF411" s="91"/>
      <x:c r="BG411" s="91"/>
      <x:c r="BH411" s="91"/>
      <x:c r="BI411" s="91"/>
      <x:c r="BJ411" s="91"/>
      <x:c r="BK411" s="91"/>
      <x:c r="BL411" s="91"/>
      <x:c r="BM411" s="73" t="str">
        <x:f>IF(A411="","",IF(AI411="Example","Example only",IF(AI411&lt;&gt;"Actual","Set record type",IF(COUNTIF($A$2:$A$1001,A411)&gt;1,"Duplicate record ID",IF(OR(D411="",E411="",AF411="",NOT(ISNUMBER(AG411)),AJ411="",AK411="",NOT(ISNUMBER(AL411)),AND(AM411&lt;&gt;"Observed",AM411&lt;&gt;"Corroborated",AM411&lt;&gt;"Declared"),OR(AN411="",AN411="Unknown"),OR(AQ411="",AQ411="Unknown"),OR(AR411="",AR411="Unknown",AR411="TBD"),OR(BC411="",NOT(ISNUMBER(BC411)))),"Evidence incomplete","Evidence recorded; review scope")))))</x:f>
      </x:c>
      <x:c r="BN411" s="73"/>
    </x:row>
    <x:row r="412" ht="34" customHeight="1">
      <x:c r="A412" s="73"/>
      <x:c r="B412" s="73"/>
      <x:c r="C412" s="73"/>
      <x:c r="D412" s="73"/>
      <x:c r="E412" s="73"/>
      <x:c r="F412" s="73"/>
      <x:c r="G412" s="73"/>
      <x:c r="H412" s="73"/>
      <x:c r="I412" s="75"/>
      <x:c r="J412" s="73"/>
      <x:c r="K412" s="73"/>
      <x:c r="L412" s="76"/>
      <x:c r="M412" s="73"/>
      <x:c r="N412" s="73"/>
      <x:c r="O412" s="73"/>
      <x:c r="P412" s="73"/>
      <x:c r="Q412" s="76"/>
      <x:c r="R412" s="73"/>
      <x:c r="S412" s="73"/>
      <x:c r="T412" s="73"/>
      <x:c r="U412" s="73"/>
      <x:c r="V412" s="73"/>
      <x:c r="W412" s="73"/>
      <x:c r="X412" s="73"/>
      <x:c r="Y412" s="73"/>
      <x:c r="Z412" s="73"/>
      <x:c r="AA412" s="73"/>
      <x:c r="AB412" s="76" t="str">
        <x:f>IF(A412="","",IF(OR(NOT(ISNUMBER(I412)),I412&lt;0,NOT(ISNUMBER(AP412)),AP412&lt;0,NOT(ISNUMBER(L412)),L412&lt;1,L412&gt;5,L412&lt;&gt;INT(L412),AND(J412&lt;&gt;"Public",J412&lt;&gt;"Partner",J412&lt;&gt;"Internal",J412&lt;&gt;"None"),AND(K412&lt;&gt;"High",K412&lt;&gt;"Medium",K412&lt;&gt;"Low",K412&lt;&gt;"None"),AND(W412&lt;&gt;"Hard-coded",W412&lt;&gt;"Configurable",W412&lt;&gt;"Policy-managed",W412&lt;&gt;"API/Library abstraction",W412&lt;&gt;"Automated"),AND(Z412&lt;&gt;"Y",Z412&lt;&gt;"N"),AND(AA412&lt;&gt;"Y",AA412&lt;&gt;"N")),"Incomplete",IF(Z412="Y",20,0)+L412*5+IF(AA412="Y",15,0)+IF(J412="Public",10,IF(J412="Partner",7,IF(J412="Internal",3,0)))+IF(W412="Hard-coded",10,IF(W412="Configurable",3,0))+IF(MAX(I412,AP412)&gt;=10,10,IF(MAX(I412,AP412)&gt;=5,7,IF(MAX(I412,AP412)&gt;=2,3,0)))+IF(K412="High",10,IF(K412="Medium",5,0))))</x:f>
      </x:c>
      <x:c r="AC412" s="73" t="str">
        <x:f>IF(A412="","",IF(NOT(ISNUMBER(AB412)),"Review inputs",IF(AB412&gt;=70,"P0 - Immediate",IF(AB412&gt;=50,"P1 - High",IF(AB412&gt;=30,"P2 - Medium",IF(AB412&gt;=15,"P3 - Low","P4 - Monitor"))))))</x:f>
      </x:c>
      <x:c r="AD412" s="73"/>
      <x:c r="AE412" s="73"/>
      <x:c r="AF412" s="73"/>
      <x:c r="AG412" s="77"/>
      <x:c r="AH412" s="73"/>
      <x:c r="AI412" s="91"/>
      <x:c r="AJ412" s="91"/>
      <x:c r="AK412" s="91"/>
      <x:c r="AL412" s="92"/>
      <x:c r="AM412" s="91"/>
      <x:c r="AN412" s="91"/>
      <x:c r="AO412" s="93"/>
      <x:c r="AP412" s="94"/>
      <x:c r="AQ412" s="91"/>
      <x:c r="AR412" s="91"/>
      <x:c r="AS412" s="91"/>
      <x:c r="AT412" s="91"/>
      <x:c r="AU412" s="91"/>
      <x:c r="AV412" s="91"/>
      <x:c r="AW412" s="91"/>
      <x:c r="AX412" s="91"/>
      <x:c r="AY412" s="91"/>
      <x:c r="AZ412" s="92"/>
      <x:c r="BA412" s="94"/>
      <x:c r="BB412" s="91"/>
      <x:c r="BC412" s="92"/>
      <x:c r="BD412" s="92"/>
      <x:c r="BE412" s="91"/>
      <x:c r="BF412" s="91"/>
      <x:c r="BG412" s="91"/>
      <x:c r="BH412" s="91"/>
      <x:c r="BI412" s="91"/>
      <x:c r="BJ412" s="91"/>
      <x:c r="BK412" s="91"/>
      <x:c r="BL412" s="91"/>
      <x:c r="BM412" s="73" t="str">
        <x:f>IF(A412="","",IF(AI412="Example","Example only",IF(AI412&lt;&gt;"Actual","Set record type",IF(COUNTIF($A$2:$A$1001,A412)&gt;1,"Duplicate record ID",IF(OR(D412="",E412="",AF412="",NOT(ISNUMBER(AG412)),AJ412="",AK412="",NOT(ISNUMBER(AL412)),AND(AM412&lt;&gt;"Observed",AM412&lt;&gt;"Corroborated",AM412&lt;&gt;"Declared"),OR(AN412="",AN412="Unknown"),OR(AQ412="",AQ412="Unknown"),OR(AR412="",AR412="Unknown",AR412="TBD"),OR(BC412="",NOT(ISNUMBER(BC412)))),"Evidence incomplete","Evidence recorded; review scope")))))</x:f>
      </x:c>
      <x:c r="BN412" s="73"/>
    </x:row>
    <x:row r="413" ht="34" customHeight="1">
      <x:c r="A413" s="73"/>
      <x:c r="B413" s="73"/>
      <x:c r="C413" s="73"/>
      <x:c r="D413" s="73"/>
      <x:c r="E413" s="73"/>
      <x:c r="F413" s="73"/>
      <x:c r="G413" s="73"/>
      <x:c r="H413" s="73"/>
      <x:c r="I413" s="75"/>
      <x:c r="J413" s="73"/>
      <x:c r="K413" s="73"/>
      <x:c r="L413" s="76"/>
      <x:c r="M413" s="73"/>
      <x:c r="N413" s="73"/>
      <x:c r="O413" s="73"/>
      <x:c r="P413" s="73"/>
      <x:c r="Q413" s="76"/>
      <x:c r="R413" s="73"/>
      <x:c r="S413" s="73"/>
      <x:c r="T413" s="73"/>
      <x:c r="U413" s="73"/>
      <x:c r="V413" s="73"/>
      <x:c r="W413" s="73"/>
      <x:c r="X413" s="73"/>
      <x:c r="Y413" s="73"/>
      <x:c r="Z413" s="73"/>
      <x:c r="AA413" s="73"/>
      <x:c r="AB413" s="76" t="str">
        <x:f>IF(A413="","",IF(OR(NOT(ISNUMBER(I413)),I413&lt;0,NOT(ISNUMBER(AP413)),AP413&lt;0,NOT(ISNUMBER(L413)),L413&lt;1,L413&gt;5,L413&lt;&gt;INT(L413),AND(J413&lt;&gt;"Public",J413&lt;&gt;"Partner",J413&lt;&gt;"Internal",J413&lt;&gt;"None"),AND(K413&lt;&gt;"High",K413&lt;&gt;"Medium",K413&lt;&gt;"Low",K413&lt;&gt;"None"),AND(W413&lt;&gt;"Hard-coded",W413&lt;&gt;"Configurable",W413&lt;&gt;"Policy-managed",W413&lt;&gt;"API/Library abstraction",W413&lt;&gt;"Automated"),AND(Z413&lt;&gt;"Y",Z413&lt;&gt;"N"),AND(AA413&lt;&gt;"Y",AA413&lt;&gt;"N")),"Incomplete",IF(Z413="Y",20,0)+L413*5+IF(AA413="Y",15,0)+IF(J413="Public",10,IF(J413="Partner",7,IF(J413="Internal",3,0)))+IF(W413="Hard-coded",10,IF(W413="Configurable",3,0))+IF(MAX(I413,AP413)&gt;=10,10,IF(MAX(I413,AP413)&gt;=5,7,IF(MAX(I413,AP413)&gt;=2,3,0)))+IF(K413="High",10,IF(K413="Medium",5,0))))</x:f>
      </x:c>
      <x:c r="AC413" s="73" t="str">
        <x:f>IF(A413="","",IF(NOT(ISNUMBER(AB413)),"Review inputs",IF(AB413&gt;=70,"P0 - Immediate",IF(AB413&gt;=50,"P1 - High",IF(AB413&gt;=30,"P2 - Medium",IF(AB413&gt;=15,"P3 - Low","P4 - Monitor"))))))</x:f>
      </x:c>
      <x:c r="AD413" s="73"/>
      <x:c r="AE413" s="73"/>
      <x:c r="AF413" s="73"/>
      <x:c r="AG413" s="77"/>
      <x:c r="AH413" s="73"/>
      <x:c r="AI413" s="91"/>
      <x:c r="AJ413" s="91"/>
      <x:c r="AK413" s="91"/>
      <x:c r="AL413" s="92"/>
      <x:c r="AM413" s="91"/>
      <x:c r="AN413" s="91"/>
      <x:c r="AO413" s="93"/>
      <x:c r="AP413" s="94"/>
      <x:c r="AQ413" s="91"/>
      <x:c r="AR413" s="91"/>
      <x:c r="AS413" s="91"/>
      <x:c r="AT413" s="91"/>
      <x:c r="AU413" s="91"/>
      <x:c r="AV413" s="91"/>
      <x:c r="AW413" s="91"/>
      <x:c r="AX413" s="91"/>
      <x:c r="AY413" s="91"/>
      <x:c r="AZ413" s="92"/>
      <x:c r="BA413" s="94"/>
      <x:c r="BB413" s="91"/>
      <x:c r="BC413" s="92"/>
      <x:c r="BD413" s="92"/>
      <x:c r="BE413" s="91"/>
      <x:c r="BF413" s="91"/>
      <x:c r="BG413" s="91"/>
      <x:c r="BH413" s="91"/>
      <x:c r="BI413" s="91"/>
      <x:c r="BJ413" s="91"/>
      <x:c r="BK413" s="91"/>
      <x:c r="BL413" s="91"/>
      <x:c r="BM413" s="73" t="str">
        <x:f>IF(A413="","",IF(AI413="Example","Example only",IF(AI413&lt;&gt;"Actual","Set record type",IF(COUNTIF($A$2:$A$1001,A413)&gt;1,"Duplicate record ID",IF(OR(D413="",E413="",AF413="",NOT(ISNUMBER(AG413)),AJ413="",AK413="",NOT(ISNUMBER(AL413)),AND(AM413&lt;&gt;"Observed",AM413&lt;&gt;"Corroborated",AM413&lt;&gt;"Declared"),OR(AN413="",AN413="Unknown"),OR(AQ413="",AQ413="Unknown"),OR(AR413="",AR413="Unknown",AR413="TBD"),OR(BC413="",NOT(ISNUMBER(BC413)))),"Evidence incomplete","Evidence recorded; review scope")))))</x:f>
      </x:c>
      <x:c r="BN413" s="73"/>
    </x:row>
    <x:row r="414" ht="34" customHeight="1">
      <x:c r="A414" s="73"/>
      <x:c r="B414" s="73"/>
      <x:c r="C414" s="73"/>
      <x:c r="D414" s="73"/>
      <x:c r="E414" s="73"/>
      <x:c r="F414" s="73"/>
      <x:c r="G414" s="73"/>
      <x:c r="H414" s="73"/>
      <x:c r="I414" s="75"/>
      <x:c r="J414" s="73"/>
      <x:c r="K414" s="73"/>
      <x:c r="L414" s="76"/>
      <x:c r="M414" s="73"/>
      <x:c r="N414" s="73"/>
      <x:c r="O414" s="73"/>
      <x:c r="P414" s="73"/>
      <x:c r="Q414" s="76"/>
      <x:c r="R414" s="73"/>
      <x:c r="S414" s="73"/>
      <x:c r="T414" s="73"/>
      <x:c r="U414" s="73"/>
      <x:c r="V414" s="73"/>
      <x:c r="W414" s="73"/>
      <x:c r="X414" s="73"/>
      <x:c r="Y414" s="73"/>
      <x:c r="Z414" s="73"/>
      <x:c r="AA414" s="73"/>
      <x:c r="AB414" s="76" t="str">
        <x:f>IF(A414="","",IF(OR(NOT(ISNUMBER(I414)),I414&lt;0,NOT(ISNUMBER(AP414)),AP414&lt;0,NOT(ISNUMBER(L414)),L414&lt;1,L414&gt;5,L414&lt;&gt;INT(L414),AND(J414&lt;&gt;"Public",J414&lt;&gt;"Partner",J414&lt;&gt;"Internal",J414&lt;&gt;"None"),AND(K414&lt;&gt;"High",K414&lt;&gt;"Medium",K414&lt;&gt;"Low",K414&lt;&gt;"None"),AND(W414&lt;&gt;"Hard-coded",W414&lt;&gt;"Configurable",W414&lt;&gt;"Policy-managed",W414&lt;&gt;"API/Library abstraction",W414&lt;&gt;"Automated"),AND(Z414&lt;&gt;"Y",Z414&lt;&gt;"N"),AND(AA414&lt;&gt;"Y",AA414&lt;&gt;"N")),"Incomplete",IF(Z414="Y",20,0)+L414*5+IF(AA414="Y",15,0)+IF(J414="Public",10,IF(J414="Partner",7,IF(J414="Internal",3,0)))+IF(W414="Hard-coded",10,IF(W414="Configurable",3,0))+IF(MAX(I414,AP414)&gt;=10,10,IF(MAX(I414,AP414)&gt;=5,7,IF(MAX(I414,AP414)&gt;=2,3,0)))+IF(K414="High",10,IF(K414="Medium",5,0))))</x:f>
      </x:c>
      <x:c r="AC414" s="73" t="str">
        <x:f>IF(A414="","",IF(NOT(ISNUMBER(AB414)),"Review inputs",IF(AB414&gt;=70,"P0 - Immediate",IF(AB414&gt;=50,"P1 - High",IF(AB414&gt;=30,"P2 - Medium",IF(AB414&gt;=15,"P3 - Low","P4 - Monitor"))))))</x:f>
      </x:c>
      <x:c r="AD414" s="73"/>
      <x:c r="AE414" s="73"/>
      <x:c r="AF414" s="73"/>
      <x:c r="AG414" s="77"/>
      <x:c r="AH414" s="73"/>
      <x:c r="AI414" s="91"/>
      <x:c r="AJ414" s="91"/>
      <x:c r="AK414" s="91"/>
      <x:c r="AL414" s="92"/>
      <x:c r="AM414" s="91"/>
      <x:c r="AN414" s="91"/>
      <x:c r="AO414" s="93"/>
      <x:c r="AP414" s="94"/>
      <x:c r="AQ414" s="91"/>
      <x:c r="AR414" s="91"/>
      <x:c r="AS414" s="91"/>
      <x:c r="AT414" s="91"/>
      <x:c r="AU414" s="91"/>
      <x:c r="AV414" s="91"/>
      <x:c r="AW414" s="91"/>
      <x:c r="AX414" s="91"/>
      <x:c r="AY414" s="91"/>
      <x:c r="AZ414" s="92"/>
      <x:c r="BA414" s="94"/>
      <x:c r="BB414" s="91"/>
      <x:c r="BC414" s="92"/>
      <x:c r="BD414" s="92"/>
      <x:c r="BE414" s="91"/>
      <x:c r="BF414" s="91"/>
      <x:c r="BG414" s="91"/>
      <x:c r="BH414" s="91"/>
      <x:c r="BI414" s="91"/>
      <x:c r="BJ414" s="91"/>
      <x:c r="BK414" s="91"/>
      <x:c r="BL414" s="91"/>
      <x:c r="BM414" s="73" t="str">
        <x:f>IF(A414="","",IF(AI414="Example","Example only",IF(AI414&lt;&gt;"Actual","Set record type",IF(COUNTIF($A$2:$A$1001,A414)&gt;1,"Duplicate record ID",IF(OR(D414="",E414="",AF414="",NOT(ISNUMBER(AG414)),AJ414="",AK414="",NOT(ISNUMBER(AL414)),AND(AM414&lt;&gt;"Observed",AM414&lt;&gt;"Corroborated",AM414&lt;&gt;"Declared"),OR(AN414="",AN414="Unknown"),OR(AQ414="",AQ414="Unknown"),OR(AR414="",AR414="Unknown",AR414="TBD"),OR(BC414="",NOT(ISNUMBER(BC414)))),"Evidence incomplete","Evidence recorded; review scope")))))</x:f>
      </x:c>
      <x:c r="BN414" s="73"/>
    </x:row>
    <x:row r="415" ht="34" customHeight="1">
      <x:c r="A415" s="73"/>
      <x:c r="B415" s="73"/>
      <x:c r="C415" s="73"/>
      <x:c r="D415" s="73"/>
      <x:c r="E415" s="73"/>
      <x:c r="F415" s="73"/>
      <x:c r="G415" s="73"/>
      <x:c r="H415" s="73"/>
      <x:c r="I415" s="75"/>
      <x:c r="J415" s="73"/>
      <x:c r="K415" s="73"/>
      <x:c r="L415" s="76"/>
      <x:c r="M415" s="73"/>
      <x:c r="N415" s="73"/>
      <x:c r="O415" s="73"/>
      <x:c r="P415" s="73"/>
      <x:c r="Q415" s="76"/>
      <x:c r="R415" s="73"/>
      <x:c r="S415" s="73"/>
      <x:c r="T415" s="73"/>
      <x:c r="U415" s="73"/>
      <x:c r="V415" s="73"/>
      <x:c r="W415" s="73"/>
      <x:c r="X415" s="73"/>
      <x:c r="Y415" s="73"/>
      <x:c r="Z415" s="73"/>
      <x:c r="AA415" s="73"/>
      <x:c r="AB415" s="76" t="str">
        <x:f>IF(A415="","",IF(OR(NOT(ISNUMBER(I415)),I415&lt;0,NOT(ISNUMBER(AP415)),AP415&lt;0,NOT(ISNUMBER(L415)),L415&lt;1,L415&gt;5,L415&lt;&gt;INT(L415),AND(J415&lt;&gt;"Public",J415&lt;&gt;"Partner",J415&lt;&gt;"Internal",J415&lt;&gt;"None"),AND(K415&lt;&gt;"High",K415&lt;&gt;"Medium",K415&lt;&gt;"Low",K415&lt;&gt;"None"),AND(W415&lt;&gt;"Hard-coded",W415&lt;&gt;"Configurable",W415&lt;&gt;"Policy-managed",W415&lt;&gt;"API/Library abstraction",W415&lt;&gt;"Automated"),AND(Z415&lt;&gt;"Y",Z415&lt;&gt;"N"),AND(AA415&lt;&gt;"Y",AA415&lt;&gt;"N")),"Incomplete",IF(Z415="Y",20,0)+L415*5+IF(AA415="Y",15,0)+IF(J415="Public",10,IF(J415="Partner",7,IF(J415="Internal",3,0)))+IF(W415="Hard-coded",10,IF(W415="Configurable",3,0))+IF(MAX(I415,AP415)&gt;=10,10,IF(MAX(I415,AP415)&gt;=5,7,IF(MAX(I415,AP415)&gt;=2,3,0)))+IF(K415="High",10,IF(K415="Medium",5,0))))</x:f>
      </x:c>
      <x:c r="AC415" s="73" t="str">
        <x:f>IF(A415="","",IF(NOT(ISNUMBER(AB415)),"Review inputs",IF(AB415&gt;=70,"P0 - Immediate",IF(AB415&gt;=50,"P1 - High",IF(AB415&gt;=30,"P2 - Medium",IF(AB415&gt;=15,"P3 - Low","P4 - Monitor"))))))</x:f>
      </x:c>
      <x:c r="AD415" s="73"/>
      <x:c r="AE415" s="73"/>
      <x:c r="AF415" s="73"/>
      <x:c r="AG415" s="77"/>
      <x:c r="AH415" s="73"/>
      <x:c r="AI415" s="91"/>
      <x:c r="AJ415" s="91"/>
      <x:c r="AK415" s="91"/>
      <x:c r="AL415" s="92"/>
      <x:c r="AM415" s="91"/>
      <x:c r="AN415" s="91"/>
      <x:c r="AO415" s="93"/>
      <x:c r="AP415" s="94"/>
      <x:c r="AQ415" s="91"/>
      <x:c r="AR415" s="91"/>
      <x:c r="AS415" s="91"/>
      <x:c r="AT415" s="91"/>
      <x:c r="AU415" s="91"/>
      <x:c r="AV415" s="91"/>
      <x:c r="AW415" s="91"/>
      <x:c r="AX415" s="91"/>
      <x:c r="AY415" s="91"/>
      <x:c r="AZ415" s="92"/>
      <x:c r="BA415" s="94"/>
      <x:c r="BB415" s="91"/>
      <x:c r="BC415" s="92"/>
      <x:c r="BD415" s="92"/>
      <x:c r="BE415" s="91"/>
      <x:c r="BF415" s="91"/>
      <x:c r="BG415" s="91"/>
      <x:c r="BH415" s="91"/>
      <x:c r="BI415" s="91"/>
      <x:c r="BJ415" s="91"/>
      <x:c r="BK415" s="91"/>
      <x:c r="BL415" s="91"/>
      <x:c r="BM415" s="73" t="str">
        <x:f>IF(A415="","",IF(AI415="Example","Example only",IF(AI415&lt;&gt;"Actual","Set record type",IF(COUNTIF($A$2:$A$1001,A415)&gt;1,"Duplicate record ID",IF(OR(D415="",E415="",AF415="",NOT(ISNUMBER(AG415)),AJ415="",AK415="",NOT(ISNUMBER(AL415)),AND(AM415&lt;&gt;"Observed",AM415&lt;&gt;"Corroborated",AM415&lt;&gt;"Declared"),OR(AN415="",AN415="Unknown"),OR(AQ415="",AQ415="Unknown"),OR(AR415="",AR415="Unknown",AR415="TBD"),OR(BC415="",NOT(ISNUMBER(BC415)))),"Evidence incomplete","Evidence recorded; review scope")))))</x:f>
      </x:c>
      <x:c r="BN415" s="73"/>
    </x:row>
    <x:row r="416" ht="34" customHeight="1">
      <x:c r="A416" s="73"/>
      <x:c r="B416" s="73"/>
      <x:c r="C416" s="73"/>
      <x:c r="D416" s="73"/>
      <x:c r="E416" s="73"/>
      <x:c r="F416" s="73"/>
      <x:c r="G416" s="73"/>
      <x:c r="H416" s="73"/>
      <x:c r="I416" s="75"/>
      <x:c r="J416" s="73"/>
      <x:c r="K416" s="73"/>
      <x:c r="L416" s="76"/>
      <x:c r="M416" s="73"/>
      <x:c r="N416" s="73"/>
      <x:c r="O416" s="73"/>
      <x:c r="P416" s="73"/>
      <x:c r="Q416" s="76"/>
      <x:c r="R416" s="73"/>
      <x:c r="S416" s="73"/>
      <x:c r="T416" s="73"/>
      <x:c r="U416" s="73"/>
      <x:c r="V416" s="73"/>
      <x:c r="W416" s="73"/>
      <x:c r="X416" s="73"/>
      <x:c r="Y416" s="73"/>
      <x:c r="Z416" s="73"/>
      <x:c r="AA416" s="73"/>
      <x:c r="AB416" s="76" t="str">
        <x:f>IF(A416="","",IF(OR(NOT(ISNUMBER(I416)),I416&lt;0,NOT(ISNUMBER(AP416)),AP416&lt;0,NOT(ISNUMBER(L416)),L416&lt;1,L416&gt;5,L416&lt;&gt;INT(L416),AND(J416&lt;&gt;"Public",J416&lt;&gt;"Partner",J416&lt;&gt;"Internal",J416&lt;&gt;"None"),AND(K416&lt;&gt;"High",K416&lt;&gt;"Medium",K416&lt;&gt;"Low",K416&lt;&gt;"None"),AND(W416&lt;&gt;"Hard-coded",W416&lt;&gt;"Configurable",W416&lt;&gt;"Policy-managed",W416&lt;&gt;"API/Library abstraction",W416&lt;&gt;"Automated"),AND(Z416&lt;&gt;"Y",Z416&lt;&gt;"N"),AND(AA416&lt;&gt;"Y",AA416&lt;&gt;"N")),"Incomplete",IF(Z416="Y",20,0)+L416*5+IF(AA416="Y",15,0)+IF(J416="Public",10,IF(J416="Partner",7,IF(J416="Internal",3,0)))+IF(W416="Hard-coded",10,IF(W416="Configurable",3,0))+IF(MAX(I416,AP416)&gt;=10,10,IF(MAX(I416,AP416)&gt;=5,7,IF(MAX(I416,AP416)&gt;=2,3,0)))+IF(K416="High",10,IF(K416="Medium",5,0))))</x:f>
      </x:c>
      <x:c r="AC416" s="73" t="str">
        <x:f>IF(A416="","",IF(NOT(ISNUMBER(AB416)),"Review inputs",IF(AB416&gt;=70,"P0 - Immediate",IF(AB416&gt;=50,"P1 - High",IF(AB416&gt;=30,"P2 - Medium",IF(AB416&gt;=15,"P3 - Low","P4 - Monitor"))))))</x:f>
      </x:c>
      <x:c r="AD416" s="73"/>
      <x:c r="AE416" s="73"/>
      <x:c r="AF416" s="73"/>
      <x:c r="AG416" s="77"/>
      <x:c r="AH416" s="73"/>
      <x:c r="AI416" s="91"/>
      <x:c r="AJ416" s="91"/>
      <x:c r="AK416" s="91"/>
      <x:c r="AL416" s="92"/>
      <x:c r="AM416" s="91"/>
      <x:c r="AN416" s="91"/>
      <x:c r="AO416" s="93"/>
      <x:c r="AP416" s="94"/>
      <x:c r="AQ416" s="91"/>
      <x:c r="AR416" s="91"/>
      <x:c r="AS416" s="91"/>
      <x:c r="AT416" s="91"/>
      <x:c r="AU416" s="91"/>
      <x:c r="AV416" s="91"/>
      <x:c r="AW416" s="91"/>
      <x:c r="AX416" s="91"/>
      <x:c r="AY416" s="91"/>
      <x:c r="AZ416" s="92"/>
      <x:c r="BA416" s="94"/>
      <x:c r="BB416" s="91"/>
      <x:c r="BC416" s="92"/>
      <x:c r="BD416" s="92"/>
      <x:c r="BE416" s="91"/>
      <x:c r="BF416" s="91"/>
      <x:c r="BG416" s="91"/>
      <x:c r="BH416" s="91"/>
      <x:c r="BI416" s="91"/>
      <x:c r="BJ416" s="91"/>
      <x:c r="BK416" s="91"/>
      <x:c r="BL416" s="91"/>
      <x:c r="BM416" s="73" t="str">
        <x:f>IF(A416="","",IF(AI416="Example","Example only",IF(AI416&lt;&gt;"Actual","Set record type",IF(COUNTIF($A$2:$A$1001,A416)&gt;1,"Duplicate record ID",IF(OR(D416="",E416="",AF416="",NOT(ISNUMBER(AG416)),AJ416="",AK416="",NOT(ISNUMBER(AL416)),AND(AM416&lt;&gt;"Observed",AM416&lt;&gt;"Corroborated",AM416&lt;&gt;"Declared"),OR(AN416="",AN416="Unknown"),OR(AQ416="",AQ416="Unknown"),OR(AR416="",AR416="Unknown",AR416="TBD"),OR(BC416="",NOT(ISNUMBER(BC416)))),"Evidence incomplete","Evidence recorded; review scope")))))</x:f>
      </x:c>
      <x:c r="BN416" s="73"/>
    </x:row>
    <x:row r="417" ht="34" customHeight="1">
      <x:c r="A417" s="73"/>
      <x:c r="B417" s="73"/>
      <x:c r="C417" s="73"/>
      <x:c r="D417" s="73"/>
      <x:c r="E417" s="73"/>
      <x:c r="F417" s="73"/>
      <x:c r="G417" s="73"/>
      <x:c r="H417" s="73"/>
      <x:c r="I417" s="75"/>
      <x:c r="J417" s="73"/>
      <x:c r="K417" s="73"/>
      <x:c r="L417" s="76"/>
      <x:c r="M417" s="73"/>
      <x:c r="N417" s="73"/>
      <x:c r="O417" s="73"/>
      <x:c r="P417" s="73"/>
      <x:c r="Q417" s="76"/>
      <x:c r="R417" s="73"/>
      <x:c r="S417" s="73"/>
      <x:c r="T417" s="73"/>
      <x:c r="U417" s="73"/>
      <x:c r="V417" s="73"/>
      <x:c r="W417" s="73"/>
      <x:c r="X417" s="73"/>
      <x:c r="Y417" s="73"/>
      <x:c r="Z417" s="73"/>
      <x:c r="AA417" s="73"/>
      <x:c r="AB417" s="76" t="str">
        <x:f>IF(A417="","",IF(OR(NOT(ISNUMBER(I417)),I417&lt;0,NOT(ISNUMBER(AP417)),AP417&lt;0,NOT(ISNUMBER(L417)),L417&lt;1,L417&gt;5,L417&lt;&gt;INT(L417),AND(J417&lt;&gt;"Public",J417&lt;&gt;"Partner",J417&lt;&gt;"Internal",J417&lt;&gt;"None"),AND(K417&lt;&gt;"High",K417&lt;&gt;"Medium",K417&lt;&gt;"Low",K417&lt;&gt;"None"),AND(W417&lt;&gt;"Hard-coded",W417&lt;&gt;"Configurable",W417&lt;&gt;"Policy-managed",W417&lt;&gt;"API/Library abstraction",W417&lt;&gt;"Automated"),AND(Z417&lt;&gt;"Y",Z417&lt;&gt;"N"),AND(AA417&lt;&gt;"Y",AA417&lt;&gt;"N")),"Incomplete",IF(Z417="Y",20,0)+L417*5+IF(AA417="Y",15,0)+IF(J417="Public",10,IF(J417="Partner",7,IF(J417="Internal",3,0)))+IF(W417="Hard-coded",10,IF(W417="Configurable",3,0))+IF(MAX(I417,AP417)&gt;=10,10,IF(MAX(I417,AP417)&gt;=5,7,IF(MAX(I417,AP417)&gt;=2,3,0)))+IF(K417="High",10,IF(K417="Medium",5,0))))</x:f>
      </x:c>
      <x:c r="AC417" s="73" t="str">
        <x:f>IF(A417="","",IF(NOT(ISNUMBER(AB417)),"Review inputs",IF(AB417&gt;=70,"P0 - Immediate",IF(AB417&gt;=50,"P1 - High",IF(AB417&gt;=30,"P2 - Medium",IF(AB417&gt;=15,"P3 - Low","P4 - Monitor"))))))</x:f>
      </x:c>
      <x:c r="AD417" s="73"/>
      <x:c r="AE417" s="73"/>
      <x:c r="AF417" s="73"/>
      <x:c r="AG417" s="77"/>
      <x:c r="AH417" s="73"/>
      <x:c r="AI417" s="91"/>
      <x:c r="AJ417" s="91"/>
      <x:c r="AK417" s="91"/>
      <x:c r="AL417" s="92"/>
      <x:c r="AM417" s="91"/>
      <x:c r="AN417" s="91"/>
      <x:c r="AO417" s="93"/>
      <x:c r="AP417" s="94"/>
      <x:c r="AQ417" s="91"/>
      <x:c r="AR417" s="91"/>
      <x:c r="AS417" s="91"/>
      <x:c r="AT417" s="91"/>
      <x:c r="AU417" s="91"/>
      <x:c r="AV417" s="91"/>
      <x:c r="AW417" s="91"/>
      <x:c r="AX417" s="91"/>
      <x:c r="AY417" s="91"/>
      <x:c r="AZ417" s="92"/>
      <x:c r="BA417" s="94"/>
      <x:c r="BB417" s="91"/>
      <x:c r="BC417" s="92"/>
      <x:c r="BD417" s="92"/>
      <x:c r="BE417" s="91"/>
      <x:c r="BF417" s="91"/>
      <x:c r="BG417" s="91"/>
      <x:c r="BH417" s="91"/>
      <x:c r="BI417" s="91"/>
      <x:c r="BJ417" s="91"/>
      <x:c r="BK417" s="91"/>
      <x:c r="BL417" s="91"/>
      <x:c r="BM417" s="73" t="str">
        <x:f>IF(A417="","",IF(AI417="Example","Example only",IF(AI417&lt;&gt;"Actual","Set record type",IF(COUNTIF($A$2:$A$1001,A417)&gt;1,"Duplicate record ID",IF(OR(D417="",E417="",AF417="",NOT(ISNUMBER(AG417)),AJ417="",AK417="",NOT(ISNUMBER(AL417)),AND(AM417&lt;&gt;"Observed",AM417&lt;&gt;"Corroborated",AM417&lt;&gt;"Declared"),OR(AN417="",AN417="Unknown"),OR(AQ417="",AQ417="Unknown"),OR(AR417="",AR417="Unknown",AR417="TBD"),OR(BC417="",NOT(ISNUMBER(BC417)))),"Evidence incomplete","Evidence recorded; review scope")))))</x:f>
      </x:c>
      <x:c r="BN417" s="73"/>
    </x:row>
    <x:row r="418" ht="34" customHeight="1">
      <x:c r="A418" s="73"/>
      <x:c r="B418" s="73"/>
      <x:c r="C418" s="73"/>
      <x:c r="D418" s="73"/>
      <x:c r="E418" s="73"/>
      <x:c r="F418" s="73"/>
      <x:c r="G418" s="73"/>
      <x:c r="H418" s="73"/>
      <x:c r="I418" s="75"/>
      <x:c r="J418" s="73"/>
      <x:c r="K418" s="73"/>
      <x:c r="L418" s="76"/>
      <x:c r="M418" s="73"/>
      <x:c r="N418" s="73"/>
      <x:c r="O418" s="73"/>
      <x:c r="P418" s="73"/>
      <x:c r="Q418" s="76"/>
      <x:c r="R418" s="73"/>
      <x:c r="S418" s="73"/>
      <x:c r="T418" s="73"/>
      <x:c r="U418" s="73"/>
      <x:c r="V418" s="73"/>
      <x:c r="W418" s="73"/>
      <x:c r="X418" s="73"/>
      <x:c r="Y418" s="73"/>
      <x:c r="Z418" s="73"/>
      <x:c r="AA418" s="73"/>
      <x:c r="AB418" s="76" t="str">
        <x:f>IF(A418="","",IF(OR(NOT(ISNUMBER(I418)),I418&lt;0,NOT(ISNUMBER(AP418)),AP418&lt;0,NOT(ISNUMBER(L418)),L418&lt;1,L418&gt;5,L418&lt;&gt;INT(L418),AND(J418&lt;&gt;"Public",J418&lt;&gt;"Partner",J418&lt;&gt;"Internal",J418&lt;&gt;"None"),AND(K418&lt;&gt;"High",K418&lt;&gt;"Medium",K418&lt;&gt;"Low",K418&lt;&gt;"None"),AND(W418&lt;&gt;"Hard-coded",W418&lt;&gt;"Configurable",W418&lt;&gt;"Policy-managed",W418&lt;&gt;"API/Library abstraction",W418&lt;&gt;"Automated"),AND(Z418&lt;&gt;"Y",Z418&lt;&gt;"N"),AND(AA418&lt;&gt;"Y",AA418&lt;&gt;"N")),"Incomplete",IF(Z418="Y",20,0)+L418*5+IF(AA418="Y",15,0)+IF(J418="Public",10,IF(J418="Partner",7,IF(J418="Internal",3,0)))+IF(W418="Hard-coded",10,IF(W418="Configurable",3,0))+IF(MAX(I418,AP418)&gt;=10,10,IF(MAX(I418,AP418)&gt;=5,7,IF(MAX(I418,AP418)&gt;=2,3,0)))+IF(K418="High",10,IF(K418="Medium",5,0))))</x:f>
      </x:c>
      <x:c r="AC418" s="73" t="str">
        <x:f>IF(A418="","",IF(NOT(ISNUMBER(AB418)),"Review inputs",IF(AB418&gt;=70,"P0 - Immediate",IF(AB418&gt;=50,"P1 - High",IF(AB418&gt;=30,"P2 - Medium",IF(AB418&gt;=15,"P3 - Low","P4 - Monitor"))))))</x:f>
      </x:c>
      <x:c r="AD418" s="73"/>
      <x:c r="AE418" s="73"/>
      <x:c r="AF418" s="73"/>
      <x:c r="AG418" s="77"/>
      <x:c r="AH418" s="73"/>
      <x:c r="AI418" s="91"/>
      <x:c r="AJ418" s="91"/>
      <x:c r="AK418" s="91"/>
      <x:c r="AL418" s="92"/>
      <x:c r="AM418" s="91"/>
      <x:c r="AN418" s="91"/>
      <x:c r="AO418" s="93"/>
      <x:c r="AP418" s="94"/>
      <x:c r="AQ418" s="91"/>
      <x:c r="AR418" s="91"/>
      <x:c r="AS418" s="91"/>
      <x:c r="AT418" s="91"/>
      <x:c r="AU418" s="91"/>
      <x:c r="AV418" s="91"/>
      <x:c r="AW418" s="91"/>
      <x:c r="AX418" s="91"/>
      <x:c r="AY418" s="91"/>
      <x:c r="AZ418" s="92"/>
      <x:c r="BA418" s="94"/>
      <x:c r="BB418" s="91"/>
      <x:c r="BC418" s="92"/>
      <x:c r="BD418" s="92"/>
      <x:c r="BE418" s="91"/>
      <x:c r="BF418" s="91"/>
      <x:c r="BG418" s="91"/>
      <x:c r="BH418" s="91"/>
      <x:c r="BI418" s="91"/>
      <x:c r="BJ418" s="91"/>
      <x:c r="BK418" s="91"/>
      <x:c r="BL418" s="91"/>
      <x:c r="BM418" s="73" t="str">
        <x:f>IF(A418="","",IF(AI418="Example","Example only",IF(AI418&lt;&gt;"Actual","Set record type",IF(COUNTIF($A$2:$A$1001,A418)&gt;1,"Duplicate record ID",IF(OR(D418="",E418="",AF418="",NOT(ISNUMBER(AG418)),AJ418="",AK418="",NOT(ISNUMBER(AL418)),AND(AM418&lt;&gt;"Observed",AM418&lt;&gt;"Corroborated",AM418&lt;&gt;"Declared"),OR(AN418="",AN418="Unknown"),OR(AQ418="",AQ418="Unknown"),OR(AR418="",AR418="Unknown",AR418="TBD"),OR(BC418="",NOT(ISNUMBER(BC418)))),"Evidence incomplete","Evidence recorded; review scope")))))</x:f>
      </x:c>
      <x:c r="BN418" s="73"/>
    </x:row>
    <x:row r="419" ht="34" customHeight="1">
      <x:c r="A419" s="73"/>
      <x:c r="B419" s="73"/>
      <x:c r="C419" s="73"/>
      <x:c r="D419" s="73"/>
      <x:c r="E419" s="73"/>
      <x:c r="F419" s="73"/>
      <x:c r="G419" s="73"/>
      <x:c r="H419" s="73"/>
      <x:c r="I419" s="75"/>
      <x:c r="J419" s="73"/>
      <x:c r="K419" s="73"/>
      <x:c r="L419" s="76"/>
      <x:c r="M419" s="73"/>
      <x:c r="N419" s="73"/>
      <x:c r="O419" s="73"/>
      <x:c r="P419" s="73"/>
      <x:c r="Q419" s="76"/>
      <x:c r="R419" s="73"/>
      <x:c r="S419" s="73"/>
      <x:c r="T419" s="73"/>
      <x:c r="U419" s="73"/>
      <x:c r="V419" s="73"/>
      <x:c r="W419" s="73"/>
      <x:c r="X419" s="73"/>
      <x:c r="Y419" s="73"/>
      <x:c r="Z419" s="73"/>
      <x:c r="AA419" s="73"/>
      <x:c r="AB419" s="76" t="str">
        <x:f>IF(A419="","",IF(OR(NOT(ISNUMBER(I419)),I419&lt;0,NOT(ISNUMBER(AP419)),AP419&lt;0,NOT(ISNUMBER(L419)),L419&lt;1,L419&gt;5,L419&lt;&gt;INT(L419),AND(J419&lt;&gt;"Public",J419&lt;&gt;"Partner",J419&lt;&gt;"Internal",J419&lt;&gt;"None"),AND(K419&lt;&gt;"High",K419&lt;&gt;"Medium",K419&lt;&gt;"Low",K419&lt;&gt;"None"),AND(W419&lt;&gt;"Hard-coded",W419&lt;&gt;"Configurable",W419&lt;&gt;"Policy-managed",W419&lt;&gt;"API/Library abstraction",W419&lt;&gt;"Automated"),AND(Z419&lt;&gt;"Y",Z419&lt;&gt;"N"),AND(AA419&lt;&gt;"Y",AA419&lt;&gt;"N")),"Incomplete",IF(Z419="Y",20,0)+L419*5+IF(AA419="Y",15,0)+IF(J419="Public",10,IF(J419="Partner",7,IF(J419="Internal",3,0)))+IF(W419="Hard-coded",10,IF(W419="Configurable",3,0))+IF(MAX(I419,AP419)&gt;=10,10,IF(MAX(I419,AP419)&gt;=5,7,IF(MAX(I419,AP419)&gt;=2,3,0)))+IF(K419="High",10,IF(K419="Medium",5,0))))</x:f>
      </x:c>
      <x:c r="AC419" s="73" t="str">
        <x:f>IF(A419="","",IF(NOT(ISNUMBER(AB419)),"Review inputs",IF(AB419&gt;=70,"P0 - Immediate",IF(AB419&gt;=50,"P1 - High",IF(AB419&gt;=30,"P2 - Medium",IF(AB419&gt;=15,"P3 - Low","P4 - Monitor"))))))</x:f>
      </x:c>
      <x:c r="AD419" s="73"/>
      <x:c r="AE419" s="73"/>
      <x:c r="AF419" s="73"/>
      <x:c r="AG419" s="77"/>
      <x:c r="AH419" s="73"/>
      <x:c r="AI419" s="91"/>
      <x:c r="AJ419" s="91"/>
      <x:c r="AK419" s="91"/>
      <x:c r="AL419" s="92"/>
      <x:c r="AM419" s="91"/>
      <x:c r="AN419" s="91"/>
      <x:c r="AO419" s="93"/>
      <x:c r="AP419" s="94"/>
      <x:c r="AQ419" s="91"/>
      <x:c r="AR419" s="91"/>
      <x:c r="AS419" s="91"/>
      <x:c r="AT419" s="91"/>
      <x:c r="AU419" s="91"/>
      <x:c r="AV419" s="91"/>
      <x:c r="AW419" s="91"/>
      <x:c r="AX419" s="91"/>
      <x:c r="AY419" s="91"/>
      <x:c r="AZ419" s="92"/>
      <x:c r="BA419" s="94"/>
      <x:c r="BB419" s="91"/>
      <x:c r="BC419" s="92"/>
      <x:c r="BD419" s="92"/>
      <x:c r="BE419" s="91"/>
      <x:c r="BF419" s="91"/>
      <x:c r="BG419" s="91"/>
      <x:c r="BH419" s="91"/>
      <x:c r="BI419" s="91"/>
      <x:c r="BJ419" s="91"/>
      <x:c r="BK419" s="91"/>
      <x:c r="BL419" s="91"/>
      <x:c r="BM419" s="73" t="str">
        <x:f>IF(A419="","",IF(AI419="Example","Example only",IF(AI419&lt;&gt;"Actual","Set record type",IF(COUNTIF($A$2:$A$1001,A419)&gt;1,"Duplicate record ID",IF(OR(D419="",E419="",AF419="",NOT(ISNUMBER(AG419)),AJ419="",AK419="",NOT(ISNUMBER(AL419)),AND(AM419&lt;&gt;"Observed",AM419&lt;&gt;"Corroborated",AM419&lt;&gt;"Declared"),OR(AN419="",AN419="Unknown"),OR(AQ419="",AQ419="Unknown"),OR(AR419="",AR419="Unknown",AR419="TBD"),OR(BC419="",NOT(ISNUMBER(BC419)))),"Evidence incomplete","Evidence recorded; review scope")))))</x:f>
      </x:c>
      <x:c r="BN419" s="73"/>
    </x:row>
    <x:row r="420" ht="34" customHeight="1">
      <x:c r="A420" s="73"/>
      <x:c r="B420" s="73"/>
      <x:c r="C420" s="73"/>
      <x:c r="D420" s="73"/>
      <x:c r="E420" s="73"/>
      <x:c r="F420" s="73"/>
      <x:c r="G420" s="73"/>
      <x:c r="H420" s="73"/>
      <x:c r="I420" s="75"/>
      <x:c r="J420" s="73"/>
      <x:c r="K420" s="73"/>
      <x:c r="L420" s="76"/>
      <x:c r="M420" s="73"/>
      <x:c r="N420" s="73"/>
      <x:c r="O420" s="73"/>
      <x:c r="P420" s="73"/>
      <x:c r="Q420" s="76"/>
      <x:c r="R420" s="73"/>
      <x:c r="S420" s="73"/>
      <x:c r="T420" s="73"/>
      <x:c r="U420" s="73"/>
      <x:c r="V420" s="73"/>
      <x:c r="W420" s="73"/>
      <x:c r="X420" s="73"/>
      <x:c r="Y420" s="73"/>
      <x:c r="Z420" s="73"/>
      <x:c r="AA420" s="73"/>
      <x:c r="AB420" s="76" t="str">
        <x:f>IF(A420="","",IF(OR(NOT(ISNUMBER(I420)),I420&lt;0,NOT(ISNUMBER(AP420)),AP420&lt;0,NOT(ISNUMBER(L420)),L420&lt;1,L420&gt;5,L420&lt;&gt;INT(L420),AND(J420&lt;&gt;"Public",J420&lt;&gt;"Partner",J420&lt;&gt;"Internal",J420&lt;&gt;"None"),AND(K420&lt;&gt;"High",K420&lt;&gt;"Medium",K420&lt;&gt;"Low",K420&lt;&gt;"None"),AND(W420&lt;&gt;"Hard-coded",W420&lt;&gt;"Configurable",W420&lt;&gt;"Policy-managed",W420&lt;&gt;"API/Library abstraction",W420&lt;&gt;"Automated"),AND(Z420&lt;&gt;"Y",Z420&lt;&gt;"N"),AND(AA420&lt;&gt;"Y",AA420&lt;&gt;"N")),"Incomplete",IF(Z420="Y",20,0)+L420*5+IF(AA420="Y",15,0)+IF(J420="Public",10,IF(J420="Partner",7,IF(J420="Internal",3,0)))+IF(W420="Hard-coded",10,IF(W420="Configurable",3,0))+IF(MAX(I420,AP420)&gt;=10,10,IF(MAX(I420,AP420)&gt;=5,7,IF(MAX(I420,AP420)&gt;=2,3,0)))+IF(K420="High",10,IF(K420="Medium",5,0))))</x:f>
      </x:c>
      <x:c r="AC420" s="73" t="str">
        <x:f>IF(A420="","",IF(NOT(ISNUMBER(AB420)),"Review inputs",IF(AB420&gt;=70,"P0 - Immediate",IF(AB420&gt;=50,"P1 - High",IF(AB420&gt;=30,"P2 - Medium",IF(AB420&gt;=15,"P3 - Low","P4 - Monitor"))))))</x:f>
      </x:c>
      <x:c r="AD420" s="73"/>
      <x:c r="AE420" s="73"/>
      <x:c r="AF420" s="73"/>
      <x:c r="AG420" s="77"/>
      <x:c r="AH420" s="73"/>
      <x:c r="AI420" s="91"/>
      <x:c r="AJ420" s="91"/>
      <x:c r="AK420" s="91"/>
      <x:c r="AL420" s="92"/>
      <x:c r="AM420" s="91"/>
      <x:c r="AN420" s="91"/>
      <x:c r="AO420" s="93"/>
      <x:c r="AP420" s="94"/>
      <x:c r="AQ420" s="91"/>
      <x:c r="AR420" s="91"/>
      <x:c r="AS420" s="91"/>
      <x:c r="AT420" s="91"/>
      <x:c r="AU420" s="91"/>
      <x:c r="AV420" s="91"/>
      <x:c r="AW420" s="91"/>
      <x:c r="AX420" s="91"/>
      <x:c r="AY420" s="91"/>
      <x:c r="AZ420" s="92"/>
      <x:c r="BA420" s="94"/>
      <x:c r="BB420" s="91"/>
      <x:c r="BC420" s="92"/>
      <x:c r="BD420" s="92"/>
      <x:c r="BE420" s="91"/>
      <x:c r="BF420" s="91"/>
      <x:c r="BG420" s="91"/>
      <x:c r="BH420" s="91"/>
      <x:c r="BI420" s="91"/>
      <x:c r="BJ420" s="91"/>
      <x:c r="BK420" s="91"/>
      <x:c r="BL420" s="91"/>
      <x:c r="BM420" s="73" t="str">
        <x:f>IF(A420="","",IF(AI420="Example","Example only",IF(AI420&lt;&gt;"Actual","Set record type",IF(COUNTIF($A$2:$A$1001,A420)&gt;1,"Duplicate record ID",IF(OR(D420="",E420="",AF420="",NOT(ISNUMBER(AG420)),AJ420="",AK420="",NOT(ISNUMBER(AL420)),AND(AM420&lt;&gt;"Observed",AM420&lt;&gt;"Corroborated",AM420&lt;&gt;"Declared"),OR(AN420="",AN420="Unknown"),OR(AQ420="",AQ420="Unknown"),OR(AR420="",AR420="Unknown",AR420="TBD"),OR(BC420="",NOT(ISNUMBER(BC420)))),"Evidence incomplete","Evidence recorded; review scope")))))</x:f>
      </x:c>
      <x:c r="BN420" s="73"/>
    </x:row>
    <x:row r="421" ht="34" customHeight="1">
      <x:c r="A421" s="73"/>
      <x:c r="B421" s="73"/>
      <x:c r="C421" s="73"/>
      <x:c r="D421" s="73"/>
      <x:c r="E421" s="73"/>
      <x:c r="F421" s="73"/>
      <x:c r="G421" s="73"/>
      <x:c r="H421" s="73"/>
      <x:c r="I421" s="75"/>
      <x:c r="J421" s="73"/>
      <x:c r="K421" s="73"/>
      <x:c r="L421" s="76"/>
      <x:c r="M421" s="73"/>
      <x:c r="N421" s="73"/>
      <x:c r="O421" s="73"/>
      <x:c r="P421" s="73"/>
      <x:c r="Q421" s="76"/>
      <x:c r="R421" s="73"/>
      <x:c r="S421" s="73"/>
      <x:c r="T421" s="73"/>
      <x:c r="U421" s="73"/>
      <x:c r="V421" s="73"/>
      <x:c r="W421" s="73"/>
      <x:c r="X421" s="73"/>
      <x:c r="Y421" s="73"/>
      <x:c r="Z421" s="73"/>
      <x:c r="AA421" s="73"/>
      <x:c r="AB421" s="76" t="str">
        <x:f>IF(A421="","",IF(OR(NOT(ISNUMBER(I421)),I421&lt;0,NOT(ISNUMBER(AP421)),AP421&lt;0,NOT(ISNUMBER(L421)),L421&lt;1,L421&gt;5,L421&lt;&gt;INT(L421),AND(J421&lt;&gt;"Public",J421&lt;&gt;"Partner",J421&lt;&gt;"Internal",J421&lt;&gt;"None"),AND(K421&lt;&gt;"High",K421&lt;&gt;"Medium",K421&lt;&gt;"Low",K421&lt;&gt;"None"),AND(W421&lt;&gt;"Hard-coded",W421&lt;&gt;"Configurable",W421&lt;&gt;"Policy-managed",W421&lt;&gt;"API/Library abstraction",W421&lt;&gt;"Automated"),AND(Z421&lt;&gt;"Y",Z421&lt;&gt;"N"),AND(AA421&lt;&gt;"Y",AA421&lt;&gt;"N")),"Incomplete",IF(Z421="Y",20,0)+L421*5+IF(AA421="Y",15,0)+IF(J421="Public",10,IF(J421="Partner",7,IF(J421="Internal",3,0)))+IF(W421="Hard-coded",10,IF(W421="Configurable",3,0))+IF(MAX(I421,AP421)&gt;=10,10,IF(MAX(I421,AP421)&gt;=5,7,IF(MAX(I421,AP421)&gt;=2,3,0)))+IF(K421="High",10,IF(K421="Medium",5,0))))</x:f>
      </x:c>
      <x:c r="AC421" s="73" t="str">
        <x:f>IF(A421="","",IF(NOT(ISNUMBER(AB421)),"Review inputs",IF(AB421&gt;=70,"P0 - Immediate",IF(AB421&gt;=50,"P1 - High",IF(AB421&gt;=30,"P2 - Medium",IF(AB421&gt;=15,"P3 - Low","P4 - Monitor"))))))</x:f>
      </x:c>
      <x:c r="AD421" s="73"/>
      <x:c r="AE421" s="73"/>
      <x:c r="AF421" s="73"/>
      <x:c r="AG421" s="77"/>
      <x:c r="AH421" s="73"/>
      <x:c r="AI421" s="91"/>
      <x:c r="AJ421" s="91"/>
      <x:c r="AK421" s="91"/>
      <x:c r="AL421" s="92"/>
      <x:c r="AM421" s="91"/>
      <x:c r="AN421" s="91"/>
      <x:c r="AO421" s="93"/>
      <x:c r="AP421" s="94"/>
      <x:c r="AQ421" s="91"/>
      <x:c r="AR421" s="91"/>
      <x:c r="AS421" s="91"/>
      <x:c r="AT421" s="91"/>
      <x:c r="AU421" s="91"/>
      <x:c r="AV421" s="91"/>
      <x:c r="AW421" s="91"/>
      <x:c r="AX421" s="91"/>
      <x:c r="AY421" s="91"/>
      <x:c r="AZ421" s="92"/>
      <x:c r="BA421" s="94"/>
      <x:c r="BB421" s="91"/>
      <x:c r="BC421" s="92"/>
      <x:c r="BD421" s="92"/>
      <x:c r="BE421" s="91"/>
      <x:c r="BF421" s="91"/>
      <x:c r="BG421" s="91"/>
      <x:c r="BH421" s="91"/>
      <x:c r="BI421" s="91"/>
      <x:c r="BJ421" s="91"/>
      <x:c r="BK421" s="91"/>
      <x:c r="BL421" s="91"/>
      <x:c r="BM421" s="73" t="str">
        <x:f>IF(A421="","",IF(AI421="Example","Example only",IF(AI421&lt;&gt;"Actual","Set record type",IF(COUNTIF($A$2:$A$1001,A421)&gt;1,"Duplicate record ID",IF(OR(D421="",E421="",AF421="",NOT(ISNUMBER(AG421)),AJ421="",AK421="",NOT(ISNUMBER(AL421)),AND(AM421&lt;&gt;"Observed",AM421&lt;&gt;"Corroborated",AM421&lt;&gt;"Declared"),OR(AN421="",AN421="Unknown"),OR(AQ421="",AQ421="Unknown"),OR(AR421="",AR421="Unknown",AR421="TBD"),OR(BC421="",NOT(ISNUMBER(BC421)))),"Evidence incomplete","Evidence recorded; review scope")))))</x:f>
      </x:c>
      <x:c r="BN421" s="73"/>
    </x:row>
    <x:row r="422" ht="34" customHeight="1">
      <x:c r="A422" s="73"/>
      <x:c r="B422" s="73"/>
      <x:c r="C422" s="73"/>
      <x:c r="D422" s="73"/>
      <x:c r="E422" s="73"/>
      <x:c r="F422" s="73"/>
      <x:c r="G422" s="73"/>
      <x:c r="H422" s="73"/>
      <x:c r="I422" s="75"/>
      <x:c r="J422" s="73"/>
      <x:c r="K422" s="73"/>
      <x:c r="L422" s="76"/>
      <x:c r="M422" s="73"/>
      <x:c r="N422" s="73"/>
      <x:c r="O422" s="73"/>
      <x:c r="P422" s="73"/>
      <x:c r="Q422" s="76"/>
      <x:c r="R422" s="73"/>
      <x:c r="S422" s="73"/>
      <x:c r="T422" s="73"/>
      <x:c r="U422" s="73"/>
      <x:c r="V422" s="73"/>
      <x:c r="W422" s="73"/>
      <x:c r="X422" s="73"/>
      <x:c r="Y422" s="73"/>
      <x:c r="Z422" s="73"/>
      <x:c r="AA422" s="73"/>
      <x:c r="AB422" s="76" t="str">
        <x:f>IF(A422="","",IF(OR(NOT(ISNUMBER(I422)),I422&lt;0,NOT(ISNUMBER(AP422)),AP422&lt;0,NOT(ISNUMBER(L422)),L422&lt;1,L422&gt;5,L422&lt;&gt;INT(L422),AND(J422&lt;&gt;"Public",J422&lt;&gt;"Partner",J422&lt;&gt;"Internal",J422&lt;&gt;"None"),AND(K422&lt;&gt;"High",K422&lt;&gt;"Medium",K422&lt;&gt;"Low",K422&lt;&gt;"None"),AND(W422&lt;&gt;"Hard-coded",W422&lt;&gt;"Configurable",W422&lt;&gt;"Policy-managed",W422&lt;&gt;"API/Library abstraction",W422&lt;&gt;"Automated"),AND(Z422&lt;&gt;"Y",Z422&lt;&gt;"N"),AND(AA422&lt;&gt;"Y",AA422&lt;&gt;"N")),"Incomplete",IF(Z422="Y",20,0)+L422*5+IF(AA422="Y",15,0)+IF(J422="Public",10,IF(J422="Partner",7,IF(J422="Internal",3,0)))+IF(W422="Hard-coded",10,IF(W422="Configurable",3,0))+IF(MAX(I422,AP422)&gt;=10,10,IF(MAX(I422,AP422)&gt;=5,7,IF(MAX(I422,AP422)&gt;=2,3,0)))+IF(K422="High",10,IF(K422="Medium",5,0))))</x:f>
      </x:c>
      <x:c r="AC422" s="73" t="str">
        <x:f>IF(A422="","",IF(NOT(ISNUMBER(AB422)),"Review inputs",IF(AB422&gt;=70,"P0 - Immediate",IF(AB422&gt;=50,"P1 - High",IF(AB422&gt;=30,"P2 - Medium",IF(AB422&gt;=15,"P3 - Low","P4 - Monitor"))))))</x:f>
      </x:c>
      <x:c r="AD422" s="73"/>
      <x:c r="AE422" s="73"/>
      <x:c r="AF422" s="73"/>
      <x:c r="AG422" s="77"/>
      <x:c r="AH422" s="73"/>
      <x:c r="AI422" s="91"/>
      <x:c r="AJ422" s="91"/>
      <x:c r="AK422" s="91"/>
      <x:c r="AL422" s="92"/>
      <x:c r="AM422" s="91"/>
      <x:c r="AN422" s="91"/>
      <x:c r="AO422" s="93"/>
      <x:c r="AP422" s="94"/>
      <x:c r="AQ422" s="91"/>
      <x:c r="AR422" s="91"/>
      <x:c r="AS422" s="91"/>
      <x:c r="AT422" s="91"/>
      <x:c r="AU422" s="91"/>
      <x:c r="AV422" s="91"/>
      <x:c r="AW422" s="91"/>
      <x:c r="AX422" s="91"/>
      <x:c r="AY422" s="91"/>
      <x:c r="AZ422" s="92"/>
      <x:c r="BA422" s="94"/>
      <x:c r="BB422" s="91"/>
      <x:c r="BC422" s="92"/>
      <x:c r="BD422" s="92"/>
      <x:c r="BE422" s="91"/>
      <x:c r="BF422" s="91"/>
      <x:c r="BG422" s="91"/>
      <x:c r="BH422" s="91"/>
      <x:c r="BI422" s="91"/>
      <x:c r="BJ422" s="91"/>
      <x:c r="BK422" s="91"/>
      <x:c r="BL422" s="91"/>
      <x:c r="BM422" s="73" t="str">
        <x:f>IF(A422="","",IF(AI422="Example","Example only",IF(AI422&lt;&gt;"Actual","Set record type",IF(COUNTIF($A$2:$A$1001,A422)&gt;1,"Duplicate record ID",IF(OR(D422="",E422="",AF422="",NOT(ISNUMBER(AG422)),AJ422="",AK422="",NOT(ISNUMBER(AL422)),AND(AM422&lt;&gt;"Observed",AM422&lt;&gt;"Corroborated",AM422&lt;&gt;"Declared"),OR(AN422="",AN422="Unknown"),OR(AQ422="",AQ422="Unknown"),OR(AR422="",AR422="Unknown",AR422="TBD"),OR(BC422="",NOT(ISNUMBER(BC422)))),"Evidence incomplete","Evidence recorded; review scope")))))</x:f>
      </x:c>
      <x:c r="BN422" s="73"/>
    </x:row>
    <x:row r="423" ht="34" customHeight="1">
      <x:c r="A423" s="73"/>
      <x:c r="B423" s="73"/>
      <x:c r="C423" s="73"/>
      <x:c r="D423" s="73"/>
      <x:c r="E423" s="73"/>
      <x:c r="F423" s="73"/>
      <x:c r="G423" s="73"/>
      <x:c r="H423" s="73"/>
      <x:c r="I423" s="75"/>
      <x:c r="J423" s="73"/>
      <x:c r="K423" s="73"/>
      <x:c r="L423" s="76"/>
      <x:c r="M423" s="73"/>
      <x:c r="N423" s="73"/>
      <x:c r="O423" s="73"/>
      <x:c r="P423" s="73"/>
      <x:c r="Q423" s="76"/>
      <x:c r="R423" s="73"/>
      <x:c r="S423" s="73"/>
      <x:c r="T423" s="73"/>
      <x:c r="U423" s="73"/>
      <x:c r="V423" s="73"/>
      <x:c r="W423" s="73"/>
      <x:c r="X423" s="73"/>
      <x:c r="Y423" s="73"/>
      <x:c r="Z423" s="73"/>
      <x:c r="AA423" s="73"/>
      <x:c r="AB423" s="76" t="str">
        <x:f>IF(A423="","",IF(OR(NOT(ISNUMBER(I423)),I423&lt;0,NOT(ISNUMBER(AP423)),AP423&lt;0,NOT(ISNUMBER(L423)),L423&lt;1,L423&gt;5,L423&lt;&gt;INT(L423),AND(J423&lt;&gt;"Public",J423&lt;&gt;"Partner",J423&lt;&gt;"Internal",J423&lt;&gt;"None"),AND(K423&lt;&gt;"High",K423&lt;&gt;"Medium",K423&lt;&gt;"Low",K423&lt;&gt;"None"),AND(W423&lt;&gt;"Hard-coded",W423&lt;&gt;"Configurable",W423&lt;&gt;"Policy-managed",W423&lt;&gt;"API/Library abstraction",W423&lt;&gt;"Automated"),AND(Z423&lt;&gt;"Y",Z423&lt;&gt;"N"),AND(AA423&lt;&gt;"Y",AA423&lt;&gt;"N")),"Incomplete",IF(Z423="Y",20,0)+L423*5+IF(AA423="Y",15,0)+IF(J423="Public",10,IF(J423="Partner",7,IF(J423="Internal",3,0)))+IF(W423="Hard-coded",10,IF(W423="Configurable",3,0))+IF(MAX(I423,AP423)&gt;=10,10,IF(MAX(I423,AP423)&gt;=5,7,IF(MAX(I423,AP423)&gt;=2,3,0)))+IF(K423="High",10,IF(K423="Medium",5,0))))</x:f>
      </x:c>
      <x:c r="AC423" s="73" t="str">
        <x:f>IF(A423="","",IF(NOT(ISNUMBER(AB423)),"Review inputs",IF(AB423&gt;=70,"P0 - Immediate",IF(AB423&gt;=50,"P1 - High",IF(AB423&gt;=30,"P2 - Medium",IF(AB423&gt;=15,"P3 - Low","P4 - Monitor"))))))</x:f>
      </x:c>
      <x:c r="AD423" s="73"/>
      <x:c r="AE423" s="73"/>
      <x:c r="AF423" s="73"/>
      <x:c r="AG423" s="77"/>
      <x:c r="AH423" s="73"/>
      <x:c r="AI423" s="91"/>
      <x:c r="AJ423" s="91"/>
      <x:c r="AK423" s="91"/>
      <x:c r="AL423" s="92"/>
      <x:c r="AM423" s="91"/>
      <x:c r="AN423" s="91"/>
      <x:c r="AO423" s="93"/>
      <x:c r="AP423" s="94"/>
      <x:c r="AQ423" s="91"/>
      <x:c r="AR423" s="91"/>
      <x:c r="AS423" s="91"/>
      <x:c r="AT423" s="91"/>
      <x:c r="AU423" s="91"/>
      <x:c r="AV423" s="91"/>
      <x:c r="AW423" s="91"/>
      <x:c r="AX423" s="91"/>
      <x:c r="AY423" s="91"/>
      <x:c r="AZ423" s="92"/>
      <x:c r="BA423" s="94"/>
      <x:c r="BB423" s="91"/>
      <x:c r="BC423" s="92"/>
      <x:c r="BD423" s="92"/>
      <x:c r="BE423" s="91"/>
      <x:c r="BF423" s="91"/>
      <x:c r="BG423" s="91"/>
      <x:c r="BH423" s="91"/>
      <x:c r="BI423" s="91"/>
      <x:c r="BJ423" s="91"/>
      <x:c r="BK423" s="91"/>
      <x:c r="BL423" s="91"/>
      <x:c r="BM423" s="73" t="str">
        <x:f>IF(A423="","",IF(AI423="Example","Example only",IF(AI423&lt;&gt;"Actual","Set record type",IF(COUNTIF($A$2:$A$1001,A423)&gt;1,"Duplicate record ID",IF(OR(D423="",E423="",AF423="",NOT(ISNUMBER(AG423)),AJ423="",AK423="",NOT(ISNUMBER(AL423)),AND(AM423&lt;&gt;"Observed",AM423&lt;&gt;"Corroborated",AM423&lt;&gt;"Declared"),OR(AN423="",AN423="Unknown"),OR(AQ423="",AQ423="Unknown"),OR(AR423="",AR423="Unknown",AR423="TBD"),OR(BC423="",NOT(ISNUMBER(BC423)))),"Evidence incomplete","Evidence recorded; review scope")))))</x:f>
      </x:c>
      <x:c r="BN423" s="73"/>
    </x:row>
    <x:row r="424" ht="34" customHeight="1">
      <x:c r="A424" s="73"/>
      <x:c r="B424" s="73"/>
      <x:c r="C424" s="73"/>
      <x:c r="D424" s="73"/>
      <x:c r="E424" s="73"/>
      <x:c r="F424" s="73"/>
      <x:c r="G424" s="73"/>
      <x:c r="H424" s="73"/>
      <x:c r="I424" s="75"/>
      <x:c r="J424" s="73"/>
      <x:c r="K424" s="73"/>
      <x:c r="L424" s="76"/>
      <x:c r="M424" s="73"/>
      <x:c r="N424" s="73"/>
      <x:c r="O424" s="73"/>
      <x:c r="P424" s="73"/>
      <x:c r="Q424" s="76"/>
      <x:c r="R424" s="73"/>
      <x:c r="S424" s="73"/>
      <x:c r="T424" s="73"/>
      <x:c r="U424" s="73"/>
      <x:c r="V424" s="73"/>
      <x:c r="W424" s="73"/>
      <x:c r="X424" s="73"/>
      <x:c r="Y424" s="73"/>
      <x:c r="Z424" s="73"/>
      <x:c r="AA424" s="73"/>
      <x:c r="AB424" s="76" t="str">
        <x:f>IF(A424="","",IF(OR(NOT(ISNUMBER(I424)),I424&lt;0,NOT(ISNUMBER(AP424)),AP424&lt;0,NOT(ISNUMBER(L424)),L424&lt;1,L424&gt;5,L424&lt;&gt;INT(L424),AND(J424&lt;&gt;"Public",J424&lt;&gt;"Partner",J424&lt;&gt;"Internal",J424&lt;&gt;"None"),AND(K424&lt;&gt;"High",K424&lt;&gt;"Medium",K424&lt;&gt;"Low",K424&lt;&gt;"None"),AND(W424&lt;&gt;"Hard-coded",W424&lt;&gt;"Configurable",W424&lt;&gt;"Policy-managed",W424&lt;&gt;"API/Library abstraction",W424&lt;&gt;"Automated"),AND(Z424&lt;&gt;"Y",Z424&lt;&gt;"N"),AND(AA424&lt;&gt;"Y",AA424&lt;&gt;"N")),"Incomplete",IF(Z424="Y",20,0)+L424*5+IF(AA424="Y",15,0)+IF(J424="Public",10,IF(J424="Partner",7,IF(J424="Internal",3,0)))+IF(W424="Hard-coded",10,IF(W424="Configurable",3,0))+IF(MAX(I424,AP424)&gt;=10,10,IF(MAX(I424,AP424)&gt;=5,7,IF(MAX(I424,AP424)&gt;=2,3,0)))+IF(K424="High",10,IF(K424="Medium",5,0))))</x:f>
      </x:c>
      <x:c r="AC424" s="73" t="str">
        <x:f>IF(A424="","",IF(NOT(ISNUMBER(AB424)),"Review inputs",IF(AB424&gt;=70,"P0 - Immediate",IF(AB424&gt;=50,"P1 - High",IF(AB424&gt;=30,"P2 - Medium",IF(AB424&gt;=15,"P3 - Low","P4 - Monitor"))))))</x:f>
      </x:c>
      <x:c r="AD424" s="73"/>
      <x:c r="AE424" s="73"/>
      <x:c r="AF424" s="73"/>
      <x:c r="AG424" s="77"/>
      <x:c r="AH424" s="73"/>
      <x:c r="AI424" s="91"/>
      <x:c r="AJ424" s="91"/>
      <x:c r="AK424" s="91"/>
      <x:c r="AL424" s="92"/>
      <x:c r="AM424" s="91"/>
      <x:c r="AN424" s="91"/>
      <x:c r="AO424" s="93"/>
      <x:c r="AP424" s="94"/>
      <x:c r="AQ424" s="91"/>
      <x:c r="AR424" s="91"/>
      <x:c r="AS424" s="91"/>
      <x:c r="AT424" s="91"/>
      <x:c r="AU424" s="91"/>
      <x:c r="AV424" s="91"/>
      <x:c r="AW424" s="91"/>
      <x:c r="AX424" s="91"/>
      <x:c r="AY424" s="91"/>
      <x:c r="AZ424" s="92"/>
      <x:c r="BA424" s="94"/>
      <x:c r="BB424" s="91"/>
      <x:c r="BC424" s="92"/>
      <x:c r="BD424" s="92"/>
      <x:c r="BE424" s="91"/>
      <x:c r="BF424" s="91"/>
      <x:c r="BG424" s="91"/>
      <x:c r="BH424" s="91"/>
      <x:c r="BI424" s="91"/>
      <x:c r="BJ424" s="91"/>
      <x:c r="BK424" s="91"/>
      <x:c r="BL424" s="91"/>
      <x:c r="BM424" s="73" t="str">
        <x:f>IF(A424="","",IF(AI424="Example","Example only",IF(AI424&lt;&gt;"Actual","Set record type",IF(COUNTIF($A$2:$A$1001,A424)&gt;1,"Duplicate record ID",IF(OR(D424="",E424="",AF424="",NOT(ISNUMBER(AG424)),AJ424="",AK424="",NOT(ISNUMBER(AL424)),AND(AM424&lt;&gt;"Observed",AM424&lt;&gt;"Corroborated",AM424&lt;&gt;"Declared"),OR(AN424="",AN424="Unknown"),OR(AQ424="",AQ424="Unknown"),OR(AR424="",AR424="Unknown",AR424="TBD"),OR(BC424="",NOT(ISNUMBER(BC424)))),"Evidence incomplete","Evidence recorded; review scope")))))</x:f>
      </x:c>
      <x:c r="BN424" s="73"/>
    </x:row>
    <x:row r="425" ht="34" customHeight="1">
      <x:c r="A425" s="73"/>
      <x:c r="B425" s="73"/>
      <x:c r="C425" s="73"/>
      <x:c r="D425" s="73"/>
      <x:c r="E425" s="73"/>
      <x:c r="F425" s="73"/>
      <x:c r="G425" s="73"/>
      <x:c r="H425" s="73"/>
      <x:c r="I425" s="75"/>
      <x:c r="J425" s="73"/>
      <x:c r="K425" s="73"/>
      <x:c r="L425" s="76"/>
      <x:c r="M425" s="73"/>
      <x:c r="N425" s="73"/>
      <x:c r="O425" s="73"/>
      <x:c r="P425" s="73"/>
      <x:c r="Q425" s="76"/>
      <x:c r="R425" s="73"/>
      <x:c r="S425" s="73"/>
      <x:c r="T425" s="73"/>
      <x:c r="U425" s="73"/>
      <x:c r="V425" s="73"/>
      <x:c r="W425" s="73"/>
      <x:c r="X425" s="73"/>
      <x:c r="Y425" s="73"/>
      <x:c r="Z425" s="73"/>
      <x:c r="AA425" s="73"/>
      <x:c r="AB425" s="76" t="str">
        <x:f>IF(A425="","",IF(OR(NOT(ISNUMBER(I425)),I425&lt;0,NOT(ISNUMBER(AP425)),AP425&lt;0,NOT(ISNUMBER(L425)),L425&lt;1,L425&gt;5,L425&lt;&gt;INT(L425),AND(J425&lt;&gt;"Public",J425&lt;&gt;"Partner",J425&lt;&gt;"Internal",J425&lt;&gt;"None"),AND(K425&lt;&gt;"High",K425&lt;&gt;"Medium",K425&lt;&gt;"Low",K425&lt;&gt;"None"),AND(W425&lt;&gt;"Hard-coded",W425&lt;&gt;"Configurable",W425&lt;&gt;"Policy-managed",W425&lt;&gt;"API/Library abstraction",W425&lt;&gt;"Automated"),AND(Z425&lt;&gt;"Y",Z425&lt;&gt;"N"),AND(AA425&lt;&gt;"Y",AA425&lt;&gt;"N")),"Incomplete",IF(Z425="Y",20,0)+L425*5+IF(AA425="Y",15,0)+IF(J425="Public",10,IF(J425="Partner",7,IF(J425="Internal",3,0)))+IF(W425="Hard-coded",10,IF(W425="Configurable",3,0))+IF(MAX(I425,AP425)&gt;=10,10,IF(MAX(I425,AP425)&gt;=5,7,IF(MAX(I425,AP425)&gt;=2,3,0)))+IF(K425="High",10,IF(K425="Medium",5,0))))</x:f>
      </x:c>
      <x:c r="AC425" s="73" t="str">
        <x:f>IF(A425="","",IF(NOT(ISNUMBER(AB425)),"Review inputs",IF(AB425&gt;=70,"P0 - Immediate",IF(AB425&gt;=50,"P1 - High",IF(AB425&gt;=30,"P2 - Medium",IF(AB425&gt;=15,"P3 - Low","P4 - Monitor"))))))</x:f>
      </x:c>
      <x:c r="AD425" s="73"/>
      <x:c r="AE425" s="73"/>
      <x:c r="AF425" s="73"/>
      <x:c r="AG425" s="77"/>
      <x:c r="AH425" s="73"/>
      <x:c r="AI425" s="91"/>
      <x:c r="AJ425" s="91"/>
      <x:c r="AK425" s="91"/>
      <x:c r="AL425" s="92"/>
      <x:c r="AM425" s="91"/>
      <x:c r="AN425" s="91"/>
      <x:c r="AO425" s="93"/>
      <x:c r="AP425" s="94"/>
      <x:c r="AQ425" s="91"/>
      <x:c r="AR425" s="91"/>
      <x:c r="AS425" s="91"/>
      <x:c r="AT425" s="91"/>
      <x:c r="AU425" s="91"/>
      <x:c r="AV425" s="91"/>
      <x:c r="AW425" s="91"/>
      <x:c r="AX425" s="91"/>
      <x:c r="AY425" s="91"/>
      <x:c r="AZ425" s="92"/>
      <x:c r="BA425" s="94"/>
      <x:c r="BB425" s="91"/>
      <x:c r="BC425" s="92"/>
      <x:c r="BD425" s="92"/>
      <x:c r="BE425" s="91"/>
      <x:c r="BF425" s="91"/>
      <x:c r="BG425" s="91"/>
      <x:c r="BH425" s="91"/>
      <x:c r="BI425" s="91"/>
      <x:c r="BJ425" s="91"/>
      <x:c r="BK425" s="91"/>
      <x:c r="BL425" s="91"/>
      <x:c r="BM425" s="73" t="str">
        <x:f>IF(A425="","",IF(AI425="Example","Example only",IF(AI425&lt;&gt;"Actual","Set record type",IF(COUNTIF($A$2:$A$1001,A425)&gt;1,"Duplicate record ID",IF(OR(D425="",E425="",AF425="",NOT(ISNUMBER(AG425)),AJ425="",AK425="",NOT(ISNUMBER(AL425)),AND(AM425&lt;&gt;"Observed",AM425&lt;&gt;"Corroborated",AM425&lt;&gt;"Declared"),OR(AN425="",AN425="Unknown"),OR(AQ425="",AQ425="Unknown"),OR(AR425="",AR425="Unknown",AR425="TBD"),OR(BC425="",NOT(ISNUMBER(BC425)))),"Evidence incomplete","Evidence recorded; review scope")))))</x:f>
      </x:c>
      <x:c r="BN425" s="73"/>
    </x:row>
    <x:row r="426" ht="34" customHeight="1">
      <x:c r="A426" s="73"/>
      <x:c r="B426" s="73"/>
      <x:c r="C426" s="73"/>
      <x:c r="D426" s="73"/>
      <x:c r="E426" s="73"/>
      <x:c r="F426" s="73"/>
      <x:c r="G426" s="73"/>
      <x:c r="H426" s="73"/>
      <x:c r="I426" s="75"/>
      <x:c r="J426" s="73"/>
      <x:c r="K426" s="73"/>
      <x:c r="L426" s="76"/>
      <x:c r="M426" s="73"/>
      <x:c r="N426" s="73"/>
      <x:c r="O426" s="73"/>
      <x:c r="P426" s="73"/>
      <x:c r="Q426" s="76"/>
      <x:c r="R426" s="73"/>
      <x:c r="S426" s="73"/>
      <x:c r="T426" s="73"/>
      <x:c r="U426" s="73"/>
      <x:c r="V426" s="73"/>
      <x:c r="W426" s="73"/>
      <x:c r="X426" s="73"/>
      <x:c r="Y426" s="73"/>
      <x:c r="Z426" s="73"/>
      <x:c r="AA426" s="73"/>
      <x:c r="AB426" s="76" t="str">
        <x:f>IF(A426="","",IF(OR(NOT(ISNUMBER(I426)),I426&lt;0,NOT(ISNUMBER(AP426)),AP426&lt;0,NOT(ISNUMBER(L426)),L426&lt;1,L426&gt;5,L426&lt;&gt;INT(L426),AND(J426&lt;&gt;"Public",J426&lt;&gt;"Partner",J426&lt;&gt;"Internal",J426&lt;&gt;"None"),AND(K426&lt;&gt;"High",K426&lt;&gt;"Medium",K426&lt;&gt;"Low",K426&lt;&gt;"None"),AND(W426&lt;&gt;"Hard-coded",W426&lt;&gt;"Configurable",W426&lt;&gt;"Policy-managed",W426&lt;&gt;"API/Library abstraction",W426&lt;&gt;"Automated"),AND(Z426&lt;&gt;"Y",Z426&lt;&gt;"N"),AND(AA426&lt;&gt;"Y",AA426&lt;&gt;"N")),"Incomplete",IF(Z426="Y",20,0)+L426*5+IF(AA426="Y",15,0)+IF(J426="Public",10,IF(J426="Partner",7,IF(J426="Internal",3,0)))+IF(W426="Hard-coded",10,IF(W426="Configurable",3,0))+IF(MAX(I426,AP426)&gt;=10,10,IF(MAX(I426,AP426)&gt;=5,7,IF(MAX(I426,AP426)&gt;=2,3,0)))+IF(K426="High",10,IF(K426="Medium",5,0))))</x:f>
      </x:c>
      <x:c r="AC426" s="73" t="str">
        <x:f>IF(A426="","",IF(NOT(ISNUMBER(AB426)),"Review inputs",IF(AB426&gt;=70,"P0 - Immediate",IF(AB426&gt;=50,"P1 - High",IF(AB426&gt;=30,"P2 - Medium",IF(AB426&gt;=15,"P3 - Low","P4 - Monitor"))))))</x:f>
      </x:c>
      <x:c r="AD426" s="73"/>
      <x:c r="AE426" s="73"/>
      <x:c r="AF426" s="73"/>
      <x:c r="AG426" s="77"/>
      <x:c r="AH426" s="73"/>
      <x:c r="AI426" s="91"/>
      <x:c r="AJ426" s="91"/>
      <x:c r="AK426" s="91"/>
      <x:c r="AL426" s="92"/>
      <x:c r="AM426" s="91"/>
      <x:c r="AN426" s="91"/>
      <x:c r="AO426" s="93"/>
      <x:c r="AP426" s="94"/>
      <x:c r="AQ426" s="91"/>
      <x:c r="AR426" s="91"/>
      <x:c r="AS426" s="91"/>
      <x:c r="AT426" s="91"/>
      <x:c r="AU426" s="91"/>
      <x:c r="AV426" s="91"/>
      <x:c r="AW426" s="91"/>
      <x:c r="AX426" s="91"/>
      <x:c r="AY426" s="91"/>
      <x:c r="AZ426" s="92"/>
      <x:c r="BA426" s="94"/>
      <x:c r="BB426" s="91"/>
      <x:c r="BC426" s="92"/>
      <x:c r="BD426" s="92"/>
      <x:c r="BE426" s="91"/>
      <x:c r="BF426" s="91"/>
      <x:c r="BG426" s="91"/>
      <x:c r="BH426" s="91"/>
      <x:c r="BI426" s="91"/>
      <x:c r="BJ426" s="91"/>
      <x:c r="BK426" s="91"/>
      <x:c r="BL426" s="91"/>
      <x:c r="BM426" s="73" t="str">
        <x:f>IF(A426="","",IF(AI426="Example","Example only",IF(AI426&lt;&gt;"Actual","Set record type",IF(COUNTIF($A$2:$A$1001,A426)&gt;1,"Duplicate record ID",IF(OR(D426="",E426="",AF426="",NOT(ISNUMBER(AG426)),AJ426="",AK426="",NOT(ISNUMBER(AL426)),AND(AM426&lt;&gt;"Observed",AM426&lt;&gt;"Corroborated",AM426&lt;&gt;"Declared"),OR(AN426="",AN426="Unknown"),OR(AQ426="",AQ426="Unknown"),OR(AR426="",AR426="Unknown",AR426="TBD"),OR(BC426="",NOT(ISNUMBER(BC426)))),"Evidence incomplete","Evidence recorded; review scope")))))</x:f>
      </x:c>
      <x:c r="BN426" s="73"/>
    </x:row>
    <x:row r="427" ht="34" customHeight="1">
      <x:c r="A427" s="73"/>
      <x:c r="B427" s="73"/>
      <x:c r="C427" s="73"/>
      <x:c r="D427" s="73"/>
      <x:c r="E427" s="73"/>
      <x:c r="F427" s="73"/>
      <x:c r="G427" s="73"/>
      <x:c r="H427" s="73"/>
      <x:c r="I427" s="75"/>
      <x:c r="J427" s="73"/>
      <x:c r="K427" s="73"/>
      <x:c r="L427" s="76"/>
      <x:c r="M427" s="73"/>
      <x:c r="N427" s="73"/>
      <x:c r="O427" s="73"/>
      <x:c r="P427" s="73"/>
      <x:c r="Q427" s="76"/>
      <x:c r="R427" s="73"/>
      <x:c r="S427" s="73"/>
      <x:c r="T427" s="73"/>
      <x:c r="U427" s="73"/>
      <x:c r="V427" s="73"/>
      <x:c r="W427" s="73"/>
      <x:c r="X427" s="73"/>
      <x:c r="Y427" s="73"/>
      <x:c r="Z427" s="73"/>
      <x:c r="AA427" s="73"/>
      <x:c r="AB427" s="76" t="str">
        <x:f>IF(A427="","",IF(OR(NOT(ISNUMBER(I427)),I427&lt;0,NOT(ISNUMBER(AP427)),AP427&lt;0,NOT(ISNUMBER(L427)),L427&lt;1,L427&gt;5,L427&lt;&gt;INT(L427),AND(J427&lt;&gt;"Public",J427&lt;&gt;"Partner",J427&lt;&gt;"Internal",J427&lt;&gt;"None"),AND(K427&lt;&gt;"High",K427&lt;&gt;"Medium",K427&lt;&gt;"Low",K427&lt;&gt;"None"),AND(W427&lt;&gt;"Hard-coded",W427&lt;&gt;"Configurable",W427&lt;&gt;"Policy-managed",W427&lt;&gt;"API/Library abstraction",W427&lt;&gt;"Automated"),AND(Z427&lt;&gt;"Y",Z427&lt;&gt;"N"),AND(AA427&lt;&gt;"Y",AA427&lt;&gt;"N")),"Incomplete",IF(Z427="Y",20,0)+L427*5+IF(AA427="Y",15,0)+IF(J427="Public",10,IF(J427="Partner",7,IF(J427="Internal",3,0)))+IF(W427="Hard-coded",10,IF(W427="Configurable",3,0))+IF(MAX(I427,AP427)&gt;=10,10,IF(MAX(I427,AP427)&gt;=5,7,IF(MAX(I427,AP427)&gt;=2,3,0)))+IF(K427="High",10,IF(K427="Medium",5,0))))</x:f>
      </x:c>
      <x:c r="AC427" s="73" t="str">
        <x:f>IF(A427="","",IF(NOT(ISNUMBER(AB427)),"Review inputs",IF(AB427&gt;=70,"P0 - Immediate",IF(AB427&gt;=50,"P1 - High",IF(AB427&gt;=30,"P2 - Medium",IF(AB427&gt;=15,"P3 - Low","P4 - Monitor"))))))</x:f>
      </x:c>
      <x:c r="AD427" s="73"/>
      <x:c r="AE427" s="73"/>
      <x:c r="AF427" s="73"/>
      <x:c r="AG427" s="77"/>
      <x:c r="AH427" s="73"/>
      <x:c r="AI427" s="91"/>
      <x:c r="AJ427" s="91"/>
      <x:c r="AK427" s="91"/>
      <x:c r="AL427" s="92"/>
      <x:c r="AM427" s="91"/>
      <x:c r="AN427" s="91"/>
      <x:c r="AO427" s="93"/>
      <x:c r="AP427" s="94"/>
      <x:c r="AQ427" s="91"/>
      <x:c r="AR427" s="91"/>
      <x:c r="AS427" s="91"/>
      <x:c r="AT427" s="91"/>
      <x:c r="AU427" s="91"/>
      <x:c r="AV427" s="91"/>
      <x:c r="AW427" s="91"/>
      <x:c r="AX427" s="91"/>
      <x:c r="AY427" s="91"/>
      <x:c r="AZ427" s="92"/>
      <x:c r="BA427" s="94"/>
      <x:c r="BB427" s="91"/>
      <x:c r="BC427" s="92"/>
      <x:c r="BD427" s="92"/>
      <x:c r="BE427" s="91"/>
      <x:c r="BF427" s="91"/>
      <x:c r="BG427" s="91"/>
      <x:c r="BH427" s="91"/>
      <x:c r="BI427" s="91"/>
      <x:c r="BJ427" s="91"/>
      <x:c r="BK427" s="91"/>
      <x:c r="BL427" s="91"/>
      <x:c r="BM427" s="73" t="str">
        <x:f>IF(A427="","",IF(AI427="Example","Example only",IF(AI427&lt;&gt;"Actual","Set record type",IF(COUNTIF($A$2:$A$1001,A427)&gt;1,"Duplicate record ID",IF(OR(D427="",E427="",AF427="",NOT(ISNUMBER(AG427)),AJ427="",AK427="",NOT(ISNUMBER(AL427)),AND(AM427&lt;&gt;"Observed",AM427&lt;&gt;"Corroborated",AM427&lt;&gt;"Declared"),OR(AN427="",AN427="Unknown"),OR(AQ427="",AQ427="Unknown"),OR(AR427="",AR427="Unknown",AR427="TBD"),OR(BC427="",NOT(ISNUMBER(BC427)))),"Evidence incomplete","Evidence recorded; review scope")))))</x:f>
      </x:c>
      <x:c r="BN427" s="73"/>
    </x:row>
    <x:row r="428" ht="34" customHeight="1">
      <x:c r="A428" s="73"/>
      <x:c r="B428" s="73"/>
      <x:c r="C428" s="73"/>
      <x:c r="D428" s="73"/>
      <x:c r="E428" s="73"/>
      <x:c r="F428" s="73"/>
      <x:c r="G428" s="73"/>
      <x:c r="H428" s="73"/>
      <x:c r="I428" s="75"/>
      <x:c r="J428" s="73"/>
      <x:c r="K428" s="73"/>
      <x:c r="L428" s="76"/>
      <x:c r="M428" s="73"/>
      <x:c r="N428" s="73"/>
      <x:c r="O428" s="73"/>
      <x:c r="P428" s="73"/>
      <x:c r="Q428" s="76"/>
      <x:c r="R428" s="73"/>
      <x:c r="S428" s="73"/>
      <x:c r="T428" s="73"/>
      <x:c r="U428" s="73"/>
      <x:c r="V428" s="73"/>
      <x:c r="W428" s="73"/>
      <x:c r="X428" s="73"/>
      <x:c r="Y428" s="73"/>
      <x:c r="Z428" s="73"/>
      <x:c r="AA428" s="73"/>
      <x:c r="AB428" s="76" t="str">
        <x:f>IF(A428="","",IF(OR(NOT(ISNUMBER(I428)),I428&lt;0,NOT(ISNUMBER(AP428)),AP428&lt;0,NOT(ISNUMBER(L428)),L428&lt;1,L428&gt;5,L428&lt;&gt;INT(L428),AND(J428&lt;&gt;"Public",J428&lt;&gt;"Partner",J428&lt;&gt;"Internal",J428&lt;&gt;"None"),AND(K428&lt;&gt;"High",K428&lt;&gt;"Medium",K428&lt;&gt;"Low",K428&lt;&gt;"None"),AND(W428&lt;&gt;"Hard-coded",W428&lt;&gt;"Configurable",W428&lt;&gt;"Policy-managed",W428&lt;&gt;"API/Library abstraction",W428&lt;&gt;"Automated"),AND(Z428&lt;&gt;"Y",Z428&lt;&gt;"N"),AND(AA428&lt;&gt;"Y",AA428&lt;&gt;"N")),"Incomplete",IF(Z428="Y",20,0)+L428*5+IF(AA428="Y",15,0)+IF(J428="Public",10,IF(J428="Partner",7,IF(J428="Internal",3,0)))+IF(W428="Hard-coded",10,IF(W428="Configurable",3,0))+IF(MAX(I428,AP428)&gt;=10,10,IF(MAX(I428,AP428)&gt;=5,7,IF(MAX(I428,AP428)&gt;=2,3,0)))+IF(K428="High",10,IF(K428="Medium",5,0))))</x:f>
      </x:c>
      <x:c r="AC428" s="73" t="str">
        <x:f>IF(A428="","",IF(NOT(ISNUMBER(AB428)),"Review inputs",IF(AB428&gt;=70,"P0 - Immediate",IF(AB428&gt;=50,"P1 - High",IF(AB428&gt;=30,"P2 - Medium",IF(AB428&gt;=15,"P3 - Low","P4 - Monitor"))))))</x:f>
      </x:c>
      <x:c r="AD428" s="73"/>
      <x:c r="AE428" s="73"/>
      <x:c r="AF428" s="73"/>
      <x:c r="AG428" s="77"/>
      <x:c r="AH428" s="73"/>
      <x:c r="AI428" s="91"/>
      <x:c r="AJ428" s="91"/>
      <x:c r="AK428" s="91"/>
      <x:c r="AL428" s="92"/>
      <x:c r="AM428" s="91"/>
      <x:c r="AN428" s="91"/>
      <x:c r="AO428" s="93"/>
      <x:c r="AP428" s="94"/>
      <x:c r="AQ428" s="91"/>
      <x:c r="AR428" s="91"/>
      <x:c r="AS428" s="91"/>
      <x:c r="AT428" s="91"/>
      <x:c r="AU428" s="91"/>
      <x:c r="AV428" s="91"/>
      <x:c r="AW428" s="91"/>
      <x:c r="AX428" s="91"/>
      <x:c r="AY428" s="91"/>
      <x:c r="AZ428" s="92"/>
      <x:c r="BA428" s="94"/>
      <x:c r="BB428" s="91"/>
      <x:c r="BC428" s="92"/>
      <x:c r="BD428" s="92"/>
      <x:c r="BE428" s="91"/>
      <x:c r="BF428" s="91"/>
      <x:c r="BG428" s="91"/>
      <x:c r="BH428" s="91"/>
      <x:c r="BI428" s="91"/>
      <x:c r="BJ428" s="91"/>
      <x:c r="BK428" s="91"/>
      <x:c r="BL428" s="91"/>
      <x:c r="BM428" s="73" t="str">
        <x:f>IF(A428="","",IF(AI428="Example","Example only",IF(AI428&lt;&gt;"Actual","Set record type",IF(COUNTIF($A$2:$A$1001,A428)&gt;1,"Duplicate record ID",IF(OR(D428="",E428="",AF428="",NOT(ISNUMBER(AG428)),AJ428="",AK428="",NOT(ISNUMBER(AL428)),AND(AM428&lt;&gt;"Observed",AM428&lt;&gt;"Corroborated",AM428&lt;&gt;"Declared"),OR(AN428="",AN428="Unknown"),OR(AQ428="",AQ428="Unknown"),OR(AR428="",AR428="Unknown",AR428="TBD"),OR(BC428="",NOT(ISNUMBER(BC428)))),"Evidence incomplete","Evidence recorded; review scope")))))</x:f>
      </x:c>
      <x:c r="BN428" s="73"/>
    </x:row>
    <x:row r="429" ht="34" customHeight="1">
      <x:c r="A429" s="73"/>
      <x:c r="B429" s="73"/>
      <x:c r="C429" s="73"/>
      <x:c r="D429" s="73"/>
      <x:c r="E429" s="73"/>
      <x:c r="F429" s="73"/>
      <x:c r="G429" s="73"/>
      <x:c r="H429" s="73"/>
      <x:c r="I429" s="75"/>
      <x:c r="J429" s="73"/>
      <x:c r="K429" s="73"/>
      <x:c r="L429" s="76"/>
      <x:c r="M429" s="73"/>
      <x:c r="N429" s="73"/>
      <x:c r="O429" s="73"/>
      <x:c r="P429" s="73"/>
      <x:c r="Q429" s="76"/>
      <x:c r="R429" s="73"/>
      <x:c r="S429" s="73"/>
      <x:c r="T429" s="73"/>
      <x:c r="U429" s="73"/>
      <x:c r="V429" s="73"/>
      <x:c r="W429" s="73"/>
      <x:c r="X429" s="73"/>
      <x:c r="Y429" s="73"/>
      <x:c r="Z429" s="73"/>
      <x:c r="AA429" s="73"/>
      <x:c r="AB429" s="76" t="str">
        <x:f>IF(A429="","",IF(OR(NOT(ISNUMBER(I429)),I429&lt;0,NOT(ISNUMBER(AP429)),AP429&lt;0,NOT(ISNUMBER(L429)),L429&lt;1,L429&gt;5,L429&lt;&gt;INT(L429),AND(J429&lt;&gt;"Public",J429&lt;&gt;"Partner",J429&lt;&gt;"Internal",J429&lt;&gt;"None"),AND(K429&lt;&gt;"High",K429&lt;&gt;"Medium",K429&lt;&gt;"Low",K429&lt;&gt;"None"),AND(W429&lt;&gt;"Hard-coded",W429&lt;&gt;"Configurable",W429&lt;&gt;"Policy-managed",W429&lt;&gt;"API/Library abstraction",W429&lt;&gt;"Automated"),AND(Z429&lt;&gt;"Y",Z429&lt;&gt;"N"),AND(AA429&lt;&gt;"Y",AA429&lt;&gt;"N")),"Incomplete",IF(Z429="Y",20,0)+L429*5+IF(AA429="Y",15,0)+IF(J429="Public",10,IF(J429="Partner",7,IF(J429="Internal",3,0)))+IF(W429="Hard-coded",10,IF(W429="Configurable",3,0))+IF(MAX(I429,AP429)&gt;=10,10,IF(MAX(I429,AP429)&gt;=5,7,IF(MAX(I429,AP429)&gt;=2,3,0)))+IF(K429="High",10,IF(K429="Medium",5,0))))</x:f>
      </x:c>
      <x:c r="AC429" s="73" t="str">
        <x:f>IF(A429="","",IF(NOT(ISNUMBER(AB429)),"Review inputs",IF(AB429&gt;=70,"P0 - Immediate",IF(AB429&gt;=50,"P1 - High",IF(AB429&gt;=30,"P2 - Medium",IF(AB429&gt;=15,"P3 - Low","P4 - Monitor"))))))</x:f>
      </x:c>
      <x:c r="AD429" s="73"/>
      <x:c r="AE429" s="73"/>
      <x:c r="AF429" s="73"/>
      <x:c r="AG429" s="77"/>
      <x:c r="AH429" s="73"/>
      <x:c r="AI429" s="91"/>
      <x:c r="AJ429" s="91"/>
      <x:c r="AK429" s="91"/>
      <x:c r="AL429" s="92"/>
      <x:c r="AM429" s="91"/>
      <x:c r="AN429" s="91"/>
      <x:c r="AO429" s="93"/>
      <x:c r="AP429" s="94"/>
      <x:c r="AQ429" s="91"/>
      <x:c r="AR429" s="91"/>
      <x:c r="AS429" s="91"/>
      <x:c r="AT429" s="91"/>
      <x:c r="AU429" s="91"/>
      <x:c r="AV429" s="91"/>
      <x:c r="AW429" s="91"/>
      <x:c r="AX429" s="91"/>
      <x:c r="AY429" s="91"/>
      <x:c r="AZ429" s="92"/>
      <x:c r="BA429" s="94"/>
      <x:c r="BB429" s="91"/>
      <x:c r="BC429" s="92"/>
      <x:c r="BD429" s="92"/>
      <x:c r="BE429" s="91"/>
      <x:c r="BF429" s="91"/>
      <x:c r="BG429" s="91"/>
      <x:c r="BH429" s="91"/>
      <x:c r="BI429" s="91"/>
      <x:c r="BJ429" s="91"/>
      <x:c r="BK429" s="91"/>
      <x:c r="BL429" s="91"/>
      <x:c r="BM429" s="73" t="str">
        <x:f>IF(A429="","",IF(AI429="Example","Example only",IF(AI429&lt;&gt;"Actual","Set record type",IF(COUNTIF($A$2:$A$1001,A429)&gt;1,"Duplicate record ID",IF(OR(D429="",E429="",AF429="",NOT(ISNUMBER(AG429)),AJ429="",AK429="",NOT(ISNUMBER(AL429)),AND(AM429&lt;&gt;"Observed",AM429&lt;&gt;"Corroborated",AM429&lt;&gt;"Declared"),OR(AN429="",AN429="Unknown"),OR(AQ429="",AQ429="Unknown"),OR(AR429="",AR429="Unknown",AR429="TBD"),OR(BC429="",NOT(ISNUMBER(BC429)))),"Evidence incomplete","Evidence recorded; review scope")))))</x:f>
      </x:c>
      <x:c r="BN429" s="73"/>
    </x:row>
    <x:row r="430" ht="34" customHeight="1">
      <x:c r="A430" s="73"/>
      <x:c r="B430" s="73"/>
      <x:c r="C430" s="73"/>
      <x:c r="D430" s="73"/>
      <x:c r="E430" s="73"/>
      <x:c r="F430" s="73"/>
      <x:c r="G430" s="73"/>
      <x:c r="H430" s="73"/>
      <x:c r="I430" s="75"/>
      <x:c r="J430" s="73"/>
      <x:c r="K430" s="73"/>
      <x:c r="L430" s="76"/>
      <x:c r="M430" s="73"/>
      <x:c r="N430" s="73"/>
      <x:c r="O430" s="73"/>
      <x:c r="P430" s="73"/>
      <x:c r="Q430" s="76"/>
      <x:c r="R430" s="73"/>
      <x:c r="S430" s="73"/>
      <x:c r="T430" s="73"/>
      <x:c r="U430" s="73"/>
      <x:c r="V430" s="73"/>
      <x:c r="W430" s="73"/>
      <x:c r="X430" s="73"/>
      <x:c r="Y430" s="73"/>
      <x:c r="Z430" s="73"/>
      <x:c r="AA430" s="73"/>
      <x:c r="AB430" s="76" t="str">
        <x:f>IF(A430="","",IF(OR(NOT(ISNUMBER(I430)),I430&lt;0,NOT(ISNUMBER(AP430)),AP430&lt;0,NOT(ISNUMBER(L430)),L430&lt;1,L430&gt;5,L430&lt;&gt;INT(L430),AND(J430&lt;&gt;"Public",J430&lt;&gt;"Partner",J430&lt;&gt;"Internal",J430&lt;&gt;"None"),AND(K430&lt;&gt;"High",K430&lt;&gt;"Medium",K430&lt;&gt;"Low",K430&lt;&gt;"None"),AND(W430&lt;&gt;"Hard-coded",W430&lt;&gt;"Configurable",W430&lt;&gt;"Policy-managed",W430&lt;&gt;"API/Library abstraction",W430&lt;&gt;"Automated"),AND(Z430&lt;&gt;"Y",Z430&lt;&gt;"N"),AND(AA430&lt;&gt;"Y",AA430&lt;&gt;"N")),"Incomplete",IF(Z430="Y",20,0)+L430*5+IF(AA430="Y",15,0)+IF(J430="Public",10,IF(J430="Partner",7,IF(J430="Internal",3,0)))+IF(W430="Hard-coded",10,IF(W430="Configurable",3,0))+IF(MAX(I430,AP430)&gt;=10,10,IF(MAX(I430,AP430)&gt;=5,7,IF(MAX(I430,AP430)&gt;=2,3,0)))+IF(K430="High",10,IF(K430="Medium",5,0))))</x:f>
      </x:c>
      <x:c r="AC430" s="73" t="str">
        <x:f>IF(A430="","",IF(NOT(ISNUMBER(AB430)),"Review inputs",IF(AB430&gt;=70,"P0 - Immediate",IF(AB430&gt;=50,"P1 - High",IF(AB430&gt;=30,"P2 - Medium",IF(AB430&gt;=15,"P3 - Low","P4 - Monitor"))))))</x:f>
      </x:c>
      <x:c r="AD430" s="73"/>
      <x:c r="AE430" s="73"/>
      <x:c r="AF430" s="73"/>
      <x:c r="AG430" s="77"/>
      <x:c r="AH430" s="73"/>
      <x:c r="AI430" s="91"/>
      <x:c r="AJ430" s="91"/>
      <x:c r="AK430" s="91"/>
      <x:c r="AL430" s="92"/>
      <x:c r="AM430" s="91"/>
      <x:c r="AN430" s="91"/>
      <x:c r="AO430" s="93"/>
      <x:c r="AP430" s="94"/>
      <x:c r="AQ430" s="91"/>
      <x:c r="AR430" s="91"/>
      <x:c r="AS430" s="91"/>
      <x:c r="AT430" s="91"/>
      <x:c r="AU430" s="91"/>
      <x:c r="AV430" s="91"/>
      <x:c r="AW430" s="91"/>
      <x:c r="AX430" s="91"/>
      <x:c r="AY430" s="91"/>
      <x:c r="AZ430" s="92"/>
      <x:c r="BA430" s="94"/>
      <x:c r="BB430" s="91"/>
      <x:c r="BC430" s="92"/>
      <x:c r="BD430" s="92"/>
      <x:c r="BE430" s="91"/>
      <x:c r="BF430" s="91"/>
      <x:c r="BG430" s="91"/>
      <x:c r="BH430" s="91"/>
      <x:c r="BI430" s="91"/>
      <x:c r="BJ430" s="91"/>
      <x:c r="BK430" s="91"/>
      <x:c r="BL430" s="91"/>
      <x:c r="BM430" s="73" t="str">
        <x:f>IF(A430="","",IF(AI430="Example","Example only",IF(AI430&lt;&gt;"Actual","Set record type",IF(COUNTIF($A$2:$A$1001,A430)&gt;1,"Duplicate record ID",IF(OR(D430="",E430="",AF430="",NOT(ISNUMBER(AG430)),AJ430="",AK430="",NOT(ISNUMBER(AL430)),AND(AM430&lt;&gt;"Observed",AM430&lt;&gt;"Corroborated",AM430&lt;&gt;"Declared"),OR(AN430="",AN430="Unknown"),OR(AQ430="",AQ430="Unknown"),OR(AR430="",AR430="Unknown",AR430="TBD"),OR(BC430="",NOT(ISNUMBER(BC430)))),"Evidence incomplete","Evidence recorded; review scope")))))</x:f>
      </x:c>
      <x:c r="BN430" s="73"/>
    </x:row>
    <x:row r="431" ht="34" customHeight="1">
      <x:c r="A431" s="73"/>
      <x:c r="B431" s="73"/>
      <x:c r="C431" s="73"/>
      <x:c r="D431" s="73"/>
      <x:c r="E431" s="73"/>
      <x:c r="F431" s="73"/>
      <x:c r="G431" s="73"/>
      <x:c r="H431" s="73"/>
      <x:c r="I431" s="75"/>
      <x:c r="J431" s="73"/>
      <x:c r="K431" s="73"/>
      <x:c r="L431" s="76"/>
      <x:c r="M431" s="73"/>
      <x:c r="N431" s="73"/>
      <x:c r="O431" s="73"/>
      <x:c r="P431" s="73"/>
      <x:c r="Q431" s="76"/>
      <x:c r="R431" s="73"/>
      <x:c r="S431" s="73"/>
      <x:c r="T431" s="73"/>
      <x:c r="U431" s="73"/>
      <x:c r="V431" s="73"/>
      <x:c r="W431" s="73"/>
      <x:c r="X431" s="73"/>
      <x:c r="Y431" s="73"/>
      <x:c r="Z431" s="73"/>
      <x:c r="AA431" s="73"/>
      <x:c r="AB431" s="76" t="str">
        <x:f>IF(A431="","",IF(OR(NOT(ISNUMBER(I431)),I431&lt;0,NOT(ISNUMBER(AP431)),AP431&lt;0,NOT(ISNUMBER(L431)),L431&lt;1,L431&gt;5,L431&lt;&gt;INT(L431),AND(J431&lt;&gt;"Public",J431&lt;&gt;"Partner",J431&lt;&gt;"Internal",J431&lt;&gt;"None"),AND(K431&lt;&gt;"High",K431&lt;&gt;"Medium",K431&lt;&gt;"Low",K431&lt;&gt;"None"),AND(W431&lt;&gt;"Hard-coded",W431&lt;&gt;"Configurable",W431&lt;&gt;"Policy-managed",W431&lt;&gt;"API/Library abstraction",W431&lt;&gt;"Automated"),AND(Z431&lt;&gt;"Y",Z431&lt;&gt;"N"),AND(AA431&lt;&gt;"Y",AA431&lt;&gt;"N")),"Incomplete",IF(Z431="Y",20,0)+L431*5+IF(AA431="Y",15,0)+IF(J431="Public",10,IF(J431="Partner",7,IF(J431="Internal",3,0)))+IF(W431="Hard-coded",10,IF(W431="Configurable",3,0))+IF(MAX(I431,AP431)&gt;=10,10,IF(MAX(I431,AP431)&gt;=5,7,IF(MAX(I431,AP431)&gt;=2,3,0)))+IF(K431="High",10,IF(K431="Medium",5,0))))</x:f>
      </x:c>
      <x:c r="AC431" s="73" t="str">
        <x:f>IF(A431="","",IF(NOT(ISNUMBER(AB431)),"Review inputs",IF(AB431&gt;=70,"P0 - Immediate",IF(AB431&gt;=50,"P1 - High",IF(AB431&gt;=30,"P2 - Medium",IF(AB431&gt;=15,"P3 - Low","P4 - Monitor"))))))</x:f>
      </x:c>
      <x:c r="AD431" s="73"/>
      <x:c r="AE431" s="73"/>
      <x:c r="AF431" s="73"/>
      <x:c r="AG431" s="77"/>
      <x:c r="AH431" s="73"/>
      <x:c r="AI431" s="91"/>
      <x:c r="AJ431" s="91"/>
      <x:c r="AK431" s="91"/>
      <x:c r="AL431" s="92"/>
      <x:c r="AM431" s="91"/>
      <x:c r="AN431" s="91"/>
      <x:c r="AO431" s="93"/>
      <x:c r="AP431" s="94"/>
      <x:c r="AQ431" s="91"/>
      <x:c r="AR431" s="91"/>
      <x:c r="AS431" s="91"/>
      <x:c r="AT431" s="91"/>
      <x:c r="AU431" s="91"/>
      <x:c r="AV431" s="91"/>
      <x:c r="AW431" s="91"/>
      <x:c r="AX431" s="91"/>
      <x:c r="AY431" s="91"/>
      <x:c r="AZ431" s="92"/>
      <x:c r="BA431" s="94"/>
      <x:c r="BB431" s="91"/>
      <x:c r="BC431" s="92"/>
      <x:c r="BD431" s="92"/>
      <x:c r="BE431" s="91"/>
      <x:c r="BF431" s="91"/>
      <x:c r="BG431" s="91"/>
      <x:c r="BH431" s="91"/>
      <x:c r="BI431" s="91"/>
      <x:c r="BJ431" s="91"/>
      <x:c r="BK431" s="91"/>
      <x:c r="BL431" s="91"/>
      <x:c r="BM431" s="73" t="str">
        <x:f>IF(A431="","",IF(AI431="Example","Example only",IF(AI431&lt;&gt;"Actual","Set record type",IF(COUNTIF($A$2:$A$1001,A431)&gt;1,"Duplicate record ID",IF(OR(D431="",E431="",AF431="",NOT(ISNUMBER(AG431)),AJ431="",AK431="",NOT(ISNUMBER(AL431)),AND(AM431&lt;&gt;"Observed",AM431&lt;&gt;"Corroborated",AM431&lt;&gt;"Declared"),OR(AN431="",AN431="Unknown"),OR(AQ431="",AQ431="Unknown"),OR(AR431="",AR431="Unknown",AR431="TBD"),OR(BC431="",NOT(ISNUMBER(BC431)))),"Evidence incomplete","Evidence recorded; review scope")))))</x:f>
      </x:c>
      <x:c r="BN431" s="73"/>
    </x:row>
    <x:row r="432" ht="34" customHeight="1">
      <x:c r="A432" s="73"/>
      <x:c r="B432" s="73"/>
      <x:c r="C432" s="73"/>
      <x:c r="D432" s="73"/>
      <x:c r="E432" s="73"/>
      <x:c r="F432" s="73"/>
      <x:c r="G432" s="73"/>
      <x:c r="H432" s="73"/>
      <x:c r="I432" s="75"/>
      <x:c r="J432" s="73"/>
      <x:c r="K432" s="73"/>
      <x:c r="L432" s="76"/>
      <x:c r="M432" s="73"/>
      <x:c r="N432" s="73"/>
      <x:c r="O432" s="73"/>
      <x:c r="P432" s="73"/>
      <x:c r="Q432" s="76"/>
      <x:c r="R432" s="73"/>
      <x:c r="S432" s="73"/>
      <x:c r="T432" s="73"/>
      <x:c r="U432" s="73"/>
      <x:c r="V432" s="73"/>
      <x:c r="W432" s="73"/>
      <x:c r="X432" s="73"/>
      <x:c r="Y432" s="73"/>
      <x:c r="Z432" s="73"/>
      <x:c r="AA432" s="73"/>
      <x:c r="AB432" s="76" t="str">
        <x:f>IF(A432="","",IF(OR(NOT(ISNUMBER(I432)),I432&lt;0,NOT(ISNUMBER(AP432)),AP432&lt;0,NOT(ISNUMBER(L432)),L432&lt;1,L432&gt;5,L432&lt;&gt;INT(L432),AND(J432&lt;&gt;"Public",J432&lt;&gt;"Partner",J432&lt;&gt;"Internal",J432&lt;&gt;"None"),AND(K432&lt;&gt;"High",K432&lt;&gt;"Medium",K432&lt;&gt;"Low",K432&lt;&gt;"None"),AND(W432&lt;&gt;"Hard-coded",W432&lt;&gt;"Configurable",W432&lt;&gt;"Policy-managed",W432&lt;&gt;"API/Library abstraction",W432&lt;&gt;"Automated"),AND(Z432&lt;&gt;"Y",Z432&lt;&gt;"N"),AND(AA432&lt;&gt;"Y",AA432&lt;&gt;"N")),"Incomplete",IF(Z432="Y",20,0)+L432*5+IF(AA432="Y",15,0)+IF(J432="Public",10,IF(J432="Partner",7,IF(J432="Internal",3,0)))+IF(W432="Hard-coded",10,IF(W432="Configurable",3,0))+IF(MAX(I432,AP432)&gt;=10,10,IF(MAX(I432,AP432)&gt;=5,7,IF(MAX(I432,AP432)&gt;=2,3,0)))+IF(K432="High",10,IF(K432="Medium",5,0))))</x:f>
      </x:c>
      <x:c r="AC432" s="73" t="str">
        <x:f>IF(A432="","",IF(NOT(ISNUMBER(AB432)),"Review inputs",IF(AB432&gt;=70,"P0 - Immediate",IF(AB432&gt;=50,"P1 - High",IF(AB432&gt;=30,"P2 - Medium",IF(AB432&gt;=15,"P3 - Low","P4 - Monitor"))))))</x:f>
      </x:c>
      <x:c r="AD432" s="73"/>
      <x:c r="AE432" s="73"/>
      <x:c r="AF432" s="73"/>
      <x:c r="AG432" s="77"/>
      <x:c r="AH432" s="73"/>
      <x:c r="AI432" s="91"/>
      <x:c r="AJ432" s="91"/>
      <x:c r="AK432" s="91"/>
      <x:c r="AL432" s="92"/>
      <x:c r="AM432" s="91"/>
      <x:c r="AN432" s="91"/>
      <x:c r="AO432" s="93"/>
      <x:c r="AP432" s="94"/>
      <x:c r="AQ432" s="91"/>
      <x:c r="AR432" s="91"/>
      <x:c r="AS432" s="91"/>
      <x:c r="AT432" s="91"/>
      <x:c r="AU432" s="91"/>
      <x:c r="AV432" s="91"/>
      <x:c r="AW432" s="91"/>
      <x:c r="AX432" s="91"/>
      <x:c r="AY432" s="91"/>
      <x:c r="AZ432" s="92"/>
      <x:c r="BA432" s="94"/>
      <x:c r="BB432" s="91"/>
      <x:c r="BC432" s="92"/>
      <x:c r="BD432" s="92"/>
      <x:c r="BE432" s="91"/>
      <x:c r="BF432" s="91"/>
      <x:c r="BG432" s="91"/>
      <x:c r="BH432" s="91"/>
      <x:c r="BI432" s="91"/>
      <x:c r="BJ432" s="91"/>
      <x:c r="BK432" s="91"/>
      <x:c r="BL432" s="91"/>
      <x:c r="BM432" s="73" t="str">
        <x:f>IF(A432="","",IF(AI432="Example","Example only",IF(AI432&lt;&gt;"Actual","Set record type",IF(COUNTIF($A$2:$A$1001,A432)&gt;1,"Duplicate record ID",IF(OR(D432="",E432="",AF432="",NOT(ISNUMBER(AG432)),AJ432="",AK432="",NOT(ISNUMBER(AL432)),AND(AM432&lt;&gt;"Observed",AM432&lt;&gt;"Corroborated",AM432&lt;&gt;"Declared"),OR(AN432="",AN432="Unknown"),OR(AQ432="",AQ432="Unknown"),OR(AR432="",AR432="Unknown",AR432="TBD"),OR(BC432="",NOT(ISNUMBER(BC432)))),"Evidence incomplete","Evidence recorded; review scope")))))</x:f>
      </x:c>
      <x:c r="BN432" s="73"/>
    </x:row>
    <x:row r="433" ht="34" customHeight="1">
      <x:c r="A433" s="73"/>
      <x:c r="B433" s="73"/>
      <x:c r="C433" s="73"/>
      <x:c r="D433" s="73"/>
      <x:c r="E433" s="73"/>
      <x:c r="F433" s="73"/>
      <x:c r="G433" s="73"/>
      <x:c r="H433" s="73"/>
      <x:c r="I433" s="75"/>
      <x:c r="J433" s="73"/>
      <x:c r="K433" s="73"/>
      <x:c r="L433" s="76"/>
      <x:c r="M433" s="73"/>
      <x:c r="N433" s="73"/>
      <x:c r="O433" s="73"/>
      <x:c r="P433" s="73"/>
      <x:c r="Q433" s="76"/>
      <x:c r="R433" s="73"/>
      <x:c r="S433" s="73"/>
      <x:c r="T433" s="73"/>
      <x:c r="U433" s="73"/>
      <x:c r="V433" s="73"/>
      <x:c r="W433" s="73"/>
      <x:c r="X433" s="73"/>
      <x:c r="Y433" s="73"/>
      <x:c r="Z433" s="73"/>
      <x:c r="AA433" s="73"/>
      <x:c r="AB433" s="76" t="str">
        <x:f>IF(A433="","",IF(OR(NOT(ISNUMBER(I433)),I433&lt;0,NOT(ISNUMBER(AP433)),AP433&lt;0,NOT(ISNUMBER(L433)),L433&lt;1,L433&gt;5,L433&lt;&gt;INT(L433),AND(J433&lt;&gt;"Public",J433&lt;&gt;"Partner",J433&lt;&gt;"Internal",J433&lt;&gt;"None"),AND(K433&lt;&gt;"High",K433&lt;&gt;"Medium",K433&lt;&gt;"Low",K433&lt;&gt;"None"),AND(W433&lt;&gt;"Hard-coded",W433&lt;&gt;"Configurable",W433&lt;&gt;"Policy-managed",W433&lt;&gt;"API/Library abstraction",W433&lt;&gt;"Automated"),AND(Z433&lt;&gt;"Y",Z433&lt;&gt;"N"),AND(AA433&lt;&gt;"Y",AA433&lt;&gt;"N")),"Incomplete",IF(Z433="Y",20,0)+L433*5+IF(AA433="Y",15,0)+IF(J433="Public",10,IF(J433="Partner",7,IF(J433="Internal",3,0)))+IF(W433="Hard-coded",10,IF(W433="Configurable",3,0))+IF(MAX(I433,AP433)&gt;=10,10,IF(MAX(I433,AP433)&gt;=5,7,IF(MAX(I433,AP433)&gt;=2,3,0)))+IF(K433="High",10,IF(K433="Medium",5,0))))</x:f>
      </x:c>
      <x:c r="AC433" s="73" t="str">
        <x:f>IF(A433="","",IF(NOT(ISNUMBER(AB433)),"Review inputs",IF(AB433&gt;=70,"P0 - Immediate",IF(AB433&gt;=50,"P1 - High",IF(AB433&gt;=30,"P2 - Medium",IF(AB433&gt;=15,"P3 - Low","P4 - Monitor"))))))</x:f>
      </x:c>
      <x:c r="AD433" s="73"/>
      <x:c r="AE433" s="73"/>
      <x:c r="AF433" s="73"/>
      <x:c r="AG433" s="77"/>
      <x:c r="AH433" s="73"/>
      <x:c r="AI433" s="91"/>
      <x:c r="AJ433" s="91"/>
      <x:c r="AK433" s="91"/>
      <x:c r="AL433" s="92"/>
      <x:c r="AM433" s="91"/>
      <x:c r="AN433" s="91"/>
      <x:c r="AO433" s="93"/>
      <x:c r="AP433" s="94"/>
      <x:c r="AQ433" s="91"/>
      <x:c r="AR433" s="91"/>
      <x:c r="AS433" s="91"/>
      <x:c r="AT433" s="91"/>
      <x:c r="AU433" s="91"/>
      <x:c r="AV433" s="91"/>
      <x:c r="AW433" s="91"/>
      <x:c r="AX433" s="91"/>
      <x:c r="AY433" s="91"/>
      <x:c r="AZ433" s="92"/>
      <x:c r="BA433" s="94"/>
      <x:c r="BB433" s="91"/>
      <x:c r="BC433" s="92"/>
      <x:c r="BD433" s="92"/>
      <x:c r="BE433" s="91"/>
      <x:c r="BF433" s="91"/>
      <x:c r="BG433" s="91"/>
      <x:c r="BH433" s="91"/>
      <x:c r="BI433" s="91"/>
      <x:c r="BJ433" s="91"/>
      <x:c r="BK433" s="91"/>
      <x:c r="BL433" s="91"/>
      <x:c r="BM433" s="73" t="str">
        <x:f>IF(A433="","",IF(AI433="Example","Example only",IF(AI433&lt;&gt;"Actual","Set record type",IF(COUNTIF($A$2:$A$1001,A433)&gt;1,"Duplicate record ID",IF(OR(D433="",E433="",AF433="",NOT(ISNUMBER(AG433)),AJ433="",AK433="",NOT(ISNUMBER(AL433)),AND(AM433&lt;&gt;"Observed",AM433&lt;&gt;"Corroborated",AM433&lt;&gt;"Declared"),OR(AN433="",AN433="Unknown"),OR(AQ433="",AQ433="Unknown"),OR(AR433="",AR433="Unknown",AR433="TBD"),OR(BC433="",NOT(ISNUMBER(BC433)))),"Evidence incomplete","Evidence recorded; review scope")))))</x:f>
      </x:c>
      <x:c r="BN433" s="73"/>
    </x:row>
    <x:row r="434" ht="34" customHeight="1">
      <x:c r="A434" s="73"/>
      <x:c r="B434" s="73"/>
      <x:c r="C434" s="73"/>
      <x:c r="D434" s="73"/>
      <x:c r="E434" s="73"/>
      <x:c r="F434" s="73"/>
      <x:c r="G434" s="73"/>
      <x:c r="H434" s="73"/>
      <x:c r="I434" s="75"/>
      <x:c r="J434" s="73"/>
      <x:c r="K434" s="73"/>
      <x:c r="L434" s="76"/>
      <x:c r="M434" s="73"/>
      <x:c r="N434" s="73"/>
      <x:c r="O434" s="73"/>
      <x:c r="P434" s="73"/>
      <x:c r="Q434" s="76"/>
      <x:c r="R434" s="73"/>
      <x:c r="S434" s="73"/>
      <x:c r="T434" s="73"/>
      <x:c r="U434" s="73"/>
      <x:c r="V434" s="73"/>
      <x:c r="W434" s="73"/>
      <x:c r="X434" s="73"/>
      <x:c r="Y434" s="73"/>
      <x:c r="Z434" s="73"/>
      <x:c r="AA434" s="73"/>
      <x:c r="AB434" s="76" t="str">
        <x:f>IF(A434="","",IF(OR(NOT(ISNUMBER(I434)),I434&lt;0,NOT(ISNUMBER(AP434)),AP434&lt;0,NOT(ISNUMBER(L434)),L434&lt;1,L434&gt;5,L434&lt;&gt;INT(L434),AND(J434&lt;&gt;"Public",J434&lt;&gt;"Partner",J434&lt;&gt;"Internal",J434&lt;&gt;"None"),AND(K434&lt;&gt;"High",K434&lt;&gt;"Medium",K434&lt;&gt;"Low",K434&lt;&gt;"None"),AND(W434&lt;&gt;"Hard-coded",W434&lt;&gt;"Configurable",W434&lt;&gt;"Policy-managed",W434&lt;&gt;"API/Library abstraction",W434&lt;&gt;"Automated"),AND(Z434&lt;&gt;"Y",Z434&lt;&gt;"N"),AND(AA434&lt;&gt;"Y",AA434&lt;&gt;"N")),"Incomplete",IF(Z434="Y",20,0)+L434*5+IF(AA434="Y",15,0)+IF(J434="Public",10,IF(J434="Partner",7,IF(J434="Internal",3,0)))+IF(W434="Hard-coded",10,IF(W434="Configurable",3,0))+IF(MAX(I434,AP434)&gt;=10,10,IF(MAX(I434,AP434)&gt;=5,7,IF(MAX(I434,AP434)&gt;=2,3,0)))+IF(K434="High",10,IF(K434="Medium",5,0))))</x:f>
      </x:c>
      <x:c r="AC434" s="73" t="str">
        <x:f>IF(A434="","",IF(NOT(ISNUMBER(AB434)),"Review inputs",IF(AB434&gt;=70,"P0 - Immediate",IF(AB434&gt;=50,"P1 - High",IF(AB434&gt;=30,"P2 - Medium",IF(AB434&gt;=15,"P3 - Low","P4 - Monitor"))))))</x:f>
      </x:c>
      <x:c r="AD434" s="73"/>
      <x:c r="AE434" s="73"/>
      <x:c r="AF434" s="73"/>
      <x:c r="AG434" s="77"/>
      <x:c r="AH434" s="73"/>
      <x:c r="AI434" s="91"/>
      <x:c r="AJ434" s="91"/>
      <x:c r="AK434" s="91"/>
      <x:c r="AL434" s="92"/>
      <x:c r="AM434" s="91"/>
      <x:c r="AN434" s="91"/>
      <x:c r="AO434" s="93"/>
      <x:c r="AP434" s="94"/>
      <x:c r="AQ434" s="91"/>
      <x:c r="AR434" s="91"/>
      <x:c r="AS434" s="91"/>
      <x:c r="AT434" s="91"/>
      <x:c r="AU434" s="91"/>
      <x:c r="AV434" s="91"/>
      <x:c r="AW434" s="91"/>
      <x:c r="AX434" s="91"/>
      <x:c r="AY434" s="91"/>
      <x:c r="AZ434" s="92"/>
      <x:c r="BA434" s="94"/>
      <x:c r="BB434" s="91"/>
      <x:c r="BC434" s="92"/>
      <x:c r="BD434" s="92"/>
      <x:c r="BE434" s="91"/>
      <x:c r="BF434" s="91"/>
      <x:c r="BG434" s="91"/>
      <x:c r="BH434" s="91"/>
      <x:c r="BI434" s="91"/>
      <x:c r="BJ434" s="91"/>
      <x:c r="BK434" s="91"/>
      <x:c r="BL434" s="91"/>
      <x:c r="BM434" s="73" t="str">
        <x:f>IF(A434="","",IF(AI434="Example","Example only",IF(AI434&lt;&gt;"Actual","Set record type",IF(COUNTIF($A$2:$A$1001,A434)&gt;1,"Duplicate record ID",IF(OR(D434="",E434="",AF434="",NOT(ISNUMBER(AG434)),AJ434="",AK434="",NOT(ISNUMBER(AL434)),AND(AM434&lt;&gt;"Observed",AM434&lt;&gt;"Corroborated",AM434&lt;&gt;"Declared"),OR(AN434="",AN434="Unknown"),OR(AQ434="",AQ434="Unknown"),OR(AR434="",AR434="Unknown",AR434="TBD"),OR(BC434="",NOT(ISNUMBER(BC434)))),"Evidence incomplete","Evidence recorded; review scope")))))</x:f>
      </x:c>
      <x:c r="BN434" s="73"/>
    </x:row>
    <x:row r="435" ht="34" customHeight="1">
      <x:c r="A435" s="73"/>
      <x:c r="B435" s="73"/>
      <x:c r="C435" s="73"/>
      <x:c r="D435" s="73"/>
      <x:c r="E435" s="73"/>
      <x:c r="F435" s="73"/>
      <x:c r="G435" s="73"/>
      <x:c r="H435" s="73"/>
      <x:c r="I435" s="75"/>
      <x:c r="J435" s="73"/>
      <x:c r="K435" s="73"/>
      <x:c r="L435" s="76"/>
      <x:c r="M435" s="73"/>
      <x:c r="N435" s="73"/>
      <x:c r="O435" s="73"/>
      <x:c r="P435" s="73"/>
      <x:c r="Q435" s="76"/>
      <x:c r="R435" s="73"/>
      <x:c r="S435" s="73"/>
      <x:c r="T435" s="73"/>
      <x:c r="U435" s="73"/>
      <x:c r="V435" s="73"/>
      <x:c r="W435" s="73"/>
      <x:c r="X435" s="73"/>
      <x:c r="Y435" s="73"/>
      <x:c r="Z435" s="73"/>
      <x:c r="AA435" s="73"/>
      <x:c r="AB435" s="76" t="str">
        <x:f>IF(A435="","",IF(OR(NOT(ISNUMBER(I435)),I435&lt;0,NOT(ISNUMBER(AP435)),AP435&lt;0,NOT(ISNUMBER(L435)),L435&lt;1,L435&gt;5,L435&lt;&gt;INT(L435),AND(J435&lt;&gt;"Public",J435&lt;&gt;"Partner",J435&lt;&gt;"Internal",J435&lt;&gt;"None"),AND(K435&lt;&gt;"High",K435&lt;&gt;"Medium",K435&lt;&gt;"Low",K435&lt;&gt;"None"),AND(W435&lt;&gt;"Hard-coded",W435&lt;&gt;"Configurable",W435&lt;&gt;"Policy-managed",W435&lt;&gt;"API/Library abstraction",W435&lt;&gt;"Automated"),AND(Z435&lt;&gt;"Y",Z435&lt;&gt;"N"),AND(AA435&lt;&gt;"Y",AA435&lt;&gt;"N")),"Incomplete",IF(Z435="Y",20,0)+L435*5+IF(AA435="Y",15,0)+IF(J435="Public",10,IF(J435="Partner",7,IF(J435="Internal",3,0)))+IF(W435="Hard-coded",10,IF(W435="Configurable",3,0))+IF(MAX(I435,AP435)&gt;=10,10,IF(MAX(I435,AP435)&gt;=5,7,IF(MAX(I435,AP435)&gt;=2,3,0)))+IF(K435="High",10,IF(K435="Medium",5,0))))</x:f>
      </x:c>
      <x:c r="AC435" s="73" t="str">
        <x:f>IF(A435="","",IF(NOT(ISNUMBER(AB435)),"Review inputs",IF(AB435&gt;=70,"P0 - Immediate",IF(AB435&gt;=50,"P1 - High",IF(AB435&gt;=30,"P2 - Medium",IF(AB435&gt;=15,"P3 - Low","P4 - Monitor"))))))</x:f>
      </x:c>
      <x:c r="AD435" s="73"/>
      <x:c r="AE435" s="73"/>
      <x:c r="AF435" s="73"/>
      <x:c r="AG435" s="77"/>
      <x:c r="AH435" s="73"/>
      <x:c r="AI435" s="91"/>
      <x:c r="AJ435" s="91"/>
      <x:c r="AK435" s="91"/>
      <x:c r="AL435" s="92"/>
      <x:c r="AM435" s="91"/>
      <x:c r="AN435" s="91"/>
      <x:c r="AO435" s="93"/>
      <x:c r="AP435" s="94"/>
      <x:c r="AQ435" s="91"/>
      <x:c r="AR435" s="91"/>
      <x:c r="AS435" s="91"/>
      <x:c r="AT435" s="91"/>
      <x:c r="AU435" s="91"/>
      <x:c r="AV435" s="91"/>
      <x:c r="AW435" s="91"/>
      <x:c r="AX435" s="91"/>
      <x:c r="AY435" s="91"/>
      <x:c r="AZ435" s="92"/>
      <x:c r="BA435" s="94"/>
      <x:c r="BB435" s="91"/>
      <x:c r="BC435" s="92"/>
      <x:c r="BD435" s="92"/>
      <x:c r="BE435" s="91"/>
      <x:c r="BF435" s="91"/>
      <x:c r="BG435" s="91"/>
      <x:c r="BH435" s="91"/>
      <x:c r="BI435" s="91"/>
      <x:c r="BJ435" s="91"/>
      <x:c r="BK435" s="91"/>
      <x:c r="BL435" s="91"/>
      <x:c r="BM435" s="73" t="str">
        <x:f>IF(A435="","",IF(AI435="Example","Example only",IF(AI435&lt;&gt;"Actual","Set record type",IF(COUNTIF($A$2:$A$1001,A435)&gt;1,"Duplicate record ID",IF(OR(D435="",E435="",AF435="",NOT(ISNUMBER(AG435)),AJ435="",AK435="",NOT(ISNUMBER(AL435)),AND(AM435&lt;&gt;"Observed",AM435&lt;&gt;"Corroborated",AM435&lt;&gt;"Declared"),OR(AN435="",AN435="Unknown"),OR(AQ435="",AQ435="Unknown"),OR(AR435="",AR435="Unknown",AR435="TBD"),OR(BC435="",NOT(ISNUMBER(BC435)))),"Evidence incomplete","Evidence recorded; review scope")))))</x:f>
      </x:c>
      <x:c r="BN435" s="73"/>
    </x:row>
    <x:row r="436" ht="34" customHeight="1">
      <x:c r="A436" s="73"/>
      <x:c r="B436" s="73"/>
      <x:c r="C436" s="73"/>
      <x:c r="D436" s="73"/>
      <x:c r="E436" s="73"/>
      <x:c r="F436" s="73"/>
      <x:c r="G436" s="73"/>
      <x:c r="H436" s="73"/>
      <x:c r="I436" s="75"/>
      <x:c r="J436" s="73"/>
      <x:c r="K436" s="73"/>
      <x:c r="L436" s="76"/>
      <x:c r="M436" s="73"/>
      <x:c r="N436" s="73"/>
      <x:c r="O436" s="73"/>
      <x:c r="P436" s="73"/>
      <x:c r="Q436" s="76"/>
      <x:c r="R436" s="73"/>
      <x:c r="S436" s="73"/>
      <x:c r="T436" s="73"/>
      <x:c r="U436" s="73"/>
      <x:c r="V436" s="73"/>
      <x:c r="W436" s="73"/>
      <x:c r="X436" s="73"/>
      <x:c r="Y436" s="73"/>
      <x:c r="Z436" s="73"/>
      <x:c r="AA436" s="73"/>
      <x:c r="AB436" s="76" t="str">
        <x:f>IF(A436="","",IF(OR(NOT(ISNUMBER(I436)),I436&lt;0,NOT(ISNUMBER(AP436)),AP436&lt;0,NOT(ISNUMBER(L436)),L436&lt;1,L436&gt;5,L436&lt;&gt;INT(L436),AND(J436&lt;&gt;"Public",J436&lt;&gt;"Partner",J436&lt;&gt;"Internal",J436&lt;&gt;"None"),AND(K436&lt;&gt;"High",K436&lt;&gt;"Medium",K436&lt;&gt;"Low",K436&lt;&gt;"None"),AND(W436&lt;&gt;"Hard-coded",W436&lt;&gt;"Configurable",W436&lt;&gt;"Policy-managed",W436&lt;&gt;"API/Library abstraction",W436&lt;&gt;"Automated"),AND(Z436&lt;&gt;"Y",Z436&lt;&gt;"N"),AND(AA436&lt;&gt;"Y",AA436&lt;&gt;"N")),"Incomplete",IF(Z436="Y",20,0)+L436*5+IF(AA436="Y",15,0)+IF(J436="Public",10,IF(J436="Partner",7,IF(J436="Internal",3,0)))+IF(W436="Hard-coded",10,IF(W436="Configurable",3,0))+IF(MAX(I436,AP436)&gt;=10,10,IF(MAX(I436,AP436)&gt;=5,7,IF(MAX(I436,AP436)&gt;=2,3,0)))+IF(K436="High",10,IF(K436="Medium",5,0))))</x:f>
      </x:c>
      <x:c r="AC436" s="73" t="str">
        <x:f>IF(A436="","",IF(NOT(ISNUMBER(AB436)),"Review inputs",IF(AB436&gt;=70,"P0 - Immediate",IF(AB436&gt;=50,"P1 - High",IF(AB436&gt;=30,"P2 - Medium",IF(AB436&gt;=15,"P3 - Low","P4 - Monitor"))))))</x:f>
      </x:c>
      <x:c r="AD436" s="73"/>
      <x:c r="AE436" s="73"/>
      <x:c r="AF436" s="73"/>
      <x:c r="AG436" s="77"/>
      <x:c r="AH436" s="73"/>
      <x:c r="AI436" s="91"/>
      <x:c r="AJ436" s="91"/>
      <x:c r="AK436" s="91"/>
      <x:c r="AL436" s="92"/>
      <x:c r="AM436" s="91"/>
      <x:c r="AN436" s="91"/>
      <x:c r="AO436" s="93"/>
      <x:c r="AP436" s="94"/>
      <x:c r="AQ436" s="91"/>
      <x:c r="AR436" s="91"/>
      <x:c r="AS436" s="91"/>
      <x:c r="AT436" s="91"/>
      <x:c r="AU436" s="91"/>
      <x:c r="AV436" s="91"/>
      <x:c r="AW436" s="91"/>
      <x:c r="AX436" s="91"/>
      <x:c r="AY436" s="91"/>
      <x:c r="AZ436" s="92"/>
      <x:c r="BA436" s="94"/>
      <x:c r="BB436" s="91"/>
      <x:c r="BC436" s="92"/>
      <x:c r="BD436" s="92"/>
      <x:c r="BE436" s="91"/>
      <x:c r="BF436" s="91"/>
      <x:c r="BG436" s="91"/>
      <x:c r="BH436" s="91"/>
      <x:c r="BI436" s="91"/>
      <x:c r="BJ436" s="91"/>
      <x:c r="BK436" s="91"/>
      <x:c r="BL436" s="91"/>
      <x:c r="BM436" s="73" t="str">
        <x:f>IF(A436="","",IF(AI436="Example","Example only",IF(AI436&lt;&gt;"Actual","Set record type",IF(COUNTIF($A$2:$A$1001,A436)&gt;1,"Duplicate record ID",IF(OR(D436="",E436="",AF436="",NOT(ISNUMBER(AG436)),AJ436="",AK436="",NOT(ISNUMBER(AL436)),AND(AM436&lt;&gt;"Observed",AM436&lt;&gt;"Corroborated",AM436&lt;&gt;"Declared"),OR(AN436="",AN436="Unknown"),OR(AQ436="",AQ436="Unknown"),OR(AR436="",AR436="Unknown",AR436="TBD"),OR(BC436="",NOT(ISNUMBER(BC436)))),"Evidence incomplete","Evidence recorded; review scope")))))</x:f>
      </x:c>
      <x:c r="BN436" s="73"/>
    </x:row>
    <x:row r="437" ht="34" customHeight="1">
      <x:c r="A437" s="73"/>
      <x:c r="B437" s="73"/>
      <x:c r="C437" s="73"/>
      <x:c r="D437" s="73"/>
      <x:c r="E437" s="73"/>
      <x:c r="F437" s="73"/>
      <x:c r="G437" s="73"/>
      <x:c r="H437" s="73"/>
      <x:c r="I437" s="75"/>
      <x:c r="J437" s="73"/>
      <x:c r="K437" s="73"/>
      <x:c r="L437" s="76"/>
      <x:c r="M437" s="73"/>
      <x:c r="N437" s="73"/>
      <x:c r="O437" s="73"/>
      <x:c r="P437" s="73"/>
      <x:c r="Q437" s="76"/>
      <x:c r="R437" s="73"/>
      <x:c r="S437" s="73"/>
      <x:c r="T437" s="73"/>
      <x:c r="U437" s="73"/>
      <x:c r="V437" s="73"/>
      <x:c r="W437" s="73"/>
      <x:c r="X437" s="73"/>
      <x:c r="Y437" s="73"/>
      <x:c r="Z437" s="73"/>
      <x:c r="AA437" s="73"/>
      <x:c r="AB437" s="76" t="str">
        <x:f>IF(A437="","",IF(OR(NOT(ISNUMBER(I437)),I437&lt;0,NOT(ISNUMBER(AP437)),AP437&lt;0,NOT(ISNUMBER(L437)),L437&lt;1,L437&gt;5,L437&lt;&gt;INT(L437),AND(J437&lt;&gt;"Public",J437&lt;&gt;"Partner",J437&lt;&gt;"Internal",J437&lt;&gt;"None"),AND(K437&lt;&gt;"High",K437&lt;&gt;"Medium",K437&lt;&gt;"Low",K437&lt;&gt;"None"),AND(W437&lt;&gt;"Hard-coded",W437&lt;&gt;"Configurable",W437&lt;&gt;"Policy-managed",W437&lt;&gt;"API/Library abstraction",W437&lt;&gt;"Automated"),AND(Z437&lt;&gt;"Y",Z437&lt;&gt;"N"),AND(AA437&lt;&gt;"Y",AA437&lt;&gt;"N")),"Incomplete",IF(Z437="Y",20,0)+L437*5+IF(AA437="Y",15,0)+IF(J437="Public",10,IF(J437="Partner",7,IF(J437="Internal",3,0)))+IF(W437="Hard-coded",10,IF(W437="Configurable",3,0))+IF(MAX(I437,AP437)&gt;=10,10,IF(MAX(I437,AP437)&gt;=5,7,IF(MAX(I437,AP437)&gt;=2,3,0)))+IF(K437="High",10,IF(K437="Medium",5,0))))</x:f>
      </x:c>
      <x:c r="AC437" s="73" t="str">
        <x:f>IF(A437="","",IF(NOT(ISNUMBER(AB437)),"Review inputs",IF(AB437&gt;=70,"P0 - Immediate",IF(AB437&gt;=50,"P1 - High",IF(AB437&gt;=30,"P2 - Medium",IF(AB437&gt;=15,"P3 - Low","P4 - Monitor"))))))</x:f>
      </x:c>
      <x:c r="AD437" s="73"/>
      <x:c r="AE437" s="73"/>
      <x:c r="AF437" s="73"/>
      <x:c r="AG437" s="77"/>
      <x:c r="AH437" s="73"/>
      <x:c r="AI437" s="91"/>
      <x:c r="AJ437" s="91"/>
      <x:c r="AK437" s="91"/>
      <x:c r="AL437" s="92"/>
      <x:c r="AM437" s="91"/>
      <x:c r="AN437" s="91"/>
      <x:c r="AO437" s="93"/>
      <x:c r="AP437" s="94"/>
      <x:c r="AQ437" s="91"/>
      <x:c r="AR437" s="91"/>
      <x:c r="AS437" s="91"/>
      <x:c r="AT437" s="91"/>
      <x:c r="AU437" s="91"/>
      <x:c r="AV437" s="91"/>
      <x:c r="AW437" s="91"/>
      <x:c r="AX437" s="91"/>
      <x:c r="AY437" s="91"/>
      <x:c r="AZ437" s="92"/>
      <x:c r="BA437" s="94"/>
      <x:c r="BB437" s="91"/>
      <x:c r="BC437" s="92"/>
      <x:c r="BD437" s="92"/>
      <x:c r="BE437" s="91"/>
      <x:c r="BF437" s="91"/>
      <x:c r="BG437" s="91"/>
      <x:c r="BH437" s="91"/>
      <x:c r="BI437" s="91"/>
      <x:c r="BJ437" s="91"/>
      <x:c r="BK437" s="91"/>
      <x:c r="BL437" s="91"/>
      <x:c r="BM437" s="73" t="str">
        <x:f>IF(A437="","",IF(AI437="Example","Example only",IF(AI437&lt;&gt;"Actual","Set record type",IF(COUNTIF($A$2:$A$1001,A437)&gt;1,"Duplicate record ID",IF(OR(D437="",E437="",AF437="",NOT(ISNUMBER(AG437)),AJ437="",AK437="",NOT(ISNUMBER(AL437)),AND(AM437&lt;&gt;"Observed",AM437&lt;&gt;"Corroborated",AM437&lt;&gt;"Declared"),OR(AN437="",AN437="Unknown"),OR(AQ437="",AQ437="Unknown"),OR(AR437="",AR437="Unknown",AR437="TBD"),OR(BC437="",NOT(ISNUMBER(BC437)))),"Evidence incomplete","Evidence recorded; review scope")))))</x:f>
      </x:c>
      <x:c r="BN437" s="73"/>
    </x:row>
    <x:row r="438" ht="34" customHeight="1">
      <x:c r="A438" s="73"/>
      <x:c r="B438" s="73"/>
      <x:c r="C438" s="73"/>
      <x:c r="D438" s="73"/>
      <x:c r="E438" s="73"/>
      <x:c r="F438" s="73"/>
      <x:c r="G438" s="73"/>
      <x:c r="H438" s="73"/>
      <x:c r="I438" s="75"/>
      <x:c r="J438" s="73"/>
      <x:c r="K438" s="73"/>
      <x:c r="L438" s="76"/>
      <x:c r="M438" s="73"/>
      <x:c r="N438" s="73"/>
      <x:c r="O438" s="73"/>
      <x:c r="P438" s="73"/>
      <x:c r="Q438" s="76"/>
      <x:c r="R438" s="73"/>
      <x:c r="S438" s="73"/>
      <x:c r="T438" s="73"/>
      <x:c r="U438" s="73"/>
      <x:c r="V438" s="73"/>
      <x:c r="W438" s="73"/>
      <x:c r="X438" s="73"/>
      <x:c r="Y438" s="73"/>
      <x:c r="Z438" s="73"/>
      <x:c r="AA438" s="73"/>
      <x:c r="AB438" s="76" t="str">
        <x:f>IF(A438="","",IF(OR(NOT(ISNUMBER(I438)),I438&lt;0,NOT(ISNUMBER(AP438)),AP438&lt;0,NOT(ISNUMBER(L438)),L438&lt;1,L438&gt;5,L438&lt;&gt;INT(L438),AND(J438&lt;&gt;"Public",J438&lt;&gt;"Partner",J438&lt;&gt;"Internal",J438&lt;&gt;"None"),AND(K438&lt;&gt;"High",K438&lt;&gt;"Medium",K438&lt;&gt;"Low",K438&lt;&gt;"None"),AND(W438&lt;&gt;"Hard-coded",W438&lt;&gt;"Configurable",W438&lt;&gt;"Policy-managed",W438&lt;&gt;"API/Library abstraction",W438&lt;&gt;"Automated"),AND(Z438&lt;&gt;"Y",Z438&lt;&gt;"N"),AND(AA438&lt;&gt;"Y",AA438&lt;&gt;"N")),"Incomplete",IF(Z438="Y",20,0)+L438*5+IF(AA438="Y",15,0)+IF(J438="Public",10,IF(J438="Partner",7,IF(J438="Internal",3,0)))+IF(W438="Hard-coded",10,IF(W438="Configurable",3,0))+IF(MAX(I438,AP438)&gt;=10,10,IF(MAX(I438,AP438)&gt;=5,7,IF(MAX(I438,AP438)&gt;=2,3,0)))+IF(K438="High",10,IF(K438="Medium",5,0))))</x:f>
      </x:c>
      <x:c r="AC438" s="73" t="str">
        <x:f>IF(A438="","",IF(NOT(ISNUMBER(AB438)),"Review inputs",IF(AB438&gt;=70,"P0 - Immediate",IF(AB438&gt;=50,"P1 - High",IF(AB438&gt;=30,"P2 - Medium",IF(AB438&gt;=15,"P3 - Low","P4 - Monitor"))))))</x:f>
      </x:c>
      <x:c r="AD438" s="73"/>
      <x:c r="AE438" s="73"/>
      <x:c r="AF438" s="73"/>
      <x:c r="AG438" s="77"/>
      <x:c r="AH438" s="73"/>
      <x:c r="AI438" s="91"/>
      <x:c r="AJ438" s="91"/>
      <x:c r="AK438" s="91"/>
      <x:c r="AL438" s="92"/>
      <x:c r="AM438" s="91"/>
      <x:c r="AN438" s="91"/>
      <x:c r="AO438" s="93"/>
      <x:c r="AP438" s="94"/>
      <x:c r="AQ438" s="91"/>
      <x:c r="AR438" s="91"/>
      <x:c r="AS438" s="91"/>
      <x:c r="AT438" s="91"/>
      <x:c r="AU438" s="91"/>
      <x:c r="AV438" s="91"/>
      <x:c r="AW438" s="91"/>
      <x:c r="AX438" s="91"/>
      <x:c r="AY438" s="91"/>
      <x:c r="AZ438" s="92"/>
      <x:c r="BA438" s="94"/>
      <x:c r="BB438" s="91"/>
      <x:c r="BC438" s="92"/>
      <x:c r="BD438" s="92"/>
      <x:c r="BE438" s="91"/>
      <x:c r="BF438" s="91"/>
      <x:c r="BG438" s="91"/>
      <x:c r="BH438" s="91"/>
      <x:c r="BI438" s="91"/>
      <x:c r="BJ438" s="91"/>
      <x:c r="BK438" s="91"/>
      <x:c r="BL438" s="91"/>
      <x:c r="BM438" s="73" t="str">
        <x:f>IF(A438="","",IF(AI438="Example","Example only",IF(AI438&lt;&gt;"Actual","Set record type",IF(COUNTIF($A$2:$A$1001,A438)&gt;1,"Duplicate record ID",IF(OR(D438="",E438="",AF438="",NOT(ISNUMBER(AG438)),AJ438="",AK438="",NOT(ISNUMBER(AL438)),AND(AM438&lt;&gt;"Observed",AM438&lt;&gt;"Corroborated",AM438&lt;&gt;"Declared"),OR(AN438="",AN438="Unknown"),OR(AQ438="",AQ438="Unknown"),OR(AR438="",AR438="Unknown",AR438="TBD"),OR(BC438="",NOT(ISNUMBER(BC438)))),"Evidence incomplete","Evidence recorded; review scope")))))</x:f>
      </x:c>
      <x:c r="BN438" s="73"/>
    </x:row>
    <x:row r="439" ht="34" customHeight="1">
      <x:c r="A439" s="73"/>
      <x:c r="B439" s="73"/>
      <x:c r="C439" s="73"/>
      <x:c r="D439" s="73"/>
      <x:c r="E439" s="73"/>
      <x:c r="F439" s="73"/>
      <x:c r="G439" s="73"/>
      <x:c r="H439" s="73"/>
      <x:c r="I439" s="75"/>
      <x:c r="J439" s="73"/>
      <x:c r="K439" s="73"/>
      <x:c r="L439" s="76"/>
      <x:c r="M439" s="73"/>
      <x:c r="N439" s="73"/>
      <x:c r="O439" s="73"/>
      <x:c r="P439" s="73"/>
      <x:c r="Q439" s="76"/>
      <x:c r="R439" s="73"/>
      <x:c r="S439" s="73"/>
      <x:c r="T439" s="73"/>
      <x:c r="U439" s="73"/>
      <x:c r="V439" s="73"/>
      <x:c r="W439" s="73"/>
      <x:c r="X439" s="73"/>
      <x:c r="Y439" s="73"/>
      <x:c r="Z439" s="73"/>
      <x:c r="AA439" s="73"/>
      <x:c r="AB439" s="76" t="str">
        <x:f>IF(A439="","",IF(OR(NOT(ISNUMBER(I439)),I439&lt;0,NOT(ISNUMBER(AP439)),AP439&lt;0,NOT(ISNUMBER(L439)),L439&lt;1,L439&gt;5,L439&lt;&gt;INT(L439),AND(J439&lt;&gt;"Public",J439&lt;&gt;"Partner",J439&lt;&gt;"Internal",J439&lt;&gt;"None"),AND(K439&lt;&gt;"High",K439&lt;&gt;"Medium",K439&lt;&gt;"Low",K439&lt;&gt;"None"),AND(W439&lt;&gt;"Hard-coded",W439&lt;&gt;"Configurable",W439&lt;&gt;"Policy-managed",W439&lt;&gt;"API/Library abstraction",W439&lt;&gt;"Automated"),AND(Z439&lt;&gt;"Y",Z439&lt;&gt;"N"),AND(AA439&lt;&gt;"Y",AA439&lt;&gt;"N")),"Incomplete",IF(Z439="Y",20,0)+L439*5+IF(AA439="Y",15,0)+IF(J439="Public",10,IF(J439="Partner",7,IF(J439="Internal",3,0)))+IF(W439="Hard-coded",10,IF(W439="Configurable",3,0))+IF(MAX(I439,AP439)&gt;=10,10,IF(MAX(I439,AP439)&gt;=5,7,IF(MAX(I439,AP439)&gt;=2,3,0)))+IF(K439="High",10,IF(K439="Medium",5,0))))</x:f>
      </x:c>
      <x:c r="AC439" s="73" t="str">
        <x:f>IF(A439="","",IF(NOT(ISNUMBER(AB439)),"Review inputs",IF(AB439&gt;=70,"P0 - Immediate",IF(AB439&gt;=50,"P1 - High",IF(AB439&gt;=30,"P2 - Medium",IF(AB439&gt;=15,"P3 - Low","P4 - Monitor"))))))</x:f>
      </x:c>
      <x:c r="AD439" s="73"/>
      <x:c r="AE439" s="73"/>
      <x:c r="AF439" s="73"/>
      <x:c r="AG439" s="77"/>
      <x:c r="AH439" s="73"/>
      <x:c r="AI439" s="91"/>
      <x:c r="AJ439" s="91"/>
      <x:c r="AK439" s="91"/>
      <x:c r="AL439" s="92"/>
      <x:c r="AM439" s="91"/>
      <x:c r="AN439" s="91"/>
      <x:c r="AO439" s="93"/>
      <x:c r="AP439" s="94"/>
      <x:c r="AQ439" s="91"/>
      <x:c r="AR439" s="91"/>
      <x:c r="AS439" s="91"/>
      <x:c r="AT439" s="91"/>
      <x:c r="AU439" s="91"/>
      <x:c r="AV439" s="91"/>
      <x:c r="AW439" s="91"/>
      <x:c r="AX439" s="91"/>
      <x:c r="AY439" s="91"/>
      <x:c r="AZ439" s="92"/>
      <x:c r="BA439" s="94"/>
      <x:c r="BB439" s="91"/>
      <x:c r="BC439" s="92"/>
      <x:c r="BD439" s="92"/>
      <x:c r="BE439" s="91"/>
      <x:c r="BF439" s="91"/>
      <x:c r="BG439" s="91"/>
      <x:c r="BH439" s="91"/>
      <x:c r="BI439" s="91"/>
      <x:c r="BJ439" s="91"/>
      <x:c r="BK439" s="91"/>
      <x:c r="BL439" s="91"/>
      <x:c r="BM439" s="73" t="str">
        <x:f>IF(A439="","",IF(AI439="Example","Example only",IF(AI439&lt;&gt;"Actual","Set record type",IF(COUNTIF($A$2:$A$1001,A439)&gt;1,"Duplicate record ID",IF(OR(D439="",E439="",AF439="",NOT(ISNUMBER(AG439)),AJ439="",AK439="",NOT(ISNUMBER(AL439)),AND(AM439&lt;&gt;"Observed",AM439&lt;&gt;"Corroborated",AM439&lt;&gt;"Declared"),OR(AN439="",AN439="Unknown"),OR(AQ439="",AQ439="Unknown"),OR(AR439="",AR439="Unknown",AR439="TBD"),OR(BC439="",NOT(ISNUMBER(BC439)))),"Evidence incomplete","Evidence recorded; review scope")))))</x:f>
      </x:c>
      <x:c r="BN439" s="73"/>
    </x:row>
    <x:row r="440" ht="34" customHeight="1">
      <x:c r="A440" s="73"/>
      <x:c r="B440" s="73"/>
      <x:c r="C440" s="73"/>
      <x:c r="D440" s="73"/>
      <x:c r="E440" s="73"/>
      <x:c r="F440" s="73"/>
      <x:c r="G440" s="73"/>
      <x:c r="H440" s="73"/>
      <x:c r="I440" s="75"/>
      <x:c r="J440" s="73"/>
      <x:c r="K440" s="73"/>
      <x:c r="L440" s="76"/>
      <x:c r="M440" s="73"/>
      <x:c r="N440" s="73"/>
      <x:c r="O440" s="73"/>
      <x:c r="P440" s="73"/>
      <x:c r="Q440" s="76"/>
      <x:c r="R440" s="73"/>
      <x:c r="S440" s="73"/>
      <x:c r="T440" s="73"/>
      <x:c r="U440" s="73"/>
      <x:c r="V440" s="73"/>
      <x:c r="W440" s="73"/>
      <x:c r="X440" s="73"/>
      <x:c r="Y440" s="73"/>
      <x:c r="Z440" s="73"/>
      <x:c r="AA440" s="73"/>
      <x:c r="AB440" s="76" t="str">
        <x:f>IF(A440="","",IF(OR(NOT(ISNUMBER(I440)),I440&lt;0,NOT(ISNUMBER(AP440)),AP440&lt;0,NOT(ISNUMBER(L440)),L440&lt;1,L440&gt;5,L440&lt;&gt;INT(L440),AND(J440&lt;&gt;"Public",J440&lt;&gt;"Partner",J440&lt;&gt;"Internal",J440&lt;&gt;"None"),AND(K440&lt;&gt;"High",K440&lt;&gt;"Medium",K440&lt;&gt;"Low",K440&lt;&gt;"None"),AND(W440&lt;&gt;"Hard-coded",W440&lt;&gt;"Configurable",W440&lt;&gt;"Policy-managed",W440&lt;&gt;"API/Library abstraction",W440&lt;&gt;"Automated"),AND(Z440&lt;&gt;"Y",Z440&lt;&gt;"N"),AND(AA440&lt;&gt;"Y",AA440&lt;&gt;"N")),"Incomplete",IF(Z440="Y",20,0)+L440*5+IF(AA440="Y",15,0)+IF(J440="Public",10,IF(J440="Partner",7,IF(J440="Internal",3,0)))+IF(W440="Hard-coded",10,IF(W440="Configurable",3,0))+IF(MAX(I440,AP440)&gt;=10,10,IF(MAX(I440,AP440)&gt;=5,7,IF(MAX(I440,AP440)&gt;=2,3,0)))+IF(K440="High",10,IF(K440="Medium",5,0))))</x:f>
      </x:c>
      <x:c r="AC440" s="73" t="str">
        <x:f>IF(A440="","",IF(NOT(ISNUMBER(AB440)),"Review inputs",IF(AB440&gt;=70,"P0 - Immediate",IF(AB440&gt;=50,"P1 - High",IF(AB440&gt;=30,"P2 - Medium",IF(AB440&gt;=15,"P3 - Low","P4 - Monitor"))))))</x:f>
      </x:c>
      <x:c r="AD440" s="73"/>
      <x:c r="AE440" s="73"/>
      <x:c r="AF440" s="73"/>
      <x:c r="AG440" s="77"/>
      <x:c r="AH440" s="73"/>
      <x:c r="AI440" s="91"/>
      <x:c r="AJ440" s="91"/>
      <x:c r="AK440" s="91"/>
      <x:c r="AL440" s="92"/>
      <x:c r="AM440" s="91"/>
      <x:c r="AN440" s="91"/>
      <x:c r="AO440" s="93"/>
      <x:c r="AP440" s="94"/>
      <x:c r="AQ440" s="91"/>
      <x:c r="AR440" s="91"/>
      <x:c r="AS440" s="91"/>
      <x:c r="AT440" s="91"/>
      <x:c r="AU440" s="91"/>
      <x:c r="AV440" s="91"/>
      <x:c r="AW440" s="91"/>
      <x:c r="AX440" s="91"/>
      <x:c r="AY440" s="91"/>
      <x:c r="AZ440" s="92"/>
      <x:c r="BA440" s="94"/>
      <x:c r="BB440" s="91"/>
      <x:c r="BC440" s="92"/>
      <x:c r="BD440" s="92"/>
      <x:c r="BE440" s="91"/>
      <x:c r="BF440" s="91"/>
      <x:c r="BG440" s="91"/>
      <x:c r="BH440" s="91"/>
      <x:c r="BI440" s="91"/>
      <x:c r="BJ440" s="91"/>
      <x:c r="BK440" s="91"/>
      <x:c r="BL440" s="91"/>
      <x:c r="BM440" s="73" t="str">
        <x:f>IF(A440="","",IF(AI440="Example","Example only",IF(AI440&lt;&gt;"Actual","Set record type",IF(COUNTIF($A$2:$A$1001,A440)&gt;1,"Duplicate record ID",IF(OR(D440="",E440="",AF440="",NOT(ISNUMBER(AG440)),AJ440="",AK440="",NOT(ISNUMBER(AL440)),AND(AM440&lt;&gt;"Observed",AM440&lt;&gt;"Corroborated",AM440&lt;&gt;"Declared"),OR(AN440="",AN440="Unknown"),OR(AQ440="",AQ440="Unknown"),OR(AR440="",AR440="Unknown",AR440="TBD"),OR(BC440="",NOT(ISNUMBER(BC440)))),"Evidence incomplete","Evidence recorded; review scope")))))</x:f>
      </x:c>
      <x:c r="BN440" s="73"/>
    </x:row>
    <x:row r="441" ht="34" customHeight="1">
      <x:c r="A441" s="73"/>
      <x:c r="B441" s="73"/>
      <x:c r="C441" s="73"/>
      <x:c r="D441" s="73"/>
      <x:c r="E441" s="73"/>
      <x:c r="F441" s="73"/>
      <x:c r="G441" s="73"/>
      <x:c r="H441" s="73"/>
      <x:c r="I441" s="75"/>
      <x:c r="J441" s="73"/>
      <x:c r="K441" s="73"/>
      <x:c r="L441" s="76"/>
      <x:c r="M441" s="73"/>
      <x:c r="N441" s="73"/>
      <x:c r="O441" s="73"/>
      <x:c r="P441" s="73"/>
      <x:c r="Q441" s="76"/>
      <x:c r="R441" s="73"/>
      <x:c r="S441" s="73"/>
      <x:c r="T441" s="73"/>
      <x:c r="U441" s="73"/>
      <x:c r="V441" s="73"/>
      <x:c r="W441" s="73"/>
      <x:c r="X441" s="73"/>
      <x:c r="Y441" s="73"/>
      <x:c r="Z441" s="73"/>
      <x:c r="AA441" s="73"/>
      <x:c r="AB441" s="76" t="str">
        <x:f>IF(A441="","",IF(OR(NOT(ISNUMBER(I441)),I441&lt;0,NOT(ISNUMBER(AP441)),AP441&lt;0,NOT(ISNUMBER(L441)),L441&lt;1,L441&gt;5,L441&lt;&gt;INT(L441),AND(J441&lt;&gt;"Public",J441&lt;&gt;"Partner",J441&lt;&gt;"Internal",J441&lt;&gt;"None"),AND(K441&lt;&gt;"High",K441&lt;&gt;"Medium",K441&lt;&gt;"Low",K441&lt;&gt;"None"),AND(W441&lt;&gt;"Hard-coded",W441&lt;&gt;"Configurable",W441&lt;&gt;"Policy-managed",W441&lt;&gt;"API/Library abstraction",W441&lt;&gt;"Automated"),AND(Z441&lt;&gt;"Y",Z441&lt;&gt;"N"),AND(AA441&lt;&gt;"Y",AA441&lt;&gt;"N")),"Incomplete",IF(Z441="Y",20,0)+L441*5+IF(AA441="Y",15,0)+IF(J441="Public",10,IF(J441="Partner",7,IF(J441="Internal",3,0)))+IF(W441="Hard-coded",10,IF(W441="Configurable",3,0))+IF(MAX(I441,AP441)&gt;=10,10,IF(MAX(I441,AP441)&gt;=5,7,IF(MAX(I441,AP441)&gt;=2,3,0)))+IF(K441="High",10,IF(K441="Medium",5,0))))</x:f>
      </x:c>
      <x:c r="AC441" s="73" t="str">
        <x:f>IF(A441="","",IF(NOT(ISNUMBER(AB441)),"Review inputs",IF(AB441&gt;=70,"P0 - Immediate",IF(AB441&gt;=50,"P1 - High",IF(AB441&gt;=30,"P2 - Medium",IF(AB441&gt;=15,"P3 - Low","P4 - Monitor"))))))</x:f>
      </x:c>
      <x:c r="AD441" s="73"/>
      <x:c r="AE441" s="73"/>
      <x:c r="AF441" s="73"/>
      <x:c r="AG441" s="77"/>
      <x:c r="AH441" s="73"/>
      <x:c r="AI441" s="91"/>
      <x:c r="AJ441" s="91"/>
      <x:c r="AK441" s="91"/>
      <x:c r="AL441" s="92"/>
      <x:c r="AM441" s="91"/>
      <x:c r="AN441" s="91"/>
      <x:c r="AO441" s="93"/>
      <x:c r="AP441" s="94"/>
      <x:c r="AQ441" s="91"/>
      <x:c r="AR441" s="91"/>
      <x:c r="AS441" s="91"/>
      <x:c r="AT441" s="91"/>
      <x:c r="AU441" s="91"/>
      <x:c r="AV441" s="91"/>
      <x:c r="AW441" s="91"/>
      <x:c r="AX441" s="91"/>
      <x:c r="AY441" s="91"/>
      <x:c r="AZ441" s="92"/>
      <x:c r="BA441" s="94"/>
      <x:c r="BB441" s="91"/>
      <x:c r="BC441" s="92"/>
      <x:c r="BD441" s="92"/>
      <x:c r="BE441" s="91"/>
      <x:c r="BF441" s="91"/>
      <x:c r="BG441" s="91"/>
      <x:c r="BH441" s="91"/>
      <x:c r="BI441" s="91"/>
      <x:c r="BJ441" s="91"/>
      <x:c r="BK441" s="91"/>
      <x:c r="BL441" s="91"/>
      <x:c r="BM441" s="73" t="str">
        <x:f>IF(A441="","",IF(AI441="Example","Example only",IF(AI441&lt;&gt;"Actual","Set record type",IF(COUNTIF($A$2:$A$1001,A441)&gt;1,"Duplicate record ID",IF(OR(D441="",E441="",AF441="",NOT(ISNUMBER(AG441)),AJ441="",AK441="",NOT(ISNUMBER(AL441)),AND(AM441&lt;&gt;"Observed",AM441&lt;&gt;"Corroborated",AM441&lt;&gt;"Declared"),OR(AN441="",AN441="Unknown"),OR(AQ441="",AQ441="Unknown"),OR(AR441="",AR441="Unknown",AR441="TBD"),OR(BC441="",NOT(ISNUMBER(BC441)))),"Evidence incomplete","Evidence recorded; review scope")))))</x:f>
      </x:c>
      <x:c r="BN441" s="73"/>
    </x:row>
    <x:row r="442" ht="34" customHeight="1">
      <x:c r="A442" s="73"/>
      <x:c r="B442" s="73"/>
      <x:c r="C442" s="73"/>
      <x:c r="D442" s="73"/>
      <x:c r="E442" s="73"/>
      <x:c r="F442" s="73"/>
      <x:c r="G442" s="73"/>
      <x:c r="H442" s="73"/>
      <x:c r="I442" s="75"/>
      <x:c r="J442" s="73"/>
      <x:c r="K442" s="73"/>
      <x:c r="L442" s="76"/>
      <x:c r="M442" s="73"/>
      <x:c r="N442" s="73"/>
      <x:c r="O442" s="73"/>
      <x:c r="P442" s="73"/>
      <x:c r="Q442" s="76"/>
      <x:c r="R442" s="73"/>
      <x:c r="S442" s="73"/>
      <x:c r="T442" s="73"/>
      <x:c r="U442" s="73"/>
      <x:c r="V442" s="73"/>
      <x:c r="W442" s="73"/>
      <x:c r="X442" s="73"/>
      <x:c r="Y442" s="73"/>
      <x:c r="Z442" s="73"/>
      <x:c r="AA442" s="73"/>
      <x:c r="AB442" s="76" t="str">
        <x:f>IF(A442="","",IF(OR(NOT(ISNUMBER(I442)),I442&lt;0,NOT(ISNUMBER(AP442)),AP442&lt;0,NOT(ISNUMBER(L442)),L442&lt;1,L442&gt;5,L442&lt;&gt;INT(L442),AND(J442&lt;&gt;"Public",J442&lt;&gt;"Partner",J442&lt;&gt;"Internal",J442&lt;&gt;"None"),AND(K442&lt;&gt;"High",K442&lt;&gt;"Medium",K442&lt;&gt;"Low",K442&lt;&gt;"None"),AND(W442&lt;&gt;"Hard-coded",W442&lt;&gt;"Configurable",W442&lt;&gt;"Policy-managed",W442&lt;&gt;"API/Library abstraction",W442&lt;&gt;"Automated"),AND(Z442&lt;&gt;"Y",Z442&lt;&gt;"N"),AND(AA442&lt;&gt;"Y",AA442&lt;&gt;"N")),"Incomplete",IF(Z442="Y",20,0)+L442*5+IF(AA442="Y",15,0)+IF(J442="Public",10,IF(J442="Partner",7,IF(J442="Internal",3,0)))+IF(W442="Hard-coded",10,IF(W442="Configurable",3,0))+IF(MAX(I442,AP442)&gt;=10,10,IF(MAX(I442,AP442)&gt;=5,7,IF(MAX(I442,AP442)&gt;=2,3,0)))+IF(K442="High",10,IF(K442="Medium",5,0))))</x:f>
      </x:c>
      <x:c r="AC442" s="73" t="str">
        <x:f>IF(A442="","",IF(NOT(ISNUMBER(AB442)),"Review inputs",IF(AB442&gt;=70,"P0 - Immediate",IF(AB442&gt;=50,"P1 - High",IF(AB442&gt;=30,"P2 - Medium",IF(AB442&gt;=15,"P3 - Low","P4 - Monitor"))))))</x:f>
      </x:c>
      <x:c r="AD442" s="73"/>
      <x:c r="AE442" s="73"/>
      <x:c r="AF442" s="73"/>
      <x:c r="AG442" s="77"/>
      <x:c r="AH442" s="73"/>
      <x:c r="AI442" s="91"/>
      <x:c r="AJ442" s="91"/>
      <x:c r="AK442" s="91"/>
      <x:c r="AL442" s="92"/>
      <x:c r="AM442" s="91"/>
      <x:c r="AN442" s="91"/>
      <x:c r="AO442" s="93"/>
      <x:c r="AP442" s="94"/>
      <x:c r="AQ442" s="91"/>
      <x:c r="AR442" s="91"/>
      <x:c r="AS442" s="91"/>
      <x:c r="AT442" s="91"/>
      <x:c r="AU442" s="91"/>
      <x:c r="AV442" s="91"/>
      <x:c r="AW442" s="91"/>
      <x:c r="AX442" s="91"/>
      <x:c r="AY442" s="91"/>
      <x:c r="AZ442" s="92"/>
      <x:c r="BA442" s="94"/>
      <x:c r="BB442" s="91"/>
      <x:c r="BC442" s="92"/>
      <x:c r="BD442" s="92"/>
      <x:c r="BE442" s="91"/>
      <x:c r="BF442" s="91"/>
      <x:c r="BG442" s="91"/>
      <x:c r="BH442" s="91"/>
      <x:c r="BI442" s="91"/>
      <x:c r="BJ442" s="91"/>
      <x:c r="BK442" s="91"/>
      <x:c r="BL442" s="91"/>
      <x:c r="BM442" s="73" t="str">
        <x:f>IF(A442="","",IF(AI442="Example","Example only",IF(AI442&lt;&gt;"Actual","Set record type",IF(COUNTIF($A$2:$A$1001,A442)&gt;1,"Duplicate record ID",IF(OR(D442="",E442="",AF442="",NOT(ISNUMBER(AG442)),AJ442="",AK442="",NOT(ISNUMBER(AL442)),AND(AM442&lt;&gt;"Observed",AM442&lt;&gt;"Corroborated",AM442&lt;&gt;"Declared"),OR(AN442="",AN442="Unknown"),OR(AQ442="",AQ442="Unknown"),OR(AR442="",AR442="Unknown",AR442="TBD"),OR(BC442="",NOT(ISNUMBER(BC442)))),"Evidence incomplete","Evidence recorded; review scope")))))</x:f>
      </x:c>
      <x:c r="BN442" s="73"/>
    </x:row>
    <x:row r="443" ht="34" customHeight="1">
      <x:c r="A443" s="73"/>
      <x:c r="B443" s="73"/>
      <x:c r="C443" s="73"/>
      <x:c r="D443" s="73"/>
      <x:c r="E443" s="73"/>
      <x:c r="F443" s="73"/>
      <x:c r="G443" s="73"/>
      <x:c r="H443" s="73"/>
      <x:c r="I443" s="75"/>
      <x:c r="J443" s="73"/>
      <x:c r="K443" s="73"/>
      <x:c r="L443" s="76"/>
      <x:c r="M443" s="73"/>
      <x:c r="N443" s="73"/>
      <x:c r="O443" s="73"/>
      <x:c r="P443" s="73"/>
      <x:c r="Q443" s="76"/>
      <x:c r="R443" s="73"/>
      <x:c r="S443" s="73"/>
      <x:c r="T443" s="73"/>
      <x:c r="U443" s="73"/>
      <x:c r="V443" s="73"/>
      <x:c r="W443" s="73"/>
      <x:c r="X443" s="73"/>
      <x:c r="Y443" s="73"/>
      <x:c r="Z443" s="73"/>
      <x:c r="AA443" s="73"/>
      <x:c r="AB443" s="76" t="str">
        <x:f>IF(A443="","",IF(OR(NOT(ISNUMBER(I443)),I443&lt;0,NOT(ISNUMBER(AP443)),AP443&lt;0,NOT(ISNUMBER(L443)),L443&lt;1,L443&gt;5,L443&lt;&gt;INT(L443),AND(J443&lt;&gt;"Public",J443&lt;&gt;"Partner",J443&lt;&gt;"Internal",J443&lt;&gt;"None"),AND(K443&lt;&gt;"High",K443&lt;&gt;"Medium",K443&lt;&gt;"Low",K443&lt;&gt;"None"),AND(W443&lt;&gt;"Hard-coded",W443&lt;&gt;"Configurable",W443&lt;&gt;"Policy-managed",W443&lt;&gt;"API/Library abstraction",W443&lt;&gt;"Automated"),AND(Z443&lt;&gt;"Y",Z443&lt;&gt;"N"),AND(AA443&lt;&gt;"Y",AA443&lt;&gt;"N")),"Incomplete",IF(Z443="Y",20,0)+L443*5+IF(AA443="Y",15,0)+IF(J443="Public",10,IF(J443="Partner",7,IF(J443="Internal",3,0)))+IF(W443="Hard-coded",10,IF(W443="Configurable",3,0))+IF(MAX(I443,AP443)&gt;=10,10,IF(MAX(I443,AP443)&gt;=5,7,IF(MAX(I443,AP443)&gt;=2,3,0)))+IF(K443="High",10,IF(K443="Medium",5,0))))</x:f>
      </x:c>
      <x:c r="AC443" s="73" t="str">
        <x:f>IF(A443="","",IF(NOT(ISNUMBER(AB443)),"Review inputs",IF(AB443&gt;=70,"P0 - Immediate",IF(AB443&gt;=50,"P1 - High",IF(AB443&gt;=30,"P2 - Medium",IF(AB443&gt;=15,"P3 - Low","P4 - Monitor"))))))</x:f>
      </x:c>
      <x:c r="AD443" s="73"/>
      <x:c r="AE443" s="73"/>
      <x:c r="AF443" s="73"/>
      <x:c r="AG443" s="77"/>
      <x:c r="AH443" s="73"/>
      <x:c r="AI443" s="91"/>
      <x:c r="AJ443" s="91"/>
      <x:c r="AK443" s="91"/>
      <x:c r="AL443" s="92"/>
      <x:c r="AM443" s="91"/>
      <x:c r="AN443" s="91"/>
      <x:c r="AO443" s="93"/>
      <x:c r="AP443" s="94"/>
      <x:c r="AQ443" s="91"/>
      <x:c r="AR443" s="91"/>
      <x:c r="AS443" s="91"/>
      <x:c r="AT443" s="91"/>
      <x:c r="AU443" s="91"/>
      <x:c r="AV443" s="91"/>
      <x:c r="AW443" s="91"/>
      <x:c r="AX443" s="91"/>
      <x:c r="AY443" s="91"/>
      <x:c r="AZ443" s="92"/>
      <x:c r="BA443" s="94"/>
      <x:c r="BB443" s="91"/>
      <x:c r="BC443" s="92"/>
      <x:c r="BD443" s="92"/>
      <x:c r="BE443" s="91"/>
      <x:c r="BF443" s="91"/>
      <x:c r="BG443" s="91"/>
      <x:c r="BH443" s="91"/>
      <x:c r="BI443" s="91"/>
      <x:c r="BJ443" s="91"/>
      <x:c r="BK443" s="91"/>
      <x:c r="BL443" s="91"/>
      <x:c r="BM443" s="73" t="str">
        <x:f>IF(A443="","",IF(AI443="Example","Example only",IF(AI443&lt;&gt;"Actual","Set record type",IF(COUNTIF($A$2:$A$1001,A443)&gt;1,"Duplicate record ID",IF(OR(D443="",E443="",AF443="",NOT(ISNUMBER(AG443)),AJ443="",AK443="",NOT(ISNUMBER(AL443)),AND(AM443&lt;&gt;"Observed",AM443&lt;&gt;"Corroborated",AM443&lt;&gt;"Declared"),OR(AN443="",AN443="Unknown"),OR(AQ443="",AQ443="Unknown"),OR(AR443="",AR443="Unknown",AR443="TBD"),OR(BC443="",NOT(ISNUMBER(BC443)))),"Evidence incomplete","Evidence recorded; review scope")))))</x:f>
      </x:c>
      <x:c r="BN443" s="73"/>
    </x:row>
    <x:row r="444" ht="34" customHeight="1">
      <x:c r="A444" s="73"/>
      <x:c r="B444" s="73"/>
      <x:c r="C444" s="73"/>
      <x:c r="D444" s="73"/>
      <x:c r="E444" s="73"/>
      <x:c r="F444" s="73"/>
      <x:c r="G444" s="73"/>
      <x:c r="H444" s="73"/>
      <x:c r="I444" s="75"/>
      <x:c r="J444" s="73"/>
      <x:c r="K444" s="73"/>
      <x:c r="L444" s="76"/>
      <x:c r="M444" s="73"/>
      <x:c r="N444" s="73"/>
      <x:c r="O444" s="73"/>
      <x:c r="P444" s="73"/>
      <x:c r="Q444" s="76"/>
      <x:c r="R444" s="73"/>
      <x:c r="S444" s="73"/>
      <x:c r="T444" s="73"/>
      <x:c r="U444" s="73"/>
      <x:c r="V444" s="73"/>
      <x:c r="W444" s="73"/>
      <x:c r="X444" s="73"/>
      <x:c r="Y444" s="73"/>
      <x:c r="Z444" s="73"/>
      <x:c r="AA444" s="73"/>
      <x:c r="AB444" s="76" t="str">
        <x:f>IF(A444="","",IF(OR(NOT(ISNUMBER(I444)),I444&lt;0,NOT(ISNUMBER(AP444)),AP444&lt;0,NOT(ISNUMBER(L444)),L444&lt;1,L444&gt;5,L444&lt;&gt;INT(L444),AND(J444&lt;&gt;"Public",J444&lt;&gt;"Partner",J444&lt;&gt;"Internal",J444&lt;&gt;"None"),AND(K444&lt;&gt;"High",K444&lt;&gt;"Medium",K444&lt;&gt;"Low",K444&lt;&gt;"None"),AND(W444&lt;&gt;"Hard-coded",W444&lt;&gt;"Configurable",W444&lt;&gt;"Policy-managed",W444&lt;&gt;"API/Library abstraction",W444&lt;&gt;"Automated"),AND(Z444&lt;&gt;"Y",Z444&lt;&gt;"N"),AND(AA444&lt;&gt;"Y",AA444&lt;&gt;"N")),"Incomplete",IF(Z444="Y",20,0)+L444*5+IF(AA444="Y",15,0)+IF(J444="Public",10,IF(J444="Partner",7,IF(J444="Internal",3,0)))+IF(W444="Hard-coded",10,IF(W444="Configurable",3,0))+IF(MAX(I444,AP444)&gt;=10,10,IF(MAX(I444,AP444)&gt;=5,7,IF(MAX(I444,AP444)&gt;=2,3,0)))+IF(K444="High",10,IF(K444="Medium",5,0))))</x:f>
      </x:c>
      <x:c r="AC444" s="73" t="str">
        <x:f>IF(A444="","",IF(NOT(ISNUMBER(AB444)),"Review inputs",IF(AB444&gt;=70,"P0 - Immediate",IF(AB444&gt;=50,"P1 - High",IF(AB444&gt;=30,"P2 - Medium",IF(AB444&gt;=15,"P3 - Low","P4 - Monitor"))))))</x:f>
      </x:c>
      <x:c r="AD444" s="73"/>
      <x:c r="AE444" s="73"/>
      <x:c r="AF444" s="73"/>
      <x:c r="AG444" s="77"/>
      <x:c r="AH444" s="73"/>
      <x:c r="AI444" s="91"/>
      <x:c r="AJ444" s="91"/>
      <x:c r="AK444" s="91"/>
      <x:c r="AL444" s="92"/>
      <x:c r="AM444" s="91"/>
      <x:c r="AN444" s="91"/>
      <x:c r="AO444" s="93"/>
      <x:c r="AP444" s="94"/>
      <x:c r="AQ444" s="91"/>
      <x:c r="AR444" s="91"/>
      <x:c r="AS444" s="91"/>
      <x:c r="AT444" s="91"/>
      <x:c r="AU444" s="91"/>
      <x:c r="AV444" s="91"/>
      <x:c r="AW444" s="91"/>
      <x:c r="AX444" s="91"/>
      <x:c r="AY444" s="91"/>
      <x:c r="AZ444" s="92"/>
      <x:c r="BA444" s="94"/>
      <x:c r="BB444" s="91"/>
      <x:c r="BC444" s="92"/>
      <x:c r="BD444" s="92"/>
      <x:c r="BE444" s="91"/>
      <x:c r="BF444" s="91"/>
      <x:c r="BG444" s="91"/>
      <x:c r="BH444" s="91"/>
      <x:c r="BI444" s="91"/>
      <x:c r="BJ444" s="91"/>
      <x:c r="BK444" s="91"/>
      <x:c r="BL444" s="91"/>
      <x:c r="BM444" s="73" t="str">
        <x:f>IF(A444="","",IF(AI444="Example","Example only",IF(AI444&lt;&gt;"Actual","Set record type",IF(COUNTIF($A$2:$A$1001,A444)&gt;1,"Duplicate record ID",IF(OR(D444="",E444="",AF444="",NOT(ISNUMBER(AG444)),AJ444="",AK444="",NOT(ISNUMBER(AL444)),AND(AM444&lt;&gt;"Observed",AM444&lt;&gt;"Corroborated",AM444&lt;&gt;"Declared"),OR(AN444="",AN444="Unknown"),OR(AQ444="",AQ444="Unknown"),OR(AR444="",AR444="Unknown",AR444="TBD"),OR(BC444="",NOT(ISNUMBER(BC444)))),"Evidence incomplete","Evidence recorded; review scope")))))</x:f>
      </x:c>
      <x:c r="BN444" s="73"/>
    </x:row>
    <x:row r="445" ht="34" customHeight="1">
      <x:c r="A445" s="73"/>
      <x:c r="B445" s="73"/>
      <x:c r="C445" s="73"/>
      <x:c r="D445" s="73"/>
      <x:c r="E445" s="73"/>
      <x:c r="F445" s="73"/>
      <x:c r="G445" s="73"/>
      <x:c r="H445" s="73"/>
      <x:c r="I445" s="75"/>
      <x:c r="J445" s="73"/>
      <x:c r="K445" s="73"/>
      <x:c r="L445" s="76"/>
      <x:c r="M445" s="73"/>
      <x:c r="N445" s="73"/>
      <x:c r="O445" s="73"/>
      <x:c r="P445" s="73"/>
      <x:c r="Q445" s="76"/>
      <x:c r="R445" s="73"/>
      <x:c r="S445" s="73"/>
      <x:c r="T445" s="73"/>
      <x:c r="U445" s="73"/>
      <x:c r="V445" s="73"/>
      <x:c r="W445" s="73"/>
      <x:c r="X445" s="73"/>
      <x:c r="Y445" s="73"/>
      <x:c r="Z445" s="73"/>
      <x:c r="AA445" s="73"/>
      <x:c r="AB445" s="76" t="str">
        <x:f>IF(A445="","",IF(OR(NOT(ISNUMBER(I445)),I445&lt;0,NOT(ISNUMBER(AP445)),AP445&lt;0,NOT(ISNUMBER(L445)),L445&lt;1,L445&gt;5,L445&lt;&gt;INT(L445),AND(J445&lt;&gt;"Public",J445&lt;&gt;"Partner",J445&lt;&gt;"Internal",J445&lt;&gt;"None"),AND(K445&lt;&gt;"High",K445&lt;&gt;"Medium",K445&lt;&gt;"Low",K445&lt;&gt;"None"),AND(W445&lt;&gt;"Hard-coded",W445&lt;&gt;"Configurable",W445&lt;&gt;"Policy-managed",W445&lt;&gt;"API/Library abstraction",W445&lt;&gt;"Automated"),AND(Z445&lt;&gt;"Y",Z445&lt;&gt;"N"),AND(AA445&lt;&gt;"Y",AA445&lt;&gt;"N")),"Incomplete",IF(Z445="Y",20,0)+L445*5+IF(AA445="Y",15,0)+IF(J445="Public",10,IF(J445="Partner",7,IF(J445="Internal",3,0)))+IF(W445="Hard-coded",10,IF(W445="Configurable",3,0))+IF(MAX(I445,AP445)&gt;=10,10,IF(MAX(I445,AP445)&gt;=5,7,IF(MAX(I445,AP445)&gt;=2,3,0)))+IF(K445="High",10,IF(K445="Medium",5,0))))</x:f>
      </x:c>
      <x:c r="AC445" s="73" t="str">
        <x:f>IF(A445="","",IF(NOT(ISNUMBER(AB445)),"Review inputs",IF(AB445&gt;=70,"P0 - Immediate",IF(AB445&gt;=50,"P1 - High",IF(AB445&gt;=30,"P2 - Medium",IF(AB445&gt;=15,"P3 - Low","P4 - Monitor"))))))</x:f>
      </x:c>
      <x:c r="AD445" s="73"/>
      <x:c r="AE445" s="73"/>
      <x:c r="AF445" s="73"/>
      <x:c r="AG445" s="77"/>
      <x:c r="AH445" s="73"/>
      <x:c r="AI445" s="91"/>
      <x:c r="AJ445" s="91"/>
      <x:c r="AK445" s="91"/>
      <x:c r="AL445" s="92"/>
      <x:c r="AM445" s="91"/>
      <x:c r="AN445" s="91"/>
      <x:c r="AO445" s="93"/>
      <x:c r="AP445" s="94"/>
      <x:c r="AQ445" s="91"/>
      <x:c r="AR445" s="91"/>
      <x:c r="AS445" s="91"/>
      <x:c r="AT445" s="91"/>
      <x:c r="AU445" s="91"/>
      <x:c r="AV445" s="91"/>
      <x:c r="AW445" s="91"/>
      <x:c r="AX445" s="91"/>
      <x:c r="AY445" s="91"/>
      <x:c r="AZ445" s="92"/>
      <x:c r="BA445" s="94"/>
      <x:c r="BB445" s="91"/>
      <x:c r="BC445" s="92"/>
      <x:c r="BD445" s="92"/>
      <x:c r="BE445" s="91"/>
      <x:c r="BF445" s="91"/>
      <x:c r="BG445" s="91"/>
      <x:c r="BH445" s="91"/>
      <x:c r="BI445" s="91"/>
      <x:c r="BJ445" s="91"/>
      <x:c r="BK445" s="91"/>
      <x:c r="BL445" s="91"/>
      <x:c r="BM445" s="73" t="str">
        <x:f>IF(A445="","",IF(AI445="Example","Example only",IF(AI445&lt;&gt;"Actual","Set record type",IF(COUNTIF($A$2:$A$1001,A445)&gt;1,"Duplicate record ID",IF(OR(D445="",E445="",AF445="",NOT(ISNUMBER(AG445)),AJ445="",AK445="",NOT(ISNUMBER(AL445)),AND(AM445&lt;&gt;"Observed",AM445&lt;&gt;"Corroborated",AM445&lt;&gt;"Declared"),OR(AN445="",AN445="Unknown"),OR(AQ445="",AQ445="Unknown"),OR(AR445="",AR445="Unknown",AR445="TBD"),OR(BC445="",NOT(ISNUMBER(BC445)))),"Evidence incomplete","Evidence recorded; review scope")))))</x:f>
      </x:c>
      <x:c r="BN445" s="73"/>
    </x:row>
    <x:row r="446" ht="34" customHeight="1">
      <x:c r="A446" s="73"/>
      <x:c r="B446" s="73"/>
      <x:c r="C446" s="73"/>
      <x:c r="D446" s="73"/>
      <x:c r="E446" s="73"/>
      <x:c r="F446" s="73"/>
      <x:c r="G446" s="73"/>
      <x:c r="H446" s="73"/>
      <x:c r="I446" s="75"/>
      <x:c r="J446" s="73"/>
      <x:c r="K446" s="73"/>
      <x:c r="L446" s="76"/>
      <x:c r="M446" s="73"/>
      <x:c r="N446" s="73"/>
      <x:c r="O446" s="73"/>
      <x:c r="P446" s="73"/>
      <x:c r="Q446" s="76"/>
      <x:c r="R446" s="73"/>
      <x:c r="S446" s="73"/>
      <x:c r="T446" s="73"/>
      <x:c r="U446" s="73"/>
      <x:c r="V446" s="73"/>
      <x:c r="W446" s="73"/>
      <x:c r="X446" s="73"/>
      <x:c r="Y446" s="73"/>
      <x:c r="Z446" s="73"/>
      <x:c r="AA446" s="73"/>
      <x:c r="AB446" s="76" t="str">
        <x:f>IF(A446="","",IF(OR(NOT(ISNUMBER(I446)),I446&lt;0,NOT(ISNUMBER(AP446)),AP446&lt;0,NOT(ISNUMBER(L446)),L446&lt;1,L446&gt;5,L446&lt;&gt;INT(L446),AND(J446&lt;&gt;"Public",J446&lt;&gt;"Partner",J446&lt;&gt;"Internal",J446&lt;&gt;"None"),AND(K446&lt;&gt;"High",K446&lt;&gt;"Medium",K446&lt;&gt;"Low",K446&lt;&gt;"None"),AND(W446&lt;&gt;"Hard-coded",W446&lt;&gt;"Configurable",W446&lt;&gt;"Policy-managed",W446&lt;&gt;"API/Library abstraction",W446&lt;&gt;"Automated"),AND(Z446&lt;&gt;"Y",Z446&lt;&gt;"N"),AND(AA446&lt;&gt;"Y",AA446&lt;&gt;"N")),"Incomplete",IF(Z446="Y",20,0)+L446*5+IF(AA446="Y",15,0)+IF(J446="Public",10,IF(J446="Partner",7,IF(J446="Internal",3,0)))+IF(W446="Hard-coded",10,IF(W446="Configurable",3,0))+IF(MAX(I446,AP446)&gt;=10,10,IF(MAX(I446,AP446)&gt;=5,7,IF(MAX(I446,AP446)&gt;=2,3,0)))+IF(K446="High",10,IF(K446="Medium",5,0))))</x:f>
      </x:c>
      <x:c r="AC446" s="73" t="str">
        <x:f>IF(A446="","",IF(NOT(ISNUMBER(AB446)),"Review inputs",IF(AB446&gt;=70,"P0 - Immediate",IF(AB446&gt;=50,"P1 - High",IF(AB446&gt;=30,"P2 - Medium",IF(AB446&gt;=15,"P3 - Low","P4 - Monitor"))))))</x:f>
      </x:c>
      <x:c r="AD446" s="73"/>
      <x:c r="AE446" s="73"/>
      <x:c r="AF446" s="73"/>
      <x:c r="AG446" s="77"/>
      <x:c r="AH446" s="73"/>
      <x:c r="AI446" s="91"/>
      <x:c r="AJ446" s="91"/>
      <x:c r="AK446" s="91"/>
      <x:c r="AL446" s="92"/>
      <x:c r="AM446" s="91"/>
      <x:c r="AN446" s="91"/>
      <x:c r="AO446" s="93"/>
      <x:c r="AP446" s="94"/>
      <x:c r="AQ446" s="91"/>
      <x:c r="AR446" s="91"/>
      <x:c r="AS446" s="91"/>
      <x:c r="AT446" s="91"/>
      <x:c r="AU446" s="91"/>
      <x:c r="AV446" s="91"/>
      <x:c r="AW446" s="91"/>
      <x:c r="AX446" s="91"/>
      <x:c r="AY446" s="91"/>
      <x:c r="AZ446" s="92"/>
      <x:c r="BA446" s="94"/>
      <x:c r="BB446" s="91"/>
      <x:c r="BC446" s="92"/>
      <x:c r="BD446" s="92"/>
      <x:c r="BE446" s="91"/>
      <x:c r="BF446" s="91"/>
      <x:c r="BG446" s="91"/>
      <x:c r="BH446" s="91"/>
      <x:c r="BI446" s="91"/>
      <x:c r="BJ446" s="91"/>
      <x:c r="BK446" s="91"/>
      <x:c r="BL446" s="91"/>
      <x:c r="BM446" s="73" t="str">
        <x:f>IF(A446="","",IF(AI446="Example","Example only",IF(AI446&lt;&gt;"Actual","Set record type",IF(COUNTIF($A$2:$A$1001,A446)&gt;1,"Duplicate record ID",IF(OR(D446="",E446="",AF446="",NOT(ISNUMBER(AG446)),AJ446="",AK446="",NOT(ISNUMBER(AL446)),AND(AM446&lt;&gt;"Observed",AM446&lt;&gt;"Corroborated",AM446&lt;&gt;"Declared"),OR(AN446="",AN446="Unknown"),OR(AQ446="",AQ446="Unknown"),OR(AR446="",AR446="Unknown",AR446="TBD"),OR(BC446="",NOT(ISNUMBER(BC446)))),"Evidence incomplete","Evidence recorded; review scope")))))</x:f>
      </x:c>
      <x:c r="BN446" s="73"/>
    </x:row>
    <x:row r="447" ht="34" customHeight="1">
      <x:c r="A447" s="73"/>
      <x:c r="B447" s="73"/>
      <x:c r="C447" s="73"/>
      <x:c r="D447" s="73"/>
      <x:c r="E447" s="73"/>
      <x:c r="F447" s="73"/>
      <x:c r="G447" s="73"/>
      <x:c r="H447" s="73"/>
      <x:c r="I447" s="75"/>
      <x:c r="J447" s="73"/>
      <x:c r="K447" s="73"/>
      <x:c r="L447" s="76"/>
      <x:c r="M447" s="73"/>
      <x:c r="N447" s="73"/>
      <x:c r="O447" s="73"/>
      <x:c r="P447" s="73"/>
      <x:c r="Q447" s="76"/>
      <x:c r="R447" s="73"/>
      <x:c r="S447" s="73"/>
      <x:c r="T447" s="73"/>
      <x:c r="U447" s="73"/>
      <x:c r="V447" s="73"/>
      <x:c r="W447" s="73"/>
      <x:c r="X447" s="73"/>
      <x:c r="Y447" s="73"/>
      <x:c r="Z447" s="73"/>
      <x:c r="AA447" s="73"/>
      <x:c r="AB447" s="76" t="str">
        <x:f>IF(A447="","",IF(OR(NOT(ISNUMBER(I447)),I447&lt;0,NOT(ISNUMBER(AP447)),AP447&lt;0,NOT(ISNUMBER(L447)),L447&lt;1,L447&gt;5,L447&lt;&gt;INT(L447),AND(J447&lt;&gt;"Public",J447&lt;&gt;"Partner",J447&lt;&gt;"Internal",J447&lt;&gt;"None"),AND(K447&lt;&gt;"High",K447&lt;&gt;"Medium",K447&lt;&gt;"Low",K447&lt;&gt;"None"),AND(W447&lt;&gt;"Hard-coded",W447&lt;&gt;"Configurable",W447&lt;&gt;"Policy-managed",W447&lt;&gt;"API/Library abstraction",W447&lt;&gt;"Automated"),AND(Z447&lt;&gt;"Y",Z447&lt;&gt;"N"),AND(AA447&lt;&gt;"Y",AA447&lt;&gt;"N")),"Incomplete",IF(Z447="Y",20,0)+L447*5+IF(AA447="Y",15,0)+IF(J447="Public",10,IF(J447="Partner",7,IF(J447="Internal",3,0)))+IF(W447="Hard-coded",10,IF(W447="Configurable",3,0))+IF(MAX(I447,AP447)&gt;=10,10,IF(MAX(I447,AP447)&gt;=5,7,IF(MAX(I447,AP447)&gt;=2,3,0)))+IF(K447="High",10,IF(K447="Medium",5,0))))</x:f>
      </x:c>
      <x:c r="AC447" s="73" t="str">
        <x:f>IF(A447="","",IF(NOT(ISNUMBER(AB447)),"Review inputs",IF(AB447&gt;=70,"P0 - Immediate",IF(AB447&gt;=50,"P1 - High",IF(AB447&gt;=30,"P2 - Medium",IF(AB447&gt;=15,"P3 - Low","P4 - Monitor"))))))</x:f>
      </x:c>
      <x:c r="AD447" s="73"/>
      <x:c r="AE447" s="73"/>
      <x:c r="AF447" s="73"/>
      <x:c r="AG447" s="77"/>
      <x:c r="AH447" s="73"/>
      <x:c r="AI447" s="91"/>
      <x:c r="AJ447" s="91"/>
      <x:c r="AK447" s="91"/>
      <x:c r="AL447" s="92"/>
      <x:c r="AM447" s="91"/>
      <x:c r="AN447" s="91"/>
      <x:c r="AO447" s="93"/>
      <x:c r="AP447" s="94"/>
      <x:c r="AQ447" s="91"/>
      <x:c r="AR447" s="91"/>
      <x:c r="AS447" s="91"/>
      <x:c r="AT447" s="91"/>
      <x:c r="AU447" s="91"/>
      <x:c r="AV447" s="91"/>
      <x:c r="AW447" s="91"/>
      <x:c r="AX447" s="91"/>
      <x:c r="AY447" s="91"/>
      <x:c r="AZ447" s="92"/>
      <x:c r="BA447" s="94"/>
      <x:c r="BB447" s="91"/>
      <x:c r="BC447" s="92"/>
      <x:c r="BD447" s="92"/>
      <x:c r="BE447" s="91"/>
      <x:c r="BF447" s="91"/>
      <x:c r="BG447" s="91"/>
      <x:c r="BH447" s="91"/>
      <x:c r="BI447" s="91"/>
      <x:c r="BJ447" s="91"/>
      <x:c r="BK447" s="91"/>
      <x:c r="BL447" s="91"/>
      <x:c r="BM447" s="73" t="str">
        <x:f>IF(A447="","",IF(AI447="Example","Example only",IF(AI447&lt;&gt;"Actual","Set record type",IF(COUNTIF($A$2:$A$1001,A447)&gt;1,"Duplicate record ID",IF(OR(D447="",E447="",AF447="",NOT(ISNUMBER(AG447)),AJ447="",AK447="",NOT(ISNUMBER(AL447)),AND(AM447&lt;&gt;"Observed",AM447&lt;&gt;"Corroborated",AM447&lt;&gt;"Declared"),OR(AN447="",AN447="Unknown"),OR(AQ447="",AQ447="Unknown"),OR(AR447="",AR447="Unknown",AR447="TBD"),OR(BC447="",NOT(ISNUMBER(BC447)))),"Evidence incomplete","Evidence recorded; review scope")))))</x:f>
      </x:c>
      <x:c r="BN447" s="73"/>
    </x:row>
    <x:row r="448" ht="34" customHeight="1">
      <x:c r="A448" s="73"/>
      <x:c r="B448" s="73"/>
      <x:c r="C448" s="73"/>
      <x:c r="D448" s="73"/>
      <x:c r="E448" s="73"/>
      <x:c r="F448" s="73"/>
      <x:c r="G448" s="73"/>
      <x:c r="H448" s="73"/>
      <x:c r="I448" s="75"/>
      <x:c r="J448" s="73"/>
      <x:c r="K448" s="73"/>
      <x:c r="L448" s="76"/>
      <x:c r="M448" s="73"/>
      <x:c r="N448" s="73"/>
      <x:c r="O448" s="73"/>
      <x:c r="P448" s="73"/>
      <x:c r="Q448" s="76"/>
      <x:c r="R448" s="73"/>
      <x:c r="S448" s="73"/>
      <x:c r="T448" s="73"/>
      <x:c r="U448" s="73"/>
      <x:c r="V448" s="73"/>
      <x:c r="W448" s="73"/>
      <x:c r="X448" s="73"/>
      <x:c r="Y448" s="73"/>
      <x:c r="Z448" s="73"/>
      <x:c r="AA448" s="73"/>
      <x:c r="AB448" s="76" t="str">
        <x:f>IF(A448="","",IF(OR(NOT(ISNUMBER(I448)),I448&lt;0,NOT(ISNUMBER(AP448)),AP448&lt;0,NOT(ISNUMBER(L448)),L448&lt;1,L448&gt;5,L448&lt;&gt;INT(L448),AND(J448&lt;&gt;"Public",J448&lt;&gt;"Partner",J448&lt;&gt;"Internal",J448&lt;&gt;"None"),AND(K448&lt;&gt;"High",K448&lt;&gt;"Medium",K448&lt;&gt;"Low",K448&lt;&gt;"None"),AND(W448&lt;&gt;"Hard-coded",W448&lt;&gt;"Configurable",W448&lt;&gt;"Policy-managed",W448&lt;&gt;"API/Library abstraction",W448&lt;&gt;"Automated"),AND(Z448&lt;&gt;"Y",Z448&lt;&gt;"N"),AND(AA448&lt;&gt;"Y",AA448&lt;&gt;"N")),"Incomplete",IF(Z448="Y",20,0)+L448*5+IF(AA448="Y",15,0)+IF(J448="Public",10,IF(J448="Partner",7,IF(J448="Internal",3,0)))+IF(W448="Hard-coded",10,IF(W448="Configurable",3,0))+IF(MAX(I448,AP448)&gt;=10,10,IF(MAX(I448,AP448)&gt;=5,7,IF(MAX(I448,AP448)&gt;=2,3,0)))+IF(K448="High",10,IF(K448="Medium",5,0))))</x:f>
      </x:c>
      <x:c r="AC448" s="73" t="str">
        <x:f>IF(A448="","",IF(NOT(ISNUMBER(AB448)),"Review inputs",IF(AB448&gt;=70,"P0 - Immediate",IF(AB448&gt;=50,"P1 - High",IF(AB448&gt;=30,"P2 - Medium",IF(AB448&gt;=15,"P3 - Low","P4 - Monitor"))))))</x:f>
      </x:c>
      <x:c r="AD448" s="73"/>
      <x:c r="AE448" s="73"/>
      <x:c r="AF448" s="73"/>
      <x:c r="AG448" s="77"/>
      <x:c r="AH448" s="73"/>
      <x:c r="AI448" s="91"/>
      <x:c r="AJ448" s="91"/>
      <x:c r="AK448" s="91"/>
      <x:c r="AL448" s="92"/>
      <x:c r="AM448" s="91"/>
      <x:c r="AN448" s="91"/>
      <x:c r="AO448" s="93"/>
      <x:c r="AP448" s="94"/>
      <x:c r="AQ448" s="91"/>
      <x:c r="AR448" s="91"/>
      <x:c r="AS448" s="91"/>
      <x:c r="AT448" s="91"/>
      <x:c r="AU448" s="91"/>
      <x:c r="AV448" s="91"/>
      <x:c r="AW448" s="91"/>
      <x:c r="AX448" s="91"/>
      <x:c r="AY448" s="91"/>
      <x:c r="AZ448" s="92"/>
      <x:c r="BA448" s="94"/>
      <x:c r="BB448" s="91"/>
      <x:c r="BC448" s="92"/>
      <x:c r="BD448" s="92"/>
      <x:c r="BE448" s="91"/>
      <x:c r="BF448" s="91"/>
      <x:c r="BG448" s="91"/>
      <x:c r="BH448" s="91"/>
      <x:c r="BI448" s="91"/>
      <x:c r="BJ448" s="91"/>
      <x:c r="BK448" s="91"/>
      <x:c r="BL448" s="91"/>
      <x:c r="BM448" s="73" t="str">
        <x:f>IF(A448="","",IF(AI448="Example","Example only",IF(AI448&lt;&gt;"Actual","Set record type",IF(COUNTIF($A$2:$A$1001,A448)&gt;1,"Duplicate record ID",IF(OR(D448="",E448="",AF448="",NOT(ISNUMBER(AG448)),AJ448="",AK448="",NOT(ISNUMBER(AL448)),AND(AM448&lt;&gt;"Observed",AM448&lt;&gt;"Corroborated",AM448&lt;&gt;"Declared"),OR(AN448="",AN448="Unknown"),OR(AQ448="",AQ448="Unknown"),OR(AR448="",AR448="Unknown",AR448="TBD"),OR(BC448="",NOT(ISNUMBER(BC448)))),"Evidence incomplete","Evidence recorded; review scope")))))</x:f>
      </x:c>
      <x:c r="BN448" s="73"/>
    </x:row>
    <x:row r="449" ht="34" customHeight="1">
      <x:c r="A449" s="73"/>
      <x:c r="B449" s="73"/>
      <x:c r="C449" s="73"/>
      <x:c r="D449" s="73"/>
      <x:c r="E449" s="73"/>
      <x:c r="F449" s="73"/>
      <x:c r="G449" s="73"/>
      <x:c r="H449" s="73"/>
      <x:c r="I449" s="75"/>
      <x:c r="J449" s="73"/>
      <x:c r="K449" s="73"/>
      <x:c r="L449" s="76"/>
      <x:c r="M449" s="73"/>
      <x:c r="N449" s="73"/>
      <x:c r="O449" s="73"/>
      <x:c r="P449" s="73"/>
      <x:c r="Q449" s="76"/>
      <x:c r="R449" s="73"/>
      <x:c r="S449" s="73"/>
      <x:c r="T449" s="73"/>
      <x:c r="U449" s="73"/>
      <x:c r="V449" s="73"/>
      <x:c r="W449" s="73"/>
      <x:c r="X449" s="73"/>
      <x:c r="Y449" s="73"/>
      <x:c r="Z449" s="73"/>
      <x:c r="AA449" s="73"/>
      <x:c r="AB449" s="76" t="str">
        <x:f>IF(A449="","",IF(OR(NOT(ISNUMBER(I449)),I449&lt;0,NOT(ISNUMBER(AP449)),AP449&lt;0,NOT(ISNUMBER(L449)),L449&lt;1,L449&gt;5,L449&lt;&gt;INT(L449),AND(J449&lt;&gt;"Public",J449&lt;&gt;"Partner",J449&lt;&gt;"Internal",J449&lt;&gt;"None"),AND(K449&lt;&gt;"High",K449&lt;&gt;"Medium",K449&lt;&gt;"Low",K449&lt;&gt;"None"),AND(W449&lt;&gt;"Hard-coded",W449&lt;&gt;"Configurable",W449&lt;&gt;"Policy-managed",W449&lt;&gt;"API/Library abstraction",W449&lt;&gt;"Automated"),AND(Z449&lt;&gt;"Y",Z449&lt;&gt;"N"),AND(AA449&lt;&gt;"Y",AA449&lt;&gt;"N")),"Incomplete",IF(Z449="Y",20,0)+L449*5+IF(AA449="Y",15,0)+IF(J449="Public",10,IF(J449="Partner",7,IF(J449="Internal",3,0)))+IF(W449="Hard-coded",10,IF(W449="Configurable",3,0))+IF(MAX(I449,AP449)&gt;=10,10,IF(MAX(I449,AP449)&gt;=5,7,IF(MAX(I449,AP449)&gt;=2,3,0)))+IF(K449="High",10,IF(K449="Medium",5,0))))</x:f>
      </x:c>
      <x:c r="AC449" s="73" t="str">
        <x:f>IF(A449="","",IF(NOT(ISNUMBER(AB449)),"Review inputs",IF(AB449&gt;=70,"P0 - Immediate",IF(AB449&gt;=50,"P1 - High",IF(AB449&gt;=30,"P2 - Medium",IF(AB449&gt;=15,"P3 - Low","P4 - Monitor"))))))</x:f>
      </x:c>
      <x:c r="AD449" s="73"/>
      <x:c r="AE449" s="73"/>
      <x:c r="AF449" s="73"/>
      <x:c r="AG449" s="77"/>
      <x:c r="AH449" s="73"/>
      <x:c r="AI449" s="91"/>
      <x:c r="AJ449" s="91"/>
      <x:c r="AK449" s="91"/>
      <x:c r="AL449" s="92"/>
      <x:c r="AM449" s="91"/>
      <x:c r="AN449" s="91"/>
      <x:c r="AO449" s="93"/>
      <x:c r="AP449" s="94"/>
      <x:c r="AQ449" s="91"/>
      <x:c r="AR449" s="91"/>
      <x:c r="AS449" s="91"/>
      <x:c r="AT449" s="91"/>
      <x:c r="AU449" s="91"/>
      <x:c r="AV449" s="91"/>
      <x:c r="AW449" s="91"/>
      <x:c r="AX449" s="91"/>
      <x:c r="AY449" s="91"/>
      <x:c r="AZ449" s="92"/>
      <x:c r="BA449" s="94"/>
      <x:c r="BB449" s="91"/>
      <x:c r="BC449" s="92"/>
      <x:c r="BD449" s="92"/>
      <x:c r="BE449" s="91"/>
      <x:c r="BF449" s="91"/>
      <x:c r="BG449" s="91"/>
      <x:c r="BH449" s="91"/>
      <x:c r="BI449" s="91"/>
      <x:c r="BJ449" s="91"/>
      <x:c r="BK449" s="91"/>
      <x:c r="BL449" s="91"/>
      <x:c r="BM449" s="73" t="str">
        <x:f>IF(A449="","",IF(AI449="Example","Example only",IF(AI449&lt;&gt;"Actual","Set record type",IF(COUNTIF($A$2:$A$1001,A449)&gt;1,"Duplicate record ID",IF(OR(D449="",E449="",AF449="",NOT(ISNUMBER(AG449)),AJ449="",AK449="",NOT(ISNUMBER(AL449)),AND(AM449&lt;&gt;"Observed",AM449&lt;&gt;"Corroborated",AM449&lt;&gt;"Declared"),OR(AN449="",AN449="Unknown"),OR(AQ449="",AQ449="Unknown"),OR(AR449="",AR449="Unknown",AR449="TBD"),OR(BC449="",NOT(ISNUMBER(BC449)))),"Evidence incomplete","Evidence recorded; review scope")))))</x:f>
      </x:c>
      <x:c r="BN449" s="73"/>
    </x:row>
    <x:row r="450" ht="34" customHeight="1">
      <x:c r="A450" s="73"/>
      <x:c r="B450" s="73"/>
      <x:c r="C450" s="73"/>
      <x:c r="D450" s="73"/>
      <x:c r="E450" s="73"/>
      <x:c r="F450" s="73"/>
      <x:c r="G450" s="73"/>
      <x:c r="H450" s="73"/>
      <x:c r="I450" s="75"/>
      <x:c r="J450" s="73"/>
      <x:c r="K450" s="73"/>
      <x:c r="L450" s="76"/>
      <x:c r="M450" s="73"/>
      <x:c r="N450" s="73"/>
      <x:c r="O450" s="73"/>
      <x:c r="P450" s="73"/>
      <x:c r="Q450" s="76"/>
      <x:c r="R450" s="73"/>
      <x:c r="S450" s="73"/>
      <x:c r="T450" s="73"/>
      <x:c r="U450" s="73"/>
      <x:c r="V450" s="73"/>
      <x:c r="W450" s="73"/>
      <x:c r="X450" s="73"/>
      <x:c r="Y450" s="73"/>
      <x:c r="Z450" s="73"/>
      <x:c r="AA450" s="73"/>
      <x:c r="AB450" s="76" t="str">
        <x:f>IF(A450="","",IF(OR(NOT(ISNUMBER(I450)),I450&lt;0,NOT(ISNUMBER(AP450)),AP450&lt;0,NOT(ISNUMBER(L450)),L450&lt;1,L450&gt;5,L450&lt;&gt;INT(L450),AND(J450&lt;&gt;"Public",J450&lt;&gt;"Partner",J450&lt;&gt;"Internal",J450&lt;&gt;"None"),AND(K450&lt;&gt;"High",K450&lt;&gt;"Medium",K450&lt;&gt;"Low",K450&lt;&gt;"None"),AND(W450&lt;&gt;"Hard-coded",W450&lt;&gt;"Configurable",W450&lt;&gt;"Policy-managed",W450&lt;&gt;"API/Library abstraction",W450&lt;&gt;"Automated"),AND(Z450&lt;&gt;"Y",Z450&lt;&gt;"N"),AND(AA450&lt;&gt;"Y",AA450&lt;&gt;"N")),"Incomplete",IF(Z450="Y",20,0)+L450*5+IF(AA450="Y",15,0)+IF(J450="Public",10,IF(J450="Partner",7,IF(J450="Internal",3,0)))+IF(W450="Hard-coded",10,IF(W450="Configurable",3,0))+IF(MAX(I450,AP450)&gt;=10,10,IF(MAX(I450,AP450)&gt;=5,7,IF(MAX(I450,AP450)&gt;=2,3,0)))+IF(K450="High",10,IF(K450="Medium",5,0))))</x:f>
      </x:c>
      <x:c r="AC450" s="73" t="str">
        <x:f>IF(A450="","",IF(NOT(ISNUMBER(AB450)),"Review inputs",IF(AB450&gt;=70,"P0 - Immediate",IF(AB450&gt;=50,"P1 - High",IF(AB450&gt;=30,"P2 - Medium",IF(AB450&gt;=15,"P3 - Low","P4 - Monitor"))))))</x:f>
      </x:c>
      <x:c r="AD450" s="73"/>
      <x:c r="AE450" s="73"/>
      <x:c r="AF450" s="73"/>
      <x:c r="AG450" s="77"/>
      <x:c r="AH450" s="73"/>
      <x:c r="AI450" s="91"/>
      <x:c r="AJ450" s="91"/>
      <x:c r="AK450" s="91"/>
      <x:c r="AL450" s="92"/>
      <x:c r="AM450" s="91"/>
      <x:c r="AN450" s="91"/>
      <x:c r="AO450" s="93"/>
      <x:c r="AP450" s="94"/>
      <x:c r="AQ450" s="91"/>
      <x:c r="AR450" s="91"/>
      <x:c r="AS450" s="91"/>
      <x:c r="AT450" s="91"/>
      <x:c r="AU450" s="91"/>
      <x:c r="AV450" s="91"/>
      <x:c r="AW450" s="91"/>
      <x:c r="AX450" s="91"/>
      <x:c r="AY450" s="91"/>
      <x:c r="AZ450" s="92"/>
      <x:c r="BA450" s="94"/>
      <x:c r="BB450" s="91"/>
      <x:c r="BC450" s="92"/>
      <x:c r="BD450" s="92"/>
      <x:c r="BE450" s="91"/>
      <x:c r="BF450" s="91"/>
      <x:c r="BG450" s="91"/>
      <x:c r="BH450" s="91"/>
      <x:c r="BI450" s="91"/>
      <x:c r="BJ450" s="91"/>
      <x:c r="BK450" s="91"/>
      <x:c r="BL450" s="91"/>
      <x:c r="BM450" s="73" t="str">
        <x:f>IF(A450="","",IF(AI450="Example","Example only",IF(AI450&lt;&gt;"Actual","Set record type",IF(COUNTIF($A$2:$A$1001,A450)&gt;1,"Duplicate record ID",IF(OR(D450="",E450="",AF450="",NOT(ISNUMBER(AG450)),AJ450="",AK450="",NOT(ISNUMBER(AL450)),AND(AM450&lt;&gt;"Observed",AM450&lt;&gt;"Corroborated",AM450&lt;&gt;"Declared"),OR(AN450="",AN450="Unknown"),OR(AQ450="",AQ450="Unknown"),OR(AR450="",AR450="Unknown",AR450="TBD"),OR(BC450="",NOT(ISNUMBER(BC450)))),"Evidence incomplete","Evidence recorded; review scope")))))</x:f>
      </x:c>
      <x:c r="BN450" s="73"/>
    </x:row>
    <x:row r="451" ht="34" customHeight="1">
      <x:c r="A451" s="73"/>
      <x:c r="B451" s="73"/>
      <x:c r="C451" s="73"/>
      <x:c r="D451" s="73"/>
      <x:c r="E451" s="73"/>
      <x:c r="F451" s="73"/>
      <x:c r="G451" s="73"/>
      <x:c r="H451" s="73"/>
      <x:c r="I451" s="75"/>
      <x:c r="J451" s="73"/>
      <x:c r="K451" s="73"/>
      <x:c r="L451" s="76"/>
      <x:c r="M451" s="73"/>
      <x:c r="N451" s="73"/>
      <x:c r="O451" s="73"/>
      <x:c r="P451" s="73"/>
      <x:c r="Q451" s="76"/>
      <x:c r="R451" s="73"/>
      <x:c r="S451" s="73"/>
      <x:c r="T451" s="73"/>
      <x:c r="U451" s="73"/>
      <x:c r="V451" s="73"/>
      <x:c r="W451" s="73"/>
      <x:c r="X451" s="73"/>
      <x:c r="Y451" s="73"/>
      <x:c r="Z451" s="73"/>
      <x:c r="AA451" s="73"/>
      <x:c r="AB451" s="76" t="str">
        <x:f>IF(A451="","",IF(OR(NOT(ISNUMBER(I451)),I451&lt;0,NOT(ISNUMBER(AP451)),AP451&lt;0,NOT(ISNUMBER(L451)),L451&lt;1,L451&gt;5,L451&lt;&gt;INT(L451),AND(J451&lt;&gt;"Public",J451&lt;&gt;"Partner",J451&lt;&gt;"Internal",J451&lt;&gt;"None"),AND(K451&lt;&gt;"High",K451&lt;&gt;"Medium",K451&lt;&gt;"Low",K451&lt;&gt;"None"),AND(W451&lt;&gt;"Hard-coded",W451&lt;&gt;"Configurable",W451&lt;&gt;"Policy-managed",W451&lt;&gt;"API/Library abstraction",W451&lt;&gt;"Automated"),AND(Z451&lt;&gt;"Y",Z451&lt;&gt;"N"),AND(AA451&lt;&gt;"Y",AA451&lt;&gt;"N")),"Incomplete",IF(Z451="Y",20,0)+L451*5+IF(AA451="Y",15,0)+IF(J451="Public",10,IF(J451="Partner",7,IF(J451="Internal",3,0)))+IF(W451="Hard-coded",10,IF(W451="Configurable",3,0))+IF(MAX(I451,AP451)&gt;=10,10,IF(MAX(I451,AP451)&gt;=5,7,IF(MAX(I451,AP451)&gt;=2,3,0)))+IF(K451="High",10,IF(K451="Medium",5,0))))</x:f>
      </x:c>
      <x:c r="AC451" s="73" t="str">
        <x:f>IF(A451="","",IF(NOT(ISNUMBER(AB451)),"Review inputs",IF(AB451&gt;=70,"P0 - Immediate",IF(AB451&gt;=50,"P1 - High",IF(AB451&gt;=30,"P2 - Medium",IF(AB451&gt;=15,"P3 - Low","P4 - Monitor"))))))</x:f>
      </x:c>
      <x:c r="AD451" s="73"/>
      <x:c r="AE451" s="73"/>
      <x:c r="AF451" s="73"/>
      <x:c r="AG451" s="77"/>
      <x:c r="AH451" s="73"/>
      <x:c r="AI451" s="91"/>
      <x:c r="AJ451" s="91"/>
      <x:c r="AK451" s="91"/>
      <x:c r="AL451" s="92"/>
      <x:c r="AM451" s="91"/>
      <x:c r="AN451" s="91"/>
      <x:c r="AO451" s="93"/>
      <x:c r="AP451" s="94"/>
      <x:c r="AQ451" s="91"/>
      <x:c r="AR451" s="91"/>
      <x:c r="AS451" s="91"/>
      <x:c r="AT451" s="91"/>
      <x:c r="AU451" s="91"/>
      <x:c r="AV451" s="91"/>
      <x:c r="AW451" s="91"/>
      <x:c r="AX451" s="91"/>
      <x:c r="AY451" s="91"/>
      <x:c r="AZ451" s="92"/>
      <x:c r="BA451" s="94"/>
      <x:c r="BB451" s="91"/>
      <x:c r="BC451" s="92"/>
      <x:c r="BD451" s="92"/>
      <x:c r="BE451" s="91"/>
      <x:c r="BF451" s="91"/>
      <x:c r="BG451" s="91"/>
      <x:c r="BH451" s="91"/>
      <x:c r="BI451" s="91"/>
      <x:c r="BJ451" s="91"/>
      <x:c r="BK451" s="91"/>
      <x:c r="BL451" s="91"/>
      <x:c r="BM451" s="73" t="str">
        <x:f>IF(A451="","",IF(AI451="Example","Example only",IF(AI451&lt;&gt;"Actual","Set record type",IF(COUNTIF($A$2:$A$1001,A451)&gt;1,"Duplicate record ID",IF(OR(D451="",E451="",AF451="",NOT(ISNUMBER(AG451)),AJ451="",AK451="",NOT(ISNUMBER(AL451)),AND(AM451&lt;&gt;"Observed",AM451&lt;&gt;"Corroborated",AM451&lt;&gt;"Declared"),OR(AN451="",AN451="Unknown"),OR(AQ451="",AQ451="Unknown"),OR(AR451="",AR451="Unknown",AR451="TBD"),OR(BC451="",NOT(ISNUMBER(BC451)))),"Evidence incomplete","Evidence recorded; review scope")))))</x:f>
      </x:c>
      <x:c r="BN451" s="73"/>
    </x:row>
    <x:row r="452" ht="34" customHeight="1">
      <x:c r="A452" s="73"/>
      <x:c r="B452" s="73"/>
      <x:c r="C452" s="73"/>
      <x:c r="D452" s="73"/>
      <x:c r="E452" s="73"/>
      <x:c r="F452" s="73"/>
      <x:c r="G452" s="73"/>
      <x:c r="H452" s="73"/>
      <x:c r="I452" s="75"/>
      <x:c r="J452" s="73"/>
      <x:c r="K452" s="73"/>
      <x:c r="L452" s="76"/>
      <x:c r="M452" s="73"/>
      <x:c r="N452" s="73"/>
      <x:c r="O452" s="73"/>
      <x:c r="P452" s="73"/>
      <x:c r="Q452" s="76"/>
      <x:c r="R452" s="73"/>
      <x:c r="S452" s="73"/>
      <x:c r="T452" s="73"/>
      <x:c r="U452" s="73"/>
      <x:c r="V452" s="73"/>
      <x:c r="W452" s="73"/>
      <x:c r="X452" s="73"/>
      <x:c r="Y452" s="73"/>
      <x:c r="Z452" s="73"/>
      <x:c r="AA452" s="73"/>
      <x:c r="AB452" s="76" t="str">
        <x:f>IF(A452="","",IF(OR(NOT(ISNUMBER(I452)),I452&lt;0,NOT(ISNUMBER(AP452)),AP452&lt;0,NOT(ISNUMBER(L452)),L452&lt;1,L452&gt;5,L452&lt;&gt;INT(L452),AND(J452&lt;&gt;"Public",J452&lt;&gt;"Partner",J452&lt;&gt;"Internal",J452&lt;&gt;"None"),AND(K452&lt;&gt;"High",K452&lt;&gt;"Medium",K452&lt;&gt;"Low",K452&lt;&gt;"None"),AND(W452&lt;&gt;"Hard-coded",W452&lt;&gt;"Configurable",W452&lt;&gt;"Policy-managed",W452&lt;&gt;"API/Library abstraction",W452&lt;&gt;"Automated"),AND(Z452&lt;&gt;"Y",Z452&lt;&gt;"N"),AND(AA452&lt;&gt;"Y",AA452&lt;&gt;"N")),"Incomplete",IF(Z452="Y",20,0)+L452*5+IF(AA452="Y",15,0)+IF(J452="Public",10,IF(J452="Partner",7,IF(J452="Internal",3,0)))+IF(W452="Hard-coded",10,IF(W452="Configurable",3,0))+IF(MAX(I452,AP452)&gt;=10,10,IF(MAX(I452,AP452)&gt;=5,7,IF(MAX(I452,AP452)&gt;=2,3,0)))+IF(K452="High",10,IF(K452="Medium",5,0))))</x:f>
      </x:c>
      <x:c r="AC452" s="73" t="str">
        <x:f>IF(A452="","",IF(NOT(ISNUMBER(AB452)),"Review inputs",IF(AB452&gt;=70,"P0 - Immediate",IF(AB452&gt;=50,"P1 - High",IF(AB452&gt;=30,"P2 - Medium",IF(AB452&gt;=15,"P3 - Low","P4 - Monitor"))))))</x:f>
      </x:c>
      <x:c r="AD452" s="73"/>
      <x:c r="AE452" s="73"/>
      <x:c r="AF452" s="73"/>
      <x:c r="AG452" s="77"/>
      <x:c r="AH452" s="73"/>
      <x:c r="AI452" s="91"/>
      <x:c r="AJ452" s="91"/>
      <x:c r="AK452" s="91"/>
      <x:c r="AL452" s="92"/>
      <x:c r="AM452" s="91"/>
      <x:c r="AN452" s="91"/>
      <x:c r="AO452" s="93"/>
      <x:c r="AP452" s="94"/>
      <x:c r="AQ452" s="91"/>
      <x:c r="AR452" s="91"/>
      <x:c r="AS452" s="91"/>
      <x:c r="AT452" s="91"/>
      <x:c r="AU452" s="91"/>
      <x:c r="AV452" s="91"/>
      <x:c r="AW452" s="91"/>
      <x:c r="AX452" s="91"/>
      <x:c r="AY452" s="91"/>
      <x:c r="AZ452" s="92"/>
      <x:c r="BA452" s="94"/>
      <x:c r="BB452" s="91"/>
      <x:c r="BC452" s="92"/>
      <x:c r="BD452" s="92"/>
      <x:c r="BE452" s="91"/>
      <x:c r="BF452" s="91"/>
      <x:c r="BG452" s="91"/>
      <x:c r="BH452" s="91"/>
      <x:c r="BI452" s="91"/>
      <x:c r="BJ452" s="91"/>
      <x:c r="BK452" s="91"/>
      <x:c r="BL452" s="91"/>
      <x:c r="BM452" s="73" t="str">
        <x:f>IF(A452="","",IF(AI452="Example","Example only",IF(AI452&lt;&gt;"Actual","Set record type",IF(COUNTIF($A$2:$A$1001,A452)&gt;1,"Duplicate record ID",IF(OR(D452="",E452="",AF452="",NOT(ISNUMBER(AG452)),AJ452="",AK452="",NOT(ISNUMBER(AL452)),AND(AM452&lt;&gt;"Observed",AM452&lt;&gt;"Corroborated",AM452&lt;&gt;"Declared"),OR(AN452="",AN452="Unknown"),OR(AQ452="",AQ452="Unknown"),OR(AR452="",AR452="Unknown",AR452="TBD"),OR(BC452="",NOT(ISNUMBER(BC452)))),"Evidence incomplete","Evidence recorded; review scope")))))</x:f>
      </x:c>
      <x:c r="BN452" s="73"/>
    </x:row>
    <x:row r="453" ht="34" customHeight="1">
      <x:c r="A453" s="73"/>
      <x:c r="B453" s="73"/>
      <x:c r="C453" s="73"/>
      <x:c r="D453" s="73"/>
      <x:c r="E453" s="73"/>
      <x:c r="F453" s="73"/>
      <x:c r="G453" s="73"/>
      <x:c r="H453" s="73"/>
      <x:c r="I453" s="75"/>
      <x:c r="J453" s="73"/>
      <x:c r="K453" s="73"/>
      <x:c r="L453" s="76"/>
      <x:c r="M453" s="73"/>
      <x:c r="N453" s="73"/>
      <x:c r="O453" s="73"/>
      <x:c r="P453" s="73"/>
      <x:c r="Q453" s="76"/>
      <x:c r="R453" s="73"/>
      <x:c r="S453" s="73"/>
      <x:c r="T453" s="73"/>
      <x:c r="U453" s="73"/>
      <x:c r="V453" s="73"/>
      <x:c r="W453" s="73"/>
      <x:c r="X453" s="73"/>
      <x:c r="Y453" s="73"/>
      <x:c r="Z453" s="73"/>
      <x:c r="AA453" s="73"/>
      <x:c r="AB453" s="76" t="str">
        <x:f>IF(A453="","",IF(OR(NOT(ISNUMBER(I453)),I453&lt;0,NOT(ISNUMBER(AP453)),AP453&lt;0,NOT(ISNUMBER(L453)),L453&lt;1,L453&gt;5,L453&lt;&gt;INT(L453),AND(J453&lt;&gt;"Public",J453&lt;&gt;"Partner",J453&lt;&gt;"Internal",J453&lt;&gt;"None"),AND(K453&lt;&gt;"High",K453&lt;&gt;"Medium",K453&lt;&gt;"Low",K453&lt;&gt;"None"),AND(W453&lt;&gt;"Hard-coded",W453&lt;&gt;"Configurable",W453&lt;&gt;"Policy-managed",W453&lt;&gt;"API/Library abstraction",W453&lt;&gt;"Automated"),AND(Z453&lt;&gt;"Y",Z453&lt;&gt;"N"),AND(AA453&lt;&gt;"Y",AA453&lt;&gt;"N")),"Incomplete",IF(Z453="Y",20,0)+L453*5+IF(AA453="Y",15,0)+IF(J453="Public",10,IF(J453="Partner",7,IF(J453="Internal",3,0)))+IF(W453="Hard-coded",10,IF(W453="Configurable",3,0))+IF(MAX(I453,AP453)&gt;=10,10,IF(MAX(I453,AP453)&gt;=5,7,IF(MAX(I453,AP453)&gt;=2,3,0)))+IF(K453="High",10,IF(K453="Medium",5,0))))</x:f>
      </x:c>
      <x:c r="AC453" s="73" t="str">
        <x:f>IF(A453="","",IF(NOT(ISNUMBER(AB453)),"Review inputs",IF(AB453&gt;=70,"P0 - Immediate",IF(AB453&gt;=50,"P1 - High",IF(AB453&gt;=30,"P2 - Medium",IF(AB453&gt;=15,"P3 - Low","P4 - Monitor"))))))</x:f>
      </x:c>
      <x:c r="AD453" s="73"/>
      <x:c r="AE453" s="73"/>
      <x:c r="AF453" s="73"/>
      <x:c r="AG453" s="77"/>
      <x:c r="AH453" s="73"/>
      <x:c r="AI453" s="91"/>
      <x:c r="AJ453" s="91"/>
      <x:c r="AK453" s="91"/>
      <x:c r="AL453" s="92"/>
      <x:c r="AM453" s="91"/>
      <x:c r="AN453" s="91"/>
      <x:c r="AO453" s="93"/>
      <x:c r="AP453" s="94"/>
      <x:c r="AQ453" s="91"/>
      <x:c r="AR453" s="91"/>
      <x:c r="AS453" s="91"/>
      <x:c r="AT453" s="91"/>
      <x:c r="AU453" s="91"/>
      <x:c r="AV453" s="91"/>
      <x:c r="AW453" s="91"/>
      <x:c r="AX453" s="91"/>
      <x:c r="AY453" s="91"/>
      <x:c r="AZ453" s="92"/>
      <x:c r="BA453" s="94"/>
      <x:c r="BB453" s="91"/>
      <x:c r="BC453" s="92"/>
      <x:c r="BD453" s="92"/>
      <x:c r="BE453" s="91"/>
      <x:c r="BF453" s="91"/>
      <x:c r="BG453" s="91"/>
      <x:c r="BH453" s="91"/>
      <x:c r="BI453" s="91"/>
      <x:c r="BJ453" s="91"/>
      <x:c r="BK453" s="91"/>
      <x:c r="BL453" s="91"/>
      <x:c r="BM453" s="73" t="str">
        <x:f>IF(A453="","",IF(AI453="Example","Example only",IF(AI453&lt;&gt;"Actual","Set record type",IF(COUNTIF($A$2:$A$1001,A453)&gt;1,"Duplicate record ID",IF(OR(D453="",E453="",AF453="",NOT(ISNUMBER(AG453)),AJ453="",AK453="",NOT(ISNUMBER(AL453)),AND(AM453&lt;&gt;"Observed",AM453&lt;&gt;"Corroborated",AM453&lt;&gt;"Declared"),OR(AN453="",AN453="Unknown"),OR(AQ453="",AQ453="Unknown"),OR(AR453="",AR453="Unknown",AR453="TBD"),OR(BC453="",NOT(ISNUMBER(BC453)))),"Evidence incomplete","Evidence recorded; review scope")))))</x:f>
      </x:c>
      <x:c r="BN453" s="73"/>
    </x:row>
    <x:row r="454" ht="34" customHeight="1">
      <x:c r="A454" s="73"/>
      <x:c r="B454" s="73"/>
      <x:c r="C454" s="73"/>
      <x:c r="D454" s="73"/>
      <x:c r="E454" s="73"/>
      <x:c r="F454" s="73"/>
      <x:c r="G454" s="73"/>
      <x:c r="H454" s="73"/>
      <x:c r="I454" s="75"/>
      <x:c r="J454" s="73"/>
      <x:c r="K454" s="73"/>
      <x:c r="L454" s="76"/>
      <x:c r="M454" s="73"/>
      <x:c r="N454" s="73"/>
      <x:c r="O454" s="73"/>
      <x:c r="P454" s="73"/>
      <x:c r="Q454" s="76"/>
      <x:c r="R454" s="73"/>
      <x:c r="S454" s="73"/>
      <x:c r="T454" s="73"/>
      <x:c r="U454" s="73"/>
      <x:c r="V454" s="73"/>
      <x:c r="W454" s="73"/>
      <x:c r="X454" s="73"/>
      <x:c r="Y454" s="73"/>
      <x:c r="Z454" s="73"/>
      <x:c r="AA454" s="73"/>
      <x:c r="AB454" s="76" t="str">
        <x:f>IF(A454="","",IF(OR(NOT(ISNUMBER(I454)),I454&lt;0,NOT(ISNUMBER(AP454)),AP454&lt;0,NOT(ISNUMBER(L454)),L454&lt;1,L454&gt;5,L454&lt;&gt;INT(L454),AND(J454&lt;&gt;"Public",J454&lt;&gt;"Partner",J454&lt;&gt;"Internal",J454&lt;&gt;"None"),AND(K454&lt;&gt;"High",K454&lt;&gt;"Medium",K454&lt;&gt;"Low",K454&lt;&gt;"None"),AND(W454&lt;&gt;"Hard-coded",W454&lt;&gt;"Configurable",W454&lt;&gt;"Policy-managed",W454&lt;&gt;"API/Library abstraction",W454&lt;&gt;"Automated"),AND(Z454&lt;&gt;"Y",Z454&lt;&gt;"N"),AND(AA454&lt;&gt;"Y",AA454&lt;&gt;"N")),"Incomplete",IF(Z454="Y",20,0)+L454*5+IF(AA454="Y",15,0)+IF(J454="Public",10,IF(J454="Partner",7,IF(J454="Internal",3,0)))+IF(W454="Hard-coded",10,IF(W454="Configurable",3,0))+IF(MAX(I454,AP454)&gt;=10,10,IF(MAX(I454,AP454)&gt;=5,7,IF(MAX(I454,AP454)&gt;=2,3,0)))+IF(K454="High",10,IF(K454="Medium",5,0))))</x:f>
      </x:c>
      <x:c r="AC454" s="73" t="str">
        <x:f>IF(A454="","",IF(NOT(ISNUMBER(AB454)),"Review inputs",IF(AB454&gt;=70,"P0 - Immediate",IF(AB454&gt;=50,"P1 - High",IF(AB454&gt;=30,"P2 - Medium",IF(AB454&gt;=15,"P3 - Low","P4 - Monitor"))))))</x:f>
      </x:c>
      <x:c r="AD454" s="73"/>
      <x:c r="AE454" s="73"/>
      <x:c r="AF454" s="73"/>
      <x:c r="AG454" s="77"/>
      <x:c r="AH454" s="73"/>
      <x:c r="AI454" s="91"/>
      <x:c r="AJ454" s="91"/>
      <x:c r="AK454" s="91"/>
      <x:c r="AL454" s="92"/>
      <x:c r="AM454" s="91"/>
      <x:c r="AN454" s="91"/>
      <x:c r="AO454" s="93"/>
      <x:c r="AP454" s="94"/>
      <x:c r="AQ454" s="91"/>
      <x:c r="AR454" s="91"/>
      <x:c r="AS454" s="91"/>
      <x:c r="AT454" s="91"/>
      <x:c r="AU454" s="91"/>
      <x:c r="AV454" s="91"/>
      <x:c r="AW454" s="91"/>
      <x:c r="AX454" s="91"/>
      <x:c r="AY454" s="91"/>
      <x:c r="AZ454" s="92"/>
      <x:c r="BA454" s="94"/>
      <x:c r="BB454" s="91"/>
      <x:c r="BC454" s="92"/>
      <x:c r="BD454" s="92"/>
      <x:c r="BE454" s="91"/>
      <x:c r="BF454" s="91"/>
      <x:c r="BG454" s="91"/>
      <x:c r="BH454" s="91"/>
      <x:c r="BI454" s="91"/>
      <x:c r="BJ454" s="91"/>
      <x:c r="BK454" s="91"/>
      <x:c r="BL454" s="91"/>
      <x:c r="BM454" s="73" t="str">
        <x:f>IF(A454="","",IF(AI454="Example","Example only",IF(AI454&lt;&gt;"Actual","Set record type",IF(COUNTIF($A$2:$A$1001,A454)&gt;1,"Duplicate record ID",IF(OR(D454="",E454="",AF454="",NOT(ISNUMBER(AG454)),AJ454="",AK454="",NOT(ISNUMBER(AL454)),AND(AM454&lt;&gt;"Observed",AM454&lt;&gt;"Corroborated",AM454&lt;&gt;"Declared"),OR(AN454="",AN454="Unknown"),OR(AQ454="",AQ454="Unknown"),OR(AR454="",AR454="Unknown",AR454="TBD"),OR(BC454="",NOT(ISNUMBER(BC454)))),"Evidence incomplete","Evidence recorded; review scope")))))</x:f>
      </x:c>
      <x:c r="BN454" s="73"/>
    </x:row>
    <x:row r="455" ht="34" customHeight="1">
      <x:c r="A455" s="73"/>
      <x:c r="B455" s="73"/>
      <x:c r="C455" s="73"/>
      <x:c r="D455" s="73"/>
      <x:c r="E455" s="73"/>
      <x:c r="F455" s="73"/>
      <x:c r="G455" s="73"/>
      <x:c r="H455" s="73"/>
      <x:c r="I455" s="75"/>
      <x:c r="J455" s="73"/>
      <x:c r="K455" s="73"/>
      <x:c r="L455" s="76"/>
      <x:c r="M455" s="73"/>
      <x:c r="N455" s="73"/>
      <x:c r="O455" s="73"/>
      <x:c r="P455" s="73"/>
      <x:c r="Q455" s="76"/>
      <x:c r="R455" s="73"/>
      <x:c r="S455" s="73"/>
      <x:c r="T455" s="73"/>
      <x:c r="U455" s="73"/>
      <x:c r="V455" s="73"/>
      <x:c r="W455" s="73"/>
      <x:c r="X455" s="73"/>
      <x:c r="Y455" s="73"/>
      <x:c r="Z455" s="73"/>
      <x:c r="AA455" s="73"/>
      <x:c r="AB455" s="76" t="str">
        <x:f>IF(A455="","",IF(OR(NOT(ISNUMBER(I455)),I455&lt;0,NOT(ISNUMBER(AP455)),AP455&lt;0,NOT(ISNUMBER(L455)),L455&lt;1,L455&gt;5,L455&lt;&gt;INT(L455),AND(J455&lt;&gt;"Public",J455&lt;&gt;"Partner",J455&lt;&gt;"Internal",J455&lt;&gt;"None"),AND(K455&lt;&gt;"High",K455&lt;&gt;"Medium",K455&lt;&gt;"Low",K455&lt;&gt;"None"),AND(W455&lt;&gt;"Hard-coded",W455&lt;&gt;"Configurable",W455&lt;&gt;"Policy-managed",W455&lt;&gt;"API/Library abstraction",W455&lt;&gt;"Automated"),AND(Z455&lt;&gt;"Y",Z455&lt;&gt;"N"),AND(AA455&lt;&gt;"Y",AA455&lt;&gt;"N")),"Incomplete",IF(Z455="Y",20,0)+L455*5+IF(AA455="Y",15,0)+IF(J455="Public",10,IF(J455="Partner",7,IF(J455="Internal",3,0)))+IF(W455="Hard-coded",10,IF(W455="Configurable",3,0))+IF(MAX(I455,AP455)&gt;=10,10,IF(MAX(I455,AP455)&gt;=5,7,IF(MAX(I455,AP455)&gt;=2,3,0)))+IF(K455="High",10,IF(K455="Medium",5,0))))</x:f>
      </x:c>
      <x:c r="AC455" s="73" t="str">
        <x:f>IF(A455="","",IF(NOT(ISNUMBER(AB455)),"Review inputs",IF(AB455&gt;=70,"P0 - Immediate",IF(AB455&gt;=50,"P1 - High",IF(AB455&gt;=30,"P2 - Medium",IF(AB455&gt;=15,"P3 - Low","P4 - Monitor"))))))</x:f>
      </x:c>
      <x:c r="AD455" s="73"/>
      <x:c r="AE455" s="73"/>
      <x:c r="AF455" s="73"/>
      <x:c r="AG455" s="77"/>
      <x:c r="AH455" s="73"/>
      <x:c r="AI455" s="91"/>
      <x:c r="AJ455" s="91"/>
      <x:c r="AK455" s="91"/>
      <x:c r="AL455" s="92"/>
      <x:c r="AM455" s="91"/>
      <x:c r="AN455" s="91"/>
      <x:c r="AO455" s="93"/>
      <x:c r="AP455" s="94"/>
      <x:c r="AQ455" s="91"/>
      <x:c r="AR455" s="91"/>
      <x:c r="AS455" s="91"/>
      <x:c r="AT455" s="91"/>
      <x:c r="AU455" s="91"/>
      <x:c r="AV455" s="91"/>
      <x:c r="AW455" s="91"/>
      <x:c r="AX455" s="91"/>
      <x:c r="AY455" s="91"/>
      <x:c r="AZ455" s="92"/>
      <x:c r="BA455" s="94"/>
      <x:c r="BB455" s="91"/>
      <x:c r="BC455" s="92"/>
      <x:c r="BD455" s="92"/>
      <x:c r="BE455" s="91"/>
      <x:c r="BF455" s="91"/>
      <x:c r="BG455" s="91"/>
      <x:c r="BH455" s="91"/>
      <x:c r="BI455" s="91"/>
      <x:c r="BJ455" s="91"/>
      <x:c r="BK455" s="91"/>
      <x:c r="BL455" s="91"/>
      <x:c r="BM455" s="73" t="str">
        <x:f>IF(A455="","",IF(AI455="Example","Example only",IF(AI455&lt;&gt;"Actual","Set record type",IF(COUNTIF($A$2:$A$1001,A455)&gt;1,"Duplicate record ID",IF(OR(D455="",E455="",AF455="",NOT(ISNUMBER(AG455)),AJ455="",AK455="",NOT(ISNUMBER(AL455)),AND(AM455&lt;&gt;"Observed",AM455&lt;&gt;"Corroborated",AM455&lt;&gt;"Declared"),OR(AN455="",AN455="Unknown"),OR(AQ455="",AQ455="Unknown"),OR(AR455="",AR455="Unknown",AR455="TBD"),OR(BC455="",NOT(ISNUMBER(BC455)))),"Evidence incomplete","Evidence recorded; review scope")))))</x:f>
      </x:c>
      <x:c r="BN455" s="73"/>
    </x:row>
    <x:row r="456" ht="34" customHeight="1">
      <x:c r="A456" s="73"/>
      <x:c r="B456" s="73"/>
      <x:c r="C456" s="73"/>
      <x:c r="D456" s="73"/>
      <x:c r="E456" s="73"/>
      <x:c r="F456" s="73"/>
      <x:c r="G456" s="73"/>
      <x:c r="H456" s="73"/>
      <x:c r="I456" s="75"/>
      <x:c r="J456" s="73"/>
      <x:c r="K456" s="73"/>
      <x:c r="L456" s="76"/>
      <x:c r="M456" s="73"/>
      <x:c r="N456" s="73"/>
      <x:c r="O456" s="73"/>
      <x:c r="P456" s="73"/>
      <x:c r="Q456" s="76"/>
      <x:c r="R456" s="73"/>
      <x:c r="S456" s="73"/>
      <x:c r="T456" s="73"/>
      <x:c r="U456" s="73"/>
      <x:c r="V456" s="73"/>
      <x:c r="W456" s="73"/>
      <x:c r="X456" s="73"/>
      <x:c r="Y456" s="73"/>
      <x:c r="Z456" s="73"/>
      <x:c r="AA456" s="73"/>
      <x:c r="AB456" s="76" t="str">
        <x:f>IF(A456="","",IF(OR(NOT(ISNUMBER(I456)),I456&lt;0,NOT(ISNUMBER(AP456)),AP456&lt;0,NOT(ISNUMBER(L456)),L456&lt;1,L456&gt;5,L456&lt;&gt;INT(L456),AND(J456&lt;&gt;"Public",J456&lt;&gt;"Partner",J456&lt;&gt;"Internal",J456&lt;&gt;"None"),AND(K456&lt;&gt;"High",K456&lt;&gt;"Medium",K456&lt;&gt;"Low",K456&lt;&gt;"None"),AND(W456&lt;&gt;"Hard-coded",W456&lt;&gt;"Configurable",W456&lt;&gt;"Policy-managed",W456&lt;&gt;"API/Library abstraction",W456&lt;&gt;"Automated"),AND(Z456&lt;&gt;"Y",Z456&lt;&gt;"N"),AND(AA456&lt;&gt;"Y",AA456&lt;&gt;"N")),"Incomplete",IF(Z456="Y",20,0)+L456*5+IF(AA456="Y",15,0)+IF(J456="Public",10,IF(J456="Partner",7,IF(J456="Internal",3,0)))+IF(W456="Hard-coded",10,IF(W456="Configurable",3,0))+IF(MAX(I456,AP456)&gt;=10,10,IF(MAX(I456,AP456)&gt;=5,7,IF(MAX(I456,AP456)&gt;=2,3,0)))+IF(K456="High",10,IF(K456="Medium",5,0))))</x:f>
      </x:c>
      <x:c r="AC456" s="73" t="str">
        <x:f>IF(A456="","",IF(NOT(ISNUMBER(AB456)),"Review inputs",IF(AB456&gt;=70,"P0 - Immediate",IF(AB456&gt;=50,"P1 - High",IF(AB456&gt;=30,"P2 - Medium",IF(AB456&gt;=15,"P3 - Low","P4 - Monitor"))))))</x:f>
      </x:c>
      <x:c r="AD456" s="73"/>
      <x:c r="AE456" s="73"/>
      <x:c r="AF456" s="73"/>
      <x:c r="AG456" s="77"/>
      <x:c r="AH456" s="73"/>
      <x:c r="AI456" s="91"/>
      <x:c r="AJ456" s="91"/>
      <x:c r="AK456" s="91"/>
      <x:c r="AL456" s="92"/>
      <x:c r="AM456" s="91"/>
      <x:c r="AN456" s="91"/>
      <x:c r="AO456" s="93"/>
      <x:c r="AP456" s="94"/>
      <x:c r="AQ456" s="91"/>
      <x:c r="AR456" s="91"/>
      <x:c r="AS456" s="91"/>
      <x:c r="AT456" s="91"/>
      <x:c r="AU456" s="91"/>
      <x:c r="AV456" s="91"/>
      <x:c r="AW456" s="91"/>
      <x:c r="AX456" s="91"/>
      <x:c r="AY456" s="91"/>
      <x:c r="AZ456" s="92"/>
      <x:c r="BA456" s="94"/>
      <x:c r="BB456" s="91"/>
      <x:c r="BC456" s="92"/>
      <x:c r="BD456" s="92"/>
      <x:c r="BE456" s="91"/>
      <x:c r="BF456" s="91"/>
      <x:c r="BG456" s="91"/>
      <x:c r="BH456" s="91"/>
      <x:c r="BI456" s="91"/>
      <x:c r="BJ456" s="91"/>
      <x:c r="BK456" s="91"/>
      <x:c r="BL456" s="91"/>
      <x:c r="BM456" s="73" t="str">
        <x:f>IF(A456="","",IF(AI456="Example","Example only",IF(AI456&lt;&gt;"Actual","Set record type",IF(COUNTIF($A$2:$A$1001,A456)&gt;1,"Duplicate record ID",IF(OR(D456="",E456="",AF456="",NOT(ISNUMBER(AG456)),AJ456="",AK456="",NOT(ISNUMBER(AL456)),AND(AM456&lt;&gt;"Observed",AM456&lt;&gt;"Corroborated",AM456&lt;&gt;"Declared"),OR(AN456="",AN456="Unknown"),OR(AQ456="",AQ456="Unknown"),OR(AR456="",AR456="Unknown",AR456="TBD"),OR(BC456="",NOT(ISNUMBER(BC456)))),"Evidence incomplete","Evidence recorded; review scope")))))</x:f>
      </x:c>
      <x:c r="BN456" s="73"/>
    </x:row>
    <x:row r="457" ht="34" customHeight="1">
      <x:c r="A457" s="73"/>
      <x:c r="B457" s="73"/>
      <x:c r="C457" s="73"/>
      <x:c r="D457" s="73"/>
      <x:c r="E457" s="73"/>
      <x:c r="F457" s="73"/>
      <x:c r="G457" s="73"/>
      <x:c r="H457" s="73"/>
      <x:c r="I457" s="75"/>
      <x:c r="J457" s="73"/>
      <x:c r="K457" s="73"/>
      <x:c r="L457" s="76"/>
      <x:c r="M457" s="73"/>
      <x:c r="N457" s="73"/>
      <x:c r="O457" s="73"/>
      <x:c r="P457" s="73"/>
      <x:c r="Q457" s="76"/>
      <x:c r="R457" s="73"/>
      <x:c r="S457" s="73"/>
      <x:c r="T457" s="73"/>
      <x:c r="U457" s="73"/>
      <x:c r="V457" s="73"/>
      <x:c r="W457" s="73"/>
      <x:c r="X457" s="73"/>
      <x:c r="Y457" s="73"/>
      <x:c r="Z457" s="73"/>
      <x:c r="AA457" s="73"/>
      <x:c r="AB457" s="76" t="str">
        <x:f>IF(A457="","",IF(OR(NOT(ISNUMBER(I457)),I457&lt;0,NOT(ISNUMBER(AP457)),AP457&lt;0,NOT(ISNUMBER(L457)),L457&lt;1,L457&gt;5,L457&lt;&gt;INT(L457),AND(J457&lt;&gt;"Public",J457&lt;&gt;"Partner",J457&lt;&gt;"Internal",J457&lt;&gt;"None"),AND(K457&lt;&gt;"High",K457&lt;&gt;"Medium",K457&lt;&gt;"Low",K457&lt;&gt;"None"),AND(W457&lt;&gt;"Hard-coded",W457&lt;&gt;"Configurable",W457&lt;&gt;"Policy-managed",W457&lt;&gt;"API/Library abstraction",W457&lt;&gt;"Automated"),AND(Z457&lt;&gt;"Y",Z457&lt;&gt;"N"),AND(AA457&lt;&gt;"Y",AA457&lt;&gt;"N")),"Incomplete",IF(Z457="Y",20,0)+L457*5+IF(AA457="Y",15,0)+IF(J457="Public",10,IF(J457="Partner",7,IF(J457="Internal",3,0)))+IF(W457="Hard-coded",10,IF(W457="Configurable",3,0))+IF(MAX(I457,AP457)&gt;=10,10,IF(MAX(I457,AP457)&gt;=5,7,IF(MAX(I457,AP457)&gt;=2,3,0)))+IF(K457="High",10,IF(K457="Medium",5,0))))</x:f>
      </x:c>
      <x:c r="AC457" s="73" t="str">
        <x:f>IF(A457="","",IF(NOT(ISNUMBER(AB457)),"Review inputs",IF(AB457&gt;=70,"P0 - Immediate",IF(AB457&gt;=50,"P1 - High",IF(AB457&gt;=30,"P2 - Medium",IF(AB457&gt;=15,"P3 - Low","P4 - Monitor"))))))</x:f>
      </x:c>
      <x:c r="AD457" s="73"/>
      <x:c r="AE457" s="73"/>
      <x:c r="AF457" s="73"/>
      <x:c r="AG457" s="77"/>
      <x:c r="AH457" s="73"/>
      <x:c r="AI457" s="91"/>
      <x:c r="AJ457" s="91"/>
      <x:c r="AK457" s="91"/>
      <x:c r="AL457" s="92"/>
      <x:c r="AM457" s="91"/>
      <x:c r="AN457" s="91"/>
      <x:c r="AO457" s="93"/>
      <x:c r="AP457" s="94"/>
      <x:c r="AQ457" s="91"/>
      <x:c r="AR457" s="91"/>
      <x:c r="AS457" s="91"/>
      <x:c r="AT457" s="91"/>
      <x:c r="AU457" s="91"/>
      <x:c r="AV457" s="91"/>
      <x:c r="AW457" s="91"/>
      <x:c r="AX457" s="91"/>
      <x:c r="AY457" s="91"/>
      <x:c r="AZ457" s="92"/>
      <x:c r="BA457" s="94"/>
      <x:c r="BB457" s="91"/>
      <x:c r="BC457" s="92"/>
      <x:c r="BD457" s="92"/>
      <x:c r="BE457" s="91"/>
      <x:c r="BF457" s="91"/>
      <x:c r="BG457" s="91"/>
      <x:c r="BH457" s="91"/>
      <x:c r="BI457" s="91"/>
      <x:c r="BJ457" s="91"/>
      <x:c r="BK457" s="91"/>
      <x:c r="BL457" s="91"/>
      <x:c r="BM457" s="73" t="str">
        <x:f>IF(A457="","",IF(AI457="Example","Example only",IF(AI457&lt;&gt;"Actual","Set record type",IF(COUNTIF($A$2:$A$1001,A457)&gt;1,"Duplicate record ID",IF(OR(D457="",E457="",AF457="",NOT(ISNUMBER(AG457)),AJ457="",AK457="",NOT(ISNUMBER(AL457)),AND(AM457&lt;&gt;"Observed",AM457&lt;&gt;"Corroborated",AM457&lt;&gt;"Declared"),OR(AN457="",AN457="Unknown"),OR(AQ457="",AQ457="Unknown"),OR(AR457="",AR457="Unknown",AR457="TBD"),OR(BC457="",NOT(ISNUMBER(BC457)))),"Evidence incomplete","Evidence recorded; review scope")))))</x:f>
      </x:c>
      <x:c r="BN457" s="73"/>
    </x:row>
    <x:row r="458" ht="34" customHeight="1">
      <x:c r="A458" s="73"/>
      <x:c r="B458" s="73"/>
      <x:c r="C458" s="73"/>
      <x:c r="D458" s="73"/>
      <x:c r="E458" s="73"/>
      <x:c r="F458" s="73"/>
      <x:c r="G458" s="73"/>
      <x:c r="H458" s="73"/>
      <x:c r="I458" s="75"/>
      <x:c r="J458" s="73"/>
      <x:c r="K458" s="73"/>
      <x:c r="L458" s="76"/>
      <x:c r="M458" s="73"/>
      <x:c r="N458" s="73"/>
      <x:c r="O458" s="73"/>
      <x:c r="P458" s="73"/>
      <x:c r="Q458" s="76"/>
      <x:c r="R458" s="73"/>
      <x:c r="S458" s="73"/>
      <x:c r="T458" s="73"/>
      <x:c r="U458" s="73"/>
      <x:c r="V458" s="73"/>
      <x:c r="W458" s="73"/>
      <x:c r="X458" s="73"/>
      <x:c r="Y458" s="73"/>
      <x:c r="Z458" s="73"/>
      <x:c r="AA458" s="73"/>
      <x:c r="AB458" s="76" t="str">
        <x:f>IF(A458="","",IF(OR(NOT(ISNUMBER(I458)),I458&lt;0,NOT(ISNUMBER(AP458)),AP458&lt;0,NOT(ISNUMBER(L458)),L458&lt;1,L458&gt;5,L458&lt;&gt;INT(L458),AND(J458&lt;&gt;"Public",J458&lt;&gt;"Partner",J458&lt;&gt;"Internal",J458&lt;&gt;"None"),AND(K458&lt;&gt;"High",K458&lt;&gt;"Medium",K458&lt;&gt;"Low",K458&lt;&gt;"None"),AND(W458&lt;&gt;"Hard-coded",W458&lt;&gt;"Configurable",W458&lt;&gt;"Policy-managed",W458&lt;&gt;"API/Library abstraction",W458&lt;&gt;"Automated"),AND(Z458&lt;&gt;"Y",Z458&lt;&gt;"N"),AND(AA458&lt;&gt;"Y",AA458&lt;&gt;"N")),"Incomplete",IF(Z458="Y",20,0)+L458*5+IF(AA458="Y",15,0)+IF(J458="Public",10,IF(J458="Partner",7,IF(J458="Internal",3,0)))+IF(W458="Hard-coded",10,IF(W458="Configurable",3,0))+IF(MAX(I458,AP458)&gt;=10,10,IF(MAX(I458,AP458)&gt;=5,7,IF(MAX(I458,AP458)&gt;=2,3,0)))+IF(K458="High",10,IF(K458="Medium",5,0))))</x:f>
      </x:c>
      <x:c r="AC458" s="73" t="str">
        <x:f>IF(A458="","",IF(NOT(ISNUMBER(AB458)),"Review inputs",IF(AB458&gt;=70,"P0 - Immediate",IF(AB458&gt;=50,"P1 - High",IF(AB458&gt;=30,"P2 - Medium",IF(AB458&gt;=15,"P3 - Low","P4 - Monitor"))))))</x:f>
      </x:c>
      <x:c r="AD458" s="73"/>
      <x:c r="AE458" s="73"/>
      <x:c r="AF458" s="73"/>
      <x:c r="AG458" s="77"/>
      <x:c r="AH458" s="73"/>
      <x:c r="AI458" s="91"/>
      <x:c r="AJ458" s="91"/>
      <x:c r="AK458" s="91"/>
      <x:c r="AL458" s="92"/>
      <x:c r="AM458" s="91"/>
      <x:c r="AN458" s="91"/>
      <x:c r="AO458" s="93"/>
      <x:c r="AP458" s="94"/>
      <x:c r="AQ458" s="91"/>
      <x:c r="AR458" s="91"/>
      <x:c r="AS458" s="91"/>
      <x:c r="AT458" s="91"/>
      <x:c r="AU458" s="91"/>
      <x:c r="AV458" s="91"/>
      <x:c r="AW458" s="91"/>
      <x:c r="AX458" s="91"/>
      <x:c r="AY458" s="91"/>
      <x:c r="AZ458" s="92"/>
      <x:c r="BA458" s="94"/>
      <x:c r="BB458" s="91"/>
      <x:c r="BC458" s="92"/>
      <x:c r="BD458" s="92"/>
      <x:c r="BE458" s="91"/>
      <x:c r="BF458" s="91"/>
      <x:c r="BG458" s="91"/>
      <x:c r="BH458" s="91"/>
      <x:c r="BI458" s="91"/>
      <x:c r="BJ458" s="91"/>
      <x:c r="BK458" s="91"/>
      <x:c r="BL458" s="91"/>
      <x:c r="BM458" s="73" t="str">
        <x:f>IF(A458="","",IF(AI458="Example","Example only",IF(AI458&lt;&gt;"Actual","Set record type",IF(COUNTIF($A$2:$A$1001,A458)&gt;1,"Duplicate record ID",IF(OR(D458="",E458="",AF458="",NOT(ISNUMBER(AG458)),AJ458="",AK458="",NOT(ISNUMBER(AL458)),AND(AM458&lt;&gt;"Observed",AM458&lt;&gt;"Corroborated",AM458&lt;&gt;"Declared"),OR(AN458="",AN458="Unknown"),OR(AQ458="",AQ458="Unknown"),OR(AR458="",AR458="Unknown",AR458="TBD"),OR(BC458="",NOT(ISNUMBER(BC458)))),"Evidence incomplete","Evidence recorded; review scope")))))</x:f>
      </x:c>
      <x:c r="BN458" s="73"/>
    </x:row>
    <x:row r="459" ht="34" customHeight="1">
      <x:c r="A459" s="73"/>
      <x:c r="B459" s="73"/>
      <x:c r="C459" s="73"/>
      <x:c r="D459" s="73"/>
      <x:c r="E459" s="73"/>
      <x:c r="F459" s="73"/>
      <x:c r="G459" s="73"/>
      <x:c r="H459" s="73"/>
      <x:c r="I459" s="75"/>
      <x:c r="J459" s="73"/>
      <x:c r="K459" s="73"/>
      <x:c r="L459" s="76"/>
      <x:c r="M459" s="73"/>
      <x:c r="N459" s="73"/>
      <x:c r="O459" s="73"/>
      <x:c r="P459" s="73"/>
      <x:c r="Q459" s="76"/>
      <x:c r="R459" s="73"/>
      <x:c r="S459" s="73"/>
      <x:c r="T459" s="73"/>
      <x:c r="U459" s="73"/>
      <x:c r="V459" s="73"/>
      <x:c r="W459" s="73"/>
      <x:c r="X459" s="73"/>
      <x:c r="Y459" s="73"/>
      <x:c r="Z459" s="73"/>
      <x:c r="AA459" s="73"/>
      <x:c r="AB459" s="76" t="str">
        <x:f>IF(A459="","",IF(OR(NOT(ISNUMBER(I459)),I459&lt;0,NOT(ISNUMBER(AP459)),AP459&lt;0,NOT(ISNUMBER(L459)),L459&lt;1,L459&gt;5,L459&lt;&gt;INT(L459),AND(J459&lt;&gt;"Public",J459&lt;&gt;"Partner",J459&lt;&gt;"Internal",J459&lt;&gt;"None"),AND(K459&lt;&gt;"High",K459&lt;&gt;"Medium",K459&lt;&gt;"Low",K459&lt;&gt;"None"),AND(W459&lt;&gt;"Hard-coded",W459&lt;&gt;"Configurable",W459&lt;&gt;"Policy-managed",W459&lt;&gt;"API/Library abstraction",W459&lt;&gt;"Automated"),AND(Z459&lt;&gt;"Y",Z459&lt;&gt;"N"),AND(AA459&lt;&gt;"Y",AA459&lt;&gt;"N")),"Incomplete",IF(Z459="Y",20,0)+L459*5+IF(AA459="Y",15,0)+IF(J459="Public",10,IF(J459="Partner",7,IF(J459="Internal",3,0)))+IF(W459="Hard-coded",10,IF(W459="Configurable",3,0))+IF(MAX(I459,AP459)&gt;=10,10,IF(MAX(I459,AP459)&gt;=5,7,IF(MAX(I459,AP459)&gt;=2,3,0)))+IF(K459="High",10,IF(K459="Medium",5,0))))</x:f>
      </x:c>
      <x:c r="AC459" s="73" t="str">
        <x:f>IF(A459="","",IF(NOT(ISNUMBER(AB459)),"Review inputs",IF(AB459&gt;=70,"P0 - Immediate",IF(AB459&gt;=50,"P1 - High",IF(AB459&gt;=30,"P2 - Medium",IF(AB459&gt;=15,"P3 - Low","P4 - Monitor"))))))</x:f>
      </x:c>
      <x:c r="AD459" s="73"/>
      <x:c r="AE459" s="73"/>
      <x:c r="AF459" s="73"/>
      <x:c r="AG459" s="77"/>
      <x:c r="AH459" s="73"/>
      <x:c r="AI459" s="91"/>
      <x:c r="AJ459" s="91"/>
      <x:c r="AK459" s="91"/>
      <x:c r="AL459" s="92"/>
      <x:c r="AM459" s="91"/>
      <x:c r="AN459" s="91"/>
      <x:c r="AO459" s="93"/>
      <x:c r="AP459" s="94"/>
      <x:c r="AQ459" s="91"/>
      <x:c r="AR459" s="91"/>
      <x:c r="AS459" s="91"/>
      <x:c r="AT459" s="91"/>
      <x:c r="AU459" s="91"/>
      <x:c r="AV459" s="91"/>
      <x:c r="AW459" s="91"/>
      <x:c r="AX459" s="91"/>
      <x:c r="AY459" s="91"/>
      <x:c r="AZ459" s="92"/>
      <x:c r="BA459" s="94"/>
      <x:c r="BB459" s="91"/>
      <x:c r="BC459" s="92"/>
      <x:c r="BD459" s="92"/>
      <x:c r="BE459" s="91"/>
      <x:c r="BF459" s="91"/>
      <x:c r="BG459" s="91"/>
      <x:c r="BH459" s="91"/>
      <x:c r="BI459" s="91"/>
      <x:c r="BJ459" s="91"/>
      <x:c r="BK459" s="91"/>
      <x:c r="BL459" s="91"/>
      <x:c r="BM459" s="73" t="str">
        <x:f>IF(A459="","",IF(AI459="Example","Example only",IF(AI459&lt;&gt;"Actual","Set record type",IF(COUNTIF($A$2:$A$1001,A459)&gt;1,"Duplicate record ID",IF(OR(D459="",E459="",AF459="",NOT(ISNUMBER(AG459)),AJ459="",AK459="",NOT(ISNUMBER(AL459)),AND(AM459&lt;&gt;"Observed",AM459&lt;&gt;"Corroborated",AM459&lt;&gt;"Declared"),OR(AN459="",AN459="Unknown"),OR(AQ459="",AQ459="Unknown"),OR(AR459="",AR459="Unknown",AR459="TBD"),OR(BC459="",NOT(ISNUMBER(BC459)))),"Evidence incomplete","Evidence recorded; review scope")))))</x:f>
      </x:c>
      <x:c r="BN459" s="73"/>
    </x:row>
    <x:row r="460" ht="34" customHeight="1">
      <x:c r="A460" s="73"/>
      <x:c r="B460" s="73"/>
      <x:c r="C460" s="73"/>
      <x:c r="D460" s="73"/>
      <x:c r="E460" s="73"/>
      <x:c r="F460" s="73"/>
      <x:c r="G460" s="73"/>
      <x:c r="H460" s="73"/>
      <x:c r="I460" s="75"/>
      <x:c r="J460" s="73"/>
      <x:c r="K460" s="73"/>
      <x:c r="L460" s="76"/>
      <x:c r="M460" s="73"/>
      <x:c r="N460" s="73"/>
      <x:c r="O460" s="73"/>
      <x:c r="P460" s="73"/>
      <x:c r="Q460" s="76"/>
      <x:c r="R460" s="73"/>
      <x:c r="S460" s="73"/>
      <x:c r="T460" s="73"/>
      <x:c r="U460" s="73"/>
      <x:c r="V460" s="73"/>
      <x:c r="W460" s="73"/>
      <x:c r="X460" s="73"/>
      <x:c r="Y460" s="73"/>
      <x:c r="Z460" s="73"/>
      <x:c r="AA460" s="73"/>
      <x:c r="AB460" s="76" t="str">
        <x:f>IF(A460="","",IF(OR(NOT(ISNUMBER(I460)),I460&lt;0,NOT(ISNUMBER(AP460)),AP460&lt;0,NOT(ISNUMBER(L460)),L460&lt;1,L460&gt;5,L460&lt;&gt;INT(L460),AND(J460&lt;&gt;"Public",J460&lt;&gt;"Partner",J460&lt;&gt;"Internal",J460&lt;&gt;"None"),AND(K460&lt;&gt;"High",K460&lt;&gt;"Medium",K460&lt;&gt;"Low",K460&lt;&gt;"None"),AND(W460&lt;&gt;"Hard-coded",W460&lt;&gt;"Configurable",W460&lt;&gt;"Policy-managed",W460&lt;&gt;"API/Library abstraction",W460&lt;&gt;"Automated"),AND(Z460&lt;&gt;"Y",Z460&lt;&gt;"N"),AND(AA460&lt;&gt;"Y",AA460&lt;&gt;"N")),"Incomplete",IF(Z460="Y",20,0)+L460*5+IF(AA460="Y",15,0)+IF(J460="Public",10,IF(J460="Partner",7,IF(J460="Internal",3,0)))+IF(W460="Hard-coded",10,IF(W460="Configurable",3,0))+IF(MAX(I460,AP460)&gt;=10,10,IF(MAX(I460,AP460)&gt;=5,7,IF(MAX(I460,AP460)&gt;=2,3,0)))+IF(K460="High",10,IF(K460="Medium",5,0))))</x:f>
      </x:c>
      <x:c r="AC460" s="73" t="str">
        <x:f>IF(A460="","",IF(NOT(ISNUMBER(AB460)),"Review inputs",IF(AB460&gt;=70,"P0 - Immediate",IF(AB460&gt;=50,"P1 - High",IF(AB460&gt;=30,"P2 - Medium",IF(AB460&gt;=15,"P3 - Low","P4 - Monitor"))))))</x:f>
      </x:c>
      <x:c r="AD460" s="73"/>
      <x:c r="AE460" s="73"/>
      <x:c r="AF460" s="73"/>
      <x:c r="AG460" s="77"/>
      <x:c r="AH460" s="73"/>
      <x:c r="AI460" s="91"/>
      <x:c r="AJ460" s="91"/>
      <x:c r="AK460" s="91"/>
      <x:c r="AL460" s="92"/>
      <x:c r="AM460" s="91"/>
      <x:c r="AN460" s="91"/>
      <x:c r="AO460" s="93"/>
      <x:c r="AP460" s="94"/>
      <x:c r="AQ460" s="91"/>
      <x:c r="AR460" s="91"/>
      <x:c r="AS460" s="91"/>
      <x:c r="AT460" s="91"/>
      <x:c r="AU460" s="91"/>
      <x:c r="AV460" s="91"/>
      <x:c r="AW460" s="91"/>
      <x:c r="AX460" s="91"/>
      <x:c r="AY460" s="91"/>
      <x:c r="AZ460" s="92"/>
      <x:c r="BA460" s="94"/>
      <x:c r="BB460" s="91"/>
      <x:c r="BC460" s="92"/>
      <x:c r="BD460" s="92"/>
      <x:c r="BE460" s="91"/>
      <x:c r="BF460" s="91"/>
      <x:c r="BG460" s="91"/>
      <x:c r="BH460" s="91"/>
      <x:c r="BI460" s="91"/>
      <x:c r="BJ460" s="91"/>
      <x:c r="BK460" s="91"/>
      <x:c r="BL460" s="91"/>
      <x:c r="BM460" s="73" t="str">
        <x:f>IF(A460="","",IF(AI460="Example","Example only",IF(AI460&lt;&gt;"Actual","Set record type",IF(COUNTIF($A$2:$A$1001,A460)&gt;1,"Duplicate record ID",IF(OR(D460="",E460="",AF460="",NOT(ISNUMBER(AG460)),AJ460="",AK460="",NOT(ISNUMBER(AL460)),AND(AM460&lt;&gt;"Observed",AM460&lt;&gt;"Corroborated",AM460&lt;&gt;"Declared"),OR(AN460="",AN460="Unknown"),OR(AQ460="",AQ460="Unknown"),OR(AR460="",AR460="Unknown",AR460="TBD"),OR(BC460="",NOT(ISNUMBER(BC460)))),"Evidence incomplete","Evidence recorded; review scope")))))</x:f>
      </x:c>
      <x:c r="BN460" s="73"/>
    </x:row>
    <x:row r="461" ht="34" customHeight="1">
      <x:c r="A461" s="73"/>
      <x:c r="B461" s="73"/>
      <x:c r="C461" s="73"/>
      <x:c r="D461" s="73"/>
      <x:c r="E461" s="73"/>
      <x:c r="F461" s="73"/>
      <x:c r="G461" s="73"/>
      <x:c r="H461" s="73"/>
      <x:c r="I461" s="75"/>
      <x:c r="J461" s="73"/>
      <x:c r="K461" s="73"/>
      <x:c r="L461" s="76"/>
      <x:c r="M461" s="73"/>
      <x:c r="N461" s="73"/>
      <x:c r="O461" s="73"/>
      <x:c r="P461" s="73"/>
      <x:c r="Q461" s="76"/>
      <x:c r="R461" s="73"/>
      <x:c r="S461" s="73"/>
      <x:c r="T461" s="73"/>
      <x:c r="U461" s="73"/>
      <x:c r="V461" s="73"/>
      <x:c r="W461" s="73"/>
      <x:c r="X461" s="73"/>
      <x:c r="Y461" s="73"/>
      <x:c r="Z461" s="73"/>
      <x:c r="AA461" s="73"/>
      <x:c r="AB461" s="76" t="str">
        <x:f>IF(A461="","",IF(OR(NOT(ISNUMBER(I461)),I461&lt;0,NOT(ISNUMBER(AP461)),AP461&lt;0,NOT(ISNUMBER(L461)),L461&lt;1,L461&gt;5,L461&lt;&gt;INT(L461),AND(J461&lt;&gt;"Public",J461&lt;&gt;"Partner",J461&lt;&gt;"Internal",J461&lt;&gt;"None"),AND(K461&lt;&gt;"High",K461&lt;&gt;"Medium",K461&lt;&gt;"Low",K461&lt;&gt;"None"),AND(W461&lt;&gt;"Hard-coded",W461&lt;&gt;"Configurable",W461&lt;&gt;"Policy-managed",W461&lt;&gt;"API/Library abstraction",W461&lt;&gt;"Automated"),AND(Z461&lt;&gt;"Y",Z461&lt;&gt;"N"),AND(AA461&lt;&gt;"Y",AA461&lt;&gt;"N")),"Incomplete",IF(Z461="Y",20,0)+L461*5+IF(AA461="Y",15,0)+IF(J461="Public",10,IF(J461="Partner",7,IF(J461="Internal",3,0)))+IF(W461="Hard-coded",10,IF(W461="Configurable",3,0))+IF(MAX(I461,AP461)&gt;=10,10,IF(MAX(I461,AP461)&gt;=5,7,IF(MAX(I461,AP461)&gt;=2,3,0)))+IF(K461="High",10,IF(K461="Medium",5,0))))</x:f>
      </x:c>
      <x:c r="AC461" s="73" t="str">
        <x:f>IF(A461="","",IF(NOT(ISNUMBER(AB461)),"Review inputs",IF(AB461&gt;=70,"P0 - Immediate",IF(AB461&gt;=50,"P1 - High",IF(AB461&gt;=30,"P2 - Medium",IF(AB461&gt;=15,"P3 - Low","P4 - Monitor"))))))</x:f>
      </x:c>
      <x:c r="AD461" s="73"/>
      <x:c r="AE461" s="73"/>
      <x:c r="AF461" s="73"/>
      <x:c r="AG461" s="77"/>
      <x:c r="AH461" s="73"/>
      <x:c r="AI461" s="91"/>
      <x:c r="AJ461" s="91"/>
      <x:c r="AK461" s="91"/>
      <x:c r="AL461" s="92"/>
      <x:c r="AM461" s="91"/>
      <x:c r="AN461" s="91"/>
      <x:c r="AO461" s="93"/>
      <x:c r="AP461" s="94"/>
      <x:c r="AQ461" s="91"/>
      <x:c r="AR461" s="91"/>
      <x:c r="AS461" s="91"/>
      <x:c r="AT461" s="91"/>
      <x:c r="AU461" s="91"/>
      <x:c r="AV461" s="91"/>
      <x:c r="AW461" s="91"/>
      <x:c r="AX461" s="91"/>
      <x:c r="AY461" s="91"/>
      <x:c r="AZ461" s="92"/>
      <x:c r="BA461" s="94"/>
      <x:c r="BB461" s="91"/>
      <x:c r="BC461" s="92"/>
      <x:c r="BD461" s="92"/>
      <x:c r="BE461" s="91"/>
      <x:c r="BF461" s="91"/>
      <x:c r="BG461" s="91"/>
      <x:c r="BH461" s="91"/>
      <x:c r="BI461" s="91"/>
      <x:c r="BJ461" s="91"/>
      <x:c r="BK461" s="91"/>
      <x:c r="BL461" s="91"/>
      <x:c r="BM461" s="73" t="str">
        <x:f>IF(A461="","",IF(AI461="Example","Example only",IF(AI461&lt;&gt;"Actual","Set record type",IF(COUNTIF($A$2:$A$1001,A461)&gt;1,"Duplicate record ID",IF(OR(D461="",E461="",AF461="",NOT(ISNUMBER(AG461)),AJ461="",AK461="",NOT(ISNUMBER(AL461)),AND(AM461&lt;&gt;"Observed",AM461&lt;&gt;"Corroborated",AM461&lt;&gt;"Declared"),OR(AN461="",AN461="Unknown"),OR(AQ461="",AQ461="Unknown"),OR(AR461="",AR461="Unknown",AR461="TBD"),OR(BC461="",NOT(ISNUMBER(BC461)))),"Evidence incomplete","Evidence recorded; review scope")))))</x:f>
      </x:c>
      <x:c r="BN461" s="73"/>
    </x:row>
    <x:row r="462" ht="34" customHeight="1">
      <x:c r="A462" s="73"/>
      <x:c r="B462" s="73"/>
      <x:c r="C462" s="73"/>
      <x:c r="D462" s="73"/>
      <x:c r="E462" s="73"/>
      <x:c r="F462" s="73"/>
      <x:c r="G462" s="73"/>
      <x:c r="H462" s="73"/>
      <x:c r="I462" s="75"/>
      <x:c r="J462" s="73"/>
      <x:c r="K462" s="73"/>
      <x:c r="L462" s="76"/>
      <x:c r="M462" s="73"/>
      <x:c r="N462" s="73"/>
      <x:c r="O462" s="73"/>
      <x:c r="P462" s="73"/>
      <x:c r="Q462" s="76"/>
      <x:c r="R462" s="73"/>
      <x:c r="S462" s="73"/>
      <x:c r="T462" s="73"/>
      <x:c r="U462" s="73"/>
      <x:c r="V462" s="73"/>
      <x:c r="W462" s="73"/>
      <x:c r="X462" s="73"/>
      <x:c r="Y462" s="73"/>
      <x:c r="Z462" s="73"/>
      <x:c r="AA462" s="73"/>
      <x:c r="AB462" s="76" t="str">
        <x:f>IF(A462="","",IF(OR(NOT(ISNUMBER(I462)),I462&lt;0,NOT(ISNUMBER(AP462)),AP462&lt;0,NOT(ISNUMBER(L462)),L462&lt;1,L462&gt;5,L462&lt;&gt;INT(L462),AND(J462&lt;&gt;"Public",J462&lt;&gt;"Partner",J462&lt;&gt;"Internal",J462&lt;&gt;"None"),AND(K462&lt;&gt;"High",K462&lt;&gt;"Medium",K462&lt;&gt;"Low",K462&lt;&gt;"None"),AND(W462&lt;&gt;"Hard-coded",W462&lt;&gt;"Configurable",W462&lt;&gt;"Policy-managed",W462&lt;&gt;"API/Library abstraction",W462&lt;&gt;"Automated"),AND(Z462&lt;&gt;"Y",Z462&lt;&gt;"N"),AND(AA462&lt;&gt;"Y",AA462&lt;&gt;"N")),"Incomplete",IF(Z462="Y",20,0)+L462*5+IF(AA462="Y",15,0)+IF(J462="Public",10,IF(J462="Partner",7,IF(J462="Internal",3,0)))+IF(W462="Hard-coded",10,IF(W462="Configurable",3,0))+IF(MAX(I462,AP462)&gt;=10,10,IF(MAX(I462,AP462)&gt;=5,7,IF(MAX(I462,AP462)&gt;=2,3,0)))+IF(K462="High",10,IF(K462="Medium",5,0))))</x:f>
      </x:c>
      <x:c r="AC462" s="73" t="str">
        <x:f>IF(A462="","",IF(NOT(ISNUMBER(AB462)),"Review inputs",IF(AB462&gt;=70,"P0 - Immediate",IF(AB462&gt;=50,"P1 - High",IF(AB462&gt;=30,"P2 - Medium",IF(AB462&gt;=15,"P3 - Low","P4 - Monitor"))))))</x:f>
      </x:c>
      <x:c r="AD462" s="73"/>
      <x:c r="AE462" s="73"/>
      <x:c r="AF462" s="73"/>
      <x:c r="AG462" s="77"/>
      <x:c r="AH462" s="73"/>
      <x:c r="AI462" s="91"/>
      <x:c r="AJ462" s="91"/>
      <x:c r="AK462" s="91"/>
      <x:c r="AL462" s="92"/>
      <x:c r="AM462" s="91"/>
      <x:c r="AN462" s="91"/>
      <x:c r="AO462" s="93"/>
      <x:c r="AP462" s="94"/>
      <x:c r="AQ462" s="91"/>
      <x:c r="AR462" s="91"/>
      <x:c r="AS462" s="91"/>
      <x:c r="AT462" s="91"/>
      <x:c r="AU462" s="91"/>
      <x:c r="AV462" s="91"/>
      <x:c r="AW462" s="91"/>
      <x:c r="AX462" s="91"/>
      <x:c r="AY462" s="91"/>
      <x:c r="AZ462" s="92"/>
      <x:c r="BA462" s="94"/>
      <x:c r="BB462" s="91"/>
      <x:c r="BC462" s="92"/>
      <x:c r="BD462" s="92"/>
      <x:c r="BE462" s="91"/>
      <x:c r="BF462" s="91"/>
      <x:c r="BG462" s="91"/>
      <x:c r="BH462" s="91"/>
      <x:c r="BI462" s="91"/>
      <x:c r="BJ462" s="91"/>
      <x:c r="BK462" s="91"/>
      <x:c r="BL462" s="91"/>
      <x:c r="BM462" s="73" t="str">
        <x:f>IF(A462="","",IF(AI462="Example","Example only",IF(AI462&lt;&gt;"Actual","Set record type",IF(COUNTIF($A$2:$A$1001,A462)&gt;1,"Duplicate record ID",IF(OR(D462="",E462="",AF462="",NOT(ISNUMBER(AG462)),AJ462="",AK462="",NOT(ISNUMBER(AL462)),AND(AM462&lt;&gt;"Observed",AM462&lt;&gt;"Corroborated",AM462&lt;&gt;"Declared"),OR(AN462="",AN462="Unknown"),OR(AQ462="",AQ462="Unknown"),OR(AR462="",AR462="Unknown",AR462="TBD"),OR(BC462="",NOT(ISNUMBER(BC462)))),"Evidence incomplete","Evidence recorded; review scope")))))</x:f>
      </x:c>
      <x:c r="BN462" s="73"/>
    </x:row>
    <x:row r="463" ht="34" customHeight="1">
      <x:c r="A463" s="73"/>
      <x:c r="B463" s="73"/>
      <x:c r="C463" s="73"/>
      <x:c r="D463" s="73"/>
      <x:c r="E463" s="73"/>
      <x:c r="F463" s="73"/>
      <x:c r="G463" s="73"/>
      <x:c r="H463" s="73"/>
      <x:c r="I463" s="75"/>
      <x:c r="J463" s="73"/>
      <x:c r="K463" s="73"/>
      <x:c r="L463" s="76"/>
      <x:c r="M463" s="73"/>
      <x:c r="N463" s="73"/>
      <x:c r="O463" s="73"/>
      <x:c r="P463" s="73"/>
      <x:c r="Q463" s="76"/>
      <x:c r="R463" s="73"/>
      <x:c r="S463" s="73"/>
      <x:c r="T463" s="73"/>
      <x:c r="U463" s="73"/>
      <x:c r="V463" s="73"/>
      <x:c r="W463" s="73"/>
      <x:c r="X463" s="73"/>
      <x:c r="Y463" s="73"/>
      <x:c r="Z463" s="73"/>
      <x:c r="AA463" s="73"/>
      <x:c r="AB463" s="76" t="str">
        <x:f>IF(A463="","",IF(OR(NOT(ISNUMBER(I463)),I463&lt;0,NOT(ISNUMBER(AP463)),AP463&lt;0,NOT(ISNUMBER(L463)),L463&lt;1,L463&gt;5,L463&lt;&gt;INT(L463),AND(J463&lt;&gt;"Public",J463&lt;&gt;"Partner",J463&lt;&gt;"Internal",J463&lt;&gt;"None"),AND(K463&lt;&gt;"High",K463&lt;&gt;"Medium",K463&lt;&gt;"Low",K463&lt;&gt;"None"),AND(W463&lt;&gt;"Hard-coded",W463&lt;&gt;"Configurable",W463&lt;&gt;"Policy-managed",W463&lt;&gt;"API/Library abstraction",W463&lt;&gt;"Automated"),AND(Z463&lt;&gt;"Y",Z463&lt;&gt;"N"),AND(AA463&lt;&gt;"Y",AA463&lt;&gt;"N")),"Incomplete",IF(Z463="Y",20,0)+L463*5+IF(AA463="Y",15,0)+IF(J463="Public",10,IF(J463="Partner",7,IF(J463="Internal",3,0)))+IF(W463="Hard-coded",10,IF(W463="Configurable",3,0))+IF(MAX(I463,AP463)&gt;=10,10,IF(MAX(I463,AP463)&gt;=5,7,IF(MAX(I463,AP463)&gt;=2,3,0)))+IF(K463="High",10,IF(K463="Medium",5,0))))</x:f>
      </x:c>
      <x:c r="AC463" s="73" t="str">
        <x:f>IF(A463="","",IF(NOT(ISNUMBER(AB463)),"Review inputs",IF(AB463&gt;=70,"P0 - Immediate",IF(AB463&gt;=50,"P1 - High",IF(AB463&gt;=30,"P2 - Medium",IF(AB463&gt;=15,"P3 - Low","P4 - Monitor"))))))</x:f>
      </x:c>
      <x:c r="AD463" s="73"/>
      <x:c r="AE463" s="73"/>
      <x:c r="AF463" s="73"/>
      <x:c r="AG463" s="77"/>
      <x:c r="AH463" s="73"/>
      <x:c r="AI463" s="91"/>
      <x:c r="AJ463" s="91"/>
      <x:c r="AK463" s="91"/>
      <x:c r="AL463" s="92"/>
      <x:c r="AM463" s="91"/>
      <x:c r="AN463" s="91"/>
      <x:c r="AO463" s="93"/>
      <x:c r="AP463" s="94"/>
      <x:c r="AQ463" s="91"/>
      <x:c r="AR463" s="91"/>
      <x:c r="AS463" s="91"/>
      <x:c r="AT463" s="91"/>
      <x:c r="AU463" s="91"/>
      <x:c r="AV463" s="91"/>
      <x:c r="AW463" s="91"/>
      <x:c r="AX463" s="91"/>
      <x:c r="AY463" s="91"/>
      <x:c r="AZ463" s="92"/>
      <x:c r="BA463" s="94"/>
      <x:c r="BB463" s="91"/>
      <x:c r="BC463" s="92"/>
      <x:c r="BD463" s="92"/>
      <x:c r="BE463" s="91"/>
      <x:c r="BF463" s="91"/>
      <x:c r="BG463" s="91"/>
      <x:c r="BH463" s="91"/>
      <x:c r="BI463" s="91"/>
      <x:c r="BJ463" s="91"/>
      <x:c r="BK463" s="91"/>
      <x:c r="BL463" s="91"/>
      <x:c r="BM463" s="73" t="str">
        <x:f>IF(A463="","",IF(AI463="Example","Example only",IF(AI463&lt;&gt;"Actual","Set record type",IF(COUNTIF($A$2:$A$1001,A463)&gt;1,"Duplicate record ID",IF(OR(D463="",E463="",AF463="",NOT(ISNUMBER(AG463)),AJ463="",AK463="",NOT(ISNUMBER(AL463)),AND(AM463&lt;&gt;"Observed",AM463&lt;&gt;"Corroborated",AM463&lt;&gt;"Declared"),OR(AN463="",AN463="Unknown"),OR(AQ463="",AQ463="Unknown"),OR(AR463="",AR463="Unknown",AR463="TBD"),OR(BC463="",NOT(ISNUMBER(BC463)))),"Evidence incomplete","Evidence recorded; review scope")))))</x:f>
      </x:c>
      <x:c r="BN463" s="73"/>
    </x:row>
    <x:row r="464" ht="34" customHeight="1">
      <x:c r="A464" s="73"/>
      <x:c r="B464" s="73"/>
      <x:c r="C464" s="73"/>
      <x:c r="D464" s="73"/>
      <x:c r="E464" s="73"/>
      <x:c r="F464" s="73"/>
      <x:c r="G464" s="73"/>
      <x:c r="H464" s="73"/>
      <x:c r="I464" s="75"/>
      <x:c r="J464" s="73"/>
      <x:c r="K464" s="73"/>
      <x:c r="L464" s="76"/>
      <x:c r="M464" s="73"/>
      <x:c r="N464" s="73"/>
      <x:c r="O464" s="73"/>
      <x:c r="P464" s="73"/>
      <x:c r="Q464" s="76"/>
      <x:c r="R464" s="73"/>
      <x:c r="S464" s="73"/>
      <x:c r="T464" s="73"/>
      <x:c r="U464" s="73"/>
      <x:c r="V464" s="73"/>
      <x:c r="W464" s="73"/>
      <x:c r="X464" s="73"/>
      <x:c r="Y464" s="73"/>
      <x:c r="Z464" s="73"/>
      <x:c r="AA464" s="73"/>
      <x:c r="AB464" s="76" t="str">
        <x:f>IF(A464="","",IF(OR(NOT(ISNUMBER(I464)),I464&lt;0,NOT(ISNUMBER(AP464)),AP464&lt;0,NOT(ISNUMBER(L464)),L464&lt;1,L464&gt;5,L464&lt;&gt;INT(L464),AND(J464&lt;&gt;"Public",J464&lt;&gt;"Partner",J464&lt;&gt;"Internal",J464&lt;&gt;"None"),AND(K464&lt;&gt;"High",K464&lt;&gt;"Medium",K464&lt;&gt;"Low",K464&lt;&gt;"None"),AND(W464&lt;&gt;"Hard-coded",W464&lt;&gt;"Configurable",W464&lt;&gt;"Policy-managed",W464&lt;&gt;"API/Library abstraction",W464&lt;&gt;"Automated"),AND(Z464&lt;&gt;"Y",Z464&lt;&gt;"N"),AND(AA464&lt;&gt;"Y",AA464&lt;&gt;"N")),"Incomplete",IF(Z464="Y",20,0)+L464*5+IF(AA464="Y",15,0)+IF(J464="Public",10,IF(J464="Partner",7,IF(J464="Internal",3,0)))+IF(W464="Hard-coded",10,IF(W464="Configurable",3,0))+IF(MAX(I464,AP464)&gt;=10,10,IF(MAX(I464,AP464)&gt;=5,7,IF(MAX(I464,AP464)&gt;=2,3,0)))+IF(K464="High",10,IF(K464="Medium",5,0))))</x:f>
      </x:c>
      <x:c r="AC464" s="73" t="str">
        <x:f>IF(A464="","",IF(NOT(ISNUMBER(AB464)),"Review inputs",IF(AB464&gt;=70,"P0 - Immediate",IF(AB464&gt;=50,"P1 - High",IF(AB464&gt;=30,"P2 - Medium",IF(AB464&gt;=15,"P3 - Low","P4 - Monitor"))))))</x:f>
      </x:c>
      <x:c r="AD464" s="73"/>
      <x:c r="AE464" s="73"/>
      <x:c r="AF464" s="73"/>
      <x:c r="AG464" s="77"/>
      <x:c r="AH464" s="73"/>
      <x:c r="AI464" s="91"/>
      <x:c r="AJ464" s="91"/>
      <x:c r="AK464" s="91"/>
      <x:c r="AL464" s="92"/>
      <x:c r="AM464" s="91"/>
      <x:c r="AN464" s="91"/>
      <x:c r="AO464" s="93"/>
      <x:c r="AP464" s="94"/>
      <x:c r="AQ464" s="91"/>
      <x:c r="AR464" s="91"/>
      <x:c r="AS464" s="91"/>
      <x:c r="AT464" s="91"/>
      <x:c r="AU464" s="91"/>
      <x:c r="AV464" s="91"/>
      <x:c r="AW464" s="91"/>
      <x:c r="AX464" s="91"/>
      <x:c r="AY464" s="91"/>
      <x:c r="AZ464" s="92"/>
      <x:c r="BA464" s="94"/>
      <x:c r="BB464" s="91"/>
      <x:c r="BC464" s="92"/>
      <x:c r="BD464" s="92"/>
      <x:c r="BE464" s="91"/>
      <x:c r="BF464" s="91"/>
      <x:c r="BG464" s="91"/>
      <x:c r="BH464" s="91"/>
      <x:c r="BI464" s="91"/>
      <x:c r="BJ464" s="91"/>
      <x:c r="BK464" s="91"/>
      <x:c r="BL464" s="91"/>
      <x:c r="BM464" s="73" t="str">
        <x:f>IF(A464="","",IF(AI464="Example","Example only",IF(AI464&lt;&gt;"Actual","Set record type",IF(COUNTIF($A$2:$A$1001,A464)&gt;1,"Duplicate record ID",IF(OR(D464="",E464="",AF464="",NOT(ISNUMBER(AG464)),AJ464="",AK464="",NOT(ISNUMBER(AL464)),AND(AM464&lt;&gt;"Observed",AM464&lt;&gt;"Corroborated",AM464&lt;&gt;"Declared"),OR(AN464="",AN464="Unknown"),OR(AQ464="",AQ464="Unknown"),OR(AR464="",AR464="Unknown",AR464="TBD"),OR(BC464="",NOT(ISNUMBER(BC464)))),"Evidence incomplete","Evidence recorded; review scope")))))</x:f>
      </x:c>
      <x:c r="BN464" s="73"/>
    </x:row>
    <x:row r="465" ht="34" customHeight="1">
      <x:c r="A465" s="73"/>
      <x:c r="B465" s="73"/>
      <x:c r="C465" s="73"/>
      <x:c r="D465" s="73"/>
      <x:c r="E465" s="73"/>
      <x:c r="F465" s="73"/>
      <x:c r="G465" s="73"/>
      <x:c r="H465" s="73"/>
      <x:c r="I465" s="75"/>
      <x:c r="J465" s="73"/>
      <x:c r="K465" s="73"/>
      <x:c r="L465" s="76"/>
      <x:c r="M465" s="73"/>
      <x:c r="N465" s="73"/>
      <x:c r="O465" s="73"/>
      <x:c r="P465" s="73"/>
      <x:c r="Q465" s="76"/>
      <x:c r="R465" s="73"/>
      <x:c r="S465" s="73"/>
      <x:c r="T465" s="73"/>
      <x:c r="U465" s="73"/>
      <x:c r="V465" s="73"/>
      <x:c r="W465" s="73"/>
      <x:c r="X465" s="73"/>
      <x:c r="Y465" s="73"/>
      <x:c r="Z465" s="73"/>
      <x:c r="AA465" s="73"/>
      <x:c r="AB465" s="76" t="str">
        <x:f>IF(A465="","",IF(OR(NOT(ISNUMBER(I465)),I465&lt;0,NOT(ISNUMBER(AP465)),AP465&lt;0,NOT(ISNUMBER(L465)),L465&lt;1,L465&gt;5,L465&lt;&gt;INT(L465),AND(J465&lt;&gt;"Public",J465&lt;&gt;"Partner",J465&lt;&gt;"Internal",J465&lt;&gt;"None"),AND(K465&lt;&gt;"High",K465&lt;&gt;"Medium",K465&lt;&gt;"Low",K465&lt;&gt;"None"),AND(W465&lt;&gt;"Hard-coded",W465&lt;&gt;"Configurable",W465&lt;&gt;"Policy-managed",W465&lt;&gt;"API/Library abstraction",W465&lt;&gt;"Automated"),AND(Z465&lt;&gt;"Y",Z465&lt;&gt;"N"),AND(AA465&lt;&gt;"Y",AA465&lt;&gt;"N")),"Incomplete",IF(Z465="Y",20,0)+L465*5+IF(AA465="Y",15,0)+IF(J465="Public",10,IF(J465="Partner",7,IF(J465="Internal",3,0)))+IF(W465="Hard-coded",10,IF(W465="Configurable",3,0))+IF(MAX(I465,AP465)&gt;=10,10,IF(MAX(I465,AP465)&gt;=5,7,IF(MAX(I465,AP465)&gt;=2,3,0)))+IF(K465="High",10,IF(K465="Medium",5,0))))</x:f>
      </x:c>
      <x:c r="AC465" s="73" t="str">
        <x:f>IF(A465="","",IF(NOT(ISNUMBER(AB465)),"Review inputs",IF(AB465&gt;=70,"P0 - Immediate",IF(AB465&gt;=50,"P1 - High",IF(AB465&gt;=30,"P2 - Medium",IF(AB465&gt;=15,"P3 - Low","P4 - Monitor"))))))</x:f>
      </x:c>
      <x:c r="AD465" s="73"/>
      <x:c r="AE465" s="73"/>
      <x:c r="AF465" s="73"/>
      <x:c r="AG465" s="77"/>
      <x:c r="AH465" s="73"/>
      <x:c r="AI465" s="91"/>
      <x:c r="AJ465" s="91"/>
      <x:c r="AK465" s="91"/>
      <x:c r="AL465" s="92"/>
      <x:c r="AM465" s="91"/>
      <x:c r="AN465" s="91"/>
      <x:c r="AO465" s="93"/>
      <x:c r="AP465" s="94"/>
      <x:c r="AQ465" s="91"/>
      <x:c r="AR465" s="91"/>
      <x:c r="AS465" s="91"/>
      <x:c r="AT465" s="91"/>
      <x:c r="AU465" s="91"/>
      <x:c r="AV465" s="91"/>
      <x:c r="AW465" s="91"/>
      <x:c r="AX465" s="91"/>
      <x:c r="AY465" s="91"/>
      <x:c r="AZ465" s="92"/>
      <x:c r="BA465" s="94"/>
      <x:c r="BB465" s="91"/>
      <x:c r="BC465" s="92"/>
      <x:c r="BD465" s="92"/>
      <x:c r="BE465" s="91"/>
      <x:c r="BF465" s="91"/>
      <x:c r="BG465" s="91"/>
      <x:c r="BH465" s="91"/>
      <x:c r="BI465" s="91"/>
      <x:c r="BJ465" s="91"/>
      <x:c r="BK465" s="91"/>
      <x:c r="BL465" s="91"/>
      <x:c r="BM465" s="73" t="str">
        <x:f>IF(A465="","",IF(AI465="Example","Example only",IF(AI465&lt;&gt;"Actual","Set record type",IF(COUNTIF($A$2:$A$1001,A465)&gt;1,"Duplicate record ID",IF(OR(D465="",E465="",AF465="",NOT(ISNUMBER(AG465)),AJ465="",AK465="",NOT(ISNUMBER(AL465)),AND(AM465&lt;&gt;"Observed",AM465&lt;&gt;"Corroborated",AM465&lt;&gt;"Declared"),OR(AN465="",AN465="Unknown"),OR(AQ465="",AQ465="Unknown"),OR(AR465="",AR465="Unknown",AR465="TBD"),OR(BC465="",NOT(ISNUMBER(BC465)))),"Evidence incomplete","Evidence recorded; review scope")))))</x:f>
      </x:c>
      <x:c r="BN465" s="73"/>
    </x:row>
    <x:row r="466" ht="34" customHeight="1">
      <x:c r="A466" s="73"/>
      <x:c r="B466" s="73"/>
      <x:c r="C466" s="73"/>
      <x:c r="D466" s="73"/>
      <x:c r="E466" s="73"/>
      <x:c r="F466" s="73"/>
      <x:c r="G466" s="73"/>
      <x:c r="H466" s="73"/>
      <x:c r="I466" s="75"/>
      <x:c r="J466" s="73"/>
      <x:c r="K466" s="73"/>
      <x:c r="L466" s="76"/>
      <x:c r="M466" s="73"/>
      <x:c r="N466" s="73"/>
      <x:c r="O466" s="73"/>
      <x:c r="P466" s="73"/>
      <x:c r="Q466" s="76"/>
      <x:c r="R466" s="73"/>
      <x:c r="S466" s="73"/>
      <x:c r="T466" s="73"/>
      <x:c r="U466" s="73"/>
      <x:c r="V466" s="73"/>
      <x:c r="W466" s="73"/>
      <x:c r="X466" s="73"/>
      <x:c r="Y466" s="73"/>
      <x:c r="Z466" s="73"/>
      <x:c r="AA466" s="73"/>
      <x:c r="AB466" s="76" t="str">
        <x:f>IF(A466="","",IF(OR(NOT(ISNUMBER(I466)),I466&lt;0,NOT(ISNUMBER(AP466)),AP466&lt;0,NOT(ISNUMBER(L466)),L466&lt;1,L466&gt;5,L466&lt;&gt;INT(L466),AND(J466&lt;&gt;"Public",J466&lt;&gt;"Partner",J466&lt;&gt;"Internal",J466&lt;&gt;"None"),AND(K466&lt;&gt;"High",K466&lt;&gt;"Medium",K466&lt;&gt;"Low",K466&lt;&gt;"None"),AND(W466&lt;&gt;"Hard-coded",W466&lt;&gt;"Configurable",W466&lt;&gt;"Policy-managed",W466&lt;&gt;"API/Library abstraction",W466&lt;&gt;"Automated"),AND(Z466&lt;&gt;"Y",Z466&lt;&gt;"N"),AND(AA466&lt;&gt;"Y",AA466&lt;&gt;"N")),"Incomplete",IF(Z466="Y",20,0)+L466*5+IF(AA466="Y",15,0)+IF(J466="Public",10,IF(J466="Partner",7,IF(J466="Internal",3,0)))+IF(W466="Hard-coded",10,IF(W466="Configurable",3,0))+IF(MAX(I466,AP466)&gt;=10,10,IF(MAX(I466,AP466)&gt;=5,7,IF(MAX(I466,AP466)&gt;=2,3,0)))+IF(K466="High",10,IF(K466="Medium",5,0))))</x:f>
      </x:c>
      <x:c r="AC466" s="73" t="str">
        <x:f>IF(A466="","",IF(NOT(ISNUMBER(AB466)),"Review inputs",IF(AB466&gt;=70,"P0 - Immediate",IF(AB466&gt;=50,"P1 - High",IF(AB466&gt;=30,"P2 - Medium",IF(AB466&gt;=15,"P3 - Low","P4 - Monitor"))))))</x:f>
      </x:c>
      <x:c r="AD466" s="73"/>
      <x:c r="AE466" s="73"/>
      <x:c r="AF466" s="73"/>
      <x:c r="AG466" s="77"/>
      <x:c r="AH466" s="73"/>
      <x:c r="AI466" s="91"/>
      <x:c r="AJ466" s="91"/>
      <x:c r="AK466" s="91"/>
      <x:c r="AL466" s="92"/>
      <x:c r="AM466" s="91"/>
      <x:c r="AN466" s="91"/>
      <x:c r="AO466" s="93"/>
      <x:c r="AP466" s="94"/>
      <x:c r="AQ466" s="91"/>
      <x:c r="AR466" s="91"/>
      <x:c r="AS466" s="91"/>
      <x:c r="AT466" s="91"/>
      <x:c r="AU466" s="91"/>
      <x:c r="AV466" s="91"/>
      <x:c r="AW466" s="91"/>
      <x:c r="AX466" s="91"/>
      <x:c r="AY466" s="91"/>
      <x:c r="AZ466" s="92"/>
      <x:c r="BA466" s="94"/>
      <x:c r="BB466" s="91"/>
      <x:c r="BC466" s="92"/>
      <x:c r="BD466" s="92"/>
      <x:c r="BE466" s="91"/>
      <x:c r="BF466" s="91"/>
      <x:c r="BG466" s="91"/>
      <x:c r="BH466" s="91"/>
      <x:c r="BI466" s="91"/>
      <x:c r="BJ466" s="91"/>
      <x:c r="BK466" s="91"/>
      <x:c r="BL466" s="91"/>
      <x:c r="BM466" s="73" t="str">
        <x:f>IF(A466="","",IF(AI466="Example","Example only",IF(AI466&lt;&gt;"Actual","Set record type",IF(COUNTIF($A$2:$A$1001,A466)&gt;1,"Duplicate record ID",IF(OR(D466="",E466="",AF466="",NOT(ISNUMBER(AG466)),AJ466="",AK466="",NOT(ISNUMBER(AL466)),AND(AM466&lt;&gt;"Observed",AM466&lt;&gt;"Corroborated",AM466&lt;&gt;"Declared"),OR(AN466="",AN466="Unknown"),OR(AQ466="",AQ466="Unknown"),OR(AR466="",AR466="Unknown",AR466="TBD"),OR(BC466="",NOT(ISNUMBER(BC466)))),"Evidence incomplete","Evidence recorded; review scope")))))</x:f>
      </x:c>
      <x:c r="BN466" s="73"/>
    </x:row>
    <x:row r="467" ht="34" customHeight="1">
      <x:c r="A467" s="73"/>
      <x:c r="B467" s="73"/>
      <x:c r="C467" s="73"/>
      <x:c r="D467" s="73"/>
      <x:c r="E467" s="73"/>
      <x:c r="F467" s="73"/>
      <x:c r="G467" s="73"/>
      <x:c r="H467" s="73"/>
      <x:c r="I467" s="75"/>
      <x:c r="J467" s="73"/>
      <x:c r="K467" s="73"/>
      <x:c r="L467" s="76"/>
      <x:c r="M467" s="73"/>
      <x:c r="N467" s="73"/>
      <x:c r="O467" s="73"/>
      <x:c r="P467" s="73"/>
      <x:c r="Q467" s="76"/>
      <x:c r="R467" s="73"/>
      <x:c r="S467" s="73"/>
      <x:c r="T467" s="73"/>
      <x:c r="U467" s="73"/>
      <x:c r="V467" s="73"/>
      <x:c r="W467" s="73"/>
      <x:c r="X467" s="73"/>
      <x:c r="Y467" s="73"/>
      <x:c r="Z467" s="73"/>
      <x:c r="AA467" s="73"/>
      <x:c r="AB467" s="76" t="str">
        <x:f>IF(A467="","",IF(OR(NOT(ISNUMBER(I467)),I467&lt;0,NOT(ISNUMBER(AP467)),AP467&lt;0,NOT(ISNUMBER(L467)),L467&lt;1,L467&gt;5,L467&lt;&gt;INT(L467),AND(J467&lt;&gt;"Public",J467&lt;&gt;"Partner",J467&lt;&gt;"Internal",J467&lt;&gt;"None"),AND(K467&lt;&gt;"High",K467&lt;&gt;"Medium",K467&lt;&gt;"Low",K467&lt;&gt;"None"),AND(W467&lt;&gt;"Hard-coded",W467&lt;&gt;"Configurable",W467&lt;&gt;"Policy-managed",W467&lt;&gt;"API/Library abstraction",W467&lt;&gt;"Automated"),AND(Z467&lt;&gt;"Y",Z467&lt;&gt;"N"),AND(AA467&lt;&gt;"Y",AA467&lt;&gt;"N")),"Incomplete",IF(Z467="Y",20,0)+L467*5+IF(AA467="Y",15,0)+IF(J467="Public",10,IF(J467="Partner",7,IF(J467="Internal",3,0)))+IF(W467="Hard-coded",10,IF(W467="Configurable",3,0))+IF(MAX(I467,AP467)&gt;=10,10,IF(MAX(I467,AP467)&gt;=5,7,IF(MAX(I467,AP467)&gt;=2,3,0)))+IF(K467="High",10,IF(K467="Medium",5,0))))</x:f>
      </x:c>
      <x:c r="AC467" s="73" t="str">
        <x:f>IF(A467="","",IF(NOT(ISNUMBER(AB467)),"Review inputs",IF(AB467&gt;=70,"P0 - Immediate",IF(AB467&gt;=50,"P1 - High",IF(AB467&gt;=30,"P2 - Medium",IF(AB467&gt;=15,"P3 - Low","P4 - Monitor"))))))</x:f>
      </x:c>
      <x:c r="AD467" s="73"/>
      <x:c r="AE467" s="73"/>
      <x:c r="AF467" s="73"/>
      <x:c r="AG467" s="77"/>
      <x:c r="AH467" s="73"/>
      <x:c r="AI467" s="91"/>
      <x:c r="AJ467" s="91"/>
      <x:c r="AK467" s="91"/>
      <x:c r="AL467" s="92"/>
      <x:c r="AM467" s="91"/>
      <x:c r="AN467" s="91"/>
      <x:c r="AO467" s="93"/>
      <x:c r="AP467" s="94"/>
      <x:c r="AQ467" s="91"/>
      <x:c r="AR467" s="91"/>
      <x:c r="AS467" s="91"/>
      <x:c r="AT467" s="91"/>
      <x:c r="AU467" s="91"/>
      <x:c r="AV467" s="91"/>
      <x:c r="AW467" s="91"/>
      <x:c r="AX467" s="91"/>
      <x:c r="AY467" s="91"/>
      <x:c r="AZ467" s="92"/>
      <x:c r="BA467" s="94"/>
      <x:c r="BB467" s="91"/>
      <x:c r="BC467" s="92"/>
      <x:c r="BD467" s="92"/>
      <x:c r="BE467" s="91"/>
      <x:c r="BF467" s="91"/>
      <x:c r="BG467" s="91"/>
      <x:c r="BH467" s="91"/>
      <x:c r="BI467" s="91"/>
      <x:c r="BJ467" s="91"/>
      <x:c r="BK467" s="91"/>
      <x:c r="BL467" s="91"/>
      <x:c r="BM467" s="73" t="str">
        <x:f>IF(A467="","",IF(AI467="Example","Example only",IF(AI467&lt;&gt;"Actual","Set record type",IF(COUNTIF($A$2:$A$1001,A467)&gt;1,"Duplicate record ID",IF(OR(D467="",E467="",AF467="",NOT(ISNUMBER(AG467)),AJ467="",AK467="",NOT(ISNUMBER(AL467)),AND(AM467&lt;&gt;"Observed",AM467&lt;&gt;"Corroborated",AM467&lt;&gt;"Declared"),OR(AN467="",AN467="Unknown"),OR(AQ467="",AQ467="Unknown"),OR(AR467="",AR467="Unknown",AR467="TBD"),OR(BC467="",NOT(ISNUMBER(BC467)))),"Evidence incomplete","Evidence recorded; review scope")))))</x:f>
      </x:c>
      <x:c r="BN467" s="73"/>
    </x:row>
    <x:row r="468" ht="34" customHeight="1">
      <x:c r="A468" s="73"/>
      <x:c r="B468" s="73"/>
      <x:c r="C468" s="73"/>
      <x:c r="D468" s="73"/>
      <x:c r="E468" s="73"/>
      <x:c r="F468" s="73"/>
      <x:c r="G468" s="73"/>
      <x:c r="H468" s="73"/>
      <x:c r="I468" s="75"/>
      <x:c r="J468" s="73"/>
      <x:c r="K468" s="73"/>
      <x:c r="L468" s="76"/>
      <x:c r="M468" s="73"/>
      <x:c r="N468" s="73"/>
      <x:c r="O468" s="73"/>
      <x:c r="P468" s="73"/>
      <x:c r="Q468" s="76"/>
      <x:c r="R468" s="73"/>
      <x:c r="S468" s="73"/>
      <x:c r="T468" s="73"/>
      <x:c r="U468" s="73"/>
      <x:c r="V468" s="73"/>
      <x:c r="W468" s="73"/>
      <x:c r="X468" s="73"/>
      <x:c r="Y468" s="73"/>
      <x:c r="Z468" s="73"/>
      <x:c r="AA468" s="73"/>
      <x:c r="AB468" s="76" t="str">
        <x:f>IF(A468="","",IF(OR(NOT(ISNUMBER(I468)),I468&lt;0,NOT(ISNUMBER(AP468)),AP468&lt;0,NOT(ISNUMBER(L468)),L468&lt;1,L468&gt;5,L468&lt;&gt;INT(L468),AND(J468&lt;&gt;"Public",J468&lt;&gt;"Partner",J468&lt;&gt;"Internal",J468&lt;&gt;"None"),AND(K468&lt;&gt;"High",K468&lt;&gt;"Medium",K468&lt;&gt;"Low",K468&lt;&gt;"None"),AND(W468&lt;&gt;"Hard-coded",W468&lt;&gt;"Configurable",W468&lt;&gt;"Policy-managed",W468&lt;&gt;"API/Library abstraction",W468&lt;&gt;"Automated"),AND(Z468&lt;&gt;"Y",Z468&lt;&gt;"N"),AND(AA468&lt;&gt;"Y",AA468&lt;&gt;"N")),"Incomplete",IF(Z468="Y",20,0)+L468*5+IF(AA468="Y",15,0)+IF(J468="Public",10,IF(J468="Partner",7,IF(J468="Internal",3,0)))+IF(W468="Hard-coded",10,IF(W468="Configurable",3,0))+IF(MAX(I468,AP468)&gt;=10,10,IF(MAX(I468,AP468)&gt;=5,7,IF(MAX(I468,AP468)&gt;=2,3,0)))+IF(K468="High",10,IF(K468="Medium",5,0))))</x:f>
      </x:c>
      <x:c r="AC468" s="73" t="str">
        <x:f>IF(A468="","",IF(NOT(ISNUMBER(AB468)),"Review inputs",IF(AB468&gt;=70,"P0 - Immediate",IF(AB468&gt;=50,"P1 - High",IF(AB468&gt;=30,"P2 - Medium",IF(AB468&gt;=15,"P3 - Low","P4 - Monitor"))))))</x:f>
      </x:c>
      <x:c r="AD468" s="73"/>
      <x:c r="AE468" s="73"/>
      <x:c r="AF468" s="73"/>
      <x:c r="AG468" s="77"/>
      <x:c r="AH468" s="73"/>
      <x:c r="AI468" s="91"/>
      <x:c r="AJ468" s="91"/>
      <x:c r="AK468" s="91"/>
      <x:c r="AL468" s="92"/>
      <x:c r="AM468" s="91"/>
      <x:c r="AN468" s="91"/>
      <x:c r="AO468" s="93"/>
      <x:c r="AP468" s="94"/>
      <x:c r="AQ468" s="91"/>
      <x:c r="AR468" s="91"/>
      <x:c r="AS468" s="91"/>
      <x:c r="AT468" s="91"/>
      <x:c r="AU468" s="91"/>
      <x:c r="AV468" s="91"/>
      <x:c r="AW468" s="91"/>
      <x:c r="AX468" s="91"/>
      <x:c r="AY468" s="91"/>
      <x:c r="AZ468" s="92"/>
      <x:c r="BA468" s="94"/>
      <x:c r="BB468" s="91"/>
      <x:c r="BC468" s="92"/>
      <x:c r="BD468" s="92"/>
      <x:c r="BE468" s="91"/>
      <x:c r="BF468" s="91"/>
      <x:c r="BG468" s="91"/>
      <x:c r="BH468" s="91"/>
      <x:c r="BI468" s="91"/>
      <x:c r="BJ468" s="91"/>
      <x:c r="BK468" s="91"/>
      <x:c r="BL468" s="91"/>
      <x:c r="BM468" s="73" t="str">
        <x:f>IF(A468="","",IF(AI468="Example","Example only",IF(AI468&lt;&gt;"Actual","Set record type",IF(COUNTIF($A$2:$A$1001,A468)&gt;1,"Duplicate record ID",IF(OR(D468="",E468="",AF468="",NOT(ISNUMBER(AG468)),AJ468="",AK468="",NOT(ISNUMBER(AL468)),AND(AM468&lt;&gt;"Observed",AM468&lt;&gt;"Corroborated",AM468&lt;&gt;"Declared"),OR(AN468="",AN468="Unknown"),OR(AQ468="",AQ468="Unknown"),OR(AR468="",AR468="Unknown",AR468="TBD"),OR(BC468="",NOT(ISNUMBER(BC468)))),"Evidence incomplete","Evidence recorded; review scope")))))</x:f>
      </x:c>
      <x:c r="BN468" s="73"/>
    </x:row>
    <x:row r="469" ht="34" customHeight="1">
      <x:c r="A469" s="73"/>
      <x:c r="B469" s="73"/>
      <x:c r="C469" s="73"/>
      <x:c r="D469" s="73"/>
      <x:c r="E469" s="73"/>
      <x:c r="F469" s="73"/>
      <x:c r="G469" s="73"/>
      <x:c r="H469" s="73"/>
      <x:c r="I469" s="75"/>
      <x:c r="J469" s="73"/>
      <x:c r="K469" s="73"/>
      <x:c r="L469" s="76"/>
      <x:c r="M469" s="73"/>
      <x:c r="N469" s="73"/>
      <x:c r="O469" s="73"/>
      <x:c r="P469" s="73"/>
      <x:c r="Q469" s="76"/>
      <x:c r="R469" s="73"/>
      <x:c r="S469" s="73"/>
      <x:c r="T469" s="73"/>
      <x:c r="U469" s="73"/>
      <x:c r="V469" s="73"/>
      <x:c r="W469" s="73"/>
      <x:c r="X469" s="73"/>
      <x:c r="Y469" s="73"/>
      <x:c r="Z469" s="73"/>
      <x:c r="AA469" s="73"/>
      <x:c r="AB469" s="76" t="str">
        <x:f>IF(A469="","",IF(OR(NOT(ISNUMBER(I469)),I469&lt;0,NOT(ISNUMBER(AP469)),AP469&lt;0,NOT(ISNUMBER(L469)),L469&lt;1,L469&gt;5,L469&lt;&gt;INT(L469),AND(J469&lt;&gt;"Public",J469&lt;&gt;"Partner",J469&lt;&gt;"Internal",J469&lt;&gt;"None"),AND(K469&lt;&gt;"High",K469&lt;&gt;"Medium",K469&lt;&gt;"Low",K469&lt;&gt;"None"),AND(W469&lt;&gt;"Hard-coded",W469&lt;&gt;"Configurable",W469&lt;&gt;"Policy-managed",W469&lt;&gt;"API/Library abstraction",W469&lt;&gt;"Automated"),AND(Z469&lt;&gt;"Y",Z469&lt;&gt;"N"),AND(AA469&lt;&gt;"Y",AA469&lt;&gt;"N")),"Incomplete",IF(Z469="Y",20,0)+L469*5+IF(AA469="Y",15,0)+IF(J469="Public",10,IF(J469="Partner",7,IF(J469="Internal",3,0)))+IF(W469="Hard-coded",10,IF(W469="Configurable",3,0))+IF(MAX(I469,AP469)&gt;=10,10,IF(MAX(I469,AP469)&gt;=5,7,IF(MAX(I469,AP469)&gt;=2,3,0)))+IF(K469="High",10,IF(K469="Medium",5,0))))</x:f>
      </x:c>
      <x:c r="AC469" s="73" t="str">
        <x:f>IF(A469="","",IF(NOT(ISNUMBER(AB469)),"Review inputs",IF(AB469&gt;=70,"P0 - Immediate",IF(AB469&gt;=50,"P1 - High",IF(AB469&gt;=30,"P2 - Medium",IF(AB469&gt;=15,"P3 - Low","P4 - Monitor"))))))</x:f>
      </x:c>
      <x:c r="AD469" s="73"/>
      <x:c r="AE469" s="73"/>
      <x:c r="AF469" s="73"/>
      <x:c r="AG469" s="77"/>
      <x:c r="AH469" s="73"/>
      <x:c r="AI469" s="91"/>
      <x:c r="AJ469" s="91"/>
      <x:c r="AK469" s="91"/>
      <x:c r="AL469" s="92"/>
      <x:c r="AM469" s="91"/>
      <x:c r="AN469" s="91"/>
      <x:c r="AO469" s="93"/>
      <x:c r="AP469" s="94"/>
      <x:c r="AQ469" s="91"/>
      <x:c r="AR469" s="91"/>
      <x:c r="AS469" s="91"/>
      <x:c r="AT469" s="91"/>
      <x:c r="AU469" s="91"/>
      <x:c r="AV469" s="91"/>
      <x:c r="AW469" s="91"/>
      <x:c r="AX469" s="91"/>
      <x:c r="AY469" s="91"/>
      <x:c r="AZ469" s="92"/>
      <x:c r="BA469" s="94"/>
      <x:c r="BB469" s="91"/>
      <x:c r="BC469" s="92"/>
      <x:c r="BD469" s="92"/>
      <x:c r="BE469" s="91"/>
      <x:c r="BF469" s="91"/>
      <x:c r="BG469" s="91"/>
      <x:c r="BH469" s="91"/>
      <x:c r="BI469" s="91"/>
      <x:c r="BJ469" s="91"/>
      <x:c r="BK469" s="91"/>
      <x:c r="BL469" s="91"/>
      <x:c r="BM469" s="73" t="str">
        <x:f>IF(A469="","",IF(AI469="Example","Example only",IF(AI469&lt;&gt;"Actual","Set record type",IF(COUNTIF($A$2:$A$1001,A469)&gt;1,"Duplicate record ID",IF(OR(D469="",E469="",AF469="",NOT(ISNUMBER(AG469)),AJ469="",AK469="",NOT(ISNUMBER(AL469)),AND(AM469&lt;&gt;"Observed",AM469&lt;&gt;"Corroborated",AM469&lt;&gt;"Declared"),OR(AN469="",AN469="Unknown"),OR(AQ469="",AQ469="Unknown"),OR(AR469="",AR469="Unknown",AR469="TBD"),OR(BC469="",NOT(ISNUMBER(BC469)))),"Evidence incomplete","Evidence recorded; review scope")))))</x:f>
      </x:c>
      <x:c r="BN469" s="73"/>
    </x:row>
    <x:row r="470" ht="34" customHeight="1">
      <x:c r="A470" s="73"/>
      <x:c r="B470" s="73"/>
      <x:c r="C470" s="73"/>
      <x:c r="D470" s="73"/>
      <x:c r="E470" s="73"/>
      <x:c r="F470" s="73"/>
      <x:c r="G470" s="73"/>
      <x:c r="H470" s="73"/>
      <x:c r="I470" s="75"/>
      <x:c r="J470" s="73"/>
      <x:c r="K470" s="73"/>
      <x:c r="L470" s="76"/>
      <x:c r="M470" s="73"/>
      <x:c r="N470" s="73"/>
      <x:c r="O470" s="73"/>
      <x:c r="P470" s="73"/>
      <x:c r="Q470" s="76"/>
      <x:c r="R470" s="73"/>
      <x:c r="S470" s="73"/>
      <x:c r="T470" s="73"/>
      <x:c r="U470" s="73"/>
      <x:c r="V470" s="73"/>
      <x:c r="W470" s="73"/>
      <x:c r="X470" s="73"/>
      <x:c r="Y470" s="73"/>
      <x:c r="Z470" s="73"/>
      <x:c r="AA470" s="73"/>
      <x:c r="AB470" s="76" t="str">
        <x:f>IF(A470="","",IF(OR(NOT(ISNUMBER(I470)),I470&lt;0,NOT(ISNUMBER(AP470)),AP470&lt;0,NOT(ISNUMBER(L470)),L470&lt;1,L470&gt;5,L470&lt;&gt;INT(L470),AND(J470&lt;&gt;"Public",J470&lt;&gt;"Partner",J470&lt;&gt;"Internal",J470&lt;&gt;"None"),AND(K470&lt;&gt;"High",K470&lt;&gt;"Medium",K470&lt;&gt;"Low",K470&lt;&gt;"None"),AND(W470&lt;&gt;"Hard-coded",W470&lt;&gt;"Configurable",W470&lt;&gt;"Policy-managed",W470&lt;&gt;"API/Library abstraction",W470&lt;&gt;"Automated"),AND(Z470&lt;&gt;"Y",Z470&lt;&gt;"N"),AND(AA470&lt;&gt;"Y",AA470&lt;&gt;"N")),"Incomplete",IF(Z470="Y",20,0)+L470*5+IF(AA470="Y",15,0)+IF(J470="Public",10,IF(J470="Partner",7,IF(J470="Internal",3,0)))+IF(W470="Hard-coded",10,IF(W470="Configurable",3,0))+IF(MAX(I470,AP470)&gt;=10,10,IF(MAX(I470,AP470)&gt;=5,7,IF(MAX(I470,AP470)&gt;=2,3,0)))+IF(K470="High",10,IF(K470="Medium",5,0))))</x:f>
      </x:c>
      <x:c r="AC470" s="73" t="str">
        <x:f>IF(A470="","",IF(NOT(ISNUMBER(AB470)),"Review inputs",IF(AB470&gt;=70,"P0 - Immediate",IF(AB470&gt;=50,"P1 - High",IF(AB470&gt;=30,"P2 - Medium",IF(AB470&gt;=15,"P3 - Low","P4 - Monitor"))))))</x:f>
      </x:c>
      <x:c r="AD470" s="73"/>
      <x:c r="AE470" s="73"/>
      <x:c r="AF470" s="73"/>
      <x:c r="AG470" s="77"/>
      <x:c r="AH470" s="73"/>
      <x:c r="AI470" s="91"/>
      <x:c r="AJ470" s="91"/>
      <x:c r="AK470" s="91"/>
      <x:c r="AL470" s="92"/>
      <x:c r="AM470" s="91"/>
      <x:c r="AN470" s="91"/>
      <x:c r="AO470" s="93"/>
      <x:c r="AP470" s="94"/>
      <x:c r="AQ470" s="91"/>
      <x:c r="AR470" s="91"/>
      <x:c r="AS470" s="91"/>
      <x:c r="AT470" s="91"/>
      <x:c r="AU470" s="91"/>
      <x:c r="AV470" s="91"/>
      <x:c r="AW470" s="91"/>
      <x:c r="AX470" s="91"/>
      <x:c r="AY470" s="91"/>
      <x:c r="AZ470" s="92"/>
      <x:c r="BA470" s="94"/>
      <x:c r="BB470" s="91"/>
      <x:c r="BC470" s="92"/>
      <x:c r="BD470" s="92"/>
      <x:c r="BE470" s="91"/>
      <x:c r="BF470" s="91"/>
      <x:c r="BG470" s="91"/>
      <x:c r="BH470" s="91"/>
      <x:c r="BI470" s="91"/>
      <x:c r="BJ470" s="91"/>
      <x:c r="BK470" s="91"/>
      <x:c r="BL470" s="91"/>
      <x:c r="BM470" s="73" t="str">
        <x:f>IF(A470="","",IF(AI470="Example","Example only",IF(AI470&lt;&gt;"Actual","Set record type",IF(COUNTIF($A$2:$A$1001,A470)&gt;1,"Duplicate record ID",IF(OR(D470="",E470="",AF470="",NOT(ISNUMBER(AG470)),AJ470="",AK470="",NOT(ISNUMBER(AL470)),AND(AM470&lt;&gt;"Observed",AM470&lt;&gt;"Corroborated",AM470&lt;&gt;"Declared"),OR(AN470="",AN470="Unknown"),OR(AQ470="",AQ470="Unknown"),OR(AR470="",AR470="Unknown",AR470="TBD"),OR(BC470="",NOT(ISNUMBER(BC470)))),"Evidence incomplete","Evidence recorded; review scope")))))</x:f>
      </x:c>
      <x:c r="BN470" s="73"/>
    </x:row>
    <x:row r="471" ht="34" customHeight="1">
      <x:c r="A471" s="73"/>
      <x:c r="B471" s="73"/>
      <x:c r="C471" s="73"/>
      <x:c r="D471" s="73"/>
      <x:c r="E471" s="73"/>
      <x:c r="F471" s="73"/>
      <x:c r="G471" s="73"/>
      <x:c r="H471" s="73"/>
      <x:c r="I471" s="75"/>
      <x:c r="J471" s="73"/>
      <x:c r="K471" s="73"/>
      <x:c r="L471" s="76"/>
      <x:c r="M471" s="73"/>
      <x:c r="N471" s="73"/>
      <x:c r="O471" s="73"/>
      <x:c r="P471" s="73"/>
      <x:c r="Q471" s="76"/>
      <x:c r="R471" s="73"/>
      <x:c r="S471" s="73"/>
      <x:c r="T471" s="73"/>
      <x:c r="U471" s="73"/>
      <x:c r="V471" s="73"/>
      <x:c r="W471" s="73"/>
      <x:c r="X471" s="73"/>
      <x:c r="Y471" s="73"/>
      <x:c r="Z471" s="73"/>
      <x:c r="AA471" s="73"/>
      <x:c r="AB471" s="76" t="str">
        <x:f>IF(A471="","",IF(OR(NOT(ISNUMBER(I471)),I471&lt;0,NOT(ISNUMBER(AP471)),AP471&lt;0,NOT(ISNUMBER(L471)),L471&lt;1,L471&gt;5,L471&lt;&gt;INT(L471),AND(J471&lt;&gt;"Public",J471&lt;&gt;"Partner",J471&lt;&gt;"Internal",J471&lt;&gt;"None"),AND(K471&lt;&gt;"High",K471&lt;&gt;"Medium",K471&lt;&gt;"Low",K471&lt;&gt;"None"),AND(W471&lt;&gt;"Hard-coded",W471&lt;&gt;"Configurable",W471&lt;&gt;"Policy-managed",W471&lt;&gt;"API/Library abstraction",W471&lt;&gt;"Automated"),AND(Z471&lt;&gt;"Y",Z471&lt;&gt;"N"),AND(AA471&lt;&gt;"Y",AA471&lt;&gt;"N")),"Incomplete",IF(Z471="Y",20,0)+L471*5+IF(AA471="Y",15,0)+IF(J471="Public",10,IF(J471="Partner",7,IF(J471="Internal",3,0)))+IF(W471="Hard-coded",10,IF(W471="Configurable",3,0))+IF(MAX(I471,AP471)&gt;=10,10,IF(MAX(I471,AP471)&gt;=5,7,IF(MAX(I471,AP471)&gt;=2,3,0)))+IF(K471="High",10,IF(K471="Medium",5,0))))</x:f>
      </x:c>
      <x:c r="AC471" s="73" t="str">
        <x:f>IF(A471="","",IF(NOT(ISNUMBER(AB471)),"Review inputs",IF(AB471&gt;=70,"P0 - Immediate",IF(AB471&gt;=50,"P1 - High",IF(AB471&gt;=30,"P2 - Medium",IF(AB471&gt;=15,"P3 - Low","P4 - Monitor"))))))</x:f>
      </x:c>
      <x:c r="AD471" s="73"/>
      <x:c r="AE471" s="73"/>
      <x:c r="AF471" s="73"/>
      <x:c r="AG471" s="77"/>
      <x:c r="AH471" s="73"/>
      <x:c r="AI471" s="91"/>
      <x:c r="AJ471" s="91"/>
      <x:c r="AK471" s="91"/>
      <x:c r="AL471" s="92"/>
      <x:c r="AM471" s="91"/>
      <x:c r="AN471" s="91"/>
      <x:c r="AO471" s="93"/>
      <x:c r="AP471" s="94"/>
      <x:c r="AQ471" s="91"/>
      <x:c r="AR471" s="91"/>
      <x:c r="AS471" s="91"/>
      <x:c r="AT471" s="91"/>
      <x:c r="AU471" s="91"/>
      <x:c r="AV471" s="91"/>
      <x:c r="AW471" s="91"/>
      <x:c r="AX471" s="91"/>
      <x:c r="AY471" s="91"/>
      <x:c r="AZ471" s="92"/>
      <x:c r="BA471" s="94"/>
      <x:c r="BB471" s="91"/>
      <x:c r="BC471" s="92"/>
      <x:c r="BD471" s="92"/>
      <x:c r="BE471" s="91"/>
      <x:c r="BF471" s="91"/>
      <x:c r="BG471" s="91"/>
      <x:c r="BH471" s="91"/>
      <x:c r="BI471" s="91"/>
      <x:c r="BJ471" s="91"/>
      <x:c r="BK471" s="91"/>
      <x:c r="BL471" s="91"/>
      <x:c r="BM471" s="73" t="str">
        <x:f>IF(A471="","",IF(AI471="Example","Example only",IF(AI471&lt;&gt;"Actual","Set record type",IF(COUNTIF($A$2:$A$1001,A471)&gt;1,"Duplicate record ID",IF(OR(D471="",E471="",AF471="",NOT(ISNUMBER(AG471)),AJ471="",AK471="",NOT(ISNUMBER(AL471)),AND(AM471&lt;&gt;"Observed",AM471&lt;&gt;"Corroborated",AM471&lt;&gt;"Declared"),OR(AN471="",AN471="Unknown"),OR(AQ471="",AQ471="Unknown"),OR(AR471="",AR471="Unknown",AR471="TBD"),OR(BC471="",NOT(ISNUMBER(BC471)))),"Evidence incomplete","Evidence recorded; review scope")))))</x:f>
      </x:c>
      <x:c r="BN471" s="73"/>
    </x:row>
    <x:row r="472" ht="34" customHeight="1">
      <x:c r="A472" s="73"/>
      <x:c r="B472" s="73"/>
      <x:c r="C472" s="73"/>
      <x:c r="D472" s="73"/>
      <x:c r="E472" s="73"/>
      <x:c r="F472" s="73"/>
      <x:c r="G472" s="73"/>
      <x:c r="H472" s="73"/>
      <x:c r="I472" s="75"/>
      <x:c r="J472" s="73"/>
      <x:c r="K472" s="73"/>
      <x:c r="L472" s="76"/>
      <x:c r="M472" s="73"/>
      <x:c r="N472" s="73"/>
      <x:c r="O472" s="73"/>
      <x:c r="P472" s="73"/>
      <x:c r="Q472" s="76"/>
      <x:c r="R472" s="73"/>
      <x:c r="S472" s="73"/>
      <x:c r="T472" s="73"/>
      <x:c r="U472" s="73"/>
      <x:c r="V472" s="73"/>
      <x:c r="W472" s="73"/>
      <x:c r="X472" s="73"/>
      <x:c r="Y472" s="73"/>
      <x:c r="Z472" s="73"/>
      <x:c r="AA472" s="73"/>
      <x:c r="AB472" s="76" t="str">
        <x:f>IF(A472="","",IF(OR(NOT(ISNUMBER(I472)),I472&lt;0,NOT(ISNUMBER(AP472)),AP472&lt;0,NOT(ISNUMBER(L472)),L472&lt;1,L472&gt;5,L472&lt;&gt;INT(L472),AND(J472&lt;&gt;"Public",J472&lt;&gt;"Partner",J472&lt;&gt;"Internal",J472&lt;&gt;"None"),AND(K472&lt;&gt;"High",K472&lt;&gt;"Medium",K472&lt;&gt;"Low",K472&lt;&gt;"None"),AND(W472&lt;&gt;"Hard-coded",W472&lt;&gt;"Configurable",W472&lt;&gt;"Policy-managed",W472&lt;&gt;"API/Library abstraction",W472&lt;&gt;"Automated"),AND(Z472&lt;&gt;"Y",Z472&lt;&gt;"N"),AND(AA472&lt;&gt;"Y",AA472&lt;&gt;"N")),"Incomplete",IF(Z472="Y",20,0)+L472*5+IF(AA472="Y",15,0)+IF(J472="Public",10,IF(J472="Partner",7,IF(J472="Internal",3,0)))+IF(W472="Hard-coded",10,IF(W472="Configurable",3,0))+IF(MAX(I472,AP472)&gt;=10,10,IF(MAX(I472,AP472)&gt;=5,7,IF(MAX(I472,AP472)&gt;=2,3,0)))+IF(K472="High",10,IF(K472="Medium",5,0))))</x:f>
      </x:c>
      <x:c r="AC472" s="73" t="str">
        <x:f>IF(A472="","",IF(NOT(ISNUMBER(AB472)),"Review inputs",IF(AB472&gt;=70,"P0 - Immediate",IF(AB472&gt;=50,"P1 - High",IF(AB472&gt;=30,"P2 - Medium",IF(AB472&gt;=15,"P3 - Low","P4 - Monitor"))))))</x:f>
      </x:c>
      <x:c r="AD472" s="73"/>
      <x:c r="AE472" s="73"/>
      <x:c r="AF472" s="73"/>
      <x:c r="AG472" s="77"/>
      <x:c r="AH472" s="73"/>
      <x:c r="AI472" s="91"/>
      <x:c r="AJ472" s="91"/>
      <x:c r="AK472" s="91"/>
      <x:c r="AL472" s="92"/>
      <x:c r="AM472" s="91"/>
      <x:c r="AN472" s="91"/>
      <x:c r="AO472" s="93"/>
      <x:c r="AP472" s="94"/>
      <x:c r="AQ472" s="91"/>
      <x:c r="AR472" s="91"/>
      <x:c r="AS472" s="91"/>
      <x:c r="AT472" s="91"/>
      <x:c r="AU472" s="91"/>
      <x:c r="AV472" s="91"/>
      <x:c r="AW472" s="91"/>
      <x:c r="AX472" s="91"/>
      <x:c r="AY472" s="91"/>
      <x:c r="AZ472" s="92"/>
      <x:c r="BA472" s="94"/>
      <x:c r="BB472" s="91"/>
      <x:c r="BC472" s="92"/>
      <x:c r="BD472" s="92"/>
      <x:c r="BE472" s="91"/>
      <x:c r="BF472" s="91"/>
      <x:c r="BG472" s="91"/>
      <x:c r="BH472" s="91"/>
      <x:c r="BI472" s="91"/>
      <x:c r="BJ472" s="91"/>
      <x:c r="BK472" s="91"/>
      <x:c r="BL472" s="91"/>
      <x:c r="BM472" s="73" t="str">
        <x:f>IF(A472="","",IF(AI472="Example","Example only",IF(AI472&lt;&gt;"Actual","Set record type",IF(COUNTIF($A$2:$A$1001,A472)&gt;1,"Duplicate record ID",IF(OR(D472="",E472="",AF472="",NOT(ISNUMBER(AG472)),AJ472="",AK472="",NOT(ISNUMBER(AL472)),AND(AM472&lt;&gt;"Observed",AM472&lt;&gt;"Corroborated",AM472&lt;&gt;"Declared"),OR(AN472="",AN472="Unknown"),OR(AQ472="",AQ472="Unknown"),OR(AR472="",AR472="Unknown",AR472="TBD"),OR(BC472="",NOT(ISNUMBER(BC472)))),"Evidence incomplete","Evidence recorded; review scope")))))</x:f>
      </x:c>
      <x:c r="BN472" s="73"/>
    </x:row>
    <x:row r="473" ht="34" customHeight="1">
      <x:c r="A473" s="73"/>
      <x:c r="B473" s="73"/>
      <x:c r="C473" s="73"/>
      <x:c r="D473" s="73"/>
      <x:c r="E473" s="73"/>
      <x:c r="F473" s="73"/>
      <x:c r="G473" s="73"/>
      <x:c r="H473" s="73"/>
      <x:c r="I473" s="75"/>
      <x:c r="J473" s="73"/>
      <x:c r="K473" s="73"/>
      <x:c r="L473" s="76"/>
      <x:c r="M473" s="73"/>
      <x:c r="N473" s="73"/>
      <x:c r="O473" s="73"/>
      <x:c r="P473" s="73"/>
      <x:c r="Q473" s="76"/>
      <x:c r="R473" s="73"/>
      <x:c r="S473" s="73"/>
      <x:c r="T473" s="73"/>
      <x:c r="U473" s="73"/>
      <x:c r="V473" s="73"/>
      <x:c r="W473" s="73"/>
      <x:c r="X473" s="73"/>
      <x:c r="Y473" s="73"/>
      <x:c r="Z473" s="73"/>
      <x:c r="AA473" s="73"/>
      <x:c r="AB473" s="76" t="str">
        <x:f>IF(A473="","",IF(OR(NOT(ISNUMBER(I473)),I473&lt;0,NOT(ISNUMBER(AP473)),AP473&lt;0,NOT(ISNUMBER(L473)),L473&lt;1,L473&gt;5,L473&lt;&gt;INT(L473),AND(J473&lt;&gt;"Public",J473&lt;&gt;"Partner",J473&lt;&gt;"Internal",J473&lt;&gt;"None"),AND(K473&lt;&gt;"High",K473&lt;&gt;"Medium",K473&lt;&gt;"Low",K473&lt;&gt;"None"),AND(W473&lt;&gt;"Hard-coded",W473&lt;&gt;"Configurable",W473&lt;&gt;"Policy-managed",W473&lt;&gt;"API/Library abstraction",W473&lt;&gt;"Automated"),AND(Z473&lt;&gt;"Y",Z473&lt;&gt;"N"),AND(AA473&lt;&gt;"Y",AA473&lt;&gt;"N")),"Incomplete",IF(Z473="Y",20,0)+L473*5+IF(AA473="Y",15,0)+IF(J473="Public",10,IF(J473="Partner",7,IF(J473="Internal",3,0)))+IF(W473="Hard-coded",10,IF(W473="Configurable",3,0))+IF(MAX(I473,AP473)&gt;=10,10,IF(MAX(I473,AP473)&gt;=5,7,IF(MAX(I473,AP473)&gt;=2,3,0)))+IF(K473="High",10,IF(K473="Medium",5,0))))</x:f>
      </x:c>
      <x:c r="AC473" s="73" t="str">
        <x:f>IF(A473="","",IF(NOT(ISNUMBER(AB473)),"Review inputs",IF(AB473&gt;=70,"P0 - Immediate",IF(AB473&gt;=50,"P1 - High",IF(AB473&gt;=30,"P2 - Medium",IF(AB473&gt;=15,"P3 - Low","P4 - Monitor"))))))</x:f>
      </x:c>
      <x:c r="AD473" s="73"/>
      <x:c r="AE473" s="73"/>
      <x:c r="AF473" s="73"/>
      <x:c r="AG473" s="77"/>
      <x:c r="AH473" s="73"/>
      <x:c r="AI473" s="91"/>
      <x:c r="AJ473" s="91"/>
      <x:c r="AK473" s="91"/>
      <x:c r="AL473" s="92"/>
      <x:c r="AM473" s="91"/>
      <x:c r="AN473" s="91"/>
      <x:c r="AO473" s="93"/>
      <x:c r="AP473" s="94"/>
      <x:c r="AQ473" s="91"/>
      <x:c r="AR473" s="91"/>
      <x:c r="AS473" s="91"/>
      <x:c r="AT473" s="91"/>
      <x:c r="AU473" s="91"/>
      <x:c r="AV473" s="91"/>
      <x:c r="AW473" s="91"/>
      <x:c r="AX473" s="91"/>
      <x:c r="AY473" s="91"/>
      <x:c r="AZ473" s="92"/>
      <x:c r="BA473" s="94"/>
      <x:c r="BB473" s="91"/>
      <x:c r="BC473" s="92"/>
      <x:c r="BD473" s="92"/>
      <x:c r="BE473" s="91"/>
      <x:c r="BF473" s="91"/>
      <x:c r="BG473" s="91"/>
      <x:c r="BH473" s="91"/>
      <x:c r="BI473" s="91"/>
      <x:c r="BJ473" s="91"/>
      <x:c r="BK473" s="91"/>
      <x:c r="BL473" s="91"/>
      <x:c r="BM473" s="73" t="str">
        <x:f>IF(A473="","",IF(AI473="Example","Example only",IF(AI473&lt;&gt;"Actual","Set record type",IF(COUNTIF($A$2:$A$1001,A473)&gt;1,"Duplicate record ID",IF(OR(D473="",E473="",AF473="",NOT(ISNUMBER(AG473)),AJ473="",AK473="",NOT(ISNUMBER(AL473)),AND(AM473&lt;&gt;"Observed",AM473&lt;&gt;"Corroborated",AM473&lt;&gt;"Declared"),OR(AN473="",AN473="Unknown"),OR(AQ473="",AQ473="Unknown"),OR(AR473="",AR473="Unknown",AR473="TBD"),OR(BC473="",NOT(ISNUMBER(BC473)))),"Evidence incomplete","Evidence recorded; review scope")))))</x:f>
      </x:c>
      <x:c r="BN473" s="73"/>
    </x:row>
    <x:row r="474" ht="34" customHeight="1">
      <x:c r="A474" s="73"/>
      <x:c r="B474" s="73"/>
      <x:c r="C474" s="73"/>
      <x:c r="D474" s="73"/>
      <x:c r="E474" s="73"/>
      <x:c r="F474" s="73"/>
      <x:c r="G474" s="73"/>
      <x:c r="H474" s="73"/>
      <x:c r="I474" s="75"/>
      <x:c r="J474" s="73"/>
      <x:c r="K474" s="73"/>
      <x:c r="L474" s="76"/>
      <x:c r="M474" s="73"/>
      <x:c r="N474" s="73"/>
      <x:c r="O474" s="73"/>
      <x:c r="P474" s="73"/>
      <x:c r="Q474" s="76"/>
      <x:c r="R474" s="73"/>
      <x:c r="S474" s="73"/>
      <x:c r="T474" s="73"/>
      <x:c r="U474" s="73"/>
      <x:c r="V474" s="73"/>
      <x:c r="W474" s="73"/>
      <x:c r="X474" s="73"/>
      <x:c r="Y474" s="73"/>
      <x:c r="Z474" s="73"/>
      <x:c r="AA474" s="73"/>
      <x:c r="AB474" s="76" t="str">
        <x:f>IF(A474="","",IF(OR(NOT(ISNUMBER(I474)),I474&lt;0,NOT(ISNUMBER(AP474)),AP474&lt;0,NOT(ISNUMBER(L474)),L474&lt;1,L474&gt;5,L474&lt;&gt;INT(L474),AND(J474&lt;&gt;"Public",J474&lt;&gt;"Partner",J474&lt;&gt;"Internal",J474&lt;&gt;"None"),AND(K474&lt;&gt;"High",K474&lt;&gt;"Medium",K474&lt;&gt;"Low",K474&lt;&gt;"None"),AND(W474&lt;&gt;"Hard-coded",W474&lt;&gt;"Configurable",W474&lt;&gt;"Policy-managed",W474&lt;&gt;"API/Library abstraction",W474&lt;&gt;"Automated"),AND(Z474&lt;&gt;"Y",Z474&lt;&gt;"N"),AND(AA474&lt;&gt;"Y",AA474&lt;&gt;"N")),"Incomplete",IF(Z474="Y",20,0)+L474*5+IF(AA474="Y",15,0)+IF(J474="Public",10,IF(J474="Partner",7,IF(J474="Internal",3,0)))+IF(W474="Hard-coded",10,IF(W474="Configurable",3,0))+IF(MAX(I474,AP474)&gt;=10,10,IF(MAX(I474,AP474)&gt;=5,7,IF(MAX(I474,AP474)&gt;=2,3,0)))+IF(K474="High",10,IF(K474="Medium",5,0))))</x:f>
      </x:c>
      <x:c r="AC474" s="73" t="str">
        <x:f>IF(A474="","",IF(NOT(ISNUMBER(AB474)),"Review inputs",IF(AB474&gt;=70,"P0 - Immediate",IF(AB474&gt;=50,"P1 - High",IF(AB474&gt;=30,"P2 - Medium",IF(AB474&gt;=15,"P3 - Low","P4 - Monitor"))))))</x:f>
      </x:c>
      <x:c r="AD474" s="73"/>
      <x:c r="AE474" s="73"/>
      <x:c r="AF474" s="73"/>
      <x:c r="AG474" s="77"/>
      <x:c r="AH474" s="73"/>
      <x:c r="AI474" s="91"/>
      <x:c r="AJ474" s="91"/>
      <x:c r="AK474" s="91"/>
      <x:c r="AL474" s="92"/>
      <x:c r="AM474" s="91"/>
      <x:c r="AN474" s="91"/>
      <x:c r="AO474" s="93"/>
      <x:c r="AP474" s="94"/>
      <x:c r="AQ474" s="91"/>
      <x:c r="AR474" s="91"/>
      <x:c r="AS474" s="91"/>
      <x:c r="AT474" s="91"/>
      <x:c r="AU474" s="91"/>
      <x:c r="AV474" s="91"/>
      <x:c r="AW474" s="91"/>
      <x:c r="AX474" s="91"/>
      <x:c r="AY474" s="91"/>
      <x:c r="AZ474" s="92"/>
      <x:c r="BA474" s="94"/>
      <x:c r="BB474" s="91"/>
      <x:c r="BC474" s="92"/>
      <x:c r="BD474" s="92"/>
      <x:c r="BE474" s="91"/>
      <x:c r="BF474" s="91"/>
      <x:c r="BG474" s="91"/>
      <x:c r="BH474" s="91"/>
      <x:c r="BI474" s="91"/>
      <x:c r="BJ474" s="91"/>
      <x:c r="BK474" s="91"/>
      <x:c r="BL474" s="91"/>
      <x:c r="BM474" s="73" t="str">
        <x:f>IF(A474="","",IF(AI474="Example","Example only",IF(AI474&lt;&gt;"Actual","Set record type",IF(COUNTIF($A$2:$A$1001,A474)&gt;1,"Duplicate record ID",IF(OR(D474="",E474="",AF474="",NOT(ISNUMBER(AG474)),AJ474="",AK474="",NOT(ISNUMBER(AL474)),AND(AM474&lt;&gt;"Observed",AM474&lt;&gt;"Corroborated",AM474&lt;&gt;"Declared"),OR(AN474="",AN474="Unknown"),OR(AQ474="",AQ474="Unknown"),OR(AR474="",AR474="Unknown",AR474="TBD"),OR(BC474="",NOT(ISNUMBER(BC474)))),"Evidence incomplete","Evidence recorded; review scope")))))</x:f>
      </x:c>
      <x:c r="BN474" s="73"/>
    </x:row>
    <x:row r="475" ht="34" customHeight="1">
      <x:c r="A475" s="73"/>
      <x:c r="B475" s="73"/>
      <x:c r="C475" s="73"/>
      <x:c r="D475" s="73"/>
      <x:c r="E475" s="73"/>
      <x:c r="F475" s="73"/>
      <x:c r="G475" s="73"/>
      <x:c r="H475" s="73"/>
      <x:c r="I475" s="75"/>
      <x:c r="J475" s="73"/>
      <x:c r="K475" s="73"/>
      <x:c r="L475" s="76"/>
      <x:c r="M475" s="73"/>
      <x:c r="N475" s="73"/>
      <x:c r="O475" s="73"/>
      <x:c r="P475" s="73"/>
      <x:c r="Q475" s="76"/>
      <x:c r="R475" s="73"/>
      <x:c r="S475" s="73"/>
      <x:c r="T475" s="73"/>
      <x:c r="U475" s="73"/>
      <x:c r="V475" s="73"/>
      <x:c r="W475" s="73"/>
      <x:c r="X475" s="73"/>
      <x:c r="Y475" s="73"/>
      <x:c r="Z475" s="73"/>
      <x:c r="AA475" s="73"/>
      <x:c r="AB475" s="76" t="str">
        <x:f>IF(A475="","",IF(OR(NOT(ISNUMBER(I475)),I475&lt;0,NOT(ISNUMBER(AP475)),AP475&lt;0,NOT(ISNUMBER(L475)),L475&lt;1,L475&gt;5,L475&lt;&gt;INT(L475),AND(J475&lt;&gt;"Public",J475&lt;&gt;"Partner",J475&lt;&gt;"Internal",J475&lt;&gt;"None"),AND(K475&lt;&gt;"High",K475&lt;&gt;"Medium",K475&lt;&gt;"Low",K475&lt;&gt;"None"),AND(W475&lt;&gt;"Hard-coded",W475&lt;&gt;"Configurable",W475&lt;&gt;"Policy-managed",W475&lt;&gt;"API/Library abstraction",W475&lt;&gt;"Automated"),AND(Z475&lt;&gt;"Y",Z475&lt;&gt;"N"),AND(AA475&lt;&gt;"Y",AA475&lt;&gt;"N")),"Incomplete",IF(Z475="Y",20,0)+L475*5+IF(AA475="Y",15,0)+IF(J475="Public",10,IF(J475="Partner",7,IF(J475="Internal",3,0)))+IF(W475="Hard-coded",10,IF(W475="Configurable",3,0))+IF(MAX(I475,AP475)&gt;=10,10,IF(MAX(I475,AP475)&gt;=5,7,IF(MAX(I475,AP475)&gt;=2,3,0)))+IF(K475="High",10,IF(K475="Medium",5,0))))</x:f>
      </x:c>
      <x:c r="AC475" s="73" t="str">
        <x:f>IF(A475="","",IF(NOT(ISNUMBER(AB475)),"Review inputs",IF(AB475&gt;=70,"P0 - Immediate",IF(AB475&gt;=50,"P1 - High",IF(AB475&gt;=30,"P2 - Medium",IF(AB475&gt;=15,"P3 - Low","P4 - Monitor"))))))</x:f>
      </x:c>
      <x:c r="AD475" s="73"/>
      <x:c r="AE475" s="73"/>
      <x:c r="AF475" s="73"/>
      <x:c r="AG475" s="77"/>
      <x:c r="AH475" s="73"/>
      <x:c r="AI475" s="91"/>
      <x:c r="AJ475" s="91"/>
      <x:c r="AK475" s="91"/>
      <x:c r="AL475" s="92"/>
      <x:c r="AM475" s="91"/>
      <x:c r="AN475" s="91"/>
      <x:c r="AO475" s="93"/>
      <x:c r="AP475" s="94"/>
      <x:c r="AQ475" s="91"/>
      <x:c r="AR475" s="91"/>
      <x:c r="AS475" s="91"/>
      <x:c r="AT475" s="91"/>
      <x:c r="AU475" s="91"/>
      <x:c r="AV475" s="91"/>
      <x:c r="AW475" s="91"/>
      <x:c r="AX475" s="91"/>
      <x:c r="AY475" s="91"/>
      <x:c r="AZ475" s="92"/>
      <x:c r="BA475" s="94"/>
      <x:c r="BB475" s="91"/>
      <x:c r="BC475" s="92"/>
      <x:c r="BD475" s="92"/>
      <x:c r="BE475" s="91"/>
      <x:c r="BF475" s="91"/>
      <x:c r="BG475" s="91"/>
      <x:c r="BH475" s="91"/>
      <x:c r="BI475" s="91"/>
      <x:c r="BJ475" s="91"/>
      <x:c r="BK475" s="91"/>
      <x:c r="BL475" s="91"/>
      <x:c r="BM475" s="73" t="str">
        <x:f>IF(A475="","",IF(AI475="Example","Example only",IF(AI475&lt;&gt;"Actual","Set record type",IF(COUNTIF($A$2:$A$1001,A475)&gt;1,"Duplicate record ID",IF(OR(D475="",E475="",AF475="",NOT(ISNUMBER(AG475)),AJ475="",AK475="",NOT(ISNUMBER(AL475)),AND(AM475&lt;&gt;"Observed",AM475&lt;&gt;"Corroborated",AM475&lt;&gt;"Declared"),OR(AN475="",AN475="Unknown"),OR(AQ475="",AQ475="Unknown"),OR(AR475="",AR475="Unknown",AR475="TBD"),OR(BC475="",NOT(ISNUMBER(BC475)))),"Evidence incomplete","Evidence recorded; review scope")))))</x:f>
      </x:c>
      <x:c r="BN475" s="73"/>
    </x:row>
    <x:row r="476" ht="34" customHeight="1">
      <x:c r="A476" s="73"/>
      <x:c r="B476" s="73"/>
      <x:c r="C476" s="73"/>
      <x:c r="D476" s="73"/>
      <x:c r="E476" s="73"/>
      <x:c r="F476" s="73"/>
      <x:c r="G476" s="73"/>
      <x:c r="H476" s="73"/>
      <x:c r="I476" s="75"/>
      <x:c r="J476" s="73"/>
      <x:c r="K476" s="73"/>
      <x:c r="L476" s="76"/>
      <x:c r="M476" s="73"/>
      <x:c r="N476" s="73"/>
      <x:c r="O476" s="73"/>
      <x:c r="P476" s="73"/>
      <x:c r="Q476" s="76"/>
      <x:c r="R476" s="73"/>
      <x:c r="S476" s="73"/>
      <x:c r="T476" s="73"/>
      <x:c r="U476" s="73"/>
      <x:c r="V476" s="73"/>
      <x:c r="W476" s="73"/>
      <x:c r="X476" s="73"/>
      <x:c r="Y476" s="73"/>
      <x:c r="Z476" s="73"/>
      <x:c r="AA476" s="73"/>
      <x:c r="AB476" s="76" t="str">
        <x:f>IF(A476="","",IF(OR(NOT(ISNUMBER(I476)),I476&lt;0,NOT(ISNUMBER(AP476)),AP476&lt;0,NOT(ISNUMBER(L476)),L476&lt;1,L476&gt;5,L476&lt;&gt;INT(L476),AND(J476&lt;&gt;"Public",J476&lt;&gt;"Partner",J476&lt;&gt;"Internal",J476&lt;&gt;"None"),AND(K476&lt;&gt;"High",K476&lt;&gt;"Medium",K476&lt;&gt;"Low",K476&lt;&gt;"None"),AND(W476&lt;&gt;"Hard-coded",W476&lt;&gt;"Configurable",W476&lt;&gt;"Policy-managed",W476&lt;&gt;"API/Library abstraction",W476&lt;&gt;"Automated"),AND(Z476&lt;&gt;"Y",Z476&lt;&gt;"N"),AND(AA476&lt;&gt;"Y",AA476&lt;&gt;"N")),"Incomplete",IF(Z476="Y",20,0)+L476*5+IF(AA476="Y",15,0)+IF(J476="Public",10,IF(J476="Partner",7,IF(J476="Internal",3,0)))+IF(W476="Hard-coded",10,IF(W476="Configurable",3,0))+IF(MAX(I476,AP476)&gt;=10,10,IF(MAX(I476,AP476)&gt;=5,7,IF(MAX(I476,AP476)&gt;=2,3,0)))+IF(K476="High",10,IF(K476="Medium",5,0))))</x:f>
      </x:c>
      <x:c r="AC476" s="73" t="str">
        <x:f>IF(A476="","",IF(NOT(ISNUMBER(AB476)),"Review inputs",IF(AB476&gt;=70,"P0 - Immediate",IF(AB476&gt;=50,"P1 - High",IF(AB476&gt;=30,"P2 - Medium",IF(AB476&gt;=15,"P3 - Low","P4 - Monitor"))))))</x:f>
      </x:c>
      <x:c r="AD476" s="73"/>
      <x:c r="AE476" s="73"/>
      <x:c r="AF476" s="73"/>
      <x:c r="AG476" s="77"/>
      <x:c r="AH476" s="73"/>
      <x:c r="AI476" s="91"/>
      <x:c r="AJ476" s="91"/>
      <x:c r="AK476" s="91"/>
      <x:c r="AL476" s="92"/>
      <x:c r="AM476" s="91"/>
      <x:c r="AN476" s="91"/>
      <x:c r="AO476" s="93"/>
      <x:c r="AP476" s="94"/>
      <x:c r="AQ476" s="91"/>
      <x:c r="AR476" s="91"/>
      <x:c r="AS476" s="91"/>
      <x:c r="AT476" s="91"/>
      <x:c r="AU476" s="91"/>
      <x:c r="AV476" s="91"/>
      <x:c r="AW476" s="91"/>
      <x:c r="AX476" s="91"/>
      <x:c r="AY476" s="91"/>
      <x:c r="AZ476" s="92"/>
      <x:c r="BA476" s="94"/>
      <x:c r="BB476" s="91"/>
      <x:c r="BC476" s="92"/>
      <x:c r="BD476" s="92"/>
      <x:c r="BE476" s="91"/>
      <x:c r="BF476" s="91"/>
      <x:c r="BG476" s="91"/>
      <x:c r="BH476" s="91"/>
      <x:c r="BI476" s="91"/>
      <x:c r="BJ476" s="91"/>
      <x:c r="BK476" s="91"/>
      <x:c r="BL476" s="91"/>
      <x:c r="BM476" s="73" t="str">
        <x:f>IF(A476="","",IF(AI476="Example","Example only",IF(AI476&lt;&gt;"Actual","Set record type",IF(COUNTIF($A$2:$A$1001,A476)&gt;1,"Duplicate record ID",IF(OR(D476="",E476="",AF476="",NOT(ISNUMBER(AG476)),AJ476="",AK476="",NOT(ISNUMBER(AL476)),AND(AM476&lt;&gt;"Observed",AM476&lt;&gt;"Corroborated",AM476&lt;&gt;"Declared"),OR(AN476="",AN476="Unknown"),OR(AQ476="",AQ476="Unknown"),OR(AR476="",AR476="Unknown",AR476="TBD"),OR(BC476="",NOT(ISNUMBER(BC476)))),"Evidence incomplete","Evidence recorded; review scope")))))</x:f>
      </x:c>
      <x:c r="BN476" s="73"/>
    </x:row>
    <x:row r="477" ht="34" customHeight="1">
      <x:c r="A477" s="73"/>
      <x:c r="B477" s="73"/>
      <x:c r="C477" s="73"/>
      <x:c r="D477" s="73"/>
      <x:c r="E477" s="73"/>
      <x:c r="F477" s="73"/>
      <x:c r="G477" s="73"/>
      <x:c r="H477" s="73"/>
      <x:c r="I477" s="75"/>
      <x:c r="J477" s="73"/>
      <x:c r="K477" s="73"/>
      <x:c r="L477" s="76"/>
      <x:c r="M477" s="73"/>
      <x:c r="N477" s="73"/>
      <x:c r="O477" s="73"/>
      <x:c r="P477" s="73"/>
      <x:c r="Q477" s="76"/>
      <x:c r="R477" s="73"/>
      <x:c r="S477" s="73"/>
      <x:c r="T477" s="73"/>
      <x:c r="U477" s="73"/>
      <x:c r="V477" s="73"/>
      <x:c r="W477" s="73"/>
      <x:c r="X477" s="73"/>
      <x:c r="Y477" s="73"/>
      <x:c r="Z477" s="73"/>
      <x:c r="AA477" s="73"/>
      <x:c r="AB477" s="76" t="str">
        <x:f>IF(A477="","",IF(OR(NOT(ISNUMBER(I477)),I477&lt;0,NOT(ISNUMBER(AP477)),AP477&lt;0,NOT(ISNUMBER(L477)),L477&lt;1,L477&gt;5,L477&lt;&gt;INT(L477),AND(J477&lt;&gt;"Public",J477&lt;&gt;"Partner",J477&lt;&gt;"Internal",J477&lt;&gt;"None"),AND(K477&lt;&gt;"High",K477&lt;&gt;"Medium",K477&lt;&gt;"Low",K477&lt;&gt;"None"),AND(W477&lt;&gt;"Hard-coded",W477&lt;&gt;"Configurable",W477&lt;&gt;"Policy-managed",W477&lt;&gt;"API/Library abstraction",W477&lt;&gt;"Automated"),AND(Z477&lt;&gt;"Y",Z477&lt;&gt;"N"),AND(AA477&lt;&gt;"Y",AA477&lt;&gt;"N")),"Incomplete",IF(Z477="Y",20,0)+L477*5+IF(AA477="Y",15,0)+IF(J477="Public",10,IF(J477="Partner",7,IF(J477="Internal",3,0)))+IF(W477="Hard-coded",10,IF(W477="Configurable",3,0))+IF(MAX(I477,AP477)&gt;=10,10,IF(MAX(I477,AP477)&gt;=5,7,IF(MAX(I477,AP477)&gt;=2,3,0)))+IF(K477="High",10,IF(K477="Medium",5,0))))</x:f>
      </x:c>
      <x:c r="AC477" s="73" t="str">
        <x:f>IF(A477="","",IF(NOT(ISNUMBER(AB477)),"Review inputs",IF(AB477&gt;=70,"P0 - Immediate",IF(AB477&gt;=50,"P1 - High",IF(AB477&gt;=30,"P2 - Medium",IF(AB477&gt;=15,"P3 - Low","P4 - Monitor"))))))</x:f>
      </x:c>
      <x:c r="AD477" s="73"/>
      <x:c r="AE477" s="73"/>
      <x:c r="AF477" s="73"/>
      <x:c r="AG477" s="77"/>
      <x:c r="AH477" s="73"/>
      <x:c r="AI477" s="91"/>
      <x:c r="AJ477" s="91"/>
      <x:c r="AK477" s="91"/>
      <x:c r="AL477" s="92"/>
      <x:c r="AM477" s="91"/>
      <x:c r="AN477" s="91"/>
      <x:c r="AO477" s="93"/>
      <x:c r="AP477" s="94"/>
      <x:c r="AQ477" s="91"/>
      <x:c r="AR477" s="91"/>
      <x:c r="AS477" s="91"/>
      <x:c r="AT477" s="91"/>
      <x:c r="AU477" s="91"/>
      <x:c r="AV477" s="91"/>
      <x:c r="AW477" s="91"/>
      <x:c r="AX477" s="91"/>
      <x:c r="AY477" s="91"/>
      <x:c r="AZ477" s="92"/>
      <x:c r="BA477" s="94"/>
      <x:c r="BB477" s="91"/>
      <x:c r="BC477" s="92"/>
      <x:c r="BD477" s="92"/>
      <x:c r="BE477" s="91"/>
      <x:c r="BF477" s="91"/>
      <x:c r="BG477" s="91"/>
      <x:c r="BH477" s="91"/>
      <x:c r="BI477" s="91"/>
      <x:c r="BJ477" s="91"/>
      <x:c r="BK477" s="91"/>
      <x:c r="BL477" s="91"/>
      <x:c r="BM477" s="73" t="str">
        <x:f>IF(A477="","",IF(AI477="Example","Example only",IF(AI477&lt;&gt;"Actual","Set record type",IF(COUNTIF($A$2:$A$1001,A477)&gt;1,"Duplicate record ID",IF(OR(D477="",E477="",AF477="",NOT(ISNUMBER(AG477)),AJ477="",AK477="",NOT(ISNUMBER(AL477)),AND(AM477&lt;&gt;"Observed",AM477&lt;&gt;"Corroborated",AM477&lt;&gt;"Declared"),OR(AN477="",AN477="Unknown"),OR(AQ477="",AQ477="Unknown"),OR(AR477="",AR477="Unknown",AR477="TBD"),OR(BC477="",NOT(ISNUMBER(BC477)))),"Evidence incomplete","Evidence recorded; review scope")))))</x:f>
      </x:c>
      <x:c r="BN477" s="73"/>
    </x:row>
    <x:row r="478" ht="34" customHeight="1">
      <x:c r="A478" s="73"/>
      <x:c r="B478" s="73"/>
      <x:c r="C478" s="73"/>
      <x:c r="D478" s="73"/>
      <x:c r="E478" s="73"/>
      <x:c r="F478" s="73"/>
      <x:c r="G478" s="73"/>
      <x:c r="H478" s="73"/>
      <x:c r="I478" s="75"/>
      <x:c r="J478" s="73"/>
      <x:c r="K478" s="73"/>
      <x:c r="L478" s="76"/>
      <x:c r="M478" s="73"/>
      <x:c r="N478" s="73"/>
      <x:c r="O478" s="73"/>
      <x:c r="P478" s="73"/>
      <x:c r="Q478" s="76"/>
      <x:c r="R478" s="73"/>
      <x:c r="S478" s="73"/>
      <x:c r="T478" s="73"/>
      <x:c r="U478" s="73"/>
      <x:c r="V478" s="73"/>
      <x:c r="W478" s="73"/>
      <x:c r="X478" s="73"/>
      <x:c r="Y478" s="73"/>
      <x:c r="Z478" s="73"/>
      <x:c r="AA478" s="73"/>
      <x:c r="AB478" s="76" t="str">
        <x:f>IF(A478="","",IF(OR(NOT(ISNUMBER(I478)),I478&lt;0,NOT(ISNUMBER(AP478)),AP478&lt;0,NOT(ISNUMBER(L478)),L478&lt;1,L478&gt;5,L478&lt;&gt;INT(L478),AND(J478&lt;&gt;"Public",J478&lt;&gt;"Partner",J478&lt;&gt;"Internal",J478&lt;&gt;"None"),AND(K478&lt;&gt;"High",K478&lt;&gt;"Medium",K478&lt;&gt;"Low",K478&lt;&gt;"None"),AND(W478&lt;&gt;"Hard-coded",W478&lt;&gt;"Configurable",W478&lt;&gt;"Policy-managed",W478&lt;&gt;"API/Library abstraction",W478&lt;&gt;"Automated"),AND(Z478&lt;&gt;"Y",Z478&lt;&gt;"N"),AND(AA478&lt;&gt;"Y",AA478&lt;&gt;"N")),"Incomplete",IF(Z478="Y",20,0)+L478*5+IF(AA478="Y",15,0)+IF(J478="Public",10,IF(J478="Partner",7,IF(J478="Internal",3,0)))+IF(W478="Hard-coded",10,IF(W478="Configurable",3,0))+IF(MAX(I478,AP478)&gt;=10,10,IF(MAX(I478,AP478)&gt;=5,7,IF(MAX(I478,AP478)&gt;=2,3,0)))+IF(K478="High",10,IF(K478="Medium",5,0))))</x:f>
      </x:c>
      <x:c r="AC478" s="73" t="str">
        <x:f>IF(A478="","",IF(NOT(ISNUMBER(AB478)),"Review inputs",IF(AB478&gt;=70,"P0 - Immediate",IF(AB478&gt;=50,"P1 - High",IF(AB478&gt;=30,"P2 - Medium",IF(AB478&gt;=15,"P3 - Low","P4 - Monitor"))))))</x:f>
      </x:c>
      <x:c r="AD478" s="73"/>
      <x:c r="AE478" s="73"/>
      <x:c r="AF478" s="73"/>
      <x:c r="AG478" s="77"/>
      <x:c r="AH478" s="73"/>
      <x:c r="AI478" s="91"/>
      <x:c r="AJ478" s="91"/>
      <x:c r="AK478" s="91"/>
      <x:c r="AL478" s="92"/>
      <x:c r="AM478" s="91"/>
      <x:c r="AN478" s="91"/>
      <x:c r="AO478" s="93"/>
      <x:c r="AP478" s="94"/>
      <x:c r="AQ478" s="91"/>
      <x:c r="AR478" s="91"/>
      <x:c r="AS478" s="91"/>
      <x:c r="AT478" s="91"/>
      <x:c r="AU478" s="91"/>
      <x:c r="AV478" s="91"/>
      <x:c r="AW478" s="91"/>
      <x:c r="AX478" s="91"/>
      <x:c r="AY478" s="91"/>
      <x:c r="AZ478" s="92"/>
      <x:c r="BA478" s="94"/>
      <x:c r="BB478" s="91"/>
      <x:c r="BC478" s="92"/>
      <x:c r="BD478" s="92"/>
      <x:c r="BE478" s="91"/>
      <x:c r="BF478" s="91"/>
      <x:c r="BG478" s="91"/>
      <x:c r="BH478" s="91"/>
      <x:c r="BI478" s="91"/>
      <x:c r="BJ478" s="91"/>
      <x:c r="BK478" s="91"/>
      <x:c r="BL478" s="91"/>
      <x:c r="BM478" s="73" t="str">
        <x:f>IF(A478="","",IF(AI478="Example","Example only",IF(AI478&lt;&gt;"Actual","Set record type",IF(COUNTIF($A$2:$A$1001,A478)&gt;1,"Duplicate record ID",IF(OR(D478="",E478="",AF478="",NOT(ISNUMBER(AG478)),AJ478="",AK478="",NOT(ISNUMBER(AL478)),AND(AM478&lt;&gt;"Observed",AM478&lt;&gt;"Corroborated",AM478&lt;&gt;"Declared"),OR(AN478="",AN478="Unknown"),OR(AQ478="",AQ478="Unknown"),OR(AR478="",AR478="Unknown",AR478="TBD"),OR(BC478="",NOT(ISNUMBER(BC478)))),"Evidence incomplete","Evidence recorded; review scope")))))</x:f>
      </x:c>
      <x:c r="BN478" s="73"/>
    </x:row>
    <x:row r="479" ht="34" customHeight="1">
      <x:c r="A479" s="73"/>
      <x:c r="B479" s="73"/>
      <x:c r="C479" s="73"/>
      <x:c r="D479" s="73"/>
      <x:c r="E479" s="73"/>
      <x:c r="F479" s="73"/>
      <x:c r="G479" s="73"/>
      <x:c r="H479" s="73"/>
      <x:c r="I479" s="75"/>
      <x:c r="J479" s="73"/>
      <x:c r="K479" s="73"/>
      <x:c r="L479" s="76"/>
      <x:c r="M479" s="73"/>
      <x:c r="N479" s="73"/>
      <x:c r="O479" s="73"/>
      <x:c r="P479" s="73"/>
      <x:c r="Q479" s="76"/>
      <x:c r="R479" s="73"/>
      <x:c r="S479" s="73"/>
      <x:c r="T479" s="73"/>
      <x:c r="U479" s="73"/>
      <x:c r="V479" s="73"/>
      <x:c r="W479" s="73"/>
      <x:c r="X479" s="73"/>
      <x:c r="Y479" s="73"/>
      <x:c r="Z479" s="73"/>
      <x:c r="AA479" s="73"/>
      <x:c r="AB479" s="76" t="str">
        <x:f>IF(A479="","",IF(OR(NOT(ISNUMBER(I479)),I479&lt;0,NOT(ISNUMBER(AP479)),AP479&lt;0,NOT(ISNUMBER(L479)),L479&lt;1,L479&gt;5,L479&lt;&gt;INT(L479),AND(J479&lt;&gt;"Public",J479&lt;&gt;"Partner",J479&lt;&gt;"Internal",J479&lt;&gt;"None"),AND(K479&lt;&gt;"High",K479&lt;&gt;"Medium",K479&lt;&gt;"Low",K479&lt;&gt;"None"),AND(W479&lt;&gt;"Hard-coded",W479&lt;&gt;"Configurable",W479&lt;&gt;"Policy-managed",W479&lt;&gt;"API/Library abstraction",W479&lt;&gt;"Automated"),AND(Z479&lt;&gt;"Y",Z479&lt;&gt;"N"),AND(AA479&lt;&gt;"Y",AA479&lt;&gt;"N")),"Incomplete",IF(Z479="Y",20,0)+L479*5+IF(AA479="Y",15,0)+IF(J479="Public",10,IF(J479="Partner",7,IF(J479="Internal",3,0)))+IF(W479="Hard-coded",10,IF(W479="Configurable",3,0))+IF(MAX(I479,AP479)&gt;=10,10,IF(MAX(I479,AP479)&gt;=5,7,IF(MAX(I479,AP479)&gt;=2,3,0)))+IF(K479="High",10,IF(K479="Medium",5,0))))</x:f>
      </x:c>
      <x:c r="AC479" s="73" t="str">
        <x:f>IF(A479="","",IF(NOT(ISNUMBER(AB479)),"Review inputs",IF(AB479&gt;=70,"P0 - Immediate",IF(AB479&gt;=50,"P1 - High",IF(AB479&gt;=30,"P2 - Medium",IF(AB479&gt;=15,"P3 - Low","P4 - Monitor"))))))</x:f>
      </x:c>
      <x:c r="AD479" s="73"/>
      <x:c r="AE479" s="73"/>
      <x:c r="AF479" s="73"/>
      <x:c r="AG479" s="77"/>
      <x:c r="AH479" s="73"/>
      <x:c r="AI479" s="91"/>
      <x:c r="AJ479" s="91"/>
      <x:c r="AK479" s="91"/>
      <x:c r="AL479" s="92"/>
      <x:c r="AM479" s="91"/>
      <x:c r="AN479" s="91"/>
      <x:c r="AO479" s="93"/>
      <x:c r="AP479" s="94"/>
      <x:c r="AQ479" s="91"/>
      <x:c r="AR479" s="91"/>
      <x:c r="AS479" s="91"/>
      <x:c r="AT479" s="91"/>
      <x:c r="AU479" s="91"/>
      <x:c r="AV479" s="91"/>
      <x:c r="AW479" s="91"/>
      <x:c r="AX479" s="91"/>
      <x:c r="AY479" s="91"/>
      <x:c r="AZ479" s="92"/>
      <x:c r="BA479" s="94"/>
      <x:c r="BB479" s="91"/>
      <x:c r="BC479" s="92"/>
      <x:c r="BD479" s="92"/>
      <x:c r="BE479" s="91"/>
      <x:c r="BF479" s="91"/>
      <x:c r="BG479" s="91"/>
      <x:c r="BH479" s="91"/>
      <x:c r="BI479" s="91"/>
      <x:c r="BJ479" s="91"/>
      <x:c r="BK479" s="91"/>
      <x:c r="BL479" s="91"/>
      <x:c r="BM479" s="73" t="str">
        <x:f>IF(A479="","",IF(AI479="Example","Example only",IF(AI479&lt;&gt;"Actual","Set record type",IF(COUNTIF($A$2:$A$1001,A479)&gt;1,"Duplicate record ID",IF(OR(D479="",E479="",AF479="",NOT(ISNUMBER(AG479)),AJ479="",AK479="",NOT(ISNUMBER(AL479)),AND(AM479&lt;&gt;"Observed",AM479&lt;&gt;"Corroborated",AM479&lt;&gt;"Declared"),OR(AN479="",AN479="Unknown"),OR(AQ479="",AQ479="Unknown"),OR(AR479="",AR479="Unknown",AR479="TBD"),OR(BC479="",NOT(ISNUMBER(BC479)))),"Evidence incomplete","Evidence recorded; review scope")))))</x:f>
      </x:c>
      <x:c r="BN479" s="73"/>
    </x:row>
    <x:row r="480" ht="34" customHeight="1">
      <x:c r="A480" s="73"/>
      <x:c r="B480" s="73"/>
      <x:c r="C480" s="73"/>
      <x:c r="D480" s="73"/>
      <x:c r="E480" s="73"/>
      <x:c r="F480" s="73"/>
      <x:c r="G480" s="73"/>
      <x:c r="H480" s="73"/>
      <x:c r="I480" s="75"/>
      <x:c r="J480" s="73"/>
      <x:c r="K480" s="73"/>
      <x:c r="L480" s="76"/>
      <x:c r="M480" s="73"/>
      <x:c r="N480" s="73"/>
      <x:c r="O480" s="73"/>
      <x:c r="P480" s="73"/>
      <x:c r="Q480" s="76"/>
      <x:c r="R480" s="73"/>
      <x:c r="S480" s="73"/>
      <x:c r="T480" s="73"/>
      <x:c r="U480" s="73"/>
      <x:c r="V480" s="73"/>
      <x:c r="W480" s="73"/>
      <x:c r="X480" s="73"/>
      <x:c r="Y480" s="73"/>
      <x:c r="Z480" s="73"/>
      <x:c r="AA480" s="73"/>
      <x:c r="AB480" s="76" t="str">
        <x:f>IF(A480="","",IF(OR(NOT(ISNUMBER(I480)),I480&lt;0,NOT(ISNUMBER(AP480)),AP480&lt;0,NOT(ISNUMBER(L480)),L480&lt;1,L480&gt;5,L480&lt;&gt;INT(L480),AND(J480&lt;&gt;"Public",J480&lt;&gt;"Partner",J480&lt;&gt;"Internal",J480&lt;&gt;"None"),AND(K480&lt;&gt;"High",K480&lt;&gt;"Medium",K480&lt;&gt;"Low",K480&lt;&gt;"None"),AND(W480&lt;&gt;"Hard-coded",W480&lt;&gt;"Configurable",W480&lt;&gt;"Policy-managed",W480&lt;&gt;"API/Library abstraction",W480&lt;&gt;"Automated"),AND(Z480&lt;&gt;"Y",Z480&lt;&gt;"N"),AND(AA480&lt;&gt;"Y",AA480&lt;&gt;"N")),"Incomplete",IF(Z480="Y",20,0)+L480*5+IF(AA480="Y",15,0)+IF(J480="Public",10,IF(J480="Partner",7,IF(J480="Internal",3,0)))+IF(W480="Hard-coded",10,IF(W480="Configurable",3,0))+IF(MAX(I480,AP480)&gt;=10,10,IF(MAX(I480,AP480)&gt;=5,7,IF(MAX(I480,AP480)&gt;=2,3,0)))+IF(K480="High",10,IF(K480="Medium",5,0))))</x:f>
      </x:c>
      <x:c r="AC480" s="73" t="str">
        <x:f>IF(A480="","",IF(NOT(ISNUMBER(AB480)),"Review inputs",IF(AB480&gt;=70,"P0 - Immediate",IF(AB480&gt;=50,"P1 - High",IF(AB480&gt;=30,"P2 - Medium",IF(AB480&gt;=15,"P3 - Low","P4 - Monitor"))))))</x:f>
      </x:c>
      <x:c r="AD480" s="73"/>
      <x:c r="AE480" s="73"/>
      <x:c r="AF480" s="73"/>
      <x:c r="AG480" s="77"/>
      <x:c r="AH480" s="73"/>
      <x:c r="AI480" s="91"/>
      <x:c r="AJ480" s="91"/>
      <x:c r="AK480" s="91"/>
      <x:c r="AL480" s="92"/>
      <x:c r="AM480" s="91"/>
      <x:c r="AN480" s="91"/>
      <x:c r="AO480" s="93"/>
      <x:c r="AP480" s="94"/>
      <x:c r="AQ480" s="91"/>
      <x:c r="AR480" s="91"/>
      <x:c r="AS480" s="91"/>
      <x:c r="AT480" s="91"/>
      <x:c r="AU480" s="91"/>
      <x:c r="AV480" s="91"/>
      <x:c r="AW480" s="91"/>
      <x:c r="AX480" s="91"/>
      <x:c r="AY480" s="91"/>
      <x:c r="AZ480" s="92"/>
      <x:c r="BA480" s="94"/>
      <x:c r="BB480" s="91"/>
      <x:c r="BC480" s="92"/>
      <x:c r="BD480" s="92"/>
      <x:c r="BE480" s="91"/>
      <x:c r="BF480" s="91"/>
      <x:c r="BG480" s="91"/>
      <x:c r="BH480" s="91"/>
      <x:c r="BI480" s="91"/>
      <x:c r="BJ480" s="91"/>
      <x:c r="BK480" s="91"/>
      <x:c r="BL480" s="91"/>
      <x:c r="BM480" s="73" t="str">
        <x:f>IF(A480="","",IF(AI480="Example","Example only",IF(AI480&lt;&gt;"Actual","Set record type",IF(COUNTIF($A$2:$A$1001,A480)&gt;1,"Duplicate record ID",IF(OR(D480="",E480="",AF480="",NOT(ISNUMBER(AG480)),AJ480="",AK480="",NOT(ISNUMBER(AL480)),AND(AM480&lt;&gt;"Observed",AM480&lt;&gt;"Corroborated",AM480&lt;&gt;"Declared"),OR(AN480="",AN480="Unknown"),OR(AQ480="",AQ480="Unknown"),OR(AR480="",AR480="Unknown",AR480="TBD"),OR(BC480="",NOT(ISNUMBER(BC480)))),"Evidence incomplete","Evidence recorded; review scope")))))</x:f>
      </x:c>
      <x:c r="BN480" s="73"/>
    </x:row>
    <x:row r="481" ht="34" customHeight="1">
      <x:c r="A481" s="73"/>
      <x:c r="B481" s="73"/>
      <x:c r="C481" s="73"/>
      <x:c r="D481" s="73"/>
      <x:c r="E481" s="73"/>
      <x:c r="F481" s="73"/>
      <x:c r="G481" s="73"/>
      <x:c r="H481" s="73"/>
      <x:c r="I481" s="75"/>
      <x:c r="J481" s="73"/>
      <x:c r="K481" s="73"/>
      <x:c r="L481" s="76"/>
      <x:c r="M481" s="73"/>
      <x:c r="N481" s="73"/>
      <x:c r="O481" s="73"/>
      <x:c r="P481" s="73"/>
      <x:c r="Q481" s="76"/>
      <x:c r="R481" s="73"/>
      <x:c r="S481" s="73"/>
      <x:c r="T481" s="73"/>
      <x:c r="U481" s="73"/>
      <x:c r="V481" s="73"/>
      <x:c r="W481" s="73"/>
      <x:c r="X481" s="73"/>
      <x:c r="Y481" s="73"/>
      <x:c r="Z481" s="73"/>
      <x:c r="AA481" s="73"/>
      <x:c r="AB481" s="76" t="str">
        <x:f>IF(A481="","",IF(OR(NOT(ISNUMBER(I481)),I481&lt;0,NOT(ISNUMBER(AP481)),AP481&lt;0,NOT(ISNUMBER(L481)),L481&lt;1,L481&gt;5,L481&lt;&gt;INT(L481),AND(J481&lt;&gt;"Public",J481&lt;&gt;"Partner",J481&lt;&gt;"Internal",J481&lt;&gt;"None"),AND(K481&lt;&gt;"High",K481&lt;&gt;"Medium",K481&lt;&gt;"Low",K481&lt;&gt;"None"),AND(W481&lt;&gt;"Hard-coded",W481&lt;&gt;"Configurable",W481&lt;&gt;"Policy-managed",W481&lt;&gt;"API/Library abstraction",W481&lt;&gt;"Automated"),AND(Z481&lt;&gt;"Y",Z481&lt;&gt;"N"),AND(AA481&lt;&gt;"Y",AA481&lt;&gt;"N")),"Incomplete",IF(Z481="Y",20,0)+L481*5+IF(AA481="Y",15,0)+IF(J481="Public",10,IF(J481="Partner",7,IF(J481="Internal",3,0)))+IF(W481="Hard-coded",10,IF(W481="Configurable",3,0))+IF(MAX(I481,AP481)&gt;=10,10,IF(MAX(I481,AP481)&gt;=5,7,IF(MAX(I481,AP481)&gt;=2,3,0)))+IF(K481="High",10,IF(K481="Medium",5,0))))</x:f>
      </x:c>
      <x:c r="AC481" s="73" t="str">
        <x:f>IF(A481="","",IF(NOT(ISNUMBER(AB481)),"Review inputs",IF(AB481&gt;=70,"P0 - Immediate",IF(AB481&gt;=50,"P1 - High",IF(AB481&gt;=30,"P2 - Medium",IF(AB481&gt;=15,"P3 - Low","P4 - Monitor"))))))</x:f>
      </x:c>
      <x:c r="AD481" s="73"/>
      <x:c r="AE481" s="73"/>
      <x:c r="AF481" s="73"/>
      <x:c r="AG481" s="77"/>
      <x:c r="AH481" s="73"/>
      <x:c r="AI481" s="91"/>
      <x:c r="AJ481" s="91"/>
      <x:c r="AK481" s="91"/>
      <x:c r="AL481" s="92"/>
      <x:c r="AM481" s="91"/>
      <x:c r="AN481" s="91"/>
      <x:c r="AO481" s="93"/>
      <x:c r="AP481" s="94"/>
      <x:c r="AQ481" s="91"/>
      <x:c r="AR481" s="91"/>
      <x:c r="AS481" s="91"/>
      <x:c r="AT481" s="91"/>
      <x:c r="AU481" s="91"/>
      <x:c r="AV481" s="91"/>
      <x:c r="AW481" s="91"/>
      <x:c r="AX481" s="91"/>
      <x:c r="AY481" s="91"/>
      <x:c r="AZ481" s="92"/>
      <x:c r="BA481" s="94"/>
      <x:c r="BB481" s="91"/>
      <x:c r="BC481" s="92"/>
      <x:c r="BD481" s="92"/>
      <x:c r="BE481" s="91"/>
      <x:c r="BF481" s="91"/>
      <x:c r="BG481" s="91"/>
      <x:c r="BH481" s="91"/>
      <x:c r="BI481" s="91"/>
      <x:c r="BJ481" s="91"/>
      <x:c r="BK481" s="91"/>
      <x:c r="BL481" s="91"/>
      <x:c r="BM481" s="73" t="str">
        <x:f>IF(A481="","",IF(AI481="Example","Example only",IF(AI481&lt;&gt;"Actual","Set record type",IF(COUNTIF($A$2:$A$1001,A481)&gt;1,"Duplicate record ID",IF(OR(D481="",E481="",AF481="",NOT(ISNUMBER(AG481)),AJ481="",AK481="",NOT(ISNUMBER(AL481)),AND(AM481&lt;&gt;"Observed",AM481&lt;&gt;"Corroborated",AM481&lt;&gt;"Declared"),OR(AN481="",AN481="Unknown"),OR(AQ481="",AQ481="Unknown"),OR(AR481="",AR481="Unknown",AR481="TBD"),OR(BC481="",NOT(ISNUMBER(BC481)))),"Evidence incomplete","Evidence recorded; review scope")))))</x:f>
      </x:c>
      <x:c r="BN481" s="73"/>
    </x:row>
    <x:row r="482" ht="34" customHeight="1">
      <x:c r="A482" s="73"/>
      <x:c r="B482" s="73"/>
      <x:c r="C482" s="73"/>
      <x:c r="D482" s="73"/>
      <x:c r="E482" s="73"/>
      <x:c r="F482" s="73"/>
      <x:c r="G482" s="73"/>
      <x:c r="H482" s="73"/>
      <x:c r="I482" s="75"/>
      <x:c r="J482" s="73"/>
      <x:c r="K482" s="73"/>
      <x:c r="L482" s="76"/>
      <x:c r="M482" s="73"/>
      <x:c r="N482" s="73"/>
      <x:c r="O482" s="73"/>
      <x:c r="P482" s="73"/>
      <x:c r="Q482" s="76"/>
      <x:c r="R482" s="73"/>
      <x:c r="S482" s="73"/>
      <x:c r="T482" s="73"/>
      <x:c r="U482" s="73"/>
      <x:c r="V482" s="73"/>
      <x:c r="W482" s="73"/>
      <x:c r="X482" s="73"/>
      <x:c r="Y482" s="73"/>
      <x:c r="Z482" s="73"/>
      <x:c r="AA482" s="73"/>
      <x:c r="AB482" s="76" t="str">
        <x:f>IF(A482="","",IF(OR(NOT(ISNUMBER(I482)),I482&lt;0,NOT(ISNUMBER(AP482)),AP482&lt;0,NOT(ISNUMBER(L482)),L482&lt;1,L482&gt;5,L482&lt;&gt;INT(L482),AND(J482&lt;&gt;"Public",J482&lt;&gt;"Partner",J482&lt;&gt;"Internal",J482&lt;&gt;"None"),AND(K482&lt;&gt;"High",K482&lt;&gt;"Medium",K482&lt;&gt;"Low",K482&lt;&gt;"None"),AND(W482&lt;&gt;"Hard-coded",W482&lt;&gt;"Configurable",W482&lt;&gt;"Policy-managed",W482&lt;&gt;"API/Library abstraction",W482&lt;&gt;"Automated"),AND(Z482&lt;&gt;"Y",Z482&lt;&gt;"N"),AND(AA482&lt;&gt;"Y",AA482&lt;&gt;"N")),"Incomplete",IF(Z482="Y",20,0)+L482*5+IF(AA482="Y",15,0)+IF(J482="Public",10,IF(J482="Partner",7,IF(J482="Internal",3,0)))+IF(W482="Hard-coded",10,IF(W482="Configurable",3,0))+IF(MAX(I482,AP482)&gt;=10,10,IF(MAX(I482,AP482)&gt;=5,7,IF(MAX(I482,AP482)&gt;=2,3,0)))+IF(K482="High",10,IF(K482="Medium",5,0))))</x:f>
      </x:c>
      <x:c r="AC482" s="73" t="str">
        <x:f>IF(A482="","",IF(NOT(ISNUMBER(AB482)),"Review inputs",IF(AB482&gt;=70,"P0 - Immediate",IF(AB482&gt;=50,"P1 - High",IF(AB482&gt;=30,"P2 - Medium",IF(AB482&gt;=15,"P3 - Low","P4 - Monitor"))))))</x:f>
      </x:c>
      <x:c r="AD482" s="73"/>
      <x:c r="AE482" s="73"/>
      <x:c r="AF482" s="73"/>
      <x:c r="AG482" s="77"/>
      <x:c r="AH482" s="73"/>
      <x:c r="AI482" s="91"/>
      <x:c r="AJ482" s="91"/>
      <x:c r="AK482" s="91"/>
      <x:c r="AL482" s="92"/>
      <x:c r="AM482" s="91"/>
      <x:c r="AN482" s="91"/>
      <x:c r="AO482" s="93"/>
      <x:c r="AP482" s="94"/>
      <x:c r="AQ482" s="91"/>
      <x:c r="AR482" s="91"/>
      <x:c r="AS482" s="91"/>
      <x:c r="AT482" s="91"/>
      <x:c r="AU482" s="91"/>
      <x:c r="AV482" s="91"/>
      <x:c r="AW482" s="91"/>
      <x:c r="AX482" s="91"/>
      <x:c r="AY482" s="91"/>
      <x:c r="AZ482" s="92"/>
      <x:c r="BA482" s="94"/>
      <x:c r="BB482" s="91"/>
      <x:c r="BC482" s="92"/>
      <x:c r="BD482" s="92"/>
      <x:c r="BE482" s="91"/>
      <x:c r="BF482" s="91"/>
      <x:c r="BG482" s="91"/>
      <x:c r="BH482" s="91"/>
      <x:c r="BI482" s="91"/>
      <x:c r="BJ482" s="91"/>
      <x:c r="BK482" s="91"/>
      <x:c r="BL482" s="91"/>
      <x:c r="BM482" s="73" t="str">
        <x:f>IF(A482="","",IF(AI482="Example","Example only",IF(AI482&lt;&gt;"Actual","Set record type",IF(COUNTIF($A$2:$A$1001,A482)&gt;1,"Duplicate record ID",IF(OR(D482="",E482="",AF482="",NOT(ISNUMBER(AG482)),AJ482="",AK482="",NOT(ISNUMBER(AL482)),AND(AM482&lt;&gt;"Observed",AM482&lt;&gt;"Corroborated",AM482&lt;&gt;"Declared"),OR(AN482="",AN482="Unknown"),OR(AQ482="",AQ482="Unknown"),OR(AR482="",AR482="Unknown",AR482="TBD"),OR(BC482="",NOT(ISNUMBER(BC482)))),"Evidence incomplete","Evidence recorded; review scope")))))</x:f>
      </x:c>
      <x:c r="BN482" s="73"/>
    </x:row>
    <x:row r="483" ht="34" customHeight="1">
      <x:c r="A483" s="73"/>
      <x:c r="B483" s="73"/>
      <x:c r="C483" s="73"/>
      <x:c r="D483" s="73"/>
      <x:c r="E483" s="73"/>
      <x:c r="F483" s="73"/>
      <x:c r="G483" s="73"/>
      <x:c r="H483" s="73"/>
      <x:c r="I483" s="75"/>
      <x:c r="J483" s="73"/>
      <x:c r="K483" s="73"/>
      <x:c r="L483" s="76"/>
      <x:c r="M483" s="73"/>
      <x:c r="N483" s="73"/>
      <x:c r="O483" s="73"/>
      <x:c r="P483" s="73"/>
      <x:c r="Q483" s="76"/>
      <x:c r="R483" s="73"/>
      <x:c r="S483" s="73"/>
      <x:c r="T483" s="73"/>
      <x:c r="U483" s="73"/>
      <x:c r="V483" s="73"/>
      <x:c r="W483" s="73"/>
      <x:c r="X483" s="73"/>
      <x:c r="Y483" s="73"/>
      <x:c r="Z483" s="73"/>
      <x:c r="AA483" s="73"/>
      <x:c r="AB483" s="76" t="str">
        <x:f>IF(A483="","",IF(OR(NOT(ISNUMBER(I483)),I483&lt;0,NOT(ISNUMBER(AP483)),AP483&lt;0,NOT(ISNUMBER(L483)),L483&lt;1,L483&gt;5,L483&lt;&gt;INT(L483),AND(J483&lt;&gt;"Public",J483&lt;&gt;"Partner",J483&lt;&gt;"Internal",J483&lt;&gt;"None"),AND(K483&lt;&gt;"High",K483&lt;&gt;"Medium",K483&lt;&gt;"Low",K483&lt;&gt;"None"),AND(W483&lt;&gt;"Hard-coded",W483&lt;&gt;"Configurable",W483&lt;&gt;"Policy-managed",W483&lt;&gt;"API/Library abstraction",W483&lt;&gt;"Automated"),AND(Z483&lt;&gt;"Y",Z483&lt;&gt;"N"),AND(AA483&lt;&gt;"Y",AA483&lt;&gt;"N")),"Incomplete",IF(Z483="Y",20,0)+L483*5+IF(AA483="Y",15,0)+IF(J483="Public",10,IF(J483="Partner",7,IF(J483="Internal",3,0)))+IF(W483="Hard-coded",10,IF(W483="Configurable",3,0))+IF(MAX(I483,AP483)&gt;=10,10,IF(MAX(I483,AP483)&gt;=5,7,IF(MAX(I483,AP483)&gt;=2,3,0)))+IF(K483="High",10,IF(K483="Medium",5,0))))</x:f>
      </x:c>
      <x:c r="AC483" s="73" t="str">
        <x:f>IF(A483="","",IF(NOT(ISNUMBER(AB483)),"Review inputs",IF(AB483&gt;=70,"P0 - Immediate",IF(AB483&gt;=50,"P1 - High",IF(AB483&gt;=30,"P2 - Medium",IF(AB483&gt;=15,"P3 - Low","P4 - Monitor"))))))</x:f>
      </x:c>
      <x:c r="AD483" s="73"/>
      <x:c r="AE483" s="73"/>
      <x:c r="AF483" s="73"/>
      <x:c r="AG483" s="77"/>
      <x:c r="AH483" s="73"/>
      <x:c r="AI483" s="91"/>
      <x:c r="AJ483" s="91"/>
      <x:c r="AK483" s="91"/>
      <x:c r="AL483" s="92"/>
      <x:c r="AM483" s="91"/>
      <x:c r="AN483" s="91"/>
      <x:c r="AO483" s="93"/>
      <x:c r="AP483" s="94"/>
      <x:c r="AQ483" s="91"/>
      <x:c r="AR483" s="91"/>
      <x:c r="AS483" s="91"/>
      <x:c r="AT483" s="91"/>
      <x:c r="AU483" s="91"/>
      <x:c r="AV483" s="91"/>
      <x:c r="AW483" s="91"/>
      <x:c r="AX483" s="91"/>
      <x:c r="AY483" s="91"/>
      <x:c r="AZ483" s="92"/>
      <x:c r="BA483" s="94"/>
      <x:c r="BB483" s="91"/>
      <x:c r="BC483" s="92"/>
      <x:c r="BD483" s="92"/>
      <x:c r="BE483" s="91"/>
      <x:c r="BF483" s="91"/>
      <x:c r="BG483" s="91"/>
      <x:c r="BH483" s="91"/>
      <x:c r="BI483" s="91"/>
      <x:c r="BJ483" s="91"/>
      <x:c r="BK483" s="91"/>
      <x:c r="BL483" s="91"/>
      <x:c r="BM483" s="73" t="str">
        <x:f>IF(A483="","",IF(AI483="Example","Example only",IF(AI483&lt;&gt;"Actual","Set record type",IF(COUNTIF($A$2:$A$1001,A483)&gt;1,"Duplicate record ID",IF(OR(D483="",E483="",AF483="",NOT(ISNUMBER(AG483)),AJ483="",AK483="",NOT(ISNUMBER(AL483)),AND(AM483&lt;&gt;"Observed",AM483&lt;&gt;"Corroborated",AM483&lt;&gt;"Declared"),OR(AN483="",AN483="Unknown"),OR(AQ483="",AQ483="Unknown"),OR(AR483="",AR483="Unknown",AR483="TBD"),OR(BC483="",NOT(ISNUMBER(BC483)))),"Evidence incomplete","Evidence recorded; review scope")))))</x:f>
      </x:c>
      <x:c r="BN483" s="73"/>
    </x:row>
    <x:row r="484" ht="34" customHeight="1">
      <x:c r="A484" s="73"/>
      <x:c r="B484" s="73"/>
      <x:c r="C484" s="73"/>
      <x:c r="D484" s="73"/>
      <x:c r="E484" s="73"/>
      <x:c r="F484" s="73"/>
      <x:c r="G484" s="73"/>
      <x:c r="H484" s="73"/>
      <x:c r="I484" s="75"/>
      <x:c r="J484" s="73"/>
      <x:c r="K484" s="73"/>
      <x:c r="L484" s="76"/>
      <x:c r="M484" s="73"/>
      <x:c r="N484" s="73"/>
      <x:c r="O484" s="73"/>
      <x:c r="P484" s="73"/>
      <x:c r="Q484" s="76"/>
      <x:c r="R484" s="73"/>
      <x:c r="S484" s="73"/>
      <x:c r="T484" s="73"/>
      <x:c r="U484" s="73"/>
      <x:c r="V484" s="73"/>
      <x:c r="W484" s="73"/>
      <x:c r="X484" s="73"/>
      <x:c r="Y484" s="73"/>
      <x:c r="Z484" s="73"/>
      <x:c r="AA484" s="73"/>
      <x:c r="AB484" s="76" t="str">
        <x:f>IF(A484="","",IF(OR(NOT(ISNUMBER(I484)),I484&lt;0,NOT(ISNUMBER(AP484)),AP484&lt;0,NOT(ISNUMBER(L484)),L484&lt;1,L484&gt;5,L484&lt;&gt;INT(L484),AND(J484&lt;&gt;"Public",J484&lt;&gt;"Partner",J484&lt;&gt;"Internal",J484&lt;&gt;"None"),AND(K484&lt;&gt;"High",K484&lt;&gt;"Medium",K484&lt;&gt;"Low",K484&lt;&gt;"None"),AND(W484&lt;&gt;"Hard-coded",W484&lt;&gt;"Configurable",W484&lt;&gt;"Policy-managed",W484&lt;&gt;"API/Library abstraction",W484&lt;&gt;"Automated"),AND(Z484&lt;&gt;"Y",Z484&lt;&gt;"N"),AND(AA484&lt;&gt;"Y",AA484&lt;&gt;"N")),"Incomplete",IF(Z484="Y",20,0)+L484*5+IF(AA484="Y",15,0)+IF(J484="Public",10,IF(J484="Partner",7,IF(J484="Internal",3,0)))+IF(W484="Hard-coded",10,IF(W484="Configurable",3,0))+IF(MAX(I484,AP484)&gt;=10,10,IF(MAX(I484,AP484)&gt;=5,7,IF(MAX(I484,AP484)&gt;=2,3,0)))+IF(K484="High",10,IF(K484="Medium",5,0))))</x:f>
      </x:c>
      <x:c r="AC484" s="73" t="str">
        <x:f>IF(A484="","",IF(NOT(ISNUMBER(AB484)),"Review inputs",IF(AB484&gt;=70,"P0 - Immediate",IF(AB484&gt;=50,"P1 - High",IF(AB484&gt;=30,"P2 - Medium",IF(AB484&gt;=15,"P3 - Low","P4 - Monitor"))))))</x:f>
      </x:c>
      <x:c r="AD484" s="73"/>
      <x:c r="AE484" s="73"/>
      <x:c r="AF484" s="73"/>
      <x:c r="AG484" s="77"/>
      <x:c r="AH484" s="73"/>
      <x:c r="AI484" s="91"/>
      <x:c r="AJ484" s="91"/>
      <x:c r="AK484" s="91"/>
      <x:c r="AL484" s="92"/>
      <x:c r="AM484" s="91"/>
      <x:c r="AN484" s="91"/>
      <x:c r="AO484" s="93"/>
      <x:c r="AP484" s="94"/>
      <x:c r="AQ484" s="91"/>
      <x:c r="AR484" s="91"/>
      <x:c r="AS484" s="91"/>
      <x:c r="AT484" s="91"/>
      <x:c r="AU484" s="91"/>
      <x:c r="AV484" s="91"/>
      <x:c r="AW484" s="91"/>
      <x:c r="AX484" s="91"/>
      <x:c r="AY484" s="91"/>
      <x:c r="AZ484" s="92"/>
      <x:c r="BA484" s="94"/>
      <x:c r="BB484" s="91"/>
      <x:c r="BC484" s="92"/>
      <x:c r="BD484" s="92"/>
      <x:c r="BE484" s="91"/>
      <x:c r="BF484" s="91"/>
      <x:c r="BG484" s="91"/>
      <x:c r="BH484" s="91"/>
      <x:c r="BI484" s="91"/>
      <x:c r="BJ484" s="91"/>
      <x:c r="BK484" s="91"/>
      <x:c r="BL484" s="91"/>
      <x:c r="BM484" s="73" t="str">
        <x:f>IF(A484="","",IF(AI484="Example","Example only",IF(AI484&lt;&gt;"Actual","Set record type",IF(COUNTIF($A$2:$A$1001,A484)&gt;1,"Duplicate record ID",IF(OR(D484="",E484="",AF484="",NOT(ISNUMBER(AG484)),AJ484="",AK484="",NOT(ISNUMBER(AL484)),AND(AM484&lt;&gt;"Observed",AM484&lt;&gt;"Corroborated",AM484&lt;&gt;"Declared"),OR(AN484="",AN484="Unknown"),OR(AQ484="",AQ484="Unknown"),OR(AR484="",AR484="Unknown",AR484="TBD"),OR(BC484="",NOT(ISNUMBER(BC484)))),"Evidence incomplete","Evidence recorded; review scope")))))</x:f>
      </x:c>
      <x:c r="BN484" s="73"/>
    </x:row>
    <x:row r="485" ht="34" customHeight="1">
      <x:c r="A485" s="73"/>
      <x:c r="B485" s="73"/>
      <x:c r="C485" s="73"/>
      <x:c r="D485" s="73"/>
      <x:c r="E485" s="73"/>
      <x:c r="F485" s="73"/>
      <x:c r="G485" s="73"/>
      <x:c r="H485" s="73"/>
      <x:c r="I485" s="75"/>
      <x:c r="J485" s="73"/>
      <x:c r="K485" s="73"/>
      <x:c r="L485" s="76"/>
      <x:c r="M485" s="73"/>
      <x:c r="N485" s="73"/>
      <x:c r="O485" s="73"/>
      <x:c r="P485" s="73"/>
      <x:c r="Q485" s="76"/>
      <x:c r="R485" s="73"/>
      <x:c r="S485" s="73"/>
      <x:c r="T485" s="73"/>
      <x:c r="U485" s="73"/>
      <x:c r="V485" s="73"/>
      <x:c r="W485" s="73"/>
      <x:c r="X485" s="73"/>
      <x:c r="Y485" s="73"/>
      <x:c r="Z485" s="73"/>
      <x:c r="AA485" s="73"/>
      <x:c r="AB485" s="76" t="str">
        <x:f>IF(A485="","",IF(OR(NOT(ISNUMBER(I485)),I485&lt;0,NOT(ISNUMBER(AP485)),AP485&lt;0,NOT(ISNUMBER(L485)),L485&lt;1,L485&gt;5,L485&lt;&gt;INT(L485),AND(J485&lt;&gt;"Public",J485&lt;&gt;"Partner",J485&lt;&gt;"Internal",J485&lt;&gt;"None"),AND(K485&lt;&gt;"High",K485&lt;&gt;"Medium",K485&lt;&gt;"Low",K485&lt;&gt;"None"),AND(W485&lt;&gt;"Hard-coded",W485&lt;&gt;"Configurable",W485&lt;&gt;"Policy-managed",W485&lt;&gt;"API/Library abstraction",W485&lt;&gt;"Automated"),AND(Z485&lt;&gt;"Y",Z485&lt;&gt;"N"),AND(AA485&lt;&gt;"Y",AA485&lt;&gt;"N")),"Incomplete",IF(Z485="Y",20,0)+L485*5+IF(AA485="Y",15,0)+IF(J485="Public",10,IF(J485="Partner",7,IF(J485="Internal",3,0)))+IF(W485="Hard-coded",10,IF(W485="Configurable",3,0))+IF(MAX(I485,AP485)&gt;=10,10,IF(MAX(I485,AP485)&gt;=5,7,IF(MAX(I485,AP485)&gt;=2,3,0)))+IF(K485="High",10,IF(K485="Medium",5,0))))</x:f>
      </x:c>
      <x:c r="AC485" s="73" t="str">
        <x:f>IF(A485="","",IF(NOT(ISNUMBER(AB485)),"Review inputs",IF(AB485&gt;=70,"P0 - Immediate",IF(AB485&gt;=50,"P1 - High",IF(AB485&gt;=30,"P2 - Medium",IF(AB485&gt;=15,"P3 - Low","P4 - Monitor"))))))</x:f>
      </x:c>
      <x:c r="AD485" s="73"/>
      <x:c r="AE485" s="73"/>
      <x:c r="AF485" s="73"/>
      <x:c r="AG485" s="77"/>
      <x:c r="AH485" s="73"/>
      <x:c r="AI485" s="91"/>
      <x:c r="AJ485" s="91"/>
      <x:c r="AK485" s="91"/>
      <x:c r="AL485" s="92"/>
      <x:c r="AM485" s="91"/>
      <x:c r="AN485" s="91"/>
      <x:c r="AO485" s="93"/>
      <x:c r="AP485" s="94"/>
      <x:c r="AQ485" s="91"/>
      <x:c r="AR485" s="91"/>
      <x:c r="AS485" s="91"/>
      <x:c r="AT485" s="91"/>
      <x:c r="AU485" s="91"/>
      <x:c r="AV485" s="91"/>
      <x:c r="AW485" s="91"/>
      <x:c r="AX485" s="91"/>
      <x:c r="AY485" s="91"/>
      <x:c r="AZ485" s="92"/>
      <x:c r="BA485" s="94"/>
      <x:c r="BB485" s="91"/>
      <x:c r="BC485" s="92"/>
      <x:c r="BD485" s="92"/>
      <x:c r="BE485" s="91"/>
      <x:c r="BF485" s="91"/>
      <x:c r="BG485" s="91"/>
      <x:c r="BH485" s="91"/>
      <x:c r="BI485" s="91"/>
      <x:c r="BJ485" s="91"/>
      <x:c r="BK485" s="91"/>
      <x:c r="BL485" s="91"/>
      <x:c r="BM485" s="73" t="str">
        <x:f>IF(A485="","",IF(AI485="Example","Example only",IF(AI485&lt;&gt;"Actual","Set record type",IF(COUNTIF($A$2:$A$1001,A485)&gt;1,"Duplicate record ID",IF(OR(D485="",E485="",AF485="",NOT(ISNUMBER(AG485)),AJ485="",AK485="",NOT(ISNUMBER(AL485)),AND(AM485&lt;&gt;"Observed",AM485&lt;&gt;"Corroborated",AM485&lt;&gt;"Declared"),OR(AN485="",AN485="Unknown"),OR(AQ485="",AQ485="Unknown"),OR(AR485="",AR485="Unknown",AR485="TBD"),OR(BC485="",NOT(ISNUMBER(BC485)))),"Evidence incomplete","Evidence recorded; review scope")))))</x:f>
      </x:c>
      <x:c r="BN485" s="73"/>
    </x:row>
    <x:row r="486" ht="34" customHeight="1">
      <x:c r="A486" s="73"/>
      <x:c r="B486" s="73"/>
      <x:c r="C486" s="73"/>
      <x:c r="D486" s="73"/>
      <x:c r="E486" s="73"/>
      <x:c r="F486" s="73"/>
      <x:c r="G486" s="73"/>
      <x:c r="H486" s="73"/>
      <x:c r="I486" s="75"/>
      <x:c r="J486" s="73"/>
      <x:c r="K486" s="73"/>
      <x:c r="L486" s="76"/>
      <x:c r="M486" s="73"/>
      <x:c r="N486" s="73"/>
      <x:c r="O486" s="73"/>
      <x:c r="P486" s="73"/>
      <x:c r="Q486" s="76"/>
      <x:c r="R486" s="73"/>
      <x:c r="S486" s="73"/>
      <x:c r="T486" s="73"/>
      <x:c r="U486" s="73"/>
      <x:c r="V486" s="73"/>
      <x:c r="W486" s="73"/>
      <x:c r="X486" s="73"/>
      <x:c r="Y486" s="73"/>
      <x:c r="Z486" s="73"/>
      <x:c r="AA486" s="73"/>
      <x:c r="AB486" s="76" t="str">
        <x:f>IF(A486="","",IF(OR(NOT(ISNUMBER(I486)),I486&lt;0,NOT(ISNUMBER(AP486)),AP486&lt;0,NOT(ISNUMBER(L486)),L486&lt;1,L486&gt;5,L486&lt;&gt;INT(L486),AND(J486&lt;&gt;"Public",J486&lt;&gt;"Partner",J486&lt;&gt;"Internal",J486&lt;&gt;"None"),AND(K486&lt;&gt;"High",K486&lt;&gt;"Medium",K486&lt;&gt;"Low",K486&lt;&gt;"None"),AND(W486&lt;&gt;"Hard-coded",W486&lt;&gt;"Configurable",W486&lt;&gt;"Policy-managed",W486&lt;&gt;"API/Library abstraction",W486&lt;&gt;"Automated"),AND(Z486&lt;&gt;"Y",Z486&lt;&gt;"N"),AND(AA486&lt;&gt;"Y",AA486&lt;&gt;"N")),"Incomplete",IF(Z486="Y",20,0)+L486*5+IF(AA486="Y",15,0)+IF(J486="Public",10,IF(J486="Partner",7,IF(J486="Internal",3,0)))+IF(W486="Hard-coded",10,IF(W486="Configurable",3,0))+IF(MAX(I486,AP486)&gt;=10,10,IF(MAX(I486,AP486)&gt;=5,7,IF(MAX(I486,AP486)&gt;=2,3,0)))+IF(K486="High",10,IF(K486="Medium",5,0))))</x:f>
      </x:c>
      <x:c r="AC486" s="73" t="str">
        <x:f>IF(A486="","",IF(NOT(ISNUMBER(AB486)),"Review inputs",IF(AB486&gt;=70,"P0 - Immediate",IF(AB486&gt;=50,"P1 - High",IF(AB486&gt;=30,"P2 - Medium",IF(AB486&gt;=15,"P3 - Low","P4 - Monitor"))))))</x:f>
      </x:c>
      <x:c r="AD486" s="73"/>
      <x:c r="AE486" s="73"/>
      <x:c r="AF486" s="73"/>
      <x:c r="AG486" s="77"/>
      <x:c r="AH486" s="73"/>
      <x:c r="AI486" s="91"/>
      <x:c r="AJ486" s="91"/>
      <x:c r="AK486" s="91"/>
      <x:c r="AL486" s="92"/>
      <x:c r="AM486" s="91"/>
      <x:c r="AN486" s="91"/>
      <x:c r="AO486" s="93"/>
      <x:c r="AP486" s="94"/>
      <x:c r="AQ486" s="91"/>
      <x:c r="AR486" s="91"/>
      <x:c r="AS486" s="91"/>
      <x:c r="AT486" s="91"/>
      <x:c r="AU486" s="91"/>
      <x:c r="AV486" s="91"/>
      <x:c r="AW486" s="91"/>
      <x:c r="AX486" s="91"/>
      <x:c r="AY486" s="91"/>
      <x:c r="AZ486" s="92"/>
      <x:c r="BA486" s="94"/>
      <x:c r="BB486" s="91"/>
      <x:c r="BC486" s="92"/>
      <x:c r="BD486" s="92"/>
      <x:c r="BE486" s="91"/>
      <x:c r="BF486" s="91"/>
      <x:c r="BG486" s="91"/>
      <x:c r="BH486" s="91"/>
      <x:c r="BI486" s="91"/>
      <x:c r="BJ486" s="91"/>
      <x:c r="BK486" s="91"/>
      <x:c r="BL486" s="91"/>
      <x:c r="BM486" s="73" t="str">
        <x:f>IF(A486="","",IF(AI486="Example","Example only",IF(AI486&lt;&gt;"Actual","Set record type",IF(COUNTIF($A$2:$A$1001,A486)&gt;1,"Duplicate record ID",IF(OR(D486="",E486="",AF486="",NOT(ISNUMBER(AG486)),AJ486="",AK486="",NOT(ISNUMBER(AL486)),AND(AM486&lt;&gt;"Observed",AM486&lt;&gt;"Corroborated",AM486&lt;&gt;"Declared"),OR(AN486="",AN486="Unknown"),OR(AQ486="",AQ486="Unknown"),OR(AR486="",AR486="Unknown",AR486="TBD"),OR(BC486="",NOT(ISNUMBER(BC486)))),"Evidence incomplete","Evidence recorded; review scope")))))</x:f>
      </x:c>
      <x:c r="BN486" s="73"/>
    </x:row>
    <x:row r="487" ht="34" customHeight="1">
      <x:c r="A487" s="73"/>
      <x:c r="B487" s="73"/>
      <x:c r="C487" s="73"/>
      <x:c r="D487" s="73"/>
      <x:c r="E487" s="73"/>
      <x:c r="F487" s="73"/>
      <x:c r="G487" s="73"/>
      <x:c r="H487" s="73"/>
      <x:c r="I487" s="75"/>
      <x:c r="J487" s="73"/>
      <x:c r="K487" s="73"/>
      <x:c r="L487" s="76"/>
      <x:c r="M487" s="73"/>
      <x:c r="N487" s="73"/>
      <x:c r="O487" s="73"/>
      <x:c r="P487" s="73"/>
      <x:c r="Q487" s="76"/>
      <x:c r="R487" s="73"/>
      <x:c r="S487" s="73"/>
      <x:c r="T487" s="73"/>
      <x:c r="U487" s="73"/>
      <x:c r="V487" s="73"/>
      <x:c r="W487" s="73"/>
      <x:c r="X487" s="73"/>
      <x:c r="Y487" s="73"/>
      <x:c r="Z487" s="73"/>
      <x:c r="AA487" s="73"/>
      <x:c r="AB487" s="76" t="str">
        <x:f>IF(A487="","",IF(OR(NOT(ISNUMBER(I487)),I487&lt;0,NOT(ISNUMBER(AP487)),AP487&lt;0,NOT(ISNUMBER(L487)),L487&lt;1,L487&gt;5,L487&lt;&gt;INT(L487),AND(J487&lt;&gt;"Public",J487&lt;&gt;"Partner",J487&lt;&gt;"Internal",J487&lt;&gt;"None"),AND(K487&lt;&gt;"High",K487&lt;&gt;"Medium",K487&lt;&gt;"Low",K487&lt;&gt;"None"),AND(W487&lt;&gt;"Hard-coded",W487&lt;&gt;"Configurable",W487&lt;&gt;"Policy-managed",W487&lt;&gt;"API/Library abstraction",W487&lt;&gt;"Automated"),AND(Z487&lt;&gt;"Y",Z487&lt;&gt;"N"),AND(AA487&lt;&gt;"Y",AA487&lt;&gt;"N")),"Incomplete",IF(Z487="Y",20,0)+L487*5+IF(AA487="Y",15,0)+IF(J487="Public",10,IF(J487="Partner",7,IF(J487="Internal",3,0)))+IF(W487="Hard-coded",10,IF(W487="Configurable",3,0))+IF(MAX(I487,AP487)&gt;=10,10,IF(MAX(I487,AP487)&gt;=5,7,IF(MAX(I487,AP487)&gt;=2,3,0)))+IF(K487="High",10,IF(K487="Medium",5,0))))</x:f>
      </x:c>
      <x:c r="AC487" s="73" t="str">
        <x:f>IF(A487="","",IF(NOT(ISNUMBER(AB487)),"Review inputs",IF(AB487&gt;=70,"P0 - Immediate",IF(AB487&gt;=50,"P1 - High",IF(AB487&gt;=30,"P2 - Medium",IF(AB487&gt;=15,"P3 - Low","P4 - Monitor"))))))</x:f>
      </x:c>
      <x:c r="AD487" s="73"/>
      <x:c r="AE487" s="73"/>
      <x:c r="AF487" s="73"/>
      <x:c r="AG487" s="77"/>
      <x:c r="AH487" s="73"/>
      <x:c r="AI487" s="91"/>
      <x:c r="AJ487" s="91"/>
      <x:c r="AK487" s="91"/>
      <x:c r="AL487" s="92"/>
      <x:c r="AM487" s="91"/>
      <x:c r="AN487" s="91"/>
      <x:c r="AO487" s="93"/>
      <x:c r="AP487" s="94"/>
      <x:c r="AQ487" s="91"/>
      <x:c r="AR487" s="91"/>
      <x:c r="AS487" s="91"/>
      <x:c r="AT487" s="91"/>
      <x:c r="AU487" s="91"/>
      <x:c r="AV487" s="91"/>
      <x:c r="AW487" s="91"/>
      <x:c r="AX487" s="91"/>
      <x:c r="AY487" s="91"/>
      <x:c r="AZ487" s="92"/>
      <x:c r="BA487" s="94"/>
      <x:c r="BB487" s="91"/>
      <x:c r="BC487" s="92"/>
      <x:c r="BD487" s="92"/>
      <x:c r="BE487" s="91"/>
      <x:c r="BF487" s="91"/>
      <x:c r="BG487" s="91"/>
      <x:c r="BH487" s="91"/>
      <x:c r="BI487" s="91"/>
      <x:c r="BJ487" s="91"/>
      <x:c r="BK487" s="91"/>
      <x:c r="BL487" s="91"/>
      <x:c r="BM487" s="73" t="str">
        <x:f>IF(A487="","",IF(AI487="Example","Example only",IF(AI487&lt;&gt;"Actual","Set record type",IF(COUNTIF($A$2:$A$1001,A487)&gt;1,"Duplicate record ID",IF(OR(D487="",E487="",AF487="",NOT(ISNUMBER(AG487)),AJ487="",AK487="",NOT(ISNUMBER(AL487)),AND(AM487&lt;&gt;"Observed",AM487&lt;&gt;"Corroborated",AM487&lt;&gt;"Declared"),OR(AN487="",AN487="Unknown"),OR(AQ487="",AQ487="Unknown"),OR(AR487="",AR487="Unknown",AR487="TBD"),OR(BC487="",NOT(ISNUMBER(BC487)))),"Evidence incomplete","Evidence recorded; review scope")))))</x:f>
      </x:c>
      <x:c r="BN487" s="73"/>
    </x:row>
    <x:row r="488" ht="34" customHeight="1">
      <x:c r="A488" s="73"/>
      <x:c r="B488" s="73"/>
      <x:c r="C488" s="73"/>
      <x:c r="D488" s="73"/>
      <x:c r="E488" s="73"/>
      <x:c r="F488" s="73"/>
      <x:c r="G488" s="73"/>
      <x:c r="H488" s="73"/>
      <x:c r="I488" s="75"/>
      <x:c r="J488" s="73"/>
      <x:c r="K488" s="73"/>
      <x:c r="L488" s="76"/>
      <x:c r="M488" s="73"/>
      <x:c r="N488" s="73"/>
      <x:c r="O488" s="73"/>
      <x:c r="P488" s="73"/>
      <x:c r="Q488" s="76"/>
      <x:c r="R488" s="73"/>
      <x:c r="S488" s="73"/>
      <x:c r="T488" s="73"/>
      <x:c r="U488" s="73"/>
      <x:c r="V488" s="73"/>
      <x:c r="W488" s="73"/>
      <x:c r="X488" s="73"/>
      <x:c r="Y488" s="73"/>
      <x:c r="Z488" s="73"/>
      <x:c r="AA488" s="73"/>
      <x:c r="AB488" s="76" t="str">
        <x:f>IF(A488="","",IF(OR(NOT(ISNUMBER(I488)),I488&lt;0,NOT(ISNUMBER(AP488)),AP488&lt;0,NOT(ISNUMBER(L488)),L488&lt;1,L488&gt;5,L488&lt;&gt;INT(L488),AND(J488&lt;&gt;"Public",J488&lt;&gt;"Partner",J488&lt;&gt;"Internal",J488&lt;&gt;"None"),AND(K488&lt;&gt;"High",K488&lt;&gt;"Medium",K488&lt;&gt;"Low",K488&lt;&gt;"None"),AND(W488&lt;&gt;"Hard-coded",W488&lt;&gt;"Configurable",W488&lt;&gt;"Policy-managed",W488&lt;&gt;"API/Library abstraction",W488&lt;&gt;"Automated"),AND(Z488&lt;&gt;"Y",Z488&lt;&gt;"N"),AND(AA488&lt;&gt;"Y",AA488&lt;&gt;"N")),"Incomplete",IF(Z488="Y",20,0)+L488*5+IF(AA488="Y",15,0)+IF(J488="Public",10,IF(J488="Partner",7,IF(J488="Internal",3,0)))+IF(W488="Hard-coded",10,IF(W488="Configurable",3,0))+IF(MAX(I488,AP488)&gt;=10,10,IF(MAX(I488,AP488)&gt;=5,7,IF(MAX(I488,AP488)&gt;=2,3,0)))+IF(K488="High",10,IF(K488="Medium",5,0))))</x:f>
      </x:c>
      <x:c r="AC488" s="73" t="str">
        <x:f>IF(A488="","",IF(NOT(ISNUMBER(AB488)),"Review inputs",IF(AB488&gt;=70,"P0 - Immediate",IF(AB488&gt;=50,"P1 - High",IF(AB488&gt;=30,"P2 - Medium",IF(AB488&gt;=15,"P3 - Low","P4 - Monitor"))))))</x:f>
      </x:c>
      <x:c r="AD488" s="73"/>
      <x:c r="AE488" s="73"/>
      <x:c r="AF488" s="73"/>
      <x:c r="AG488" s="77"/>
      <x:c r="AH488" s="73"/>
      <x:c r="AI488" s="91"/>
      <x:c r="AJ488" s="91"/>
      <x:c r="AK488" s="91"/>
      <x:c r="AL488" s="92"/>
      <x:c r="AM488" s="91"/>
      <x:c r="AN488" s="91"/>
      <x:c r="AO488" s="93"/>
      <x:c r="AP488" s="94"/>
      <x:c r="AQ488" s="91"/>
      <x:c r="AR488" s="91"/>
      <x:c r="AS488" s="91"/>
      <x:c r="AT488" s="91"/>
      <x:c r="AU488" s="91"/>
      <x:c r="AV488" s="91"/>
      <x:c r="AW488" s="91"/>
      <x:c r="AX488" s="91"/>
      <x:c r="AY488" s="91"/>
      <x:c r="AZ488" s="92"/>
      <x:c r="BA488" s="94"/>
      <x:c r="BB488" s="91"/>
      <x:c r="BC488" s="92"/>
      <x:c r="BD488" s="92"/>
      <x:c r="BE488" s="91"/>
      <x:c r="BF488" s="91"/>
      <x:c r="BG488" s="91"/>
      <x:c r="BH488" s="91"/>
      <x:c r="BI488" s="91"/>
      <x:c r="BJ488" s="91"/>
      <x:c r="BK488" s="91"/>
      <x:c r="BL488" s="91"/>
      <x:c r="BM488" s="73" t="str">
        <x:f>IF(A488="","",IF(AI488="Example","Example only",IF(AI488&lt;&gt;"Actual","Set record type",IF(COUNTIF($A$2:$A$1001,A488)&gt;1,"Duplicate record ID",IF(OR(D488="",E488="",AF488="",NOT(ISNUMBER(AG488)),AJ488="",AK488="",NOT(ISNUMBER(AL488)),AND(AM488&lt;&gt;"Observed",AM488&lt;&gt;"Corroborated",AM488&lt;&gt;"Declared"),OR(AN488="",AN488="Unknown"),OR(AQ488="",AQ488="Unknown"),OR(AR488="",AR488="Unknown",AR488="TBD"),OR(BC488="",NOT(ISNUMBER(BC488)))),"Evidence incomplete","Evidence recorded; review scope")))))</x:f>
      </x:c>
      <x:c r="BN488" s="73"/>
    </x:row>
    <x:row r="489" ht="34" customHeight="1">
      <x:c r="A489" s="73"/>
      <x:c r="B489" s="73"/>
      <x:c r="C489" s="73"/>
      <x:c r="D489" s="73"/>
      <x:c r="E489" s="73"/>
      <x:c r="F489" s="73"/>
      <x:c r="G489" s="73"/>
      <x:c r="H489" s="73"/>
      <x:c r="I489" s="75"/>
      <x:c r="J489" s="73"/>
      <x:c r="K489" s="73"/>
      <x:c r="L489" s="76"/>
      <x:c r="M489" s="73"/>
      <x:c r="N489" s="73"/>
      <x:c r="O489" s="73"/>
      <x:c r="P489" s="73"/>
      <x:c r="Q489" s="76"/>
      <x:c r="R489" s="73"/>
      <x:c r="S489" s="73"/>
      <x:c r="T489" s="73"/>
      <x:c r="U489" s="73"/>
      <x:c r="V489" s="73"/>
      <x:c r="W489" s="73"/>
      <x:c r="X489" s="73"/>
      <x:c r="Y489" s="73"/>
      <x:c r="Z489" s="73"/>
      <x:c r="AA489" s="73"/>
      <x:c r="AB489" s="76" t="str">
        <x:f>IF(A489="","",IF(OR(NOT(ISNUMBER(I489)),I489&lt;0,NOT(ISNUMBER(AP489)),AP489&lt;0,NOT(ISNUMBER(L489)),L489&lt;1,L489&gt;5,L489&lt;&gt;INT(L489),AND(J489&lt;&gt;"Public",J489&lt;&gt;"Partner",J489&lt;&gt;"Internal",J489&lt;&gt;"None"),AND(K489&lt;&gt;"High",K489&lt;&gt;"Medium",K489&lt;&gt;"Low",K489&lt;&gt;"None"),AND(W489&lt;&gt;"Hard-coded",W489&lt;&gt;"Configurable",W489&lt;&gt;"Policy-managed",W489&lt;&gt;"API/Library abstraction",W489&lt;&gt;"Automated"),AND(Z489&lt;&gt;"Y",Z489&lt;&gt;"N"),AND(AA489&lt;&gt;"Y",AA489&lt;&gt;"N")),"Incomplete",IF(Z489="Y",20,0)+L489*5+IF(AA489="Y",15,0)+IF(J489="Public",10,IF(J489="Partner",7,IF(J489="Internal",3,0)))+IF(W489="Hard-coded",10,IF(W489="Configurable",3,0))+IF(MAX(I489,AP489)&gt;=10,10,IF(MAX(I489,AP489)&gt;=5,7,IF(MAX(I489,AP489)&gt;=2,3,0)))+IF(K489="High",10,IF(K489="Medium",5,0))))</x:f>
      </x:c>
      <x:c r="AC489" s="73" t="str">
        <x:f>IF(A489="","",IF(NOT(ISNUMBER(AB489)),"Review inputs",IF(AB489&gt;=70,"P0 - Immediate",IF(AB489&gt;=50,"P1 - High",IF(AB489&gt;=30,"P2 - Medium",IF(AB489&gt;=15,"P3 - Low","P4 - Monitor"))))))</x:f>
      </x:c>
      <x:c r="AD489" s="73"/>
      <x:c r="AE489" s="73"/>
      <x:c r="AF489" s="73"/>
      <x:c r="AG489" s="77"/>
      <x:c r="AH489" s="73"/>
      <x:c r="AI489" s="91"/>
      <x:c r="AJ489" s="91"/>
      <x:c r="AK489" s="91"/>
      <x:c r="AL489" s="92"/>
      <x:c r="AM489" s="91"/>
      <x:c r="AN489" s="91"/>
      <x:c r="AO489" s="93"/>
      <x:c r="AP489" s="94"/>
      <x:c r="AQ489" s="91"/>
      <x:c r="AR489" s="91"/>
      <x:c r="AS489" s="91"/>
      <x:c r="AT489" s="91"/>
      <x:c r="AU489" s="91"/>
      <x:c r="AV489" s="91"/>
      <x:c r="AW489" s="91"/>
      <x:c r="AX489" s="91"/>
      <x:c r="AY489" s="91"/>
      <x:c r="AZ489" s="92"/>
      <x:c r="BA489" s="94"/>
      <x:c r="BB489" s="91"/>
      <x:c r="BC489" s="92"/>
      <x:c r="BD489" s="92"/>
      <x:c r="BE489" s="91"/>
      <x:c r="BF489" s="91"/>
      <x:c r="BG489" s="91"/>
      <x:c r="BH489" s="91"/>
      <x:c r="BI489" s="91"/>
      <x:c r="BJ489" s="91"/>
      <x:c r="BK489" s="91"/>
      <x:c r="BL489" s="91"/>
      <x:c r="BM489" s="73" t="str">
        <x:f>IF(A489="","",IF(AI489="Example","Example only",IF(AI489&lt;&gt;"Actual","Set record type",IF(COUNTIF($A$2:$A$1001,A489)&gt;1,"Duplicate record ID",IF(OR(D489="",E489="",AF489="",NOT(ISNUMBER(AG489)),AJ489="",AK489="",NOT(ISNUMBER(AL489)),AND(AM489&lt;&gt;"Observed",AM489&lt;&gt;"Corroborated",AM489&lt;&gt;"Declared"),OR(AN489="",AN489="Unknown"),OR(AQ489="",AQ489="Unknown"),OR(AR489="",AR489="Unknown",AR489="TBD"),OR(BC489="",NOT(ISNUMBER(BC489)))),"Evidence incomplete","Evidence recorded; review scope")))))</x:f>
      </x:c>
      <x:c r="BN489" s="73"/>
    </x:row>
    <x:row r="490" ht="34" customHeight="1">
      <x:c r="A490" s="73"/>
      <x:c r="B490" s="73"/>
      <x:c r="C490" s="73"/>
      <x:c r="D490" s="73"/>
      <x:c r="E490" s="73"/>
      <x:c r="F490" s="73"/>
      <x:c r="G490" s="73"/>
      <x:c r="H490" s="73"/>
      <x:c r="I490" s="75"/>
      <x:c r="J490" s="73"/>
      <x:c r="K490" s="73"/>
      <x:c r="L490" s="76"/>
      <x:c r="M490" s="73"/>
      <x:c r="N490" s="73"/>
      <x:c r="O490" s="73"/>
      <x:c r="P490" s="73"/>
      <x:c r="Q490" s="76"/>
      <x:c r="R490" s="73"/>
      <x:c r="S490" s="73"/>
      <x:c r="T490" s="73"/>
      <x:c r="U490" s="73"/>
      <x:c r="V490" s="73"/>
      <x:c r="W490" s="73"/>
      <x:c r="X490" s="73"/>
      <x:c r="Y490" s="73"/>
      <x:c r="Z490" s="73"/>
      <x:c r="AA490" s="73"/>
      <x:c r="AB490" s="76" t="str">
        <x:f>IF(A490="","",IF(OR(NOT(ISNUMBER(I490)),I490&lt;0,NOT(ISNUMBER(AP490)),AP490&lt;0,NOT(ISNUMBER(L490)),L490&lt;1,L490&gt;5,L490&lt;&gt;INT(L490),AND(J490&lt;&gt;"Public",J490&lt;&gt;"Partner",J490&lt;&gt;"Internal",J490&lt;&gt;"None"),AND(K490&lt;&gt;"High",K490&lt;&gt;"Medium",K490&lt;&gt;"Low",K490&lt;&gt;"None"),AND(W490&lt;&gt;"Hard-coded",W490&lt;&gt;"Configurable",W490&lt;&gt;"Policy-managed",W490&lt;&gt;"API/Library abstraction",W490&lt;&gt;"Automated"),AND(Z490&lt;&gt;"Y",Z490&lt;&gt;"N"),AND(AA490&lt;&gt;"Y",AA490&lt;&gt;"N")),"Incomplete",IF(Z490="Y",20,0)+L490*5+IF(AA490="Y",15,0)+IF(J490="Public",10,IF(J490="Partner",7,IF(J490="Internal",3,0)))+IF(W490="Hard-coded",10,IF(W490="Configurable",3,0))+IF(MAX(I490,AP490)&gt;=10,10,IF(MAX(I490,AP490)&gt;=5,7,IF(MAX(I490,AP490)&gt;=2,3,0)))+IF(K490="High",10,IF(K490="Medium",5,0))))</x:f>
      </x:c>
      <x:c r="AC490" s="73" t="str">
        <x:f>IF(A490="","",IF(NOT(ISNUMBER(AB490)),"Review inputs",IF(AB490&gt;=70,"P0 - Immediate",IF(AB490&gt;=50,"P1 - High",IF(AB490&gt;=30,"P2 - Medium",IF(AB490&gt;=15,"P3 - Low","P4 - Monitor"))))))</x:f>
      </x:c>
      <x:c r="AD490" s="73"/>
      <x:c r="AE490" s="73"/>
      <x:c r="AF490" s="73"/>
      <x:c r="AG490" s="77"/>
      <x:c r="AH490" s="73"/>
      <x:c r="AI490" s="91"/>
      <x:c r="AJ490" s="91"/>
      <x:c r="AK490" s="91"/>
      <x:c r="AL490" s="92"/>
      <x:c r="AM490" s="91"/>
      <x:c r="AN490" s="91"/>
      <x:c r="AO490" s="93"/>
      <x:c r="AP490" s="94"/>
      <x:c r="AQ490" s="91"/>
      <x:c r="AR490" s="91"/>
      <x:c r="AS490" s="91"/>
      <x:c r="AT490" s="91"/>
      <x:c r="AU490" s="91"/>
      <x:c r="AV490" s="91"/>
      <x:c r="AW490" s="91"/>
      <x:c r="AX490" s="91"/>
      <x:c r="AY490" s="91"/>
      <x:c r="AZ490" s="92"/>
      <x:c r="BA490" s="94"/>
      <x:c r="BB490" s="91"/>
      <x:c r="BC490" s="92"/>
      <x:c r="BD490" s="92"/>
      <x:c r="BE490" s="91"/>
      <x:c r="BF490" s="91"/>
      <x:c r="BG490" s="91"/>
      <x:c r="BH490" s="91"/>
      <x:c r="BI490" s="91"/>
      <x:c r="BJ490" s="91"/>
      <x:c r="BK490" s="91"/>
      <x:c r="BL490" s="91"/>
      <x:c r="BM490" s="73" t="str">
        <x:f>IF(A490="","",IF(AI490="Example","Example only",IF(AI490&lt;&gt;"Actual","Set record type",IF(COUNTIF($A$2:$A$1001,A490)&gt;1,"Duplicate record ID",IF(OR(D490="",E490="",AF490="",NOT(ISNUMBER(AG490)),AJ490="",AK490="",NOT(ISNUMBER(AL490)),AND(AM490&lt;&gt;"Observed",AM490&lt;&gt;"Corroborated",AM490&lt;&gt;"Declared"),OR(AN490="",AN490="Unknown"),OR(AQ490="",AQ490="Unknown"),OR(AR490="",AR490="Unknown",AR490="TBD"),OR(BC490="",NOT(ISNUMBER(BC490)))),"Evidence incomplete","Evidence recorded; review scope")))))</x:f>
      </x:c>
      <x:c r="BN490" s="73"/>
    </x:row>
    <x:row r="491" ht="34" customHeight="1">
      <x:c r="A491" s="73"/>
      <x:c r="B491" s="73"/>
      <x:c r="C491" s="73"/>
      <x:c r="D491" s="73"/>
      <x:c r="E491" s="73"/>
      <x:c r="F491" s="73"/>
      <x:c r="G491" s="73"/>
      <x:c r="H491" s="73"/>
      <x:c r="I491" s="75"/>
      <x:c r="J491" s="73"/>
      <x:c r="K491" s="73"/>
      <x:c r="L491" s="76"/>
      <x:c r="M491" s="73"/>
      <x:c r="N491" s="73"/>
      <x:c r="O491" s="73"/>
      <x:c r="P491" s="73"/>
      <x:c r="Q491" s="76"/>
      <x:c r="R491" s="73"/>
      <x:c r="S491" s="73"/>
      <x:c r="T491" s="73"/>
      <x:c r="U491" s="73"/>
      <x:c r="V491" s="73"/>
      <x:c r="W491" s="73"/>
      <x:c r="X491" s="73"/>
      <x:c r="Y491" s="73"/>
      <x:c r="Z491" s="73"/>
      <x:c r="AA491" s="73"/>
      <x:c r="AB491" s="76" t="str">
        <x:f>IF(A491="","",IF(OR(NOT(ISNUMBER(I491)),I491&lt;0,NOT(ISNUMBER(AP491)),AP491&lt;0,NOT(ISNUMBER(L491)),L491&lt;1,L491&gt;5,L491&lt;&gt;INT(L491),AND(J491&lt;&gt;"Public",J491&lt;&gt;"Partner",J491&lt;&gt;"Internal",J491&lt;&gt;"None"),AND(K491&lt;&gt;"High",K491&lt;&gt;"Medium",K491&lt;&gt;"Low",K491&lt;&gt;"None"),AND(W491&lt;&gt;"Hard-coded",W491&lt;&gt;"Configurable",W491&lt;&gt;"Policy-managed",W491&lt;&gt;"API/Library abstraction",W491&lt;&gt;"Automated"),AND(Z491&lt;&gt;"Y",Z491&lt;&gt;"N"),AND(AA491&lt;&gt;"Y",AA491&lt;&gt;"N")),"Incomplete",IF(Z491="Y",20,0)+L491*5+IF(AA491="Y",15,0)+IF(J491="Public",10,IF(J491="Partner",7,IF(J491="Internal",3,0)))+IF(W491="Hard-coded",10,IF(W491="Configurable",3,0))+IF(MAX(I491,AP491)&gt;=10,10,IF(MAX(I491,AP491)&gt;=5,7,IF(MAX(I491,AP491)&gt;=2,3,0)))+IF(K491="High",10,IF(K491="Medium",5,0))))</x:f>
      </x:c>
      <x:c r="AC491" s="73" t="str">
        <x:f>IF(A491="","",IF(NOT(ISNUMBER(AB491)),"Review inputs",IF(AB491&gt;=70,"P0 - Immediate",IF(AB491&gt;=50,"P1 - High",IF(AB491&gt;=30,"P2 - Medium",IF(AB491&gt;=15,"P3 - Low","P4 - Monitor"))))))</x:f>
      </x:c>
      <x:c r="AD491" s="73"/>
      <x:c r="AE491" s="73"/>
      <x:c r="AF491" s="73"/>
      <x:c r="AG491" s="77"/>
      <x:c r="AH491" s="73"/>
      <x:c r="AI491" s="91"/>
      <x:c r="AJ491" s="91"/>
      <x:c r="AK491" s="91"/>
      <x:c r="AL491" s="92"/>
      <x:c r="AM491" s="91"/>
      <x:c r="AN491" s="91"/>
      <x:c r="AO491" s="93"/>
      <x:c r="AP491" s="94"/>
      <x:c r="AQ491" s="91"/>
      <x:c r="AR491" s="91"/>
      <x:c r="AS491" s="91"/>
      <x:c r="AT491" s="91"/>
      <x:c r="AU491" s="91"/>
      <x:c r="AV491" s="91"/>
      <x:c r="AW491" s="91"/>
      <x:c r="AX491" s="91"/>
      <x:c r="AY491" s="91"/>
      <x:c r="AZ491" s="92"/>
      <x:c r="BA491" s="94"/>
      <x:c r="BB491" s="91"/>
      <x:c r="BC491" s="92"/>
      <x:c r="BD491" s="92"/>
      <x:c r="BE491" s="91"/>
      <x:c r="BF491" s="91"/>
      <x:c r="BG491" s="91"/>
      <x:c r="BH491" s="91"/>
      <x:c r="BI491" s="91"/>
      <x:c r="BJ491" s="91"/>
      <x:c r="BK491" s="91"/>
      <x:c r="BL491" s="91"/>
      <x:c r="BM491" s="73" t="str">
        <x:f>IF(A491="","",IF(AI491="Example","Example only",IF(AI491&lt;&gt;"Actual","Set record type",IF(COUNTIF($A$2:$A$1001,A491)&gt;1,"Duplicate record ID",IF(OR(D491="",E491="",AF491="",NOT(ISNUMBER(AG491)),AJ491="",AK491="",NOT(ISNUMBER(AL491)),AND(AM491&lt;&gt;"Observed",AM491&lt;&gt;"Corroborated",AM491&lt;&gt;"Declared"),OR(AN491="",AN491="Unknown"),OR(AQ491="",AQ491="Unknown"),OR(AR491="",AR491="Unknown",AR491="TBD"),OR(BC491="",NOT(ISNUMBER(BC491)))),"Evidence incomplete","Evidence recorded; review scope")))))</x:f>
      </x:c>
      <x:c r="BN491" s="73"/>
    </x:row>
    <x:row r="492" ht="34" customHeight="1">
      <x:c r="A492" s="73"/>
      <x:c r="B492" s="73"/>
      <x:c r="C492" s="73"/>
      <x:c r="D492" s="73"/>
      <x:c r="E492" s="73"/>
      <x:c r="F492" s="73"/>
      <x:c r="G492" s="73"/>
      <x:c r="H492" s="73"/>
      <x:c r="I492" s="75"/>
      <x:c r="J492" s="73"/>
      <x:c r="K492" s="73"/>
      <x:c r="L492" s="76"/>
      <x:c r="M492" s="73"/>
      <x:c r="N492" s="73"/>
      <x:c r="O492" s="73"/>
      <x:c r="P492" s="73"/>
      <x:c r="Q492" s="76"/>
      <x:c r="R492" s="73"/>
      <x:c r="S492" s="73"/>
      <x:c r="T492" s="73"/>
      <x:c r="U492" s="73"/>
      <x:c r="V492" s="73"/>
      <x:c r="W492" s="73"/>
      <x:c r="X492" s="73"/>
      <x:c r="Y492" s="73"/>
      <x:c r="Z492" s="73"/>
      <x:c r="AA492" s="73"/>
      <x:c r="AB492" s="76" t="str">
        <x:f>IF(A492="","",IF(OR(NOT(ISNUMBER(I492)),I492&lt;0,NOT(ISNUMBER(AP492)),AP492&lt;0,NOT(ISNUMBER(L492)),L492&lt;1,L492&gt;5,L492&lt;&gt;INT(L492),AND(J492&lt;&gt;"Public",J492&lt;&gt;"Partner",J492&lt;&gt;"Internal",J492&lt;&gt;"None"),AND(K492&lt;&gt;"High",K492&lt;&gt;"Medium",K492&lt;&gt;"Low",K492&lt;&gt;"None"),AND(W492&lt;&gt;"Hard-coded",W492&lt;&gt;"Configurable",W492&lt;&gt;"Policy-managed",W492&lt;&gt;"API/Library abstraction",W492&lt;&gt;"Automated"),AND(Z492&lt;&gt;"Y",Z492&lt;&gt;"N"),AND(AA492&lt;&gt;"Y",AA492&lt;&gt;"N")),"Incomplete",IF(Z492="Y",20,0)+L492*5+IF(AA492="Y",15,0)+IF(J492="Public",10,IF(J492="Partner",7,IF(J492="Internal",3,0)))+IF(W492="Hard-coded",10,IF(W492="Configurable",3,0))+IF(MAX(I492,AP492)&gt;=10,10,IF(MAX(I492,AP492)&gt;=5,7,IF(MAX(I492,AP492)&gt;=2,3,0)))+IF(K492="High",10,IF(K492="Medium",5,0))))</x:f>
      </x:c>
      <x:c r="AC492" s="73" t="str">
        <x:f>IF(A492="","",IF(NOT(ISNUMBER(AB492)),"Review inputs",IF(AB492&gt;=70,"P0 - Immediate",IF(AB492&gt;=50,"P1 - High",IF(AB492&gt;=30,"P2 - Medium",IF(AB492&gt;=15,"P3 - Low","P4 - Monitor"))))))</x:f>
      </x:c>
      <x:c r="AD492" s="73"/>
      <x:c r="AE492" s="73"/>
      <x:c r="AF492" s="73"/>
      <x:c r="AG492" s="77"/>
      <x:c r="AH492" s="73"/>
      <x:c r="AI492" s="91"/>
      <x:c r="AJ492" s="91"/>
      <x:c r="AK492" s="91"/>
      <x:c r="AL492" s="92"/>
      <x:c r="AM492" s="91"/>
      <x:c r="AN492" s="91"/>
      <x:c r="AO492" s="93"/>
      <x:c r="AP492" s="94"/>
      <x:c r="AQ492" s="91"/>
      <x:c r="AR492" s="91"/>
      <x:c r="AS492" s="91"/>
      <x:c r="AT492" s="91"/>
      <x:c r="AU492" s="91"/>
      <x:c r="AV492" s="91"/>
      <x:c r="AW492" s="91"/>
      <x:c r="AX492" s="91"/>
      <x:c r="AY492" s="91"/>
      <x:c r="AZ492" s="92"/>
      <x:c r="BA492" s="94"/>
      <x:c r="BB492" s="91"/>
      <x:c r="BC492" s="92"/>
      <x:c r="BD492" s="92"/>
      <x:c r="BE492" s="91"/>
      <x:c r="BF492" s="91"/>
      <x:c r="BG492" s="91"/>
      <x:c r="BH492" s="91"/>
      <x:c r="BI492" s="91"/>
      <x:c r="BJ492" s="91"/>
      <x:c r="BK492" s="91"/>
      <x:c r="BL492" s="91"/>
      <x:c r="BM492" s="73" t="str">
        <x:f>IF(A492="","",IF(AI492="Example","Example only",IF(AI492&lt;&gt;"Actual","Set record type",IF(COUNTIF($A$2:$A$1001,A492)&gt;1,"Duplicate record ID",IF(OR(D492="",E492="",AF492="",NOT(ISNUMBER(AG492)),AJ492="",AK492="",NOT(ISNUMBER(AL492)),AND(AM492&lt;&gt;"Observed",AM492&lt;&gt;"Corroborated",AM492&lt;&gt;"Declared"),OR(AN492="",AN492="Unknown"),OR(AQ492="",AQ492="Unknown"),OR(AR492="",AR492="Unknown",AR492="TBD"),OR(BC492="",NOT(ISNUMBER(BC492)))),"Evidence incomplete","Evidence recorded; review scope")))))</x:f>
      </x:c>
      <x:c r="BN492" s="73"/>
    </x:row>
    <x:row r="493" ht="34" customHeight="1">
      <x:c r="A493" s="73"/>
      <x:c r="B493" s="73"/>
      <x:c r="C493" s="73"/>
      <x:c r="D493" s="73"/>
      <x:c r="E493" s="73"/>
      <x:c r="F493" s="73"/>
      <x:c r="G493" s="73"/>
      <x:c r="H493" s="73"/>
      <x:c r="I493" s="75"/>
      <x:c r="J493" s="73"/>
      <x:c r="K493" s="73"/>
      <x:c r="L493" s="76"/>
      <x:c r="M493" s="73"/>
      <x:c r="N493" s="73"/>
      <x:c r="O493" s="73"/>
      <x:c r="P493" s="73"/>
      <x:c r="Q493" s="76"/>
      <x:c r="R493" s="73"/>
      <x:c r="S493" s="73"/>
      <x:c r="T493" s="73"/>
      <x:c r="U493" s="73"/>
      <x:c r="V493" s="73"/>
      <x:c r="W493" s="73"/>
      <x:c r="X493" s="73"/>
      <x:c r="Y493" s="73"/>
      <x:c r="Z493" s="73"/>
      <x:c r="AA493" s="73"/>
      <x:c r="AB493" s="76" t="str">
        <x:f>IF(A493="","",IF(OR(NOT(ISNUMBER(I493)),I493&lt;0,NOT(ISNUMBER(AP493)),AP493&lt;0,NOT(ISNUMBER(L493)),L493&lt;1,L493&gt;5,L493&lt;&gt;INT(L493),AND(J493&lt;&gt;"Public",J493&lt;&gt;"Partner",J493&lt;&gt;"Internal",J493&lt;&gt;"None"),AND(K493&lt;&gt;"High",K493&lt;&gt;"Medium",K493&lt;&gt;"Low",K493&lt;&gt;"None"),AND(W493&lt;&gt;"Hard-coded",W493&lt;&gt;"Configurable",W493&lt;&gt;"Policy-managed",W493&lt;&gt;"API/Library abstraction",W493&lt;&gt;"Automated"),AND(Z493&lt;&gt;"Y",Z493&lt;&gt;"N"),AND(AA493&lt;&gt;"Y",AA493&lt;&gt;"N")),"Incomplete",IF(Z493="Y",20,0)+L493*5+IF(AA493="Y",15,0)+IF(J493="Public",10,IF(J493="Partner",7,IF(J493="Internal",3,0)))+IF(W493="Hard-coded",10,IF(W493="Configurable",3,0))+IF(MAX(I493,AP493)&gt;=10,10,IF(MAX(I493,AP493)&gt;=5,7,IF(MAX(I493,AP493)&gt;=2,3,0)))+IF(K493="High",10,IF(K493="Medium",5,0))))</x:f>
      </x:c>
      <x:c r="AC493" s="73" t="str">
        <x:f>IF(A493="","",IF(NOT(ISNUMBER(AB493)),"Review inputs",IF(AB493&gt;=70,"P0 - Immediate",IF(AB493&gt;=50,"P1 - High",IF(AB493&gt;=30,"P2 - Medium",IF(AB493&gt;=15,"P3 - Low","P4 - Monitor"))))))</x:f>
      </x:c>
      <x:c r="AD493" s="73"/>
      <x:c r="AE493" s="73"/>
      <x:c r="AF493" s="73"/>
      <x:c r="AG493" s="77"/>
      <x:c r="AH493" s="73"/>
      <x:c r="AI493" s="91"/>
      <x:c r="AJ493" s="91"/>
      <x:c r="AK493" s="91"/>
      <x:c r="AL493" s="92"/>
      <x:c r="AM493" s="91"/>
      <x:c r="AN493" s="91"/>
      <x:c r="AO493" s="93"/>
      <x:c r="AP493" s="94"/>
      <x:c r="AQ493" s="91"/>
      <x:c r="AR493" s="91"/>
      <x:c r="AS493" s="91"/>
      <x:c r="AT493" s="91"/>
      <x:c r="AU493" s="91"/>
      <x:c r="AV493" s="91"/>
      <x:c r="AW493" s="91"/>
      <x:c r="AX493" s="91"/>
      <x:c r="AY493" s="91"/>
      <x:c r="AZ493" s="92"/>
      <x:c r="BA493" s="94"/>
      <x:c r="BB493" s="91"/>
      <x:c r="BC493" s="92"/>
      <x:c r="BD493" s="92"/>
      <x:c r="BE493" s="91"/>
      <x:c r="BF493" s="91"/>
      <x:c r="BG493" s="91"/>
      <x:c r="BH493" s="91"/>
      <x:c r="BI493" s="91"/>
      <x:c r="BJ493" s="91"/>
      <x:c r="BK493" s="91"/>
      <x:c r="BL493" s="91"/>
      <x:c r="BM493" s="73" t="str">
        <x:f>IF(A493="","",IF(AI493="Example","Example only",IF(AI493&lt;&gt;"Actual","Set record type",IF(COUNTIF($A$2:$A$1001,A493)&gt;1,"Duplicate record ID",IF(OR(D493="",E493="",AF493="",NOT(ISNUMBER(AG493)),AJ493="",AK493="",NOT(ISNUMBER(AL493)),AND(AM493&lt;&gt;"Observed",AM493&lt;&gt;"Corroborated",AM493&lt;&gt;"Declared"),OR(AN493="",AN493="Unknown"),OR(AQ493="",AQ493="Unknown"),OR(AR493="",AR493="Unknown",AR493="TBD"),OR(BC493="",NOT(ISNUMBER(BC493)))),"Evidence incomplete","Evidence recorded; review scope")))))</x:f>
      </x:c>
      <x:c r="BN493" s="73"/>
    </x:row>
    <x:row r="494" ht="34" customHeight="1">
      <x:c r="A494" s="73"/>
      <x:c r="B494" s="73"/>
      <x:c r="C494" s="73"/>
      <x:c r="D494" s="73"/>
      <x:c r="E494" s="73"/>
      <x:c r="F494" s="73"/>
      <x:c r="G494" s="73"/>
      <x:c r="H494" s="73"/>
      <x:c r="I494" s="75"/>
      <x:c r="J494" s="73"/>
      <x:c r="K494" s="73"/>
      <x:c r="L494" s="76"/>
      <x:c r="M494" s="73"/>
      <x:c r="N494" s="73"/>
      <x:c r="O494" s="73"/>
      <x:c r="P494" s="73"/>
      <x:c r="Q494" s="76"/>
      <x:c r="R494" s="73"/>
      <x:c r="S494" s="73"/>
      <x:c r="T494" s="73"/>
      <x:c r="U494" s="73"/>
      <x:c r="V494" s="73"/>
      <x:c r="W494" s="73"/>
      <x:c r="X494" s="73"/>
      <x:c r="Y494" s="73"/>
      <x:c r="Z494" s="73"/>
      <x:c r="AA494" s="73"/>
      <x:c r="AB494" s="76" t="str">
        <x:f>IF(A494="","",IF(OR(NOT(ISNUMBER(I494)),I494&lt;0,NOT(ISNUMBER(AP494)),AP494&lt;0,NOT(ISNUMBER(L494)),L494&lt;1,L494&gt;5,L494&lt;&gt;INT(L494),AND(J494&lt;&gt;"Public",J494&lt;&gt;"Partner",J494&lt;&gt;"Internal",J494&lt;&gt;"None"),AND(K494&lt;&gt;"High",K494&lt;&gt;"Medium",K494&lt;&gt;"Low",K494&lt;&gt;"None"),AND(W494&lt;&gt;"Hard-coded",W494&lt;&gt;"Configurable",W494&lt;&gt;"Policy-managed",W494&lt;&gt;"API/Library abstraction",W494&lt;&gt;"Automated"),AND(Z494&lt;&gt;"Y",Z494&lt;&gt;"N"),AND(AA494&lt;&gt;"Y",AA494&lt;&gt;"N")),"Incomplete",IF(Z494="Y",20,0)+L494*5+IF(AA494="Y",15,0)+IF(J494="Public",10,IF(J494="Partner",7,IF(J494="Internal",3,0)))+IF(W494="Hard-coded",10,IF(W494="Configurable",3,0))+IF(MAX(I494,AP494)&gt;=10,10,IF(MAX(I494,AP494)&gt;=5,7,IF(MAX(I494,AP494)&gt;=2,3,0)))+IF(K494="High",10,IF(K494="Medium",5,0))))</x:f>
      </x:c>
      <x:c r="AC494" s="73" t="str">
        <x:f>IF(A494="","",IF(NOT(ISNUMBER(AB494)),"Review inputs",IF(AB494&gt;=70,"P0 - Immediate",IF(AB494&gt;=50,"P1 - High",IF(AB494&gt;=30,"P2 - Medium",IF(AB494&gt;=15,"P3 - Low","P4 - Monitor"))))))</x:f>
      </x:c>
      <x:c r="AD494" s="73"/>
      <x:c r="AE494" s="73"/>
      <x:c r="AF494" s="73"/>
      <x:c r="AG494" s="77"/>
      <x:c r="AH494" s="73"/>
      <x:c r="AI494" s="91"/>
      <x:c r="AJ494" s="91"/>
      <x:c r="AK494" s="91"/>
      <x:c r="AL494" s="92"/>
      <x:c r="AM494" s="91"/>
      <x:c r="AN494" s="91"/>
      <x:c r="AO494" s="93"/>
      <x:c r="AP494" s="94"/>
      <x:c r="AQ494" s="91"/>
      <x:c r="AR494" s="91"/>
      <x:c r="AS494" s="91"/>
      <x:c r="AT494" s="91"/>
      <x:c r="AU494" s="91"/>
      <x:c r="AV494" s="91"/>
      <x:c r="AW494" s="91"/>
      <x:c r="AX494" s="91"/>
      <x:c r="AY494" s="91"/>
      <x:c r="AZ494" s="92"/>
      <x:c r="BA494" s="94"/>
      <x:c r="BB494" s="91"/>
      <x:c r="BC494" s="92"/>
      <x:c r="BD494" s="92"/>
      <x:c r="BE494" s="91"/>
      <x:c r="BF494" s="91"/>
      <x:c r="BG494" s="91"/>
      <x:c r="BH494" s="91"/>
      <x:c r="BI494" s="91"/>
      <x:c r="BJ494" s="91"/>
      <x:c r="BK494" s="91"/>
      <x:c r="BL494" s="91"/>
      <x:c r="BM494" s="73" t="str">
        <x:f>IF(A494="","",IF(AI494="Example","Example only",IF(AI494&lt;&gt;"Actual","Set record type",IF(COUNTIF($A$2:$A$1001,A494)&gt;1,"Duplicate record ID",IF(OR(D494="",E494="",AF494="",NOT(ISNUMBER(AG494)),AJ494="",AK494="",NOT(ISNUMBER(AL494)),AND(AM494&lt;&gt;"Observed",AM494&lt;&gt;"Corroborated",AM494&lt;&gt;"Declared"),OR(AN494="",AN494="Unknown"),OR(AQ494="",AQ494="Unknown"),OR(AR494="",AR494="Unknown",AR494="TBD"),OR(BC494="",NOT(ISNUMBER(BC494)))),"Evidence incomplete","Evidence recorded; review scope")))))</x:f>
      </x:c>
      <x:c r="BN494" s="73"/>
    </x:row>
    <x:row r="495" ht="34" customHeight="1">
      <x:c r="A495" s="73"/>
      <x:c r="B495" s="73"/>
      <x:c r="C495" s="73"/>
      <x:c r="D495" s="73"/>
      <x:c r="E495" s="73"/>
      <x:c r="F495" s="73"/>
      <x:c r="G495" s="73"/>
      <x:c r="H495" s="73"/>
      <x:c r="I495" s="75"/>
      <x:c r="J495" s="73"/>
      <x:c r="K495" s="73"/>
      <x:c r="L495" s="76"/>
      <x:c r="M495" s="73"/>
      <x:c r="N495" s="73"/>
      <x:c r="O495" s="73"/>
      <x:c r="P495" s="73"/>
      <x:c r="Q495" s="76"/>
      <x:c r="R495" s="73"/>
      <x:c r="S495" s="73"/>
      <x:c r="T495" s="73"/>
      <x:c r="U495" s="73"/>
      <x:c r="V495" s="73"/>
      <x:c r="W495" s="73"/>
      <x:c r="X495" s="73"/>
      <x:c r="Y495" s="73"/>
      <x:c r="Z495" s="73"/>
      <x:c r="AA495" s="73"/>
      <x:c r="AB495" s="76" t="str">
        <x:f>IF(A495="","",IF(OR(NOT(ISNUMBER(I495)),I495&lt;0,NOT(ISNUMBER(AP495)),AP495&lt;0,NOT(ISNUMBER(L495)),L495&lt;1,L495&gt;5,L495&lt;&gt;INT(L495),AND(J495&lt;&gt;"Public",J495&lt;&gt;"Partner",J495&lt;&gt;"Internal",J495&lt;&gt;"None"),AND(K495&lt;&gt;"High",K495&lt;&gt;"Medium",K495&lt;&gt;"Low",K495&lt;&gt;"None"),AND(W495&lt;&gt;"Hard-coded",W495&lt;&gt;"Configurable",W495&lt;&gt;"Policy-managed",W495&lt;&gt;"API/Library abstraction",W495&lt;&gt;"Automated"),AND(Z495&lt;&gt;"Y",Z495&lt;&gt;"N"),AND(AA495&lt;&gt;"Y",AA495&lt;&gt;"N")),"Incomplete",IF(Z495="Y",20,0)+L495*5+IF(AA495="Y",15,0)+IF(J495="Public",10,IF(J495="Partner",7,IF(J495="Internal",3,0)))+IF(W495="Hard-coded",10,IF(W495="Configurable",3,0))+IF(MAX(I495,AP495)&gt;=10,10,IF(MAX(I495,AP495)&gt;=5,7,IF(MAX(I495,AP495)&gt;=2,3,0)))+IF(K495="High",10,IF(K495="Medium",5,0))))</x:f>
      </x:c>
      <x:c r="AC495" s="73" t="str">
        <x:f>IF(A495="","",IF(NOT(ISNUMBER(AB495)),"Review inputs",IF(AB495&gt;=70,"P0 - Immediate",IF(AB495&gt;=50,"P1 - High",IF(AB495&gt;=30,"P2 - Medium",IF(AB495&gt;=15,"P3 - Low","P4 - Monitor"))))))</x:f>
      </x:c>
      <x:c r="AD495" s="73"/>
      <x:c r="AE495" s="73"/>
      <x:c r="AF495" s="73"/>
      <x:c r="AG495" s="77"/>
      <x:c r="AH495" s="73"/>
      <x:c r="AI495" s="91"/>
      <x:c r="AJ495" s="91"/>
      <x:c r="AK495" s="91"/>
      <x:c r="AL495" s="92"/>
      <x:c r="AM495" s="91"/>
      <x:c r="AN495" s="91"/>
      <x:c r="AO495" s="93"/>
      <x:c r="AP495" s="94"/>
      <x:c r="AQ495" s="91"/>
      <x:c r="AR495" s="91"/>
      <x:c r="AS495" s="91"/>
      <x:c r="AT495" s="91"/>
      <x:c r="AU495" s="91"/>
      <x:c r="AV495" s="91"/>
      <x:c r="AW495" s="91"/>
      <x:c r="AX495" s="91"/>
      <x:c r="AY495" s="91"/>
      <x:c r="AZ495" s="92"/>
      <x:c r="BA495" s="94"/>
      <x:c r="BB495" s="91"/>
      <x:c r="BC495" s="92"/>
      <x:c r="BD495" s="92"/>
      <x:c r="BE495" s="91"/>
      <x:c r="BF495" s="91"/>
      <x:c r="BG495" s="91"/>
      <x:c r="BH495" s="91"/>
      <x:c r="BI495" s="91"/>
      <x:c r="BJ495" s="91"/>
      <x:c r="BK495" s="91"/>
      <x:c r="BL495" s="91"/>
      <x:c r="BM495" s="73" t="str">
        <x:f>IF(A495="","",IF(AI495="Example","Example only",IF(AI495&lt;&gt;"Actual","Set record type",IF(COUNTIF($A$2:$A$1001,A495)&gt;1,"Duplicate record ID",IF(OR(D495="",E495="",AF495="",NOT(ISNUMBER(AG495)),AJ495="",AK495="",NOT(ISNUMBER(AL495)),AND(AM495&lt;&gt;"Observed",AM495&lt;&gt;"Corroborated",AM495&lt;&gt;"Declared"),OR(AN495="",AN495="Unknown"),OR(AQ495="",AQ495="Unknown"),OR(AR495="",AR495="Unknown",AR495="TBD"),OR(BC495="",NOT(ISNUMBER(BC495)))),"Evidence incomplete","Evidence recorded; review scope")))))</x:f>
      </x:c>
      <x:c r="BN495" s="73"/>
    </x:row>
    <x:row r="496" ht="34" customHeight="1">
      <x:c r="A496" s="73"/>
      <x:c r="B496" s="73"/>
      <x:c r="C496" s="73"/>
      <x:c r="D496" s="73"/>
      <x:c r="E496" s="73"/>
      <x:c r="F496" s="73"/>
      <x:c r="G496" s="73"/>
      <x:c r="H496" s="73"/>
      <x:c r="I496" s="75"/>
      <x:c r="J496" s="73"/>
      <x:c r="K496" s="73"/>
      <x:c r="L496" s="76"/>
      <x:c r="M496" s="73"/>
      <x:c r="N496" s="73"/>
      <x:c r="O496" s="73"/>
      <x:c r="P496" s="73"/>
      <x:c r="Q496" s="76"/>
      <x:c r="R496" s="73"/>
      <x:c r="S496" s="73"/>
      <x:c r="T496" s="73"/>
      <x:c r="U496" s="73"/>
      <x:c r="V496" s="73"/>
      <x:c r="W496" s="73"/>
      <x:c r="X496" s="73"/>
      <x:c r="Y496" s="73"/>
      <x:c r="Z496" s="73"/>
      <x:c r="AA496" s="73"/>
      <x:c r="AB496" s="76" t="str">
        <x:f>IF(A496="","",IF(OR(NOT(ISNUMBER(I496)),I496&lt;0,NOT(ISNUMBER(AP496)),AP496&lt;0,NOT(ISNUMBER(L496)),L496&lt;1,L496&gt;5,L496&lt;&gt;INT(L496),AND(J496&lt;&gt;"Public",J496&lt;&gt;"Partner",J496&lt;&gt;"Internal",J496&lt;&gt;"None"),AND(K496&lt;&gt;"High",K496&lt;&gt;"Medium",K496&lt;&gt;"Low",K496&lt;&gt;"None"),AND(W496&lt;&gt;"Hard-coded",W496&lt;&gt;"Configurable",W496&lt;&gt;"Policy-managed",W496&lt;&gt;"API/Library abstraction",W496&lt;&gt;"Automated"),AND(Z496&lt;&gt;"Y",Z496&lt;&gt;"N"),AND(AA496&lt;&gt;"Y",AA496&lt;&gt;"N")),"Incomplete",IF(Z496="Y",20,0)+L496*5+IF(AA496="Y",15,0)+IF(J496="Public",10,IF(J496="Partner",7,IF(J496="Internal",3,0)))+IF(W496="Hard-coded",10,IF(W496="Configurable",3,0))+IF(MAX(I496,AP496)&gt;=10,10,IF(MAX(I496,AP496)&gt;=5,7,IF(MAX(I496,AP496)&gt;=2,3,0)))+IF(K496="High",10,IF(K496="Medium",5,0))))</x:f>
      </x:c>
      <x:c r="AC496" s="73" t="str">
        <x:f>IF(A496="","",IF(NOT(ISNUMBER(AB496)),"Review inputs",IF(AB496&gt;=70,"P0 - Immediate",IF(AB496&gt;=50,"P1 - High",IF(AB496&gt;=30,"P2 - Medium",IF(AB496&gt;=15,"P3 - Low","P4 - Monitor"))))))</x:f>
      </x:c>
      <x:c r="AD496" s="73"/>
      <x:c r="AE496" s="73"/>
      <x:c r="AF496" s="73"/>
      <x:c r="AG496" s="77"/>
      <x:c r="AH496" s="73"/>
      <x:c r="AI496" s="91"/>
      <x:c r="AJ496" s="91"/>
      <x:c r="AK496" s="91"/>
      <x:c r="AL496" s="92"/>
      <x:c r="AM496" s="91"/>
      <x:c r="AN496" s="91"/>
      <x:c r="AO496" s="93"/>
      <x:c r="AP496" s="94"/>
      <x:c r="AQ496" s="91"/>
      <x:c r="AR496" s="91"/>
      <x:c r="AS496" s="91"/>
      <x:c r="AT496" s="91"/>
      <x:c r="AU496" s="91"/>
      <x:c r="AV496" s="91"/>
      <x:c r="AW496" s="91"/>
      <x:c r="AX496" s="91"/>
      <x:c r="AY496" s="91"/>
      <x:c r="AZ496" s="92"/>
      <x:c r="BA496" s="94"/>
      <x:c r="BB496" s="91"/>
      <x:c r="BC496" s="92"/>
      <x:c r="BD496" s="92"/>
      <x:c r="BE496" s="91"/>
      <x:c r="BF496" s="91"/>
      <x:c r="BG496" s="91"/>
      <x:c r="BH496" s="91"/>
      <x:c r="BI496" s="91"/>
      <x:c r="BJ496" s="91"/>
      <x:c r="BK496" s="91"/>
      <x:c r="BL496" s="91"/>
      <x:c r="BM496" s="73" t="str">
        <x:f>IF(A496="","",IF(AI496="Example","Example only",IF(AI496&lt;&gt;"Actual","Set record type",IF(COUNTIF($A$2:$A$1001,A496)&gt;1,"Duplicate record ID",IF(OR(D496="",E496="",AF496="",NOT(ISNUMBER(AG496)),AJ496="",AK496="",NOT(ISNUMBER(AL496)),AND(AM496&lt;&gt;"Observed",AM496&lt;&gt;"Corroborated",AM496&lt;&gt;"Declared"),OR(AN496="",AN496="Unknown"),OR(AQ496="",AQ496="Unknown"),OR(AR496="",AR496="Unknown",AR496="TBD"),OR(BC496="",NOT(ISNUMBER(BC496)))),"Evidence incomplete","Evidence recorded; review scope")))))</x:f>
      </x:c>
      <x:c r="BN496" s="73"/>
    </x:row>
    <x:row r="497" ht="34" customHeight="1">
      <x:c r="A497" s="73"/>
      <x:c r="B497" s="73"/>
      <x:c r="C497" s="73"/>
      <x:c r="D497" s="73"/>
      <x:c r="E497" s="73"/>
      <x:c r="F497" s="73"/>
      <x:c r="G497" s="73"/>
      <x:c r="H497" s="73"/>
      <x:c r="I497" s="75"/>
      <x:c r="J497" s="73"/>
      <x:c r="K497" s="73"/>
      <x:c r="L497" s="76"/>
      <x:c r="M497" s="73"/>
      <x:c r="N497" s="73"/>
      <x:c r="O497" s="73"/>
      <x:c r="P497" s="73"/>
      <x:c r="Q497" s="76"/>
      <x:c r="R497" s="73"/>
      <x:c r="S497" s="73"/>
      <x:c r="T497" s="73"/>
      <x:c r="U497" s="73"/>
      <x:c r="V497" s="73"/>
      <x:c r="W497" s="73"/>
      <x:c r="X497" s="73"/>
      <x:c r="Y497" s="73"/>
      <x:c r="Z497" s="73"/>
      <x:c r="AA497" s="73"/>
      <x:c r="AB497" s="76" t="str">
        <x:f>IF(A497="","",IF(OR(NOT(ISNUMBER(I497)),I497&lt;0,NOT(ISNUMBER(AP497)),AP497&lt;0,NOT(ISNUMBER(L497)),L497&lt;1,L497&gt;5,L497&lt;&gt;INT(L497),AND(J497&lt;&gt;"Public",J497&lt;&gt;"Partner",J497&lt;&gt;"Internal",J497&lt;&gt;"None"),AND(K497&lt;&gt;"High",K497&lt;&gt;"Medium",K497&lt;&gt;"Low",K497&lt;&gt;"None"),AND(W497&lt;&gt;"Hard-coded",W497&lt;&gt;"Configurable",W497&lt;&gt;"Policy-managed",W497&lt;&gt;"API/Library abstraction",W497&lt;&gt;"Automated"),AND(Z497&lt;&gt;"Y",Z497&lt;&gt;"N"),AND(AA497&lt;&gt;"Y",AA497&lt;&gt;"N")),"Incomplete",IF(Z497="Y",20,0)+L497*5+IF(AA497="Y",15,0)+IF(J497="Public",10,IF(J497="Partner",7,IF(J497="Internal",3,0)))+IF(W497="Hard-coded",10,IF(W497="Configurable",3,0))+IF(MAX(I497,AP497)&gt;=10,10,IF(MAX(I497,AP497)&gt;=5,7,IF(MAX(I497,AP497)&gt;=2,3,0)))+IF(K497="High",10,IF(K497="Medium",5,0))))</x:f>
      </x:c>
      <x:c r="AC497" s="73" t="str">
        <x:f>IF(A497="","",IF(NOT(ISNUMBER(AB497)),"Review inputs",IF(AB497&gt;=70,"P0 - Immediate",IF(AB497&gt;=50,"P1 - High",IF(AB497&gt;=30,"P2 - Medium",IF(AB497&gt;=15,"P3 - Low","P4 - Monitor"))))))</x:f>
      </x:c>
      <x:c r="AD497" s="73"/>
      <x:c r="AE497" s="73"/>
      <x:c r="AF497" s="73"/>
      <x:c r="AG497" s="77"/>
      <x:c r="AH497" s="73"/>
      <x:c r="AI497" s="91"/>
      <x:c r="AJ497" s="91"/>
      <x:c r="AK497" s="91"/>
      <x:c r="AL497" s="92"/>
      <x:c r="AM497" s="91"/>
      <x:c r="AN497" s="91"/>
      <x:c r="AO497" s="93"/>
      <x:c r="AP497" s="94"/>
      <x:c r="AQ497" s="91"/>
      <x:c r="AR497" s="91"/>
      <x:c r="AS497" s="91"/>
      <x:c r="AT497" s="91"/>
      <x:c r="AU497" s="91"/>
      <x:c r="AV497" s="91"/>
      <x:c r="AW497" s="91"/>
      <x:c r="AX497" s="91"/>
      <x:c r="AY497" s="91"/>
      <x:c r="AZ497" s="92"/>
      <x:c r="BA497" s="94"/>
      <x:c r="BB497" s="91"/>
      <x:c r="BC497" s="92"/>
      <x:c r="BD497" s="92"/>
      <x:c r="BE497" s="91"/>
      <x:c r="BF497" s="91"/>
      <x:c r="BG497" s="91"/>
      <x:c r="BH497" s="91"/>
      <x:c r="BI497" s="91"/>
      <x:c r="BJ497" s="91"/>
      <x:c r="BK497" s="91"/>
      <x:c r="BL497" s="91"/>
      <x:c r="BM497" s="73" t="str">
        <x:f>IF(A497="","",IF(AI497="Example","Example only",IF(AI497&lt;&gt;"Actual","Set record type",IF(COUNTIF($A$2:$A$1001,A497)&gt;1,"Duplicate record ID",IF(OR(D497="",E497="",AF497="",NOT(ISNUMBER(AG497)),AJ497="",AK497="",NOT(ISNUMBER(AL497)),AND(AM497&lt;&gt;"Observed",AM497&lt;&gt;"Corroborated",AM497&lt;&gt;"Declared"),OR(AN497="",AN497="Unknown"),OR(AQ497="",AQ497="Unknown"),OR(AR497="",AR497="Unknown",AR497="TBD"),OR(BC497="",NOT(ISNUMBER(BC497)))),"Evidence incomplete","Evidence recorded; review scope")))))</x:f>
      </x:c>
      <x:c r="BN497" s="73"/>
    </x:row>
    <x:row r="498" ht="34" customHeight="1">
      <x:c r="A498" s="73"/>
      <x:c r="B498" s="73"/>
      <x:c r="C498" s="73"/>
      <x:c r="D498" s="73"/>
      <x:c r="E498" s="73"/>
      <x:c r="F498" s="73"/>
      <x:c r="G498" s="73"/>
      <x:c r="H498" s="73"/>
      <x:c r="I498" s="75"/>
      <x:c r="J498" s="73"/>
      <x:c r="K498" s="73"/>
      <x:c r="L498" s="76"/>
      <x:c r="M498" s="73"/>
      <x:c r="N498" s="73"/>
      <x:c r="O498" s="73"/>
      <x:c r="P498" s="73"/>
      <x:c r="Q498" s="76"/>
      <x:c r="R498" s="73"/>
      <x:c r="S498" s="73"/>
      <x:c r="T498" s="73"/>
      <x:c r="U498" s="73"/>
      <x:c r="V498" s="73"/>
      <x:c r="W498" s="73"/>
      <x:c r="X498" s="73"/>
      <x:c r="Y498" s="73"/>
      <x:c r="Z498" s="73"/>
      <x:c r="AA498" s="73"/>
      <x:c r="AB498" s="76" t="str">
        <x:f>IF(A498="","",IF(OR(NOT(ISNUMBER(I498)),I498&lt;0,NOT(ISNUMBER(AP498)),AP498&lt;0,NOT(ISNUMBER(L498)),L498&lt;1,L498&gt;5,L498&lt;&gt;INT(L498),AND(J498&lt;&gt;"Public",J498&lt;&gt;"Partner",J498&lt;&gt;"Internal",J498&lt;&gt;"None"),AND(K498&lt;&gt;"High",K498&lt;&gt;"Medium",K498&lt;&gt;"Low",K498&lt;&gt;"None"),AND(W498&lt;&gt;"Hard-coded",W498&lt;&gt;"Configurable",W498&lt;&gt;"Policy-managed",W498&lt;&gt;"API/Library abstraction",W498&lt;&gt;"Automated"),AND(Z498&lt;&gt;"Y",Z498&lt;&gt;"N"),AND(AA498&lt;&gt;"Y",AA498&lt;&gt;"N")),"Incomplete",IF(Z498="Y",20,0)+L498*5+IF(AA498="Y",15,0)+IF(J498="Public",10,IF(J498="Partner",7,IF(J498="Internal",3,0)))+IF(W498="Hard-coded",10,IF(W498="Configurable",3,0))+IF(MAX(I498,AP498)&gt;=10,10,IF(MAX(I498,AP498)&gt;=5,7,IF(MAX(I498,AP498)&gt;=2,3,0)))+IF(K498="High",10,IF(K498="Medium",5,0))))</x:f>
      </x:c>
      <x:c r="AC498" s="73" t="str">
        <x:f>IF(A498="","",IF(NOT(ISNUMBER(AB498)),"Review inputs",IF(AB498&gt;=70,"P0 - Immediate",IF(AB498&gt;=50,"P1 - High",IF(AB498&gt;=30,"P2 - Medium",IF(AB498&gt;=15,"P3 - Low","P4 - Monitor"))))))</x:f>
      </x:c>
      <x:c r="AD498" s="73"/>
      <x:c r="AE498" s="73"/>
      <x:c r="AF498" s="73"/>
      <x:c r="AG498" s="77"/>
      <x:c r="AH498" s="73"/>
      <x:c r="AI498" s="91"/>
      <x:c r="AJ498" s="91"/>
      <x:c r="AK498" s="91"/>
      <x:c r="AL498" s="92"/>
      <x:c r="AM498" s="91"/>
      <x:c r="AN498" s="91"/>
      <x:c r="AO498" s="93"/>
      <x:c r="AP498" s="94"/>
      <x:c r="AQ498" s="91"/>
      <x:c r="AR498" s="91"/>
      <x:c r="AS498" s="91"/>
      <x:c r="AT498" s="91"/>
      <x:c r="AU498" s="91"/>
      <x:c r="AV498" s="91"/>
      <x:c r="AW498" s="91"/>
      <x:c r="AX498" s="91"/>
      <x:c r="AY498" s="91"/>
      <x:c r="AZ498" s="92"/>
      <x:c r="BA498" s="94"/>
      <x:c r="BB498" s="91"/>
      <x:c r="BC498" s="92"/>
      <x:c r="BD498" s="92"/>
      <x:c r="BE498" s="91"/>
      <x:c r="BF498" s="91"/>
      <x:c r="BG498" s="91"/>
      <x:c r="BH498" s="91"/>
      <x:c r="BI498" s="91"/>
      <x:c r="BJ498" s="91"/>
      <x:c r="BK498" s="91"/>
      <x:c r="BL498" s="91"/>
      <x:c r="BM498" s="73" t="str">
        <x:f>IF(A498="","",IF(AI498="Example","Example only",IF(AI498&lt;&gt;"Actual","Set record type",IF(COUNTIF($A$2:$A$1001,A498)&gt;1,"Duplicate record ID",IF(OR(D498="",E498="",AF498="",NOT(ISNUMBER(AG498)),AJ498="",AK498="",NOT(ISNUMBER(AL498)),AND(AM498&lt;&gt;"Observed",AM498&lt;&gt;"Corroborated",AM498&lt;&gt;"Declared"),OR(AN498="",AN498="Unknown"),OR(AQ498="",AQ498="Unknown"),OR(AR498="",AR498="Unknown",AR498="TBD"),OR(BC498="",NOT(ISNUMBER(BC498)))),"Evidence incomplete","Evidence recorded; review scope")))))</x:f>
      </x:c>
      <x:c r="BN498" s="73"/>
    </x:row>
    <x:row r="499" ht="34" customHeight="1">
      <x:c r="A499" s="73"/>
      <x:c r="B499" s="73"/>
      <x:c r="C499" s="73"/>
      <x:c r="D499" s="73"/>
      <x:c r="E499" s="73"/>
      <x:c r="F499" s="73"/>
      <x:c r="G499" s="73"/>
      <x:c r="H499" s="73"/>
      <x:c r="I499" s="75"/>
      <x:c r="J499" s="73"/>
      <x:c r="K499" s="73"/>
      <x:c r="L499" s="76"/>
      <x:c r="M499" s="73"/>
      <x:c r="N499" s="73"/>
      <x:c r="O499" s="73"/>
      <x:c r="P499" s="73"/>
      <x:c r="Q499" s="76"/>
      <x:c r="R499" s="73"/>
      <x:c r="S499" s="73"/>
      <x:c r="T499" s="73"/>
      <x:c r="U499" s="73"/>
      <x:c r="V499" s="73"/>
      <x:c r="W499" s="73"/>
      <x:c r="X499" s="73"/>
      <x:c r="Y499" s="73"/>
      <x:c r="Z499" s="73"/>
      <x:c r="AA499" s="73"/>
      <x:c r="AB499" s="76" t="str">
        <x:f>IF(A499="","",IF(OR(NOT(ISNUMBER(I499)),I499&lt;0,NOT(ISNUMBER(AP499)),AP499&lt;0,NOT(ISNUMBER(L499)),L499&lt;1,L499&gt;5,L499&lt;&gt;INT(L499),AND(J499&lt;&gt;"Public",J499&lt;&gt;"Partner",J499&lt;&gt;"Internal",J499&lt;&gt;"None"),AND(K499&lt;&gt;"High",K499&lt;&gt;"Medium",K499&lt;&gt;"Low",K499&lt;&gt;"None"),AND(W499&lt;&gt;"Hard-coded",W499&lt;&gt;"Configurable",W499&lt;&gt;"Policy-managed",W499&lt;&gt;"API/Library abstraction",W499&lt;&gt;"Automated"),AND(Z499&lt;&gt;"Y",Z499&lt;&gt;"N"),AND(AA499&lt;&gt;"Y",AA499&lt;&gt;"N")),"Incomplete",IF(Z499="Y",20,0)+L499*5+IF(AA499="Y",15,0)+IF(J499="Public",10,IF(J499="Partner",7,IF(J499="Internal",3,0)))+IF(W499="Hard-coded",10,IF(W499="Configurable",3,0))+IF(MAX(I499,AP499)&gt;=10,10,IF(MAX(I499,AP499)&gt;=5,7,IF(MAX(I499,AP499)&gt;=2,3,0)))+IF(K499="High",10,IF(K499="Medium",5,0))))</x:f>
      </x:c>
      <x:c r="AC499" s="73" t="str">
        <x:f>IF(A499="","",IF(NOT(ISNUMBER(AB499)),"Review inputs",IF(AB499&gt;=70,"P0 - Immediate",IF(AB499&gt;=50,"P1 - High",IF(AB499&gt;=30,"P2 - Medium",IF(AB499&gt;=15,"P3 - Low","P4 - Monitor"))))))</x:f>
      </x:c>
      <x:c r="AD499" s="73"/>
      <x:c r="AE499" s="73"/>
      <x:c r="AF499" s="73"/>
      <x:c r="AG499" s="77"/>
      <x:c r="AH499" s="73"/>
      <x:c r="AI499" s="91"/>
      <x:c r="AJ499" s="91"/>
      <x:c r="AK499" s="91"/>
      <x:c r="AL499" s="92"/>
      <x:c r="AM499" s="91"/>
      <x:c r="AN499" s="91"/>
      <x:c r="AO499" s="93"/>
      <x:c r="AP499" s="94"/>
      <x:c r="AQ499" s="91"/>
      <x:c r="AR499" s="91"/>
      <x:c r="AS499" s="91"/>
      <x:c r="AT499" s="91"/>
      <x:c r="AU499" s="91"/>
      <x:c r="AV499" s="91"/>
      <x:c r="AW499" s="91"/>
      <x:c r="AX499" s="91"/>
      <x:c r="AY499" s="91"/>
      <x:c r="AZ499" s="92"/>
      <x:c r="BA499" s="94"/>
      <x:c r="BB499" s="91"/>
      <x:c r="BC499" s="92"/>
      <x:c r="BD499" s="92"/>
      <x:c r="BE499" s="91"/>
      <x:c r="BF499" s="91"/>
      <x:c r="BG499" s="91"/>
      <x:c r="BH499" s="91"/>
      <x:c r="BI499" s="91"/>
      <x:c r="BJ499" s="91"/>
      <x:c r="BK499" s="91"/>
      <x:c r="BL499" s="91"/>
      <x:c r="BM499" s="73" t="str">
        <x:f>IF(A499="","",IF(AI499="Example","Example only",IF(AI499&lt;&gt;"Actual","Set record type",IF(COUNTIF($A$2:$A$1001,A499)&gt;1,"Duplicate record ID",IF(OR(D499="",E499="",AF499="",NOT(ISNUMBER(AG499)),AJ499="",AK499="",NOT(ISNUMBER(AL499)),AND(AM499&lt;&gt;"Observed",AM499&lt;&gt;"Corroborated",AM499&lt;&gt;"Declared"),OR(AN499="",AN499="Unknown"),OR(AQ499="",AQ499="Unknown"),OR(AR499="",AR499="Unknown",AR499="TBD"),OR(BC499="",NOT(ISNUMBER(BC499)))),"Evidence incomplete","Evidence recorded; review scope")))))</x:f>
      </x:c>
      <x:c r="BN499" s="73"/>
    </x:row>
    <x:row r="500" ht="34" customHeight="1">
      <x:c r="A500" s="73"/>
      <x:c r="B500" s="73"/>
      <x:c r="C500" s="73"/>
      <x:c r="D500" s="73"/>
      <x:c r="E500" s="73"/>
      <x:c r="F500" s="73"/>
      <x:c r="G500" s="73"/>
      <x:c r="H500" s="73"/>
      <x:c r="I500" s="75"/>
      <x:c r="J500" s="73"/>
      <x:c r="K500" s="73"/>
      <x:c r="L500" s="76"/>
      <x:c r="M500" s="73"/>
      <x:c r="N500" s="73"/>
      <x:c r="O500" s="73"/>
      <x:c r="P500" s="73"/>
      <x:c r="Q500" s="76"/>
      <x:c r="R500" s="73"/>
      <x:c r="S500" s="73"/>
      <x:c r="T500" s="73"/>
      <x:c r="U500" s="73"/>
      <x:c r="V500" s="73"/>
      <x:c r="W500" s="73"/>
      <x:c r="X500" s="73"/>
      <x:c r="Y500" s="73"/>
      <x:c r="Z500" s="73"/>
      <x:c r="AA500" s="73"/>
      <x:c r="AB500" s="76" t="str">
        <x:f>IF(A500="","",IF(OR(NOT(ISNUMBER(I500)),I500&lt;0,NOT(ISNUMBER(AP500)),AP500&lt;0,NOT(ISNUMBER(L500)),L500&lt;1,L500&gt;5,L500&lt;&gt;INT(L500),AND(J500&lt;&gt;"Public",J500&lt;&gt;"Partner",J500&lt;&gt;"Internal",J500&lt;&gt;"None"),AND(K500&lt;&gt;"High",K500&lt;&gt;"Medium",K500&lt;&gt;"Low",K500&lt;&gt;"None"),AND(W500&lt;&gt;"Hard-coded",W500&lt;&gt;"Configurable",W500&lt;&gt;"Policy-managed",W500&lt;&gt;"API/Library abstraction",W500&lt;&gt;"Automated"),AND(Z500&lt;&gt;"Y",Z500&lt;&gt;"N"),AND(AA500&lt;&gt;"Y",AA500&lt;&gt;"N")),"Incomplete",IF(Z500="Y",20,0)+L500*5+IF(AA500="Y",15,0)+IF(J500="Public",10,IF(J500="Partner",7,IF(J500="Internal",3,0)))+IF(W500="Hard-coded",10,IF(W500="Configurable",3,0))+IF(MAX(I500,AP500)&gt;=10,10,IF(MAX(I500,AP500)&gt;=5,7,IF(MAX(I500,AP500)&gt;=2,3,0)))+IF(K500="High",10,IF(K500="Medium",5,0))))</x:f>
      </x:c>
      <x:c r="AC500" s="73" t="str">
        <x:f>IF(A500="","",IF(NOT(ISNUMBER(AB500)),"Review inputs",IF(AB500&gt;=70,"P0 - Immediate",IF(AB500&gt;=50,"P1 - High",IF(AB500&gt;=30,"P2 - Medium",IF(AB500&gt;=15,"P3 - Low","P4 - Monitor"))))))</x:f>
      </x:c>
      <x:c r="AD500" s="73"/>
      <x:c r="AE500" s="73"/>
      <x:c r="AF500" s="73"/>
      <x:c r="AG500" s="77"/>
      <x:c r="AH500" s="73"/>
      <x:c r="AI500" s="91"/>
      <x:c r="AJ500" s="91"/>
      <x:c r="AK500" s="91"/>
      <x:c r="AL500" s="92"/>
      <x:c r="AM500" s="91"/>
      <x:c r="AN500" s="91"/>
      <x:c r="AO500" s="93"/>
      <x:c r="AP500" s="94"/>
      <x:c r="AQ500" s="91"/>
      <x:c r="AR500" s="91"/>
      <x:c r="AS500" s="91"/>
      <x:c r="AT500" s="91"/>
      <x:c r="AU500" s="91"/>
      <x:c r="AV500" s="91"/>
      <x:c r="AW500" s="91"/>
      <x:c r="AX500" s="91"/>
      <x:c r="AY500" s="91"/>
      <x:c r="AZ500" s="92"/>
      <x:c r="BA500" s="94"/>
      <x:c r="BB500" s="91"/>
      <x:c r="BC500" s="92"/>
      <x:c r="BD500" s="92"/>
      <x:c r="BE500" s="91"/>
      <x:c r="BF500" s="91"/>
      <x:c r="BG500" s="91"/>
      <x:c r="BH500" s="91"/>
      <x:c r="BI500" s="91"/>
      <x:c r="BJ500" s="91"/>
      <x:c r="BK500" s="91"/>
      <x:c r="BL500" s="91"/>
      <x:c r="BM500" s="73" t="str">
        <x:f>IF(A500="","",IF(AI500="Example","Example only",IF(AI500&lt;&gt;"Actual","Set record type",IF(COUNTIF($A$2:$A$1001,A500)&gt;1,"Duplicate record ID",IF(OR(D500="",E500="",AF500="",NOT(ISNUMBER(AG500)),AJ500="",AK500="",NOT(ISNUMBER(AL500)),AND(AM500&lt;&gt;"Observed",AM500&lt;&gt;"Corroborated",AM500&lt;&gt;"Declared"),OR(AN500="",AN500="Unknown"),OR(AQ500="",AQ500="Unknown"),OR(AR500="",AR500="Unknown",AR500="TBD"),OR(BC500="",NOT(ISNUMBER(BC500)))),"Evidence incomplete","Evidence recorded; review scope")))))</x:f>
      </x:c>
      <x:c r="BN500" s="73"/>
    </x:row>
    <x:row r="501" ht="34" customHeight="1">
      <x:c r="A501" s="73"/>
      <x:c r="B501" s="73"/>
      <x:c r="C501" s="73"/>
      <x:c r="D501" s="73"/>
      <x:c r="E501" s="73"/>
      <x:c r="F501" s="73"/>
      <x:c r="G501" s="73"/>
      <x:c r="H501" s="73"/>
      <x:c r="I501" s="75"/>
      <x:c r="J501" s="73"/>
      <x:c r="K501" s="73"/>
      <x:c r="L501" s="76"/>
      <x:c r="M501" s="73"/>
      <x:c r="N501" s="73"/>
      <x:c r="O501" s="73"/>
      <x:c r="P501" s="73"/>
      <x:c r="Q501" s="76"/>
      <x:c r="R501" s="73"/>
      <x:c r="S501" s="73"/>
      <x:c r="T501" s="73"/>
      <x:c r="U501" s="73"/>
      <x:c r="V501" s="73"/>
      <x:c r="W501" s="73"/>
      <x:c r="X501" s="73"/>
      <x:c r="Y501" s="73"/>
      <x:c r="Z501" s="73"/>
      <x:c r="AA501" s="73"/>
      <x:c r="AB501" s="76" t="str">
        <x:f>IF(A501="","",IF(OR(NOT(ISNUMBER(I501)),I501&lt;0,NOT(ISNUMBER(AP501)),AP501&lt;0,NOT(ISNUMBER(L501)),L501&lt;1,L501&gt;5,L501&lt;&gt;INT(L501),AND(J501&lt;&gt;"Public",J501&lt;&gt;"Partner",J501&lt;&gt;"Internal",J501&lt;&gt;"None"),AND(K501&lt;&gt;"High",K501&lt;&gt;"Medium",K501&lt;&gt;"Low",K501&lt;&gt;"None"),AND(W501&lt;&gt;"Hard-coded",W501&lt;&gt;"Configurable",W501&lt;&gt;"Policy-managed",W501&lt;&gt;"API/Library abstraction",W501&lt;&gt;"Automated"),AND(Z501&lt;&gt;"Y",Z501&lt;&gt;"N"),AND(AA501&lt;&gt;"Y",AA501&lt;&gt;"N")),"Incomplete",IF(Z501="Y",20,0)+L501*5+IF(AA501="Y",15,0)+IF(J501="Public",10,IF(J501="Partner",7,IF(J501="Internal",3,0)))+IF(W501="Hard-coded",10,IF(W501="Configurable",3,0))+IF(MAX(I501,AP501)&gt;=10,10,IF(MAX(I501,AP501)&gt;=5,7,IF(MAX(I501,AP501)&gt;=2,3,0)))+IF(K501="High",10,IF(K501="Medium",5,0))))</x:f>
      </x:c>
      <x:c r="AC501" s="73" t="str">
        <x:f>IF(A501="","",IF(NOT(ISNUMBER(AB501)),"Review inputs",IF(AB501&gt;=70,"P0 - Immediate",IF(AB501&gt;=50,"P1 - High",IF(AB501&gt;=30,"P2 - Medium",IF(AB501&gt;=15,"P3 - Low","P4 - Monitor"))))))</x:f>
      </x:c>
      <x:c r="AD501" s="73"/>
      <x:c r="AE501" s="73"/>
      <x:c r="AF501" s="73"/>
      <x:c r="AG501" s="77"/>
      <x:c r="AH501" s="73"/>
      <x:c r="AI501" s="91"/>
      <x:c r="AJ501" s="91"/>
      <x:c r="AK501" s="91"/>
      <x:c r="AL501" s="92"/>
      <x:c r="AM501" s="91"/>
      <x:c r="AN501" s="91"/>
      <x:c r="AO501" s="93"/>
      <x:c r="AP501" s="94"/>
      <x:c r="AQ501" s="91"/>
      <x:c r="AR501" s="91"/>
      <x:c r="AS501" s="91"/>
      <x:c r="AT501" s="91"/>
      <x:c r="AU501" s="91"/>
      <x:c r="AV501" s="91"/>
      <x:c r="AW501" s="91"/>
      <x:c r="AX501" s="91"/>
      <x:c r="AY501" s="91"/>
      <x:c r="AZ501" s="92"/>
      <x:c r="BA501" s="94"/>
      <x:c r="BB501" s="91"/>
      <x:c r="BC501" s="92"/>
      <x:c r="BD501" s="92"/>
      <x:c r="BE501" s="91"/>
      <x:c r="BF501" s="91"/>
      <x:c r="BG501" s="91"/>
      <x:c r="BH501" s="91"/>
      <x:c r="BI501" s="91"/>
      <x:c r="BJ501" s="91"/>
      <x:c r="BK501" s="91"/>
      <x:c r="BL501" s="91"/>
      <x:c r="BM501" s="73" t="str">
        <x:f>IF(A501="","",IF(AI501="Example","Example only",IF(AI501&lt;&gt;"Actual","Set record type",IF(COUNTIF($A$2:$A$1001,A501)&gt;1,"Duplicate record ID",IF(OR(D501="",E501="",AF501="",NOT(ISNUMBER(AG501)),AJ501="",AK501="",NOT(ISNUMBER(AL501)),AND(AM501&lt;&gt;"Observed",AM501&lt;&gt;"Corroborated",AM501&lt;&gt;"Declared"),OR(AN501="",AN501="Unknown"),OR(AQ501="",AQ501="Unknown"),OR(AR501="",AR501="Unknown",AR501="TBD"),OR(BC501="",NOT(ISNUMBER(BC501)))),"Evidence incomplete","Evidence recorded; review scope")))))</x:f>
      </x:c>
      <x:c r="BN501" s="73"/>
    </x:row>
    <x:row r="502" ht="34" customHeight="1">
      <x:c r="A502" s="73"/>
      <x:c r="B502" s="73"/>
      <x:c r="C502" s="73"/>
      <x:c r="D502" s="73"/>
      <x:c r="E502" s="73"/>
      <x:c r="F502" s="73"/>
      <x:c r="G502" s="73"/>
      <x:c r="H502" s="73"/>
      <x:c r="I502" s="75"/>
      <x:c r="J502" s="73"/>
      <x:c r="K502" s="73"/>
      <x:c r="L502" s="76"/>
      <x:c r="M502" s="73"/>
      <x:c r="N502" s="73"/>
      <x:c r="O502" s="73"/>
      <x:c r="P502" s="73"/>
      <x:c r="Q502" s="76"/>
      <x:c r="R502" s="73"/>
      <x:c r="S502" s="73"/>
      <x:c r="T502" s="73"/>
      <x:c r="U502" s="73"/>
      <x:c r="V502" s="73"/>
      <x:c r="W502" s="73"/>
      <x:c r="X502" s="73"/>
      <x:c r="Y502" s="73"/>
      <x:c r="Z502" s="73"/>
      <x:c r="AA502" s="73"/>
      <x:c r="AB502" s="76" t="str">
        <x:f>IF(A502="","",IF(OR(NOT(ISNUMBER(I502)),I502&lt;0,NOT(ISNUMBER(AP502)),AP502&lt;0,NOT(ISNUMBER(L502)),L502&lt;1,L502&gt;5,L502&lt;&gt;INT(L502),AND(J502&lt;&gt;"Public",J502&lt;&gt;"Partner",J502&lt;&gt;"Internal",J502&lt;&gt;"None"),AND(K502&lt;&gt;"High",K502&lt;&gt;"Medium",K502&lt;&gt;"Low",K502&lt;&gt;"None"),AND(W502&lt;&gt;"Hard-coded",W502&lt;&gt;"Configurable",W502&lt;&gt;"Policy-managed",W502&lt;&gt;"API/Library abstraction",W502&lt;&gt;"Automated"),AND(Z502&lt;&gt;"Y",Z502&lt;&gt;"N"),AND(AA502&lt;&gt;"Y",AA502&lt;&gt;"N")),"Incomplete",IF(Z502="Y",20,0)+L502*5+IF(AA502="Y",15,0)+IF(J502="Public",10,IF(J502="Partner",7,IF(J502="Internal",3,0)))+IF(W502="Hard-coded",10,IF(W502="Configurable",3,0))+IF(MAX(I502,AP502)&gt;=10,10,IF(MAX(I502,AP502)&gt;=5,7,IF(MAX(I502,AP502)&gt;=2,3,0)))+IF(K502="High",10,IF(K502="Medium",5,0))))</x:f>
      </x:c>
      <x:c r="AC502" s="73" t="str">
        <x:f>IF(A502="","",IF(NOT(ISNUMBER(AB502)),"Review inputs",IF(AB502&gt;=70,"P0 - Immediate",IF(AB502&gt;=50,"P1 - High",IF(AB502&gt;=30,"P2 - Medium",IF(AB502&gt;=15,"P3 - Low","P4 - Monitor"))))))</x:f>
      </x:c>
      <x:c r="AD502" s="73"/>
      <x:c r="AE502" s="73"/>
      <x:c r="AF502" s="73"/>
      <x:c r="AG502" s="77"/>
      <x:c r="AH502" s="73"/>
      <x:c r="AI502" s="91"/>
      <x:c r="AJ502" s="91"/>
      <x:c r="AK502" s="91"/>
      <x:c r="AL502" s="92"/>
      <x:c r="AM502" s="91"/>
      <x:c r="AN502" s="91"/>
      <x:c r="AO502" s="93"/>
      <x:c r="AP502" s="94"/>
      <x:c r="AQ502" s="91"/>
      <x:c r="AR502" s="91"/>
      <x:c r="AS502" s="91"/>
      <x:c r="AT502" s="91"/>
      <x:c r="AU502" s="91"/>
      <x:c r="AV502" s="91"/>
      <x:c r="AW502" s="91"/>
      <x:c r="AX502" s="91"/>
      <x:c r="AY502" s="91"/>
      <x:c r="AZ502" s="92"/>
      <x:c r="BA502" s="94"/>
      <x:c r="BB502" s="91"/>
      <x:c r="BC502" s="92"/>
      <x:c r="BD502" s="92"/>
      <x:c r="BE502" s="91"/>
      <x:c r="BF502" s="91"/>
      <x:c r="BG502" s="91"/>
      <x:c r="BH502" s="91"/>
      <x:c r="BI502" s="91"/>
      <x:c r="BJ502" s="91"/>
      <x:c r="BK502" s="91"/>
      <x:c r="BL502" s="91"/>
      <x:c r="BM502" s="73" t="str">
        <x:f>IF(A502="","",IF(AI502="Example","Example only",IF(AI502&lt;&gt;"Actual","Set record type",IF(COUNTIF($A$2:$A$1001,A502)&gt;1,"Duplicate record ID",IF(OR(D502="",E502="",AF502="",NOT(ISNUMBER(AG502)),AJ502="",AK502="",NOT(ISNUMBER(AL502)),AND(AM502&lt;&gt;"Observed",AM502&lt;&gt;"Corroborated",AM502&lt;&gt;"Declared"),OR(AN502="",AN502="Unknown"),OR(AQ502="",AQ502="Unknown"),OR(AR502="",AR502="Unknown",AR502="TBD"),OR(BC502="",NOT(ISNUMBER(BC502)))),"Evidence incomplete","Evidence recorded; review scope")))))</x:f>
      </x:c>
      <x:c r="BN502" s="73"/>
    </x:row>
    <x:row r="503" ht="34" customHeight="1">
      <x:c r="A503" s="73"/>
      <x:c r="B503" s="73"/>
      <x:c r="C503" s="73"/>
      <x:c r="D503" s="73"/>
      <x:c r="E503" s="73"/>
      <x:c r="F503" s="73"/>
      <x:c r="G503" s="73"/>
      <x:c r="H503" s="73"/>
      <x:c r="I503" s="75"/>
      <x:c r="J503" s="73"/>
      <x:c r="K503" s="73"/>
      <x:c r="L503" s="76"/>
      <x:c r="M503" s="73"/>
      <x:c r="N503" s="73"/>
      <x:c r="O503" s="73"/>
      <x:c r="P503" s="73"/>
      <x:c r="Q503" s="76"/>
      <x:c r="R503" s="73"/>
      <x:c r="S503" s="73"/>
      <x:c r="T503" s="73"/>
      <x:c r="U503" s="73"/>
      <x:c r="V503" s="73"/>
      <x:c r="W503" s="73"/>
      <x:c r="X503" s="73"/>
      <x:c r="Y503" s="73"/>
      <x:c r="Z503" s="73"/>
      <x:c r="AA503" s="73"/>
      <x:c r="AB503" s="76" t="str">
        <x:f>IF(A503="","",IF(OR(NOT(ISNUMBER(I503)),I503&lt;0,NOT(ISNUMBER(AP503)),AP503&lt;0,NOT(ISNUMBER(L503)),L503&lt;1,L503&gt;5,L503&lt;&gt;INT(L503),AND(J503&lt;&gt;"Public",J503&lt;&gt;"Partner",J503&lt;&gt;"Internal",J503&lt;&gt;"None"),AND(K503&lt;&gt;"High",K503&lt;&gt;"Medium",K503&lt;&gt;"Low",K503&lt;&gt;"None"),AND(W503&lt;&gt;"Hard-coded",W503&lt;&gt;"Configurable",W503&lt;&gt;"Policy-managed",W503&lt;&gt;"API/Library abstraction",W503&lt;&gt;"Automated"),AND(Z503&lt;&gt;"Y",Z503&lt;&gt;"N"),AND(AA503&lt;&gt;"Y",AA503&lt;&gt;"N")),"Incomplete",IF(Z503="Y",20,0)+L503*5+IF(AA503="Y",15,0)+IF(J503="Public",10,IF(J503="Partner",7,IF(J503="Internal",3,0)))+IF(W503="Hard-coded",10,IF(W503="Configurable",3,0))+IF(MAX(I503,AP503)&gt;=10,10,IF(MAX(I503,AP503)&gt;=5,7,IF(MAX(I503,AP503)&gt;=2,3,0)))+IF(K503="High",10,IF(K503="Medium",5,0))))</x:f>
      </x:c>
      <x:c r="AC503" s="73" t="str">
        <x:f>IF(A503="","",IF(NOT(ISNUMBER(AB503)),"Review inputs",IF(AB503&gt;=70,"P0 - Immediate",IF(AB503&gt;=50,"P1 - High",IF(AB503&gt;=30,"P2 - Medium",IF(AB503&gt;=15,"P3 - Low","P4 - Monitor"))))))</x:f>
      </x:c>
      <x:c r="AD503" s="73"/>
      <x:c r="AE503" s="73"/>
      <x:c r="AF503" s="73"/>
      <x:c r="AG503" s="77"/>
      <x:c r="AH503" s="73"/>
      <x:c r="AI503" s="91"/>
      <x:c r="AJ503" s="91"/>
      <x:c r="AK503" s="91"/>
      <x:c r="AL503" s="92"/>
      <x:c r="AM503" s="91"/>
      <x:c r="AN503" s="91"/>
      <x:c r="AO503" s="93"/>
      <x:c r="AP503" s="94"/>
      <x:c r="AQ503" s="91"/>
      <x:c r="AR503" s="91"/>
      <x:c r="AS503" s="91"/>
      <x:c r="AT503" s="91"/>
      <x:c r="AU503" s="91"/>
      <x:c r="AV503" s="91"/>
      <x:c r="AW503" s="91"/>
      <x:c r="AX503" s="91"/>
      <x:c r="AY503" s="91"/>
      <x:c r="AZ503" s="92"/>
      <x:c r="BA503" s="94"/>
      <x:c r="BB503" s="91"/>
      <x:c r="BC503" s="92"/>
      <x:c r="BD503" s="92"/>
      <x:c r="BE503" s="91"/>
      <x:c r="BF503" s="91"/>
      <x:c r="BG503" s="91"/>
      <x:c r="BH503" s="91"/>
      <x:c r="BI503" s="91"/>
      <x:c r="BJ503" s="91"/>
      <x:c r="BK503" s="91"/>
      <x:c r="BL503" s="91"/>
      <x:c r="BM503" s="73" t="str">
        <x:f>IF(A503="","",IF(AI503="Example","Example only",IF(AI503&lt;&gt;"Actual","Set record type",IF(COUNTIF($A$2:$A$1001,A503)&gt;1,"Duplicate record ID",IF(OR(D503="",E503="",AF503="",NOT(ISNUMBER(AG503)),AJ503="",AK503="",NOT(ISNUMBER(AL503)),AND(AM503&lt;&gt;"Observed",AM503&lt;&gt;"Corroborated",AM503&lt;&gt;"Declared"),OR(AN503="",AN503="Unknown"),OR(AQ503="",AQ503="Unknown"),OR(AR503="",AR503="Unknown",AR503="TBD"),OR(BC503="",NOT(ISNUMBER(BC503)))),"Evidence incomplete","Evidence recorded; review scope")))))</x:f>
      </x:c>
      <x:c r="BN503" s="73"/>
    </x:row>
    <x:row r="504" ht="34" customHeight="1">
      <x:c r="A504" s="73"/>
      <x:c r="B504" s="73"/>
      <x:c r="C504" s="73"/>
      <x:c r="D504" s="73"/>
      <x:c r="E504" s="73"/>
      <x:c r="F504" s="73"/>
      <x:c r="G504" s="73"/>
      <x:c r="H504" s="73"/>
      <x:c r="I504" s="75"/>
      <x:c r="J504" s="73"/>
      <x:c r="K504" s="73"/>
      <x:c r="L504" s="76"/>
      <x:c r="M504" s="73"/>
      <x:c r="N504" s="73"/>
      <x:c r="O504" s="73"/>
      <x:c r="P504" s="73"/>
      <x:c r="Q504" s="76"/>
      <x:c r="R504" s="73"/>
      <x:c r="S504" s="73"/>
      <x:c r="T504" s="73"/>
      <x:c r="U504" s="73"/>
      <x:c r="V504" s="73"/>
      <x:c r="W504" s="73"/>
      <x:c r="X504" s="73"/>
      <x:c r="Y504" s="73"/>
      <x:c r="Z504" s="73"/>
      <x:c r="AA504" s="73"/>
      <x:c r="AB504" s="76" t="str">
        <x:f>IF(A504="","",IF(OR(NOT(ISNUMBER(I504)),I504&lt;0,NOT(ISNUMBER(AP504)),AP504&lt;0,NOT(ISNUMBER(L504)),L504&lt;1,L504&gt;5,L504&lt;&gt;INT(L504),AND(J504&lt;&gt;"Public",J504&lt;&gt;"Partner",J504&lt;&gt;"Internal",J504&lt;&gt;"None"),AND(K504&lt;&gt;"High",K504&lt;&gt;"Medium",K504&lt;&gt;"Low",K504&lt;&gt;"None"),AND(W504&lt;&gt;"Hard-coded",W504&lt;&gt;"Configurable",W504&lt;&gt;"Policy-managed",W504&lt;&gt;"API/Library abstraction",W504&lt;&gt;"Automated"),AND(Z504&lt;&gt;"Y",Z504&lt;&gt;"N"),AND(AA504&lt;&gt;"Y",AA504&lt;&gt;"N")),"Incomplete",IF(Z504="Y",20,0)+L504*5+IF(AA504="Y",15,0)+IF(J504="Public",10,IF(J504="Partner",7,IF(J504="Internal",3,0)))+IF(W504="Hard-coded",10,IF(W504="Configurable",3,0))+IF(MAX(I504,AP504)&gt;=10,10,IF(MAX(I504,AP504)&gt;=5,7,IF(MAX(I504,AP504)&gt;=2,3,0)))+IF(K504="High",10,IF(K504="Medium",5,0))))</x:f>
      </x:c>
      <x:c r="AC504" s="73" t="str">
        <x:f>IF(A504="","",IF(NOT(ISNUMBER(AB504)),"Review inputs",IF(AB504&gt;=70,"P0 - Immediate",IF(AB504&gt;=50,"P1 - High",IF(AB504&gt;=30,"P2 - Medium",IF(AB504&gt;=15,"P3 - Low","P4 - Monitor"))))))</x:f>
      </x:c>
      <x:c r="AD504" s="73"/>
      <x:c r="AE504" s="73"/>
      <x:c r="AF504" s="73"/>
      <x:c r="AG504" s="77"/>
      <x:c r="AH504" s="73"/>
      <x:c r="AI504" s="91"/>
      <x:c r="AJ504" s="91"/>
      <x:c r="AK504" s="91"/>
      <x:c r="AL504" s="92"/>
      <x:c r="AM504" s="91"/>
      <x:c r="AN504" s="91"/>
      <x:c r="AO504" s="93"/>
      <x:c r="AP504" s="94"/>
      <x:c r="AQ504" s="91"/>
      <x:c r="AR504" s="91"/>
      <x:c r="AS504" s="91"/>
      <x:c r="AT504" s="91"/>
      <x:c r="AU504" s="91"/>
      <x:c r="AV504" s="91"/>
      <x:c r="AW504" s="91"/>
      <x:c r="AX504" s="91"/>
      <x:c r="AY504" s="91"/>
      <x:c r="AZ504" s="92"/>
      <x:c r="BA504" s="94"/>
      <x:c r="BB504" s="91"/>
      <x:c r="BC504" s="92"/>
      <x:c r="BD504" s="92"/>
      <x:c r="BE504" s="91"/>
      <x:c r="BF504" s="91"/>
      <x:c r="BG504" s="91"/>
      <x:c r="BH504" s="91"/>
      <x:c r="BI504" s="91"/>
      <x:c r="BJ504" s="91"/>
      <x:c r="BK504" s="91"/>
      <x:c r="BL504" s="91"/>
      <x:c r="BM504" s="73" t="str">
        <x:f>IF(A504="","",IF(AI504="Example","Example only",IF(AI504&lt;&gt;"Actual","Set record type",IF(COUNTIF($A$2:$A$1001,A504)&gt;1,"Duplicate record ID",IF(OR(D504="",E504="",AF504="",NOT(ISNUMBER(AG504)),AJ504="",AK504="",NOT(ISNUMBER(AL504)),AND(AM504&lt;&gt;"Observed",AM504&lt;&gt;"Corroborated",AM504&lt;&gt;"Declared"),OR(AN504="",AN504="Unknown"),OR(AQ504="",AQ504="Unknown"),OR(AR504="",AR504="Unknown",AR504="TBD"),OR(BC504="",NOT(ISNUMBER(BC504)))),"Evidence incomplete","Evidence recorded; review scope")))))</x:f>
      </x:c>
      <x:c r="BN504" s="73"/>
    </x:row>
    <x:row r="505" ht="34" customHeight="1">
      <x:c r="A505" s="73"/>
      <x:c r="B505" s="73"/>
      <x:c r="C505" s="73"/>
      <x:c r="D505" s="73"/>
      <x:c r="E505" s="73"/>
      <x:c r="F505" s="73"/>
      <x:c r="G505" s="73"/>
      <x:c r="H505" s="73"/>
      <x:c r="I505" s="75"/>
      <x:c r="J505" s="73"/>
      <x:c r="K505" s="73"/>
      <x:c r="L505" s="76"/>
      <x:c r="M505" s="73"/>
      <x:c r="N505" s="73"/>
      <x:c r="O505" s="73"/>
      <x:c r="P505" s="73"/>
      <x:c r="Q505" s="76"/>
      <x:c r="R505" s="73"/>
      <x:c r="S505" s="73"/>
      <x:c r="T505" s="73"/>
      <x:c r="U505" s="73"/>
      <x:c r="V505" s="73"/>
      <x:c r="W505" s="73"/>
      <x:c r="X505" s="73"/>
      <x:c r="Y505" s="73"/>
      <x:c r="Z505" s="73"/>
      <x:c r="AA505" s="73"/>
      <x:c r="AB505" s="76" t="str">
        <x:f>IF(A505="","",IF(OR(NOT(ISNUMBER(I505)),I505&lt;0,NOT(ISNUMBER(AP505)),AP505&lt;0,NOT(ISNUMBER(L505)),L505&lt;1,L505&gt;5,L505&lt;&gt;INT(L505),AND(J505&lt;&gt;"Public",J505&lt;&gt;"Partner",J505&lt;&gt;"Internal",J505&lt;&gt;"None"),AND(K505&lt;&gt;"High",K505&lt;&gt;"Medium",K505&lt;&gt;"Low",K505&lt;&gt;"None"),AND(W505&lt;&gt;"Hard-coded",W505&lt;&gt;"Configurable",W505&lt;&gt;"Policy-managed",W505&lt;&gt;"API/Library abstraction",W505&lt;&gt;"Automated"),AND(Z505&lt;&gt;"Y",Z505&lt;&gt;"N"),AND(AA505&lt;&gt;"Y",AA505&lt;&gt;"N")),"Incomplete",IF(Z505="Y",20,0)+L505*5+IF(AA505="Y",15,0)+IF(J505="Public",10,IF(J505="Partner",7,IF(J505="Internal",3,0)))+IF(W505="Hard-coded",10,IF(W505="Configurable",3,0))+IF(MAX(I505,AP505)&gt;=10,10,IF(MAX(I505,AP505)&gt;=5,7,IF(MAX(I505,AP505)&gt;=2,3,0)))+IF(K505="High",10,IF(K505="Medium",5,0))))</x:f>
      </x:c>
      <x:c r="AC505" s="73" t="str">
        <x:f>IF(A505="","",IF(NOT(ISNUMBER(AB505)),"Review inputs",IF(AB505&gt;=70,"P0 - Immediate",IF(AB505&gt;=50,"P1 - High",IF(AB505&gt;=30,"P2 - Medium",IF(AB505&gt;=15,"P3 - Low","P4 - Monitor"))))))</x:f>
      </x:c>
      <x:c r="AD505" s="73"/>
      <x:c r="AE505" s="73"/>
      <x:c r="AF505" s="73"/>
      <x:c r="AG505" s="77"/>
      <x:c r="AH505" s="73"/>
      <x:c r="AI505" s="91"/>
      <x:c r="AJ505" s="91"/>
      <x:c r="AK505" s="91"/>
      <x:c r="AL505" s="92"/>
      <x:c r="AM505" s="91"/>
      <x:c r="AN505" s="91"/>
      <x:c r="AO505" s="93"/>
      <x:c r="AP505" s="94"/>
      <x:c r="AQ505" s="91"/>
      <x:c r="AR505" s="91"/>
      <x:c r="AS505" s="91"/>
      <x:c r="AT505" s="91"/>
      <x:c r="AU505" s="91"/>
      <x:c r="AV505" s="91"/>
      <x:c r="AW505" s="91"/>
      <x:c r="AX505" s="91"/>
      <x:c r="AY505" s="91"/>
      <x:c r="AZ505" s="92"/>
      <x:c r="BA505" s="94"/>
      <x:c r="BB505" s="91"/>
      <x:c r="BC505" s="92"/>
      <x:c r="BD505" s="92"/>
      <x:c r="BE505" s="91"/>
      <x:c r="BF505" s="91"/>
      <x:c r="BG505" s="91"/>
      <x:c r="BH505" s="91"/>
      <x:c r="BI505" s="91"/>
      <x:c r="BJ505" s="91"/>
      <x:c r="BK505" s="91"/>
      <x:c r="BL505" s="91"/>
      <x:c r="BM505" s="73" t="str">
        <x:f>IF(A505="","",IF(AI505="Example","Example only",IF(AI505&lt;&gt;"Actual","Set record type",IF(COUNTIF($A$2:$A$1001,A505)&gt;1,"Duplicate record ID",IF(OR(D505="",E505="",AF505="",NOT(ISNUMBER(AG505)),AJ505="",AK505="",NOT(ISNUMBER(AL505)),AND(AM505&lt;&gt;"Observed",AM505&lt;&gt;"Corroborated",AM505&lt;&gt;"Declared"),OR(AN505="",AN505="Unknown"),OR(AQ505="",AQ505="Unknown"),OR(AR505="",AR505="Unknown",AR505="TBD"),OR(BC505="",NOT(ISNUMBER(BC505)))),"Evidence incomplete","Evidence recorded; review scope")))))</x:f>
      </x:c>
      <x:c r="BN505" s="73"/>
    </x:row>
    <x:row r="506" ht="34" customHeight="1">
      <x:c r="A506" s="73"/>
      <x:c r="B506" s="73"/>
      <x:c r="C506" s="73"/>
      <x:c r="D506" s="73"/>
      <x:c r="E506" s="73"/>
      <x:c r="F506" s="73"/>
      <x:c r="G506" s="73"/>
      <x:c r="H506" s="73"/>
      <x:c r="I506" s="75"/>
      <x:c r="J506" s="73"/>
      <x:c r="K506" s="73"/>
      <x:c r="L506" s="76"/>
      <x:c r="M506" s="73"/>
      <x:c r="N506" s="73"/>
      <x:c r="O506" s="73"/>
      <x:c r="P506" s="73"/>
      <x:c r="Q506" s="76"/>
      <x:c r="R506" s="73"/>
      <x:c r="S506" s="73"/>
      <x:c r="T506" s="73"/>
      <x:c r="U506" s="73"/>
      <x:c r="V506" s="73"/>
      <x:c r="W506" s="73"/>
      <x:c r="X506" s="73"/>
      <x:c r="Y506" s="73"/>
      <x:c r="Z506" s="73"/>
      <x:c r="AA506" s="73"/>
      <x:c r="AB506" s="76" t="str">
        <x:f>IF(A506="","",IF(OR(NOT(ISNUMBER(I506)),I506&lt;0,NOT(ISNUMBER(AP506)),AP506&lt;0,NOT(ISNUMBER(L506)),L506&lt;1,L506&gt;5,L506&lt;&gt;INT(L506),AND(J506&lt;&gt;"Public",J506&lt;&gt;"Partner",J506&lt;&gt;"Internal",J506&lt;&gt;"None"),AND(K506&lt;&gt;"High",K506&lt;&gt;"Medium",K506&lt;&gt;"Low",K506&lt;&gt;"None"),AND(W506&lt;&gt;"Hard-coded",W506&lt;&gt;"Configurable",W506&lt;&gt;"Policy-managed",W506&lt;&gt;"API/Library abstraction",W506&lt;&gt;"Automated"),AND(Z506&lt;&gt;"Y",Z506&lt;&gt;"N"),AND(AA506&lt;&gt;"Y",AA506&lt;&gt;"N")),"Incomplete",IF(Z506="Y",20,0)+L506*5+IF(AA506="Y",15,0)+IF(J506="Public",10,IF(J506="Partner",7,IF(J506="Internal",3,0)))+IF(W506="Hard-coded",10,IF(W506="Configurable",3,0))+IF(MAX(I506,AP506)&gt;=10,10,IF(MAX(I506,AP506)&gt;=5,7,IF(MAX(I506,AP506)&gt;=2,3,0)))+IF(K506="High",10,IF(K506="Medium",5,0))))</x:f>
      </x:c>
      <x:c r="AC506" s="73" t="str">
        <x:f>IF(A506="","",IF(NOT(ISNUMBER(AB506)),"Review inputs",IF(AB506&gt;=70,"P0 - Immediate",IF(AB506&gt;=50,"P1 - High",IF(AB506&gt;=30,"P2 - Medium",IF(AB506&gt;=15,"P3 - Low","P4 - Monitor"))))))</x:f>
      </x:c>
      <x:c r="AD506" s="73"/>
      <x:c r="AE506" s="73"/>
      <x:c r="AF506" s="73"/>
      <x:c r="AG506" s="77"/>
      <x:c r="AH506" s="73"/>
      <x:c r="AI506" s="91"/>
      <x:c r="AJ506" s="91"/>
      <x:c r="AK506" s="91"/>
      <x:c r="AL506" s="92"/>
      <x:c r="AM506" s="91"/>
      <x:c r="AN506" s="91"/>
      <x:c r="AO506" s="93"/>
      <x:c r="AP506" s="94"/>
      <x:c r="AQ506" s="91"/>
      <x:c r="AR506" s="91"/>
      <x:c r="AS506" s="91"/>
      <x:c r="AT506" s="91"/>
      <x:c r="AU506" s="91"/>
      <x:c r="AV506" s="91"/>
      <x:c r="AW506" s="91"/>
      <x:c r="AX506" s="91"/>
      <x:c r="AY506" s="91"/>
      <x:c r="AZ506" s="92"/>
      <x:c r="BA506" s="94"/>
      <x:c r="BB506" s="91"/>
      <x:c r="BC506" s="92"/>
      <x:c r="BD506" s="92"/>
      <x:c r="BE506" s="91"/>
      <x:c r="BF506" s="91"/>
      <x:c r="BG506" s="91"/>
      <x:c r="BH506" s="91"/>
      <x:c r="BI506" s="91"/>
      <x:c r="BJ506" s="91"/>
      <x:c r="BK506" s="91"/>
      <x:c r="BL506" s="91"/>
      <x:c r="BM506" s="73" t="str">
        <x:f>IF(A506="","",IF(AI506="Example","Example only",IF(AI506&lt;&gt;"Actual","Set record type",IF(COUNTIF($A$2:$A$1001,A506)&gt;1,"Duplicate record ID",IF(OR(D506="",E506="",AF506="",NOT(ISNUMBER(AG506)),AJ506="",AK506="",NOT(ISNUMBER(AL506)),AND(AM506&lt;&gt;"Observed",AM506&lt;&gt;"Corroborated",AM506&lt;&gt;"Declared"),OR(AN506="",AN506="Unknown"),OR(AQ506="",AQ506="Unknown"),OR(AR506="",AR506="Unknown",AR506="TBD"),OR(BC506="",NOT(ISNUMBER(BC506)))),"Evidence incomplete","Evidence recorded; review scope")))))</x:f>
      </x:c>
      <x:c r="BN506" s="73"/>
    </x:row>
    <x:row r="507" ht="34" customHeight="1">
      <x:c r="A507" s="73"/>
      <x:c r="B507" s="73"/>
      <x:c r="C507" s="73"/>
      <x:c r="D507" s="73"/>
      <x:c r="E507" s="73"/>
      <x:c r="F507" s="73"/>
      <x:c r="G507" s="73"/>
      <x:c r="H507" s="73"/>
      <x:c r="I507" s="75"/>
      <x:c r="J507" s="73"/>
      <x:c r="K507" s="73"/>
      <x:c r="L507" s="76"/>
      <x:c r="M507" s="73"/>
      <x:c r="N507" s="73"/>
      <x:c r="O507" s="73"/>
      <x:c r="P507" s="73"/>
      <x:c r="Q507" s="76"/>
      <x:c r="R507" s="73"/>
      <x:c r="S507" s="73"/>
      <x:c r="T507" s="73"/>
      <x:c r="U507" s="73"/>
      <x:c r="V507" s="73"/>
      <x:c r="W507" s="73"/>
      <x:c r="X507" s="73"/>
      <x:c r="Y507" s="73"/>
      <x:c r="Z507" s="73"/>
      <x:c r="AA507" s="73"/>
      <x:c r="AB507" s="76" t="str">
        <x:f>IF(A507="","",IF(OR(NOT(ISNUMBER(I507)),I507&lt;0,NOT(ISNUMBER(AP507)),AP507&lt;0,NOT(ISNUMBER(L507)),L507&lt;1,L507&gt;5,L507&lt;&gt;INT(L507),AND(J507&lt;&gt;"Public",J507&lt;&gt;"Partner",J507&lt;&gt;"Internal",J507&lt;&gt;"None"),AND(K507&lt;&gt;"High",K507&lt;&gt;"Medium",K507&lt;&gt;"Low",K507&lt;&gt;"None"),AND(W507&lt;&gt;"Hard-coded",W507&lt;&gt;"Configurable",W507&lt;&gt;"Policy-managed",W507&lt;&gt;"API/Library abstraction",W507&lt;&gt;"Automated"),AND(Z507&lt;&gt;"Y",Z507&lt;&gt;"N"),AND(AA507&lt;&gt;"Y",AA507&lt;&gt;"N")),"Incomplete",IF(Z507="Y",20,0)+L507*5+IF(AA507="Y",15,0)+IF(J507="Public",10,IF(J507="Partner",7,IF(J507="Internal",3,0)))+IF(W507="Hard-coded",10,IF(W507="Configurable",3,0))+IF(MAX(I507,AP507)&gt;=10,10,IF(MAX(I507,AP507)&gt;=5,7,IF(MAX(I507,AP507)&gt;=2,3,0)))+IF(K507="High",10,IF(K507="Medium",5,0))))</x:f>
      </x:c>
      <x:c r="AC507" s="73" t="str">
        <x:f>IF(A507="","",IF(NOT(ISNUMBER(AB507)),"Review inputs",IF(AB507&gt;=70,"P0 - Immediate",IF(AB507&gt;=50,"P1 - High",IF(AB507&gt;=30,"P2 - Medium",IF(AB507&gt;=15,"P3 - Low","P4 - Monitor"))))))</x:f>
      </x:c>
      <x:c r="AD507" s="73"/>
      <x:c r="AE507" s="73"/>
      <x:c r="AF507" s="73"/>
      <x:c r="AG507" s="77"/>
      <x:c r="AH507" s="73"/>
      <x:c r="AI507" s="91"/>
      <x:c r="AJ507" s="91"/>
      <x:c r="AK507" s="91"/>
      <x:c r="AL507" s="92"/>
      <x:c r="AM507" s="91"/>
      <x:c r="AN507" s="91"/>
      <x:c r="AO507" s="93"/>
      <x:c r="AP507" s="94"/>
      <x:c r="AQ507" s="91"/>
      <x:c r="AR507" s="91"/>
      <x:c r="AS507" s="91"/>
      <x:c r="AT507" s="91"/>
      <x:c r="AU507" s="91"/>
      <x:c r="AV507" s="91"/>
      <x:c r="AW507" s="91"/>
      <x:c r="AX507" s="91"/>
      <x:c r="AY507" s="91"/>
      <x:c r="AZ507" s="92"/>
      <x:c r="BA507" s="94"/>
      <x:c r="BB507" s="91"/>
      <x:c r="BC507" s="92"/>
      <x:c r="BD507" s="92"/>
      <x:c r="BE507" s="91"/>
      <x:c r="BF507" s="91"/>
      <x:c r="BG507" s="91"/>
      <x:c r="BH507" s="91"/>
      <x:c r="BI507" s="91"/>
      <x:c r="BJ507" s="91"/>
      <x:c r="BK507" s="91"/>
      <x:c r="BL507" s="91"/>
      <x:c r="BM507" s="73" t="str">
        <x:f>IF(A507="","",IF(AI507="Example","Example only",IF(AI507&lt;&gt;"Actual","Set record type",IF(COUNTIF($A$2:$A$1001,A507)&gt;1,"Duplicate record ID",IF(OR(D507="",E507="",AF507="",NOT(ISNUMBER(AG507)),AJ507="",AK507="",NOT(ISNUMBER(AL507)),AND(AM507&lt;&gt;"Observed",AM507&lt;&gt;"Corroborated",AM507&lt;&gt;"Declared"),OR(AN507="",AN507="Unknown"),OR(AQ507="",AQ507="Unknown"),OR(AR507="",AR507="Unknown",AR507="TBD"),OR(BC507="",NOT(ISNUMBER(BC507)))),"Evidence incomplete","Evidence recorded; review scope")))))</x:f>
      </x:c>
      <x:c r="BN507" s="73"/>
    </x:row>
    <x:row r="508" ht="34" customHeight="1">
      <x:c r="A508" s="73"/>
      <x:c r="B508" s="73"/>
      <x:c r="C508" s="73"/>
      <x:c r="D508" s="73"/>
      <x:c r="E508" s="73"/>
      <x:c r="F508" s="73"/>
      <x:c r="G508" s="73"/>
      <x:c r="H508" s="73"/>
      <x:c r="I508" s="75"/>
      <x:c r="J508" s="73"/>
      <x:c r="K508" s="73"/>
      <x:c r="L508" s="76"/>
      <x:c r="M508" s="73"/>
      <x:c r="N508" s="73"/>
      <x:c r="O508" s="73"/>
      <x:c r="P508" s="73"/>
      <x:c r="Q508" s="76"/>
      <x:c r="R508" s="73"/>
      <x:c r="S508" s="73"/>
      <x:c r="T508" s="73"/>
      <x:c r="U508" s="73"/>
      <x:c r="V508" s="73"/>
      <x:c r="W508" s="73"/>
      <x:c r="X508" s="73"/>
      <x:c r="Y508" s="73"/>
      <x:c r="Z508" s="73"/>
      <x:c r="AA508" s="73"/>
      <x:c r="AB508" s="76" t="str">
        <x:f>IF(A508="","",IF(OR(NOT(ISNUMBER(I508)),I508&lt;0,NOT(ISNUMBER(AP508)),AP508&lt;0,NOT(ISNUMBER(L508)),L508&lt;1,L508&gt;5,L508&lt;&gt;INT(L508),AND(J508&lt;&gt;"Public",J508&lt;&gt;"Partner",J508&lt;&gt;"Internal",J508&lt;&gt;"None"),AND(K508&lt;&gt;"High",K508&lt;&gt;"Medium",K508&lt;&gt;"Low",K508&lt;&gt;"None"),AND(W508&lt;&gt;"Hard-coded",W508&lt;&gt;"Configurable",W508&lt;&gt;"Policy-managed",W508&lt;&gt;"API/Library abstraction",W508&lt;&gt;"Automated"),AND(Z508&lt;&gt;"Y",Z508&lt;&gt;"N"),AND(AA508&lt;&gt;"Y",AA508&lt;&gt;"N")),"Incomplete",IF(Z508="Y",20,0)+L508*5+IF(AA508="Y",15,0)+IF(J508="Public",10,IF(J508="Partner",7,IF(J508="Internal",3,0)))+IF(W508="Hard-coded",10,IF(W508="Configurable",3,0))+IF(MAX(I508,AP508)&gt;=10,10,IF(MAX(I508,AP508)&gt;=5,7,IF(MAX(I508,AP508)&gt;=2,3,0)))+IF(K508="High",10,IF(K508="Medium",5,0))))</x:f>
      </x:c>
      <x:c r="AC508" s="73" t="str">
        <x:f>IF(A508="","",IF(NOT(ISNUMBER(AB508)),"Review inputs",IF(AB508&gt;=70,"P0 - Immediate",IF(AB508&gt;=50,"P1 - High",IF(AB508&gt;=30,"P2 - Medium",IF(AB508&gt;=15,"P3 - Low","P4 - Monitor"))))))</x:f>
      </x:c>
      <x:c r="AD508" s="73"/>
      <x:c r="AE508" s="73"/>
      <x:c r="AF508" s="73"/>
      <x:c r="AG508" s="77"/>
      <x:c r="AH508" s="73"/>
      <x:c r="AI508" s="91"/>
      <x:c r="AJ508" s="91"/>
      <x:c r="AK508" s="91"/>
      <x:c r="AL508" s="92"/>
      <x:c r="AM508" s="91"/>
      <x:c r="AN508" s="91"/>
      <x:c r="AO508" s="93"/>
      <x:c r="AP508" s="94"/>
      <x:c r="AQ508" s="91"/>
      <x:c r="AR508" s="91"/>
      <x:c r="AS508" s="91"/>
      <x:c r="AT508" s="91"/>
      <x:c r="AU508" s="91"/>
      <x:c r="AV508" s="91"/>
      <x:c r="AW508" s="91"/>
      <x:c r="AX508" s="91"/>
      <x:c r="AY508" s="91"/>
      <x:c r="AZ508" s="92"/>
      <x:c r="BA508" s="94"/>
      <x:c r="BB508" s="91"/>
      <x:c r="BC508" s="92"/>
      <x:c r="BD508" s="92"/>
      <x:c r="BE508" s="91"/>
      <x:c r="BF508" s="91"/>
      <x:c r="BG508" s="91"/>
      <x:c r="BH508" s="91"/>
      <x:c r="BI508" s="91"/>
      <x:c r="BJ508" s="91"/>
      <x:c r="BK508" s="91"/>
      <x:c r="BL508" s="91"/>
      <x:c r="BM508" s="73" t="str">
        <x:f>IF(A508="","",IF(AI508="Example","Example only",IF(AI508&lt;&gt;"Actual","Set record type",IF(COUNTIF($A$2:$A$1001,A508)&gt;1,"Duplicate record ID",IF(OR(D508="",E508="",AF508="",NOT(ISNUMBER(AG508)),AJ508="",AK508="",NOT(ISNUMBER(AL508)),AND(AM508&lt;&gt;"Observed",AM508&lt;&gt;"Corroborated",AM508&lt;&gt;"Declared"),OR(AN508="",AN508="Unknown"),OR(AQ508="",AQ508="Unknown"),OR(AR508="",AR508="Unknown",AR508="TBD"),OR(BC508="",NOT(ISNUMBER(BC508)))),"Evidence incomplete","Evidence recorded; review scope")))))</x:f>
      </x:c>
      <x:c r="BN508" s="73"/>
    </x:row>
    <x:row r="509" ht="34" customHeight="1">
      <x:c r="A509" s="73"/>
      <x:c r="B509" s="73"/>
      <x:c r="C509" s="73"/>
      <x:c r="D509" s="73"/>
      <x:c r="E509" s="73"/>
      <x:c r="F509" s="73"/>
      <x:c r="G509" s="73"/>
      <x:c r="H509" s="73"/>
      <x:c r="I509" s="75"/>
      <x:c r="J509" s="73"/>
      <x:c r="K509" s="73"/>
      <x:c r="L509" s="76"/>
      <x:c r="M509" s="73"/>
      <x:c r="N509" s="73"/>
      <x:c r="O509" s="73"/>
      <x:c r="P509" s="73"/>
      <x:c r="Q509" s="76"/>
      <x:c r="R509" s="73"/>
      <x:c r="S509" s="73"/>
      <x:c r="T509" s="73"/>
      <x:c r="U509" s="73"/>
      <x:c r="V509" s="73"/>
      <x:c r="W509" s="73"/>
      <x:c r="X509" s="73"/>
      <x:c r="Y509" s="73"/>
      <x:c r="Z509" s="73"/>
      <x:c r="AA509" s="73"/>
      <x:c r="AB509" s="76" t="str">
        <x:f>IF(A509="","",IF(OR(NOT(ISNUMBER(I509)),I509&lt;0,NOT(ISNUMBER(AP509)),AP509&lt;0,NOT(ISNUMBER(L509)),L509&lt;1,L509&gt;5,L509&lt;&gt;INT(L509),AND(J509&lt;&gt;"Public",J509&lt;&gt;"Partner",J509&lt;&gt;"Internal",J509&lt;&gt;"None"),AND(K509&lt;&gt;"High",K509&lt;&gt;"Medium",K509&lt;&gt;"Low",K509&lt;&gt;"None"),AND(W509&lt;&gt;"Hard-coded",W509&lt;&gt;"Configurable",W509&lt;&gt;"Policy-managed",W509&lt;&gt;"API/Library abstraction",W509&lt;&gt;"Automated"),AND(Z509&lt;&gt;"Y",Z509&lt;&gt;"N"),AND(AA509&lt;&gt;"Y",AA509&lt;&gt;"N")),"Incomplete",IF(Z509="Y",20,0)+L509*5+IF(AA509="Y",15,0)+IF(J509="Public",10,IF(J509="Partner",7,IF(J509="Internal",3,0)))+IF(W509="Hard-coded",10,IF(W509="Configurable",3,0))+IF(MAX(I509,AP509)&gt;=10,10,IF(MAX(I509,AP509)&gt;=5,7,IF(MAX(I509,AP509)&gt;=2,3,0)))+IF(K509="High",10,IF(K509="Medium",5,0))))</x:f>
      </x:c>
      <x:c r="AC509" s="73" t="str">
        <x:f>IF(A509="","",IF(NOT(ISNUMBER(AB509)),"Review inputs",IF(AB509&gt;=70,"P0 - Immediate",IF(AB509&gt;=50,"P1 - High",IF(AB509&gt;=30,"P2 - Medium",IF(AB509&gt;=15,"P3 - Low","P4 - Monitor"))))))</x:f>
      </x:c>
      <x:c r="AD509" s="73"/>
      <x:c r="AE509" s="73"/>
      <x:c r="AF509" s="73"/>
      <x:c r="AG509" s="77"/>
      <x:c r="AH509" s="73"/>
      <x:c r="AI509" s="91"/>
      <x:c r="AJ509" s="91"/>
      <x:c r="AK509" s="91"/>
      <x:c r="AL509" s="92"/>
      <x:c r="AM509" s="91"/>
      <x:c r="AN509" s="91"/>
      <x:c r="AO509" s="93"/>
      <x:c r="AP509" s="94"/>
      <x:c r="AQ509" s="91"/>
      <x:c r="AR509" s="91"/>
      <x:c r="AS509" s="91"/>
      <x:c r="AT509" s="91"/>
      <x:c r="AU509" s="91"/>
      <x:c r="AV509" s="91"/>
      <x:c r="AW509" s="91"/>
      <x:c r="AX509" s="91"/>
      <x:c r="AY509" s="91"/>
      <x:c r="AZ509" s="92"/>
      <x:c r="BA509" s="94"/>
      <x:c r="BB509" s="91"/>
      <x:c r="BC509" s="92"/>
      <x:c r="BD509" s="92"/>
      <x:c r="BE509" s="91"/>
      <x:c r="BF509" s="91"/>
      <x:c r="BG509" s="91"/>
      <x:c r="BH509" s="91"/>
      <x:c r="BI509" s="91"/>
      <x:c r="BJ509" s="91"/>
      <x:c r="BK509" s="91"/>
      <x:c r="BL509" s="91"/>
      <x:c r="BM509" s="73" t="str">
        <x:f>IF(A509="","",IF(AI509="Example","Example only",IF(AI509&lt;&gt;"Actual","Set record type",IF(COUNTIF($A$2:$A$1001,A509)&gt;1,"Duplicate record ID",IF(OR(D509="",E509="",AF509="",NOT(ISNUMBER(AG509)),AJ509="",AK509="",NOT(ISNUMBER(AL509)),AND(AM509&lt;&gt;"Observed",AM509&lt;&gt;"Corroborated",AM509&lt;&gt;"Declared"),OR(AN509="",AN509="Unknown"),OR(AQ509="",AQ509="Unknown"),OR(AR509="",AR509="Unknown",AR509="TBD"),OR(BC509="",NOT(ISNUMBER(BC509)))),"Evidence incomplete","Evidence recorded; review scope")))))</x:f>
      </x:c>
      <x:c r="BN509" s="73"/>
    </x:row>
    <x:row r="510" ht="34" customHeight="1">
      <x:c r="A510" s="73"/>
      <x:c r="B510" s="73"/>
      <x:c r="C510" s="73"/>
      <x:c r="D510" s="73"/>
      <x:c r="E510" s="73"/>
      <x:c r="F510" s="73"/>
      <x:c r="G510" s="73"/>
      <x:c r="H510" s="73"/>
      <x:c r="I510" s="75"/>
      <x:c r="J510" s="73"/>
      <x:c r="K510" s="73"/>
      <x:c r="L510" s="76"/>
      <x:c r="M510" s="73"/>
      <x:c r="N510" s="73"/>
      <x:c r="O510" s="73"/>
      <x:c r="P510" s="73"/>
      <x:c r="Q510" s="76"/>
      <x:c r="R510" s="73"/>
      <x:c r="S510" s="73"/>
      <x:c r="T510" s="73"/>
      <x:c r="U510" s="73"/>
      <x:c r="V510" s="73"/>
      <x:c r="W510" s="73"/>
      <x:c r="X510" s="73"/>
      <x:c r="Y510" s="73"/>
      <x:c r="Z510" s="73"/>
      <x:c r="AA510" s="73"/>
      <x:c r="AB510" s="76" t="str">
        <x:f>IF(A510="","",IF(OR(NOT(ISNUMBER(I510)),I510&lt;0,NOT(ISNUMBER(AP510)),AP510&lt;0,NOT(ISNUMBER(L510)),L510&lt;1,L510&gt;5,L510&lt;&gt;INT(L510),AND(J510&lt;&gt;"Public",J510&lt;&gt;"Partner",J510&lt;&gt;"Internal",J510&lt;&gt;"None"),AND(K510&lt;&gt;"High",K510&lt;&gt;"Medium",K510&lt;&gt;"Low",K510&lt;&gt;"None"),AND(W510&lt;&gt;"Hard-coded",W510&lt;&gt;"Configurable",W510&lt;&gt;"Policy-managed",W510&lt;&gt;"API/Library abstraction",W510&lt;&gt;"Automated"),AND(Z510&lt;&gt;"Y",Z510&lt;&gt;"N"),AND(AA510&lt;&gt;"Y",AA510&lt;&gt;"N")),"Incomplete",IF(Z510="Y",20,0)+L510*5+IF(AA510="Y",15,0)+IF(J510="Public",10,IF(J510="Partner",7,IF(J510="Internal",3,0)))+IF(W510="Hard-coded",10,IF(W510="Configurable",3,0))+IF(MAX(I510,AP510)&gt;=10,10,IF(MAX(I510,AP510)&gt;=5,7,IF(MAX(I510,AP510)&gt;=2,3,0)))+IF(K510="High",10,IF(K510="Medium",5,0))))</x:f>
      </x:c>
      <x:c r="AC510" s="73" t="str">
        <x:f>IF(A510="","",IF(NOT(ISNUMBER(AB510)),"Review inputs",IF(AB510&gt;=70,"P0 - Immediate",IF(AB510&gt;=50,"P1 - High",IF(AB510&gt;=30,"P2 - Medium",IF(AB510&gt;=15,"P3 - Low","P4 - Monitor"))))))</x:f>
      </x:c>
      <x:c r="AD510" s="73"/>
      <x:c r="AE510" s="73"/>
      <x:c r="AF510" s="73"/>
      <x:c r="AG510" s="77"/>
      <x:c r="AH510" s="73"/>
      <x:c r="AI510" s="91"/>
      <x:c r="AJ510" s="91"/>
      <x:c r="AK510" s="91"/>
      <x:c r="AL510" s="92"/>
      <x:c r="AM510" s="91"/>
      <x:c r="AN510" s="91"/>
      <x:c r="AO510" s="93"/>
      <x:c r="AP510" s="94"/>
      <x:c r="AQ510" s="91"/>
      <x:c r="AR510" s="91"/>
      <x:c r="AS510" s="91"/>
      <x:c r="AT510" s="91"/>
      <x:c r="AU510" s="91"/>
      <x:c r="AV510" s="91"/>
      <x:c r="AW510" s="91"/>
      <x:c r="AX510" s="91"/>
      <x:c r="AY510" s="91"/>
      <x:c r="AZ510" s="92"/>
      <x:c r="BA510" s="94"/>
      <x:c r="BB510" s="91"/>
      <x:c r="BC510" s="92"/>
      <x:c r="BD510" s="92"/>
      <x:c r="BE510" s="91"/>
      <x:c r="BF510" s="91"/>
      <x:c r="BG510" s="91"/>
      <x:c r="BH510" s="91"/>
      <x:c r="BI510" s="91"/>
      <x:c r="BJ510" s="91"/>
      <x:c r="BK510" s="91"/>
      <x:c r="BL510" s="91"/>
      <x:c r="BM510" s="73" t="str">
        <x:f>IF(A510="","",IF(AI510="Example","Example only",IF(AI510&lt;&gt;"Actual","Set record type",IF(COUNTIF($A$2:$A$1001,A510)&gt;1,"Duplicate record ID",IF(OR(D510="",E510="",AF510="",NOT(ISNUMBER(AG510)),AJ510="",AK510="",NOT(ISNUMBER(AL510)),AND(AM510&lt;&gt;"Observed",AM510&lt;&gt;"Corroborated",AM510&lt;&gt;"Declared"),OR(AN510="",AN510="Unknown"),OR(AQ510="",AQ510="Unknown"),OR(AR510="",AR510="Unknown",AR510="TBD"),OR(BC510="",NOT(ISNUMBER(BC510)))),"Evidence incomplete","Evidence recorded; review scope")))))</x:f>
      </x:c>
      <x:c r="BN510" s="73"/>
    </x:row>
    <x:row r="511" ht="34" customHeight="1">
      <x:c r="A511" s="73"/>
      <x:c r="B511" s="73"/>
      <x:c r="C511" s="73"/>
      <x:c r="D511" s="73"/>
      <x:c r="E511" s="73"/>
      <x:c r="F511" s="73"/>
      <x:c r="G511" s="73"/>
      <x:c r="H511" s="73"/>
      <x:c r="I511" s="75"/>
      <x:c r="J511" s="73"/>
      <x:c r="K511" s="73"/>
      <x:c r="L511" s="76"/>
      <x:c r="M511" s="73"/>
      <x:c r="N511" s="73"/>
      <x:c r="O511" s="73"/>
      <x:c r="P511" s="73"/>
      <x:c r="Q511" s="76"/>
      <x:c r="R511" s="73"/>
      <x:c r="S511" s="73"/>
      <x:c r="T511" s="73"/>
      <x:c r="U511" s="73"/>
      <x:c r="V511" s="73"/>
      <x:c r="W511" s="73"/>
      <x:c r="X511" s="73"/>
      <x:c r="Y511" s="73"/>
      <x:c r="Z511" s="73"/>
      <x:c r="AA511" s="73"/>
      <x:c r="AB511" s="76" t="str">
        <x:f>IF(A511="","",IF(OR(NOT(ISNUMBER(I511)),I511&lt;0,NOT(ISNUMBER(AP511)),AP511&lt;0,NOT(ISNUMBER(L511)),L511&lt;1,L511&gt;5,L511&lt;&gt;INT(L511),AND(J511&lt;&gt;"Public",J511&lt;&gt;"Partner",J511&lt;&gt;"Internal",J511&lt;&gt;"None"),AND(K511&lt;&gt;"High",K511&lt;&gt;"Medium",K511&lt;&gt;"Low",K511&lt;&gt;"None"),AND(W511&lt;&gt;"Hard-coded",W511&lt;&gt;"Configurable",W511&lt;&gt;"Policy-managed",W511&lt;&gt;"API/Library abstraction",W511&lt;&gt;"Automated"),AND(Z511&lt;&gt;"Y",Z511&lt;&gt;"N"),AND(AA511&lt;&gt;"Y",AA511&lt;&gt;"N")),"Incomplete",IF(Z511="Y",20,0)+L511*5+IF(AA511="Y",15,0)+IF(J511="Public",10,IF(J511="Partner",7,IF(J511="Internal",3,0)))+IF(W511="Hard-coded",10,IF(W511="Configurable",3,0))+IF(MAX(I511,AP511)&gt;=10,10,IF(MAX(I511,AP511)&gt;=5,7,IF(MAX(I511,AP511)&gt;=2,3,0)))+IF(K511="High",10,IF(K511="Medium",5,0))))</x:f>
      </x:c>
      <x:c r="AC511" s="73" t="str">
        <x:f>IF(A511="","",IF(NOT(ISNUMBER(AB511)),"Review inputs",IF(AB511&gt;=70,"P0 - Immediate",IF(AB511&gt;=50,"P1 - High",IF(AB511&gt;=30,"P2 - Medium",IF(AB511&gt;=15,"P3 - Low","P4 - Monitor"))))))</x:f>
      </x:c>
      <x:c r="AD511" s="73"/>
      <x:c r="AE511" s="73"/>
      <x:c r="AF511" s="73"/>
      <x:c r="AG511" s="77"/>
      <x:c r="AH511" s="73"/>
      <x:c r="AI511" s="91"/>
      <x:c r="AJ511" s="91"/>
      <x:c r="AK511" s="91"/>
      <x:c r="AL511" s="92"/>
      <x:c r="AM511" s="91"/>
      <x:c r="AN511" s="91"/>
      <x:c r="AO511" s="93"/>
      <x:c r="AP511" s="94"/>
      <x:c r="AQ511" s="91"/>
      <x:c r="AR511" s="91"/>
      <x:c r="AS511" s="91"/>
      <x:c r="AT511" s="91"/>
      <x:c r="AU511" s="91"/>
      <x:c r="AV511" s="91"/>
      <x:c r="AW511" s="91"/>
      <x:c r="AX511" s="91"/>
      <x:c r="AY511" s="91"/>
      <x:c r="AZ511" s="92"/>
      <x:c r="BA511" s="94"/>
      <x:c r="BB511" s="91"/>
      <x:c r="BC511" s="92"/>
      <x:c r="BD511" s="92"/>
      <x:c r="BE511" s="91"/>
      <x:c r="BF511" s="91"/>
      <x:c r="BG511" s="91"/>
      <x:c r="BH511" s="91"/>
      <x:c r="BI511" s="91"/>
      <x:c r="BJ511" s="91"/>
      <x:c r="BK511" s="91"/>
      <x:c r="BL511" s="91"/>
      <x:c r="BM511" s="73" t="str">
        <x:f>IF(A511="","",IF(AI511="Example","Example only",IF(AI511&lt;&gt;"Actual","Set record type",IF(COUNTIF($A$2:$A$1001,A511)&gt;1,"Duplicate record ID",IF(OR(D511="",E511="",AF511="",NOT(ISNUMBER(AG511)),AJ511="",AK511="",NOT(ISNUMBER(AL511)),AND(AM511&lt;&gt;"Observed",AM511&lt;&gt;"Corroborated",AM511&lt;&gt;"Declared"),OR(AN511="",AN511="Unknown"),OR(AQ511="",AQ511="Unknown"),OR(AR511="",AR511="Unknown",AR511="TBD"),OR(BC511="",NOT(ISNUMBER(BC511)))),"Evidence incomplete","Evidence recorded; review scope")))))</x:f>
      </x:c>
      <x:c r="BN511" s="73"/>
    </x:row>
    <x:row r="512" ht="34" customHeight="1">
      <x:c r="A512" s="73"/>
      <x:c r="B512" s="73"/>
      <x:c r="C512" s="73"/>
      <x:c r="D512" s="73"/>
      <x:c r="E512" s="73"/>
      <x:c r="F512" s="73"/>
      <x:c r="G512" s="73"/>
      <x:c r="H512" s="73"/>
      <x:c r="I512" s="75"/>
      <x:c r="J512" s="73"/>
      <x:c r="K512" s="73"/>
      <x:c r="L512" s="76"/>
      <x:c r="M512" s="73"/>
      <x:c r="N512" s="73"/>
      <x:c r="O512" s="73"/>
      <x:c r="P512" s="73"/>
      <x:c r="Q512" s="76"/>
      <x:c r="R512" s="73"/>
      <x:c r="S512" s="73"/>
      <x:c r="T512" s="73"/>
      <x:c r="U512" s="73"/>
      <x:c r="V512" s="73"/>
      <x:c r="W512" s="73"/>
      <x:c r="X512" s="73"/>
      <x:c r="Y512" s="73"/>
      <x:c r="Z512" s="73"/>
      <x:c r="AA512" s="73"/>
      <x:c r="AB512" s="76" t="str">
        <x:f>IF(A512="","",IF(OR(NOT(ISNUMBER(I512)),I512&lt;0,NOT(ISNUMBER(AP512)),AP512&lt;0,NOT(ISNUMBER(L512)),L512&lt;1,L512&gt;5,L512&lt;&gt;INT(L512),AND(J512&lt;&gt;"Public",J512&lt;&gt;"Partner",J512&lt;&gt;"Internal",J512&lt;&gt;"None"),AND(K512&lt;&gt;"High",K512&lt;&gt;"Medium",K512&lt;&gt;"Low",K512&lt;&gt;"None"),AND(W512&lt;&gt;"Hard-coded",W512&lt;&gt;"Configurable",W512&lt;&gt;"Policy-managed",W512&lt;&gt;"API/Library abstraction",W512&lt;&gt;"Automated"),AND(Z512&lt;&gt;"Y",Z512&lt;&gt;"N"),AND(AA512&lt;&gt;"Y",AA512&lt;&gt;"N")),"Incomplete",IF(Z512="Y",20,0)+L512*5+IF(AA512="Y",15,0)+IF(J512="Public",10,IF(J512="Partner",7,IF(J512="Internal",3,0)))+IF(W512="Hard-coded",10,IF(W512="Configurable",3,0))+IF(MAX(I512,AP512)&gt;=10,10,IF(MAX(I512,AP512)&gt;=5,7,IF(MAX(I512,AP512)&gt;=2,3,0)))+IF(K512="High",10,IF(K512="Medium",5,0))))</x:f>
      </x:c>
      <x:c r="AC512" s="73" t="str">
        <x:f>IF(A512="","",IF(NOT(ISNUMBER(AB512)),"Review inputs",IF(AB512&gt;=70,"P0 - Immediate",IF(AB512&gt;=50,"P1 - High",IF(AB512&gt;=30,"P2 - Medium",IF(AB512&gt;=15,"P3 - Low","P4 - Monitor"))))))</x:f>
      </x:c>
      <x:c r="AD512" s="73"/>
      <x:c r="AE512" s="73"/>
      <x:c r="AF512" s="73"/>
      <x:c r="AG512" s="77"/>
      <x:c r="AH512" s="73"/>
      <x:c r="AI512" s="91"/>
      <x:c r="AJ512" s="91"/>
      <x:c r="AK512" s="91"/>
      <x:c r="AL512" s="92"/>
      <x:c r="AM512" s="91"/>
      <x:c r="AN512" s="91"/>
      <x:c r="AO512" s="93"/>
      <x:c r="AP512" s="94"/>
      <x:c r="AQ512" s="91"/>
      <x:c r="AR512" s="91"/>
      <x:c r="AS512" s="91"/>
      <x:c r="AT512" s="91"/>
      <x:c r="AU512" s="91"/>
      <x:c r="AV512" s="91"/>
      <x:c r="AW512" s="91"/>
      <x:c r="AX512" s="91"/>
      <x:c r="AY512" s="91"/>
      <x:c r="AZ512" s="92"/>
      <x:c r="BA512" s="94"/>
      <x:c r="BB512" s="91"/>
      <x:c r="BC512" s="92"/>
      <x:c r="BD512" s="92"/>
      <x:c r="BE512" s="91"/>
      <x:c r="BF512" s="91"/>
      <x:c r="BG512" s="91"/>
      <x:c r="BH512" s="91"/>
      <x:c r="BI512" s="91"/>
      <x:c r="BJ512" s="91"/>
      <x:c r="BK512" s="91"/>
      <x:c r="BL512" s="91"/>
      <x:c r="BM512" s="73" t="str">
        <x:f>IF(A512="","",IF(AI512="Example","Example only",IF(AI512&lt;&gt;"Actual","Set record type",IF(COUNTIF($A$2:$A$1001,A512)&gt;1,"Duplicate record ID",IF(OR(D512="",E512="",AF512="",NOT(ISNUMBER(AG512)),AJ512="",AK512="",NOT(ISNUMBER(AL512)),AND(AM512&lt;&gt;"Observed",AM512&lt;&gt;"Corroborated",AM512&lt;&gt;"Declared"),OR(AN512="",AN512="Unknown"),OR(AQ512="",AQ512="Unknown"),OR(AR512="",AR512="Unknown",AR512="TBD"),OR(BC512="",NOT(ISNUMBER(BC512)))),"Evidence incomplete","Evidence recorded; review scope")))))</x:f>
      </x:c>
      <x:c r="BN512" s="73"/>
    </x:row>
    <x:row r="513" ht="34" customHeight="1">
      <x:c r="A513" s="73"/>
      <x:c r="B513" s="73"/>
      <x:c r="C513" s="73"/>
      <x:c r="D513" s="73"/>
      <x:c r="E513" s="73"/>
      <x:c r="F513" s="73"/>
      <x:c r="G513" s="73"/>
      <x:c r="H513" s="73"/>
      <x:c r="I513" s="75"/>
      <x:c r="J513" s="73"/>
      <x:c r="K513" s="73"/>
      <x:c r="L513" s="76"/>
      <x:c r="M513" s="73"/>
      <x:c r="N513" s="73"/>
      <x:c r="O513" s="73"/>
      <x:c r="P513" s="73"/>
      <x:c r="Q513" s="76"/>
      <x:c r="R513" s="73"/>
      <x:c r="S513" s="73"/>
      <x:c r="T513" s="73"/>
      <x:c r="U513" s="73"/>
      <x:c r="V513" s="73"/>
      <x:c r="W513" s="73"/>
      <x:c r="X513" s="73"/>
      <x:c r="Y513" s="73"/>
      <x:c r="Z513" s="73"/>
      <x:c r="AA513" s="73"/>
      <x:c r="AB513" s="76" t="str">
        <x:f>IF(A513="","",IF(OR(NOT(ISNUMBER(I513)),I513&lt;0,NOT(ISNUMBER(AP513)),AP513&lt;0,NOT(ISNUMBER(L513)),L513&lt;1,L513&gt;5,L513&lt;&gt;INT(L513),AND(J513&lt;&gt;"Public",J513&lt;&gt;"Partner",J513&lt;&gt;"Internal",J513&lt;&gt;"None"),AND(K513&lt;&gt;"High",K513&lt;&gt;"Medium",K513&lt;&gt;"Low",K513&lt;&gt;"None"),AND(W513&lt;&gt;"Hard-coded",W513&lt;&gt;"Configurable",W513&lt;&gt;"Policy-managed",W513&lt;&gt;"API/Library abstraction",W513&lt;&gt;"Automated"),AND(Z513&lt;&gt;"Y",Z513&lt;&gt;"N"),AND(AA513&lt;&gt;"Y",AA513&lt;&gt;"N")),"Incomplete",IF(Z513="Y",20,0)+L513*5+IF(AA513="Y",15,0)+IF(J513="Public",10,IF(J513="Partner",7,IF(J513="Internal",3,0)))+IF(W513="Hard-coded",10,IF(W513="Configurable",3,0))+IF(MAX(I513,AP513)&gt;=10,10,IF(MAX(I513,AP513)&gt;=5,7,IF(MAX(I513,AP513)&gt;=2,3,0)))+IF(K513="High",10,IF(K513="Medium",5,0))))</x:f>
      </x:c>
      <x:c r="AC513" s="73" t="str">
        <x:f>IF(A513="","",IF(NOT(ISNUMBER(AB513)),"Review inputs",IF(AB513&gt;=70,"P0 - Immediate",IF(AB513&gt;=50,"P1 - High",IF(AB513&gt;=30,"P2 - Medium",IF(AB513&gt;=15,"P3 - Low","P4 - Monitor"))))))</x:f>
      </x:c>
      <x:c r="AD513" s="73"/>
      <x:c r="AE513" s="73"/>
      <x:c r="AF513" s="73"/>
      <x:c r="AG513" s="77"/>
      <x:c r="AH513" s="73"/>
      <x:c r="AI513" s="91"/>
      <x:c r="AJ513" s="91"/>
      <x:c r="AK513" s="91"/>
      <x:c r="AL513" s="92"/>
      <x:c r="AM513" s="91"/>
      <x:c r="AN513" s="91"/>
      <x:c r="AO513" s="93"/>
      <x:c r="AP513" s="94"/>
      <x:c r="AQ513" s="91"/>
      <x:c r="AR513" s="91"/>
      <x:c r="AS513" s="91"/>
      <x:c r="AT513" s="91"/>
      <x:c r="AU513" s="91"/>
      <x:c r="AV513" s="91"/>
      <x:c r="AW513" s="91"/>
      <x:c r="AX513" s="91"/>
      <x:c r="AY513" s="91"/>
      <x:c r="AZ513" s="92"/>
      <x:c r="BA513" s="94"/>
      <x:c r="BB513" s="91"/>
      <x:c r="BC513" s="92"/>
      <x:c r="BD513" s="92"/>
      <x:c r="BE513" s="91"/>
      <x:c r="BF513" s="91"/>
      <x:c r="BG513" s="91"/>
      <x:c r="BH513" s="91"/>
      <x:c r="BI513" s="91"/>
      <x:c r="BJ513" s="91"/>
      <x:c r="BK513" s="91"/>
      <x:c r="BL513" s="91"/>
      <x:c r="BM513" s="73" t="str">
        <x:f>IF(A513="","",IF(AI513="Example","Example only",IF(AI513&lt;&gt;"Actual","Set record type",IF(COUNTIF($A$2:$A$1001,A513)&gt;1,"Duplicate record ID",IF(OR(D513="",E513="",AF513="",NOT(ISNUMBER(AG513)),AJ513="",AK513="",NOT(ISNUMBER(AL513)),AND(AM513&lt;&gt;"Observed",AM513&lt;&gt;"Corroborated",AM513&lt;&gt;"Declared"),OR(AN513="",AN513="Unknown"),OR(AQ513="",AQ513="Unknown"),OR(AR513="",AR513="Unknown",AR513="TBD"),OR(BC513="",NOT(ISNUMBER(BC513)))),"Evidence incomplete","Evidence recorded; review scope")))))</x:f>
      </x:c>
      <x:c r="BN513" s="73"/>
    </x:row>
    <x:row r="514" ht="34" customHeight="1">
      <x:c r="A514" s="73"/>
      <x:c r="B514" s="73"/>
      <x:c r="C514" s="73"/>
      <x:c r="D514" s="73"/>
      <x:c r="E514" s="73"/>
      <x:c r="F514" s="73"/>
      <x:c r="G514" s="73"/>
      <x:c r="H514" s="73"/>
      <x:c r="I514" s="75"/>
      <x:c r="J514" s="73"/>
      <x:c r="K514" s="73"/>
      <x:c r="L514" s="76"/>
      <x:c r="M514" s="73"/>
      <x:c r="N514" s="73"/>
      <x:c r="O514" s="73"/>
      <x:c r="P514" s="73"/>
      <x:c r="Q514" s="76"/>
      <x:c r="R514" s="73"/>
      <x:c r="S514" s="73"/>
      <x:c r="T514" s="73"/>
      <x:c r="U514" s="73"/>
      <x:c r="V514" s="73"/>
      <x:c r="W514" s="73"/>
      <x:c r="X514" s="73"/>
      <x:c r="Y514" s="73"/>
      <x:c r="Z514" s="73"/>
      <x:c r="AA514" s="73"/>
      <x:c r="AB514" s="76" t="str">
        <x:f>IF(A514="","",IF(OR(NOT(ISNUMBER(I514)),I514&lt;0,NOT(ISNUMBER(AP514)),AP514&lt;0,NOT(ISNUMBER(L514)),L514&lt;1,L514&gt;5,L514&lt;&gt;INT(L514),AND(J514&lt;&gt;"Public",J514&lt;&gt;"Partner",J514&lt;&gt;"Internal",J514&lt;&gt;"None"),AND(K514&lt;&gt;"High",K514&lt;&gt;"Medium",K514&lt;&gt;"Low",K514&lt;&gt;"None"),AND(W514&lt;&gt;"Hard-coded",W514&lt;&gt;"Configurable",W514&lt;&gt;"Policy-managed",W514&lt;&gt;"API/Library abstraction",W514&lt;&gt;"Automated"),AND(Z514&lt;&gt;"Y",Z514&lt;&gt;"N"),AND(AA514&lt;&gt;"Y",AA514&lt;&gt;"N")),"Incomplete",IF(Z514="Y",20,0)+L514*5+IF(AA514="Y",15,0)+IF(J514="Public",10,IF(J514="Partner",7,IF(J514="Internal",3,0)))+IF(W514="Hard-coded",10,IF(W514="Configurable",3,0))+IF(MAX(I514,AP514)&gt;=10,10,IF(MAX(I514,AP514)&gt;=5,7,IF(MAX(I514,AP514)&gt;=2,3,0)))+IF(K514="High",10,IF(K514="Medium",5,0))))</x:f>
      </x:c>
      <x:c r="AC514" s="73" t="str">
        <x:f>IF(A514="","",IF(NOT(ISNUMBER(AB514)),"Review inputs",IF(AB514&gt;=70,"P0 - Immediate",IF(AB514&gt;=50,"P1 - High",IF(AB514&gt;=30,"P2 - Medium",IF(AB514&gt;=15,"P3 - Low","P4 - Monitor"))))))</x:f>
      </x:c>
      <x:c r="AD514" s="73"/>
      <x:c r="AE514" s="73"/>
      <x:c r="AF514" s="73"/>
      <x:c r="AG514" s="77"/>
      <x:c r="AH514" s="73"/>
      <x:c r="AI514" s="91"/>
      <x:c r="AJ514" s="91"/>
      <x:c r="AK514" s="91"/>
      <x:c r="AL514" s="92"/>
      <x:c r="AM514" s="91"/>
      <x:c r="AN514" s="91"/>
      <x:c r="AO514" s="93"/>
      <x:c r="AP514" s="94"/>
      <x:c r="AQ514" s="91"/>
      <x:c r="AR514" s="91"/>
      <x:c r="AS514" s="91"/>
      <x:c r="AT514" s="91"/>
      <x:c r="AU514" s="91"/>
      <x:c r="AV514" s="91"/>
      <x:c r="AW514" s="91"/>
      <x:c r="AX514" s="91"/>
      <x:c r="AY514" s="91"/>
      <x:c r="AZ514" s="92"/>
      <x:c r="BA514" s="94"/>
      <x:c r="BB514" s="91"/>
      <x:c r="BC514" s="92"/>
      <x:c r="BD514" s="92"/>
      <x:c r="BE514" s="91"/>
      <x:c r="BF514" s="91"/>
      <x:c r="BG514" s="91"/>
      <x:c r="BH514" s="91"/>
      <x:c r="BI514" s="91"/>
      <x:c r="BJ514" s="91"/>
      <x:c r="BK514" s="91"/>
      <x:c r="BL514" s="91"/>
      <x:c r="BM514" s="73" t="str">
        <x:f>IF(A514="","",IF(AI514="Example","Example only",IF(AI514&lt;&gt;"Actual","Set record type",IF(COUNTIF($A$2:$A$1001,A514)&gt;1,"Duplicate record ID",IF(OR(D514="",E514="",AF514="",NOT(ISNUMBER(AG514)),AJ514="",AK514="",NOT(ISNUMBER(AL514)),AND(AM514&lt;&gt;"Observed",AM514&lt;&gt;"Corroborated",AM514&lt;&gt;"Declared"),OR(AN514="",AN514="Unknown"),OR(AQ514="",AQ514="Unknown"),OR(AR514="",AR514="Unknown",AR514="TBD"),OR(BC514="",NOT(ISNUMBER(BC514)))),"Evidence incomplete","Evidence recorded; review scope")))))</x:f>
      </x:c>
      <x:c r="BN514" s="73"/>
    </x:row>
    <x:row r="515" ht="34" customHeight="1">
      <x:c r="A515" s="73"/>
      <x:c r="B515" s="73"/>
      <x:c r="C515" s="73"/>
      <x:c r="D515" s="73"/>
      <x:c r="E515" s="73"/>
      <x:c r="F515" s="73"/>
      <x:c r="G515" s="73"/>
      <x:c r="H515" s="73"/>
      <x:c r="I515" s="75"/>
      <x:c r="J515" s="73"/>
      <x:c r="K515" s="73"/>
      <x:c r="L515" s="76"/>
      <x:c r="M515" s="73"/>
      <x:c r="N515" s="73"/>
      <x:c r="O515" s="73"/>
      <x:c r="P515" s="73"/>
      <x:c r="Q515" s="76"/>
      <x:c r="R515" s="73"/>
      <x:c r="S515" s="73"/>
      <x:c r="T515" s="73"/>
      <x:c r="U515" s="73"/>
      <x:c r="V515" s="73"/>
      <x:c r="W515" s="73"/>
      <x:c r="X515" s="73"/>
      <x:c r="Y515" s="73"/>
      <x:c r="Z515" s="73"/>
      <x:c r="AA515" s="73"/>
      <x:c r="AB515" s="76" t="str">
        <x:f>IF(A515="","",IF(OR(NOT(ISNUMBER(I515)),I515&lt;0,NOT(ISNUMBER(AP515)),AP515&lt;0,NOT(ISNUMBER(L515)),L515&lt;1,L515&gt;5,L515&lt;&gt;INT(L515),AND(J515&lt;&gt;"Public",J515&lt;&gt;"Partner",J515&lt;&gt;"Internal",J515&lt;&gt;"None"),AND(K515&lt;&gt;"High",K515&lt;&gt;"Medium",K515&lt;&gt;"Low",K515&lt;&gt;"None"),AND(W515&lt;&gt;"Hard-coded",W515&lt;&gt;"Configurable",W515&lt;&gt;"Policy-managed",W515&lt;&gt;"API/Library abstraction",W515&lt;&gt;"Automated"),AND(Z515&lt;&gt;"Y",Z515&lt;&gt;"N"),AND(AA515&lt;&gt;"Y",AA515&lt;&gt;"N")),"Incomplete",IF(Z515="Y",20,0)+L515*5+IF(AA515="Y",15,0)+IF(J515="Public",10,IF(J515="Partner",7,IF(J515="Internal",3,0)))+IF(W515="Hard-coded",10,IF(W515="Configurable",3,0))+IF(MAX(I515,AP515)&gt;=10,10,IF(MAX(I515,AP515)&gt;=5,7,IF(MAX(I515,AP515)&gt;=2,3,0)))+IF(K515="High",10,IF(K515="Medium",5,0))))</x:f>
      </x:c>
      <x:c r="AC515" s="73" t="str">
        <x:f>IF(A515="","",IF(NOT(ISNUMBER(AB515)),"Review inputs",IF(AB515&gt;=70,"P0 - Immediate",IF(AB515&gt;=50,"P1 - High",IF(AB515&gt;=30,"P2 - Medium",IF(AB515&gt;=15,"P3 - Low","P4 - Monitor"))))))</x:f>
      </x:c>
      <x:c r="AD515" s="73"/>
      <x:c r="AE515" s="73"/>
      <x:c r="AF515" s="73"/>
      <x:c r="AG515" s="77"/>
      <x:c r="AH515" s="73"/>
      <x:c r="AI515" s="91"/>
      <x:c r="AJ515" s="91"/>
      <x:c r="AK515" s="91"/>
      <x:c r="AL515" s="92"/>
      <x:c r="AM515" s="91"/>
      <x:c r="AN515" s="91"/>
      <x:c r="AO515" s="93"/>
      <x:c r="AP515" s="94"/>
      <x:c r="AQ515" s="91"/>
      <x:c r="AR515" s="91"/>
      <x:c r="AS515" s="91"/>
      <x:c r="AT515" s="91"/>
      <x:c r="AU515" s="91"/>
      <x:c r="AV515" s="91"/>
      <x:c r="AW515" s="91"/>
      <x:c r="AX515" s="91"/>
      <x:c r="AY515" s="91"/>
      <x:c r="AZ515" s="92"/>
      <x:c r="BA515" s="94"/>
      <x:c r="BB515" s="91"/>
      <x:c r="BC515" s="92"/>
      <x:c r="BD515" s="92"/>
      <x:c r="BE515" s="91"/>
      <x:c r="BF515" s="91"/>
      <x:c r="BG515" s="91"/>
      <x:c r="BH515" s="91"/>
      <x:c r="BI515" s="91"/>
      <x:c r="BJ515" s="91"/>
      <x:c r="BK515" s="91"/>
      <x:c r="BL515" s="91"/>
      <x:c r="BM515" s="73" t="str">
        <x:f>IF(A515="","",IF(AI515="Example","Example only",IF(AI515&lt;&gt;"Actual","Set record type",IF(COUNTIF($A$2:$A$1001,A515)&gt;1,"Duplicate record ID",IF(OR(D515="",E515="",AF515="",NOT(ISNUMBER(AG515)),AJ515="",AK515="",NOT(ISNUMBER(AL515)),AND(AM515&lt;&gt;"Observed",AM515&lt;&gt;"Corroborated",AM515&lt;&gt;"Declared"),OR(AN515="",AN515="Unknown"),OR(AQ515="",AQ515="Unknown"),OR(AR515="",AR515="Unknown",AR515="TBD"),OR(BC515="",NOT(ISNUMBER(BC515)))),"Evidence incomplete","Evidence recorded; review scope")))))</x:f>
      </x:c>
      <x:c r="BN515" s="73"/>
    </x:row>
    <x:row r="516" ht="34" customHeight="1">
      <x:c r="A516" s="73"/>
      <x:c r="B516" s="73"/>
      <x:c r="C516" s="73"/>
      <x:c r="D516" s="73"/>
      <x:c r="E516" s="73"/>
      <x:c r="F516" s="73"/>
      <x:c r="G516" s="73"/>
      <x:c r="H516" s="73"/>
      <x:c r="I516" s="75"/>
      <x:c r="J516" s="73"/>
      <x:c r="K516" s="73"/>
      <x:c r="L516" s="76"/>
      <x:c r="M516" s="73"/>
      <x:c r="N516" s="73"/>
      <x:c r="O516" s="73"/>
      <x:c r="P516" s="73"/>
      <x:c r="Q516" s="76"/>
      <x:c r="R516" s="73"/>
      <x:c r="S516" s="73"/>
      <x:c r="T516" s="73"/>
      <x:c r="U516" s="73"/>
      <x:c r="V516" s="73"/>
      <x:c r="W516" s="73"/>
      <x:c r="X516" s="73"/>
      <x:c r="Y516" s="73"/>
      <x:c r="Z516" s="73"/>
      <x:c r="AA516" s="73"/>
      <x:c r="AB516" s="76" t="str">
        <x:f>IF(A516="","",IF(OR(NOT(ISNUMBER(I516)),I516&lt;0,NOT(ISNUMBER(AP516)),AP516&lt;0,NOT(ISNUMBER(L516)),L516&lt;1,L516&gt;5,L516&lt;&gt;INT(L516),AND(J516&lt;&gt;"Public",J516&lt;&gt;"Partner",J516&lt;&gt;"Internal",J516&lt;&gt;"None"),AND(K516&lt;&gt;"High",K516&lt;&gt;"Medium",K516&lt;&gt;"Low",K516&lt;&gt;"None"),AND(W516&lt;&gt;"Hard-coded",W516&lt;&gt;"Configurable",W516&lt;&gt;"Policy-managed",W516&lt;&gt;"API/Library abstraction",W516&lt;&gt;"Automated"),AND(Z516&lt;&gt;"Y",Z516&lt;&gt;"N"),AND(AA516&lt;&gt;"Y",AA516&lt;&gt;"N")),"Incomplete",IF(Z516="Y",20,0)+L516*5+IF(AA516="Y",15,0)+IF(J516="Public",10,IF(J516="Partner",7,IF(J516="Internal",3,0)))+IF(W516="Hard-coded",10,IF(W516="Configurable",3,0))+IF(MAX(I516,AP516)&gt;=10,10,IF(MAX(I516,AP516)&gt;=5,7,IF(MAX(I516,AP516)&gt;=2,3,0)))+IF(K516="High",10,IF(K516="Medium",5,0))))</x:f>
      </x:c>
      <x:c r="AC516" s="73" t="str">
        <x:f>IF(A516="","",IF(NOT(ISNUMBER(AB516)),"Review inputs",IF(AB516&gt;=70,"P0 - Immediate",IF(AB516&gt;=50,"P1 - High",IF(AB516&gt;=30,"P2 - Medium",IF(AB516&gt;=15,"P3 - Low","P4 - Monitor"))))))</x:f>
      </x:c>
      <x:c r="AD516" s="73"/>
      <x:c r="AE516" s="73"/>
      <x:c r="AF516" s="73"/>
      <x:c r="AG516" s="77"/>
      <x:c r="AH516" s="73"/>
      <x:c r="AI516" s="91"/>
      <x:c r="AJ516" s="91"/>
      <x:c r="AK516" s="91"/>
      <x:c r="AL516" s="92"/>
      <x:c r="AM516" s="91"/>
      <x:c r="AN516" s="91"/>
      <x:c r="AO516" s="93"/>
      <x:c r="AP516" s="94"/>
      <x:c r="AQ516" s="91"/>
      <x:c r="AR516" s="91"/>
      <x:c r="AS516" s="91"/>
      <x:c r="AT516" s="91"/>
      <x:c r="AU516" s="91"/>
      <x:c r="AV516" s="91"/>
      <x:c r="AW516" s="91"/>
      <x:c r="AX516" s="91"/>
      <x:c r="AY516" s="91"/>
      <x:c r="AZ516" s="92"/>
      <x:c r="BA516" s="94"/>
      <x:c r="BB516" s="91"/>
      <x:c r="BC516" s="92"/>
      <x:c r="BD516" s="92"/>
      <x:c r="BE516" s="91"/>
      <x:c r="BF516" s="91"/>
      <x:c r="BG516" s="91"/>
      <x:c r="BH516" s="91"/>
      <x:c r="BI516" s="91"/>
      <x:c r="BJ516" s="91"/>
      <x:c r="BK516" s="91"/>
      <x:c r="BL516" s="91"/>
      <x:c r="BM516" s="73" t="str">
        <x:f>IF(A516="","",IF(AI516="Example","Example only",IF(AI516&lt;&gt;"Actual","Set record type",IF(COUNTIF($A$2:$A$1001,A516)&gt;1,"Duplicate record ID",IF(OR(D516="",E516="",AF516="",NOT(ISNUMBER(AG516)),AJ516="",AK516="",NOT(ISNUMBER(AL516)),AND(AM516&lt;&gt;"Observed",AM516&lt;&gt;"Corroborated",AM516&lt;&gt;"Declared"),OR(AN516="",AN516="Unknown"),OR(AQ516="",AQ516="Unknown"),OR(AR516="",AR516="Unknown",AR516="TBD"),OR(BC516="",NOT(ISNUMBER(BC516)))),"Evidence incomplete","Evidence recorded; review scope")))))</x:f>
      </x:c>
      <x:c r="BN516" s="73"/>
    </x:row>
    <x:row r="517" ht="34" customHeight="1">
      <x:c r="A517" s="73"/>
      <x:c r="B517" s="73"/>
      <x:c r="C517" s="73"/>
      <x:c r="D517" s="73"/>
      <x:c r="E517" s="73"/>
      <x:c r="F517" s="73"/>
      <x:c r="G517" s="73"/>
      <x:c r="H517" s="73"/>
      <x:c r="I517" s="75"/>
      <x:c r="J517" s="73"/>
      <x:c r="K517" s="73"/>
      <x:c r="L517" s="76"/>
      <x:c r="M517" s="73"/>
      <x:c r="N517" s="73"/>
      <x:c r="O517" s="73"/>
      <x:c r="P517" s="73"/>
      <x:c r="Q517" s="76"/>
      <x:c r="R517" s="73"/>
      <x:c r="S517" s="73"/>
      <x:c r="T517" s="73"/>
      <x:c r="U517" s="73"/>
      <x:c r="V517" s="73"/>
      <x:c r="W517" s="73"/>
      <x:c r="X517" s="73"/>
      <x:c r="Y517" s="73"/>
      <x:c r="Z517" s="73"/>
      <x:c r="AA517" s="73"/>
      <x:c r="AB517" s="76" t="str">
        <x:f>IF(A517="","",IF(OR(NOT(ISNUMBER(I517)),I517&lt;0,NOT(ISNUMBER(AP517)),AP517&lt;0,NOT(ISNUMBER(L517)),L517&lt;1,L517&gt;5,L517&lt;&gt;INT(L517),AND(J517&lt;&gt;"Public",J517&lt;&gt;"Partner",J517&lt;&gt;"Internal",J517&lt;&gt;"None"),AND(K517&lt;&gt;"High",K517&lt;&gt;"Medium",K517&lt;&gt;"Low",K517&lt;&gt;"None"),AND(W517&lt;&gt;"Hard-coded",W517&lt;&gt;"Configurable",W517&lt;&gt;"Policy-managed",W517&lt;&gt;"API/Library abstraction",W517&lt;&gt;"Automated"),AND(Z517&lt;&gt;"Y",Z517&lt;&gt;"N"),AND(AA517&lt;&gt;"Y",AA517&lt;&gt;"N")),"Incomplete",IF(Z517="Y",20,0)+L517*5+IF(AA517="Y",15,0)+IF(J517="Public",10,IF(J517="Partner",7,IF(J517="Internal",3,0)))+IF(W517="Hard-coded",10,IF(W517="Configurable",3,0))+IF(MAX(I517,AP517)&gt;=10,10,IF(MAX(I517,AP517)&gt;=5,7,IF(MAX(I517,AP517)&gt;=2,3,0)))+IF(K517="High",10,IF(K517="Medium",5,0))))</x:f>
      </x:c>
      <x:c r="AC517" s="73" t="str">
        <x:f>IF(A517="","",IF(NOT(ISNUMBER(AB517)),"Review inputs",IF(AB517&gt;=70,"P0 - Immediate",IF(AB517&gt;=50,"P1 - High",IF(AB517&gt;=30,"P2 - Medium",IF(AB517&gt;=15,"P3 - Low","P4 - Monitor"))))))</x:f>
      </x:c>
      <x:c r="AD517" s="73"/>
      <x:c r="AE517" s="73"/>
      <x:c r="AF517" s="73"/>
      <x:c r="AG517" s="77"/>
      <x:c r="AH517" s="73"/>
      <x:c r="AI517" s="91"/>
      <x:c r="AJ517" s="91"/>
      <x:c r="AK517" s="91"/>
      <x:c r="AL517" s="92"/>
      <x:c r="AM517" s="91"/>
      <x:c r="AN517" s="91"/>
      <x:c r="AO517" s="93"/>
      <x:c r="AP517" s="94"/>
      <x:c r="AQ517" s="91"/>
      <x:c r="AR517" s="91"/>
      <x:c r="AS517" s="91"/>
      <x:c r="AT517" s="91"/>
      <x:c r="AU517" s="91"/>
      <x:c r="AV517" s="91"/>
      <x:c r="AW517" s="91"/>
      <x:c r="AX517" s="91"/>
      <x:c r="AY517" s="91"/>
      <x:c r="AZ517" s="92"/>
      <x:c r="BA517" s="94"/>
      <x:c r="BB517" s="91"/>
      <x:c r="BC517" s="92"/>
      <x:c r="BD517" s="92"/>
      <x:c r="BE517" s="91"/>
      <x:c r="BF517" s="91"/>
      <x:c r="BG517" s="91"/>
      <x:c r="BH517" s="91"/>
      <x:c r="BI517" s="91"/>
      <x:c r="BJ517" s="91"/>
      <x:c r="BK517" s="91"/>
      <x:c r="BL517" s="91"/>
      <x:c r="BM517" s="73" t="str">
        <x:f>IF(A517="","",IF(AI517="Example","Example only",IF(AI517&lt;&gt;"Actual","Set record type",IF(COUNTIF($A$2:$A$1001,A517)&gt;1,"Duplicate record ID",IF(OR(D517="",E517="",AF517="",NOT(ISNUMBER(AG517)),AJ517="",AK517="",NOT(ISNUMBER(AL517)),AND(AM517&lt;&gt;"Observed",AM517&lt;&gt;"Corroborated",AM517&lt;&gt;"Declared"),OR(AN517="",AN517="Unknown"),OR(AQ517="",AQ517="Unknown"),OR(AR517="",AR517="Unknown",AR517="TBD"),OR(BC517="",NOT(ISNUMBER(BC517)))),"Evidence incomplete","Evidence recorded; review scope")))))</x:f>
      </x:c>
      <x:c r="BN517" s="73"/>
    </x:row>
    <x:row r="518" ht="34" customHeight="1">
      <x:c r="A518" s="73"/>
      <x:c r="B518" s="73"/>
      <x:c r="C518" s="73"/>
      <x:c r="D518" s="73"/>
      <x:c r="E518" s="73"/>
      <x:c r="F518" s="73"/>
      <x:c r="G518" s="73"/>
      <x:c r="H518" s="73"/>
      <x:c r="I518" s="75"/>
      <x:c r="J518" s="73"/>
      <x:c r="K518" s="73"/>
      <x:c r="L518" s="76"/>
      <x:c r="M518" s="73"/>
      <x:c r="N518" s="73"/>
      <x:c r="O518" s="73"/>
      <x:c r="P518" s="73"/>
      <x:c r="Q518" s="76"/>
      <x:c r="R518" s="73"/>
      <x:c r="S518" s="73"/>
      <x:c r="T518" s="73"/>
      <x:c r="U518" s="73"/>
      <x:c r="V518" s="73"/>
      <x:c r="W518" s="73"/>
      <x:c r="X518" s="73"/>
      <x:c r="Y518" s="73"/>
      <x:c r="Z518" s="73"/>
      <x:c r="AA518" s="73"/>
      <x:c r="AB518" s="76" t="str">
        <x:f>IF(A518="","",IF(OR(NOT(ISNUMBER(I518)),I518&lt;0,NOT(ISNUMBER(AP518)),AP518&lt;0,NOT(ISNUMBER(L518)),L518&lt;1,L518&gt;5,L518&lt;&gt;INT(L518),AND(J518&lt;&gt;"Public",J518&lt;&gt;"Partner",J518&lt;&gt;"Internal",J518&lt;&gt;"None"),AND(K518&lt;&gt;"High",K518&lt;&gt;"Medium",K518&lt;&gt;"Low",K518&lt;&gt;"None"),AND(W518&lt;&gt;"Hard-coded",W518&lt;&gt;"Configurable",W518&lt;&gt;"Policy-managed",W518&lt;&gt;"API/Library abstraction",W518&lt;&gt;"Automated"),AND(Z518&lt;&gt;"Y",Z518&lt;&gt;"N"),AND(AA518&lt;&gt;"Y",AA518&lt;&gt;"N")),"Incomplete",IF(Z518="Y",20,0)+L518*5+IF(AA518="Y",15,0)+IF(J518="Public",10,IF(J518="Partner",7,IF(J518="Internal",3,0)))+IF(W518="Hard-coded",10,IF(W518="Configurable",3,0))+IF(MAX(I518,AP518)&gt;=10,10,IF(MAX(I518,AP518)&gt;=5,7,IF(MAX(I518,AP518)&gt;=2,3,0)))+IF(K518="High",10,IF(K518="Medium",5,0))))</x:f>
      </x:c>
      <x:c r="AC518" s="73" t="str">
        <x:f>IF(A518="","",IF(NOT(ISNUMBER(AB518)),"Review inputs",IF(AB518&gt;=70,"P0 - Immediate",IF(AB518&gt;=50,"P1 - High",IF(AB518&gt;=30,"P2 - Medium",IF(AB518&gt;=15,"P3 - Low","P4 - Monitor"))))))</x:f>
      </x:c>
      <x:c r="AD518" s="73"/>
      <x:c r="AE518" s="73"/>
      <x:c r="AF518" s="73"/>
      <x:c r="AG518" s="77"/>
      <x:c r="AH518" s="73"/>
      <x:c r="AI518" s="91"/>
      <x:c r="AJ518" s="91"/>
      <x:c r="AK518" s="91"/>
      <x:c r="AL518" s="92"/>
      <x:c r="AM518" s="91"/>
      <x:c r="AN518" s="91"/>
      <x:c r="AO518" s="93"/>
      <x:c r="AP518" s="94"/>
      <x:c r="AQ518" s="91"/>
      <x:c r="AR518" s="91"/>
      <x:c r="AS518" s="91"/>
      <x:c r="AT518" s="91"/>
      <x:c r="AU518" s="91"/>
      <x:c r="AV518" s="91"/>
      <x:c r="AW518" s="91"/>
      <x:c r="AX518" s="91"/>
      <x:c r="AY518" s="91"/>
      <x:c r="AZ518" s="92"/>
      <x:c r="BA518" s="94"/>
      <x:c r="BB518" s="91"/>
      <x:c r="BC518" s="92"/>
      <x:c r="BD518" s="92"/>
      <x:c r="BE518" s="91"/>
      <x:c r="BF518" s="91"/>
      <x:c r="BG518" s="91"/>
      <x:c r="BH518" s="91"/>
      <x:c r="BI518" s="91"/>
      <x:c r="BJ518" s="91"/>
      <x:c r="BK518" s="91"/>
      <x:c r="BL518" s="91"/>
      <x:c r="BM518" s="73" t="str">
        <x:f>IF(A518="","",IF(AI518="Example","Example only",IF(AI518&lt;&gt;"Actual","Set record type",IF(COUNTIF($A$2:$A$1001,A518)&gt;1,"Duplicate record ID",IF(OR(D518="",E518="",AF518="",NOT(ISNUMBER(AG518)),AJ518="",AK518="",NOT(ISNUMBER(AL518)),AND(AM518&lt;&gt;"Observed",AM518&lt;&gt;"Corroborated",AM518&lt;&gt;"Declared"),OR(AN518="",AN518="Unknown"),OR(AQ518="",AQ518="Unknown"),OR(AR518="",AR518="Unknown",AR518="TBD"),OR(BC518="",NOT(ISNUMBER(BC518)))),"Evidence incomplete","Evidence recorded; review scope")))))</x:f>
      </x:c>
      <x:c r="BN518" s="73"/>
    </x:row>
    <x:row r="519" ht="34" customHeight="1">
      <x:c r="A519" s="73"/>
      <x:c r="B519" s="73"/>
      <x:c r="C519" s="73"/>
      <x:c r="D519" s="73"/>
      <x:c r="E519" s="73"/>
      <x:c r="F519" s="73"/>
      <x:c r="G519" s="73"/>
      <x:c r="H519" s="73"/>
      <x:c r="I519" s="75"/>
      <x:c r="J519" s="73"/>
      <x:c r="K519" s="73"/>
      <x:c r="L519" s="76"/>
      <x:c r="M519" s="73"/>
      <x:c r="N519" s="73"/>
      <x:c r="O519" s="73"/>
      <x:c r="P519" s="73"/>
      <x:c r="Q519" s="76"/>
      <x:c r="R519" s="73"/>
      <x:c r="S519" s="73"/>
      <x:c r="T519" s="73"/>
      <x:c r="U519" s="73"/>
      <x:c r="V519" s="73"/>
      <x:c r="W519" s="73"/>
      <x:c r="X519" s="73"/>
      <x:c r="Y519" s="73"/>
      <x:c r="Z519" s="73"/>
      <x:c r="AA519" s="73"/>
      <x:c r="AB519" s="76" t="str">
        <x:f>IF(A519="","",IF(OR(NOT(ISNUMBER(I519)),I519&lt;0,NOT(ISNUMBER(AP519)),AP519&lt;0,NOT(ISNUMBER(L519)),L519&lt;1,L519&gt;5,L519&lt;&gt;INT(L519),AND(J519&lt;&gt;"Public",J519&lt;&gt;"Partner",J519&lt;&gt;"Internal",J519&lt;&gt;"None"),AND(K519&lt;&gt;"High",K519&lt;&gt;"Medium",K519&lt;&gt;"Low",K519&lt;&gt;"None"),AND(W519&lt;&gt;"Hard-coded",W519&lt;&gt;"Configurable",W519&lt;&gt;"Policy-managed",W519&lt;&gt;"API/Library abstraction",W519&lt;&gt;"Automated"),AND(Z519&lt;&gt;"Y",Z519&lt;&gt;"N"),AND(AA519&lt;&gt;"Y",AA519&lt;&gt;"N")),"Incomplete",IF(Z519="Y",20,0)+L519*5+IF(AA519="Y",15,0)+IF(J519="Public",10,IF(J519="Partner",7,IF(J519="Internal",3,0)))+IF(W519="Hard-coded",10,IF(W519="Configurable",3,0))+IF(MAX(I519,AP519)&gt;=10,10,IF(MAX(I519,AP519)&gt;=5,7,IF(MAX(I519,AP519)&gt;=2,3,0)))+IF(K519="High",10,IF(K519="Medium",5,0))))</x:f>
      </x:c>
      <x:c r="AC519" s="73" t="str">
        <x:f>IF(A519="","",IF(NOT(ISNUMBER(AB519)),"Review inputs",IF(AB519&gt;=70,"P0 - Immediate",IF(AB519&gt;=50,"P1 - High",IF(AB519&gt;=30,"P2 - Medium",IF(AB519&gt;=15,"P3 - Low","P4 - Monitor"))))))</x:f>
      </x:c>
      <x:c r="AD519" s="73"/>
      <x:c r="AE519" s="73"/>
      <x:c r="AF519" s="73"/>
      <x:c r="AG519" s="77"/>
      <x:c r="AH519" s="73"/>
      <x:c r="AI519" s="91"/>
      <x:c r="AJ519" s="91"/>
      <x:c r="AK519" s="91"/>
      <x:c r="AL519" s="92"/>
      <x:c r="AM519" s="91"/>
      <x:c r="AN519" s="91"/>
      <x:c r="AO519" s="93"/>
      <x:c r="AP519" s="94"/>
      <x:c r="AQ519" s="91"/>
      <x:c r="AR519" s="91"/>
      <x:c r="AS519" s="91"/>
      <x:c r="AT519" s="91"/>
      <x:c r="AU519" s="91"/>
      <x:c r="AV519" s="91"/>
      <x:c r="AW519" s="91"/>
      <x:c r="AX519" s="91"/>
      <x:c r="AY519" s="91"/>
      <x:c r="AZ519" s="92"/>
      <x:c r="BA519" s="94"/>
      <x:c r="BB519" s="91"/>
      <x:c r="BC519" s="92"/>
      <x:c r="BD519" s="92"/>
      <x:c r="BE519" s="91"/>
      <x:c r="BF519" s="91"/>
      <x:c r="BG519" s="91"/>
      <x:c r="BH519" s="91"/>
      <x:c r="BI519" s="91"/>
      <x:c r="BJ519" s="91"/>
      <x:c r="BK519" s="91"/>
      <x:c r="BL519" s="91"/>
      <x:c r="BM519" s="73" t="str">
        <x:f>IF(A519="","",IF(AI519="Example","Example only",IF(AI519&lt;&gt;"Actual","Set record type",IF(COUNTIF($A$2:$A$1001,A519)&gt;1,"Duplicate record ID",IF(OR(D519="",E519="",AF519="",NOT(ISNUMBER(AG519)),AJ519="",AK519="",NOT(ISNUMBER(AL519)),AND(AM519&lt;&gt;"Observed",AM519&lt;&gt;"Corroborated",AM519&lt;&gt;"Declared"),OR(AN519="",AN519="Unknown"),OR(AQ519="",AQ519="Unknown"),OR(AR519="",AR519="Unknown",AR519="TBD"),OR(BC519="",NOT(ISNUMBER(BC519)))),"Evidence incomplete","Evidence recorded; review scope")))))</x:f>
      </x:c>
      <x:c r="BN519" s="73"/>
    </x:row>
    <x:row r="520" ht="34" customHeight="1">
      <x:c r="A520" s="73"/>
      <x:c r="B520" s="73"/>
      <x:c r="C520" s="73"/>
      <x:c r="D520" s="73"/>
      <x:c r="E520" s="73"/>
      <x:c r="F520" s="73"/>
      <x:c r="G520" s="73"/>
      <x:c r="H520" s="73"/>
      <x:c r="I520" s="75"/>
      <x:c r="J520" s="73"/>
      <x:c r="K520" s="73"/>
      <x:c r="L520" s="76"/>
      <x:c r="M520" s="73"/>
      <x:c r="N520" s="73"/>
      <x:c r="O520" s="73"/>
      <x:c r="P520" s="73"/>
      <x:c r="Q520" s="76"/>
      <x:c r="R520" s="73"/>
      <x:c r="S520" s="73"/>
      <x:c r="T520" s="73"/>
      <x:c r="U520" s="73"/>
      <x:c r="V520" s="73"/>
      <x:c r="W520" s="73"/>
      <x:c r="X520" s="73"/>
      <x:c r="Y520" s="73"/>
      <x:c r="Z520" s="73"/>
      <x:c r="AA520" s="73"/>
      <x:c r="AB520" s="76" t="str">
        <x:f>IF(A520="","",IF(OR(NOT(ISNUMBER(I520)),I520&lt;0,NOT(ISNUMBER(AP520)),AP520&lt;0,NOT(ISNUMBER(L520)),L520&lt;1,L520&gt;5,L520&lt;&gt;INT(L520),AND(J520&lt;&gt;"Public",J520&lt;&gt;"Partner",J520&lt;&gt;"Internal",J520&lt;&gt;"None"),AND(K520&lt;&gt;"High",K520&lt;&gt;"Medium",K520&lt;&gt;"Low",K520&lt;&gt;"None"),AND(W520&lt;&gt;"Hard-coded",W520&lt;&gt;"Configurable",W520&lt;&gt;"Policy-managed",W520&lt;&gt;"API/Library abstraction",W520&lt;&gt;"Automated"),AND(Z520&lt;&gt;"Y",Z520&lt;&gt;"N"),AND(AA520&lt;&gt;"Y",AA520&lt;&gt;"N")),"Incomplete",IF(Z520="Y",20,0)+L520*5+IF(AA520="Y",15,0)+IF(J520="Public",10,IF(J520="Partner",7,IF(J520="Internal",3,0)))+IF(W520="Hard-coded",10,IF(W520="Configurable",3,0))+IF(MAX(I520,AP520)&gt;=10,10,IF(MAX(I520,AP520)&gt;=5,7,IF(MAX(I520,AP520)&gt;=2,3,0)))+IF(K520="High",10,IF(K520="Medium",5,0))))</x:f>
      </x:c>
      <x:c r="AC520" s="73" t="str">
        <x:f>IF(A520="","",IF(NOT(ISNUMBER(AB520)),"Review inputs",IF(AB520&gt;=70,"P0 - Immediate",IF(AB520&gt;=50,"P1 - High",IF(AB520&gt;=30,"P2 - Medium",IF(AB520&gt;=15,"P3 - Low","P4 - Monitor"))))))</x:f>
      </x:c>
      <x:c r="AD520" s="73"/>
      <x:c r="AE520" s="73"/>
      <x:c r="AF520" s="73"/>
      <x:c r="AG520" s="77"/>
      <x:c r="AH520" s="73"/>
      <x:c r="AI520" s="91"/>
      <x:c r="AJ520" s="91"/>
      <x:c r="AK520" s="91"/>
      <x:c r="AL520" s="92"/>
      <x:c r="AM520" s="91"/>
      <x:c r="AN520" s="91"/>
      <x:c r="AO520" s="93"/>
      <x:c r="AP520" s="94"/>
      <x:c r="AQ520" s="91"/>
      <x:c r="AR520" s="91"/>
      <x:c r="AS520" s="91"/>
      <x:c r="AT520" s="91"/>
      <x:c r="AU520" s="91"/>
      <x:c r="AV520" s="91"/>
      <x:c r="AW520" s="91"/>
      <x:c r="AX520" s="91"/>
      <x:c r="AY520" s="91"/>
      <x:c r="AZ520" s="92"/>
      <x:c r="BA520" s="94"/>
      <x:c r="BB520" s="91"/>
      <x:c r="BC520" s="92"/>
      <x:c r="BD520" s="92"/>
      <x:c r="BE520" s="91"/>
      <x:c r="BF520" s="91"/>
      <x:c r="BG520" s="91"/>
      <x:c r="BH520" s="91"/>
      <x:c r="BI520" s="91"/>
      <x:c r="BJ520" s="91"/>
      <x:c r="BK520" s="91"/>
      <x:c r="BL520" s="91"/>
      <x:c r="BM520" s="73" t="str">
        <x:f>IF(A520="","",IF(AI520="Example","Example only",IF(AI520&lt;&gt;"Actual","Set record type",IF(COUNTIF($A$2:$A$1001,A520)&gt;1,"Duplicate record ID",IF(OR(D520="",E520="",AF520="",NOT(ISNUMBER(AG520)),AJ520="",AK520="",NOT(ISNUMBER(AL520)),AND(AM520&lt;&gt;"Observed",AM520&lt;&gt;"Corroborated",AM520&lt;&gt;"Declared"),OR(AN520="",AN520="Unknown"),OR(AQ520="",AQ520="Unknown"),OR(AR520="",AR520="Unknown",AR520="TBD"),OR(BC520="",NOT(ISNUMBER(BC520)))),"Evidence incomplete","Evidence recorded; review scope")))))</x:f>
      </x:c>
      <x:c r="BN520" s="73"/>
    </x:row>
    <x:row r="521" ht="34" customHeight="1">
      <x:c r="A521" s="73"/>
      <x:c r="B521" s="73"/>
      <x:c r="C521" s="73"/>
      <x:c r="D521" s="73"/>
      <x:c r="E521" s="73"/>
      <x:c r="F521" s="73"/>
      <x:c r="G521" s="73"/>
      <x:c r="H521" s="73"/>
      <x:c r="I521" s="75"/>
      <x:c r="J521" s="73"/>
      <x:c r="K521" s="73"/>
      <x:c r="L521" s="76"/>
      <x:c r="M521" s="73"/>
      <x:c r="N521" s="73"/>
      <x:c r="O521" s="73"/>
      <x:c r="P521" s="73"/>
      <x:c r="Q521" s="76"/>
      <x:c r="R521" s="73"/>
      <x:c r="S521" s="73"/>
      <x:c r="T521" s="73"/>
      <x:c r="U521" s="73"/>
      <x:c r="V521" s="73"/>
      <x:c r="W521" s="73"/>
      <x:c r="X521" s="73"/>
      <x:c r="Y521" s="73"/>
      <x:c r="Z521" s="73"/>
      <x:c r="AA521" s="73"/>
      <x:c r="AB521" s="76" t="str">
        <x:f>IF(A521="","",IF(OR(NOT(ISNUMBER(I521)),I521&lt;0,NOT(ISNUMBER(AP521)),AP521&lt;0,NOT(ISNUMBER(L521)),L521&lt;1,L521&gt;5,L521&lt;&gt;INT(L521),AND(J521&lt;&gt;"Public",J521&lt;&gt;"Partner",J521&lt;&gt;"Internal",J521&lt;&gt;"None"),AND(K521&lt;&gt;"High",K521&lt;&gt;"Medium",K521&lt;&gt;"Low",K521&lt;&gt;"None"),AND(W521&lt;&gt;"Hard-coded",W521&lt;&gt;"Configurable",W521&lt;&gt;"Policy-managed",W521&lt;&gt;"API/Library abstraction",W521&lt;&gt;"Automated"),AND(Z521&lt;&gt;"Y",Z521&lt;&gt;"N"),AND(AA521&lt;&gt;"Y",AA521&lt;&gt;"N")),"Incomplete",IF(Z521="Y",20,0)+L521*5+IF(AA521="Y",15,0)+IF(J521="Public",10,IF(J521="Partner",7,IF(J521="Internal",3,0)))+IF(W521="Hard-coded",10,IF(W521="Configurable",3,0))+IF(MAX(I521,AP521)&gt;=10,10,IF(MAX(I521,AP521)&gt;=5,7,IF(MAX(I521,AP521)&gt;=2,3,0)))+IF(K521="High",10,IF(K521="Medium",5,0))))</x:f>
      </x:c>
      <x:c r="AC521" s="73" t="str">
        <x:f>IF(A521="","",IF(NOT(ISNUMBER(AB521)),"Review inputs",IF(AB521&gt;=70,"P0 - Immediate",IF(AB521&gt;=50,"P1 - High",IF(AB521&gt;=30,"P2 - Medium",IF(AB521&gt;=15,"P3 - Low","P4 - Monitor"))))))</x:f>
      </x:c>
      <x:c r="AD521" s="73"/>
      <x:c r="AE521" s="73"/>
      <x:c r="AF521" s="73"/>
      <x:c r="AG521" s="77"/>
      <x:c r="AH521" s="73"/>
      <x:c r="AI521" s="91"/>
      <x:c r="AJ521" s="91"/>
      <x:c r="AK521" s="91"/>
      <x:c r="AL521" s="92"/>
      <x:c r="AM521" s="91"/>
      <x:c r="AN521" s="91"/>
      <x:c r="AO521" s="93"/>
      <x:c r="AP521" s="94"/>
      <x:c r="AQ521" s="91"/>
      <x:c r="AR521" s="91"/>
      <x:c r="AS521" s="91"/>
      <x:c r="AT521" s="91"/>
      <x:c r="AU521" s="91"/>
      <x:c r="AV521" s="91"/>
      <x:c r="AW521" s="91"/>
      <x:c r="AX521" s="91"/>
      <x:c r="AY521" s="91"/>
      <x:c r="AZ521" s="92"/>
      <x:c r="BA521" s="94"/>
      <x:c r="BB521" s="91"/>
      <x:c r="BC521" s="92"/>
      <x:c r="BD521" s="92"/>
      <x:c r="BE521" s="91"/>
      <x:c r="BF521" s="91"/>
      <x:c r="BG521" s="91"/>
      <x:c r="BH521" s="91"/>
      <x:c r="BI521" s="91"/>
      <x:c r="BJ521" s="91"/>
      <x:c r="BK521" s="91"/>
      <x:c r="BL521" s="91"/>
      <x:c r="BM521" s="73" t="str">
        <x:f>IF(A521="","",IF(AI521="Example","Example only",IF(AI521&lt;&gt;"Actual","Set record type",IF(COUNTIF($A$2:$A$1001,A521)&gt;1,"Duplicate record ID",IF(OR(D521="",E521="",AF521="",NOT(ISNUMBER(AG521)),AJ521="",AK521="",NOT(ISNUMBER(AL521)),AND(AM521&lt;&gt;"Observed",AM521&lt;&gt;"Corroborated",AM521&lt;&gt;"Declared"),OR(AN521="",AN521="Unknown"),OR(AQ521="",AQ521="Unknown"),OR(AR521="",AR521="Unknown",AR521="TBD"),OR(BC521="",NOT(ISNUMBER(BC521)))),"Evidence incomplete","Evidence recorded; review scope")))))</x:f>
      </x:c>
      <x:c r="BN521" s="73"/>
    </x:row>
    <x:row r="522" ht="34" customHeight="1">
      <x:c r="A522" s="73"/>
      <x:c r="B522" s="73"/>
      <x:c r="C522" s="73"/>
      <x:c r="D522" s="73"/>
      <x:c r="E522" s="73"/>
      <x:c r="F522" s="73"/>
      <x:c r="G522" s="73"/>
      <x:c r="H522" s="73"/>
      <x:c r="I522" s="75"/>
      <x:c r="J522" s="73"/>
      <x:c r="K522" s="73"/>
      <x:c r="L522" s="76"/>
      <x:c r="M522" s="73"/>
      <x:c r="N522" s="73"/>
      <x:c r="O522" s="73"/>
      <x:c r="P522" s="73"/>
      <x:c r="Q522" s="76"/>
      <x:c r="R522" s="73"/>
      <x:c r="S522" s="73"/>
      <x:c r="T522" s="73"/>
      <x:c r="U522" s="73"/>
      <x:c r="V522" s="73"/>
      <x:c r="W522" s="73"/>
      <x:c r="X522" s="73"/>
      <x:c r="Y522" s="73"/>
      <x:c r="Z522" s="73"/>
      <x:c r="AA522" s="73"/>
      <x:c r="AB522" s="76" t="str">
        <x:f>IF(A522="","",IF(OR(NOT(ISNUMBER(I522)),I522&lt;0,NOT(ISNUMBER(AP522)),AP522&lt;0,NOT(ISNUMBER(L522)),L522&lt;1,L522&gt;5,L522&lt;&gt;INT(L522),AND(J522&lt;&gt;"Public",J522&lt;&gt;"Partner",J522&lt;&gt;"Internal",J522&lt;&gt;"None"),AND(K522&lt;&gt;"High",K522&lt;&gt;"Medium",K522&lt;&gt;"Low",K522&lt;&gt;"None"),AND(W522&lt;&gt;"Hard-coded",W522&lt;&gt;"Configurable",W522&lt;&gt;"Policy-managed",W522&lt;&gt;"API/Library abstraction",W522&lt;&gt;"Automated"),AND(Z522&lt;&gt;"Y",Z522&lt;&gt;"N"),AND(AA522&lt;&gt;"Y",AA522&lt;&gt;"N")),"Incomplete",IF(Z522="Y",20,0)+L522*5+IF(AA522="Y",15,0)+IF(J522="Public",10,IF(J522="Partner",7,IF(J522="Internal",3,0)))+IF(W522="Hard-coded",10,IF(W522="Configurable",3,0))+IF(MAX(I522,AP522)&gt;=10,10,IF(MAX(I522,AP522)&gt;=5,7,IF(MAX(I522,AP522)&gt;=2,3,0)))+IF(K522="High",10,IF(K522="Medium",5,0))))</x:f>
      </x:c>
      <x:c r="AC522" s="73" t="str">
        <x:f>IF(A522="","",IF(NOT(ISNUMBER(AB522)),"Review inputs",IF(AB522&gt;=70,"P0 - Immediate",IF(AB522&gt;=50,"P1 - High",IF(AB522&gt;=30,"P2 - Medium",IF(AB522&gt;=15,"P3 - Low","P4 - Monitor"))))))</x:f>
      </x:c>
      <x:c r="AD522" s="73"/>
      <x:c r="AE522" s="73"/>
      <x:c r="AF522" s="73"/>
      <x:c r="AG522" s="77"/>
      <x:c r="AH522" s="73"/>
      <x:c r="AI522" s="91"/>
      <x:c r="AJ522" s="91"/>
      <x:c r="AK522" s="91"/>
      <x:c r="AL522" s="92"/>
      <x:c r="AM522" s="91"/>
      <x:c r="AN522" s="91"/>
      <x:c r="AO522" s="93"/>
      <x:c r="AP522" s="94"/>
      <x:c r="AQ522" s="91"/>
      <x:c r="AR522" s="91"/>
      <x:c r="AS522" s="91"/>
      <x:c r="AT522" s="91"/>
      <x:c r="AU522" s="91"/>
      <x:c r="AV522" s="91"/>
      <x:c r="AW522" s="91"/>
      <x:c r="AX522" s="91"/>
      <x:c r="AY522" s="91"/>
      <x:c r="AZ522" s="92"/>
      <x:c r="BA522" s="94"/>
      <x:c r="BB522" s="91"/>
      <x:c r="BC522" s="92"/>
      <x:c r="BD522" s="92"/>
      <x:c r="BE522" s="91"/>
      <x:c r="BF522" s="91"/>
      <x:c r="BG522" s="91"/>
      <x:c r="BH522" s="91"/>
      <x:c r="BI522" s="91"/>
      <x:c r="BJ522" s="91"/>
      <x:c r="BK522" s="91"/>
      <x:c r="BL522" s="91"/>
      <x:c r="BM522" s="73" t="str">
        <x:f>IF(A522="","",IF(AI522="Example","Example only",IF(AI522&lt;&gt;"Actual","Set record type",IF(COUNTIF($A$2:$A$1001,A522)&gt;1,"Duplicate record ID",IF(OR(D522="",E522="",AF522="",NOT(ISNUMBER(AG522)),AJ522="",AK522="",NOT(ISNUMBER(AL522)),AND(AM522&lt;&gt;"Observed",AM522&lt;&gt;"Corroborated",AM522&lt;&gt;"Declared"),OR(AN522="",AN522="Unknown"),OR(AQ522="",AQ522="Unknown"),OR(AR522="",AR522="Unknown",AR522="TBD"),OR(BC522="",NOT(ISNUMBER(BC522)))),"Evidence incomplete","Evidence recorded; review scope")))))</x:f>
      </x:c>
      <x:c r="BN522" s="73"/>
    </x:row>
    <x:row r="523" ht="34" customHeight="1">
      <x:c r="A523" s="73"/>
      <x:c r="B523" s="73"/>
      <x:c r="C523" s="73"/>
      <x:c r="D523" s="73"/>
      <x:c r="E523" s="73"/>
      <x:c r="F523" s="73"/>
      <x:c r="G523" s="73"/>
      <x:c r="H523" s="73"/>
      <x:c r="I523" s="75"/>
      <x:c r="J523" s="73"/>
      <x:c r="K523" s="73"/>
      <x:c r="L523" s="76"/>
      <x:c r="M523" s="73"/>
      <x:c r="N523" s="73"/>
      <x:c r="O523" s="73"/>
      <x:c r="P523" s="73"/>
      <x:c r="Q523" s="76"/>
      <x:c r="R523" s="73"/>
      <x:c r="S523" s="73"/>
      <x:c r="T523" s="73"/>
      <x:c r="U523" s="73"/>
      <x:c r="V523" s="73"/>
      <x:c r="W523" s="73"/>
      <x:c r="X523" s="73"/>
      <x:c r="Y523" s="73"/>
      <x:c r="Z523" s="73"/>
      <x:c r="AA523" s="73"/>
      <x:c r="AB523" s="76" t="str">
        <x:f>IF(A523="","",IF(OR(NOT(ISNUMBER(I523)),I523&lt;0,NOT(ISNUMBER(AP523)),AP523&lt;0,NOT(ISNUMBER(L523)),L523&lt;1,L523&gt;5,L523&lt;&gt;INT(L523),AND(J523&lt;&gt;"Public",J523&lt;&gt;"Partner",J523&lt;&gt;"Internal",J523&lt;&gt;"None"),AND(K523&lt;&gt;"High",K523&lt;&gt;"Medium",K523&lt;&gt;"Low",K523&lt;&gt;"None"),AND(W523&lt;&gt;"Hard-coded",W523&lt;&gt;"Configurable",W523&lt;&gt;"Policy-managed",W523&lt;&gt;"API/Library abstraction",W523&lt;&gt;"Automated"),AND(Z523&lt;&gt;"Y",Z523&lt;&gt;"N"),AND(AA523&lt;&gt;"Y",AA523&lt;&gt;"N")),"Incomplete",IF(Z523="Y",20,0)+L523*5+IF(AA523="Y",15,0)+IF(J523="Public",10,IF(J523="Partner",7,IF(J523="Internal",3,0)))+IF(W523="Hard-coded",10,IF(W523="Configurable",3,0))+IF(MAX(I523,AP523)&gt;=10,10,IF(MAX(I523,AP523)&gt;=5,7,IF(MAX(I523,AP523)&gt;=2,3,0)))+IF(K523="High",10,IF(K523="Medium",5,0))))</x:f>
      </x:c>
      <x:c r="AC523" s="73" t="str">
        <x:f>IF(A523="","",IF(NOT(ISNUMBER(AB523)),"Review inputs",IF(AB523&gt;=70,"P0 - Immediate",IF(AB523&gt;=50,"P1 - High",IF(AB523&gt;=30,"P2 - Medium",IF(AB523&gt;=15,"P3 - Low","P4 - Monitor"))))))</x:f>
      </x:c>
      <x:c r="AD523" s="73"/>
      <x:c r="AE523" s="73"/>
      <x:c r="AF523" s="73"/>
      <x:c r="AG523" s="77"/>
      <x:c r="AH523" s="73"/>
      <x:c r="AI523" s="91"/>
      <x:c r="AJ523" s="91"/>
      <x:c r="AK523" s="91"/>
      <x:c r="AL523" s="92"/>
      <x:c r="AM523" s="91"/>
      <x:c r="AN523" s="91"/>
      <x:c r="AO523" s="93"/>
      <x:c r="AP523" s="94"/>
      <x:c r="AQ523" s="91"/>
      <x:c r="AR523" s="91"/>
      <x:c r="AS523" s="91"/>
      <x:c r="AT523" s="91"/>
      <x:c r="AU523" s="91"/>
      <x:c r="AV523" s="91"/>
      <x:c r="AW523" s="91"/>
      <x:c r="AX523" s="91"/>
      <x:c r="AY523" s="91"/>
      <x:c r="AZ523" s="92"/>
      <x:c r="BA523" s="94"/>
      <x:c r="BB523" s="91"/>
      <x:c r="BC523" s="92"/>
      <x:c r="BD523" s="92"/>
      <x:c r="BE523" s="91"/>
      <x:c r="BF523" s="91"/>
      <x:c r="BG523" s="91"/>
      <x:c r="BH523" s="91"/>
      <x:c r="BI523" s="91"/>
      <x:c r="BJ523" s="91"/>
      <x:c r="BK523" s="91"/>
      <x:c r="BL523" s="91"/>
      <x:c r="BM523" s="73" t="str">
        <x:f>IF(A523="","",IF(AI523="Example","Example only",IF(AI523&lt;&gt;"Actual","Set record type",IF(COUNTIF($A$2:$A$1001,A523)&gt;1,"Duplicate record ID",IF(OR(D523="",E523="",AF523="",NOT(ISNUMBER(AG523)),AJ523="",AK523="",NOT(ISNUMBER(AL523)),AND(AM523&lt;&gt;"Observed",AM523&lt;&gt;"Corroborated",AM523&lt;&gt;"Declared"),OR(AN523="",AN523="Unknown"),OR(AQ523="",AQ523="Unknown"),OR(AR523="",AR523="Unknown",AR523="TBD"),OR(BC523="",NOT(ISNUMBER(BC523)))),"Evidence incomplete","Evidence recorded; review scope")))))</x:f>
      </x:c>
      <x:c r="BN523" s="73"/>
    </x:row>
    <x:row r="524" ht="34" customHeight="1">
      <x:c r="A524" s="73"/>
      <x:c r="B524" s="73"/>
      <x:c r="C524" s="73"/>
      <x:c r="D524" s="73"/>
      <x:c r="E524" s="73"/>
      <x:c r="F524" s="73"/>
      <x:c r="G524" s="73"/>
      <x:c r="H524" s="73"/>
      <x:c r="I524" s="75"/>
      <x:c r="J524" s="73"/>
      <x:c r="K524" s="73"/>
      <x:c r="L524" s="76"/>
      <x:c r="M524" s="73"/>
      <x:c r="N524" s="73"/>
      <x:c r="O524" s="73"/>
      <x:c r="P524" s="73"/>
      <x:c r="Q524" s="76"/>
      <x:c r="R524" s="73"/>
      <x:c r="S524" s="73"/>
      <x:c r="T524" s="73"/>
      <x:c r="U524" s="73"/>
      <x:c r="V524" s="73"/>
      <x:c r="W524" s="73"/>
      <x:c r="X524" s="73"/>
      <x:c r="Y524" s="73"/>
      <x:c r="Z524" s="73"/>
      <x:c r="AA524" s="73"/>
      <x:c r="AB524" s="76" t="str">
        <x:f>IF(A524="","",IF(OR(NOT(ISNUMBER(I524)),I524&lt;0,NOT(ISNUMBER(AP524)),AP524&lt;0,NOT(ISNUMBER(L524)),L524&lt;1,L524&gt;5,L524&lt;&gt;INT(L524),AND(J524&lt;&gt;"Public",J524&lt;&gt;"Partner",J524&lt;&gt;"Internal",J524&lt;&gt;"None"),AND(K524&lt;&gt;"High",K524&lt;&gt;"Medium",K524&lt;&gt;"Low",K524&lt;&gt;"None"),AND(W524&lt;&gt;"Hard-coded",W524&lt;&gt;"Configurable",W524&lt;&gt;"Policy-managed",W524&lt;&gt;"API/Library abstraction",W524&lt;&gt;"Automated"),AND(Z524&lt;&gt;"Y",Z524&lt;&gt;"N"),AND(AA524&lt;&gt;"Y",AA524&lt;&gt;"N")),"Incomplete",IF(Z524="Y",20,0)+L524*5+IF(AA524="Y",15,0)+IF(J524="Public",10,IF(J524="Partner",7,IF(J524="Internal",3,0)))+IF(W524="Hard-coded",10,IF(W524="Configurable",3,0))+IF(MAX(I524,AP524)&gt;=10,10,IF(MAX(I524,AP524)&gt;=5,7,IF(MAX(I524,AP524)&gt;=2,3,0)))+IF(K524="High",10,IF(K524="Medium",5,0))))</x:f>
      </x:c>
      <x:c r="AC524" s="73" t="str">
        <x:f>IF(A524="","",IF(NOT(ISNUMBER(AB524)),"Review inputs",IF(AB524&gt;=70,"P0 - Immediate",IF(AB524&gt;=50,"P1 - High",IF(AB524&gt;=30,"P2 - Medium",IF(AB524&gt;=15,"P3 - Low","P4 - Monitor"))))))</x:f>
      </x:c>
      <x:c r="AD524" s="73"/>
      <x:c r="AE524" s="73"/>
      <x:c r="AF524" s="73"/>
      <x:c r="AG524" s="77"/>
      <x:c r="AH524" s="73"/>
      <x:c r="AI524" s="91"/>
      <x:c r="AJ524" s="91"/>
      <x:c r="AK524" s="91"/>
      <x:c r="AL524" s="92"/>
      <x:c r="AM524" s="91"/>
      <x:c r="AN524" s="91"/>
      <x:c r="AO524" s="93"/>
      <x:c r="AP524" s="94"/>
      <x:c r="AQ524" s="91"/>
      <x:c r="AR524" s="91"/>
      <x:c r="AS524" s="91"/>
      <x:c r="AT524" s="91"/>
      <x:c r="AU524" s="91"/>
      <x:c r="AV524" s="91"/>
      <x:c r="AW524" s="91"/>
      <x:c r="AX524" s="91"/>
      <x:c r="AY524" s="91"/>
      <x:c r="AZ524" s="92"/>
      <x:c r="BA524" s="94"/>
      <x:c r="BB524" s="91"/>
      <x:c r="BC524" s="92"/>
      <x:c r="BD524" s="92"/>
      <x:c r="BE524" s="91"/>
      <x:c r="BF524" s="91"/>
      <x:c r="BG524" s="91"/>
      <x:c r="BH524" s="91"/>
      <x:c r="BI524" s="91"/>
      <x:c r="BJ524" s="91"/>
      <x:c r="BK524" s="91"/>
      <x:c r="BL524" s="91"/>
      <x:c r="BM524" s="73" t="str">
        <x:f>IF(A524="","",IF(AI524="Example","Example only",IF(AI524&lt;&gt;"Actual","Set record type",IF(COUNTIF($A$2:$A$1001,A524)&gt;1,"Duplicate record ID",IF(OR(D524="",E524="",AF524="",NOT(ISNUMBER(AG524)),AJ524="",AK524="",NOT(ISNUMBER(AL524)),AND(AM524&lt;&gt;"Observed",AM524&lt;&gt;"Corroborated",AM524&lt;&gt;"Declared"),OR(AN524="",AN524="Unknown"),OR(AQ524="",AQ524="Unknown"),OR(AR524="",AR524="Unknown",AR524="TBD"),OR(BC524="",NOT(ISNUMBER(BC524)))),"Evidence incomplete","Evidence recorded; review scope")))))</x:f>
      </x:c>
      <x:c r="BN524" s="73"/>
    </x:row>
    <x:row r="525" ht="34" customHeight="1">
      <x:c r="A525" s="73"/>
      <x:c r="B525" s="73"/>
      <x:c r="C525" s="73"/>
      <x:c r="D525" s="73"/>
      <x:c r="E525" s="73"/>
      <x:c r="F525" s="73"/>
      <x:c r="G525" s="73"/>
      <x:c r="H525" s="73"/>
      <x:c r="I525" s="75"/>
      <x:c r="J525" s="73"/>
      <x:c r="K525" s="73"/>
      <x:c r="L525" s="76"/>
      <x:c r="M525" s="73"/>
      <x:c r="N525" s="73"/>
      <x:c r="O525" s="73"/>
      <x:c r="P525" s="73"/>
      <x:c r="Q525" s="76"/>
      <x:c r="R525" s="73"/>
      <x:c r="S525" s="73"/>
      <x:c r="T525" s="73"/>
      <x:c r="U525" s="73"/>
      <x:c r="V525" s="73"/>
      <x:c r="W525" s="73"/>
      <x:c r="X525" s="73"/>
      <x:c r="Y525" s="73"/>
      <x:c r="Z525" s="73"/>
      <x:c r="AA525" s="73"/>
      <x:c r="AB525" s="76" t="str">
        <x:f>IF(A525="","",IF(OR(NOT(ISNUMBER(I525)),I525&lt;0,NOT(ISNUMBER(AP525)),AP525&lt;0,NOT(ISNUMBER(L525)),L525&lt;1,L525&gt;5,L525&lt;&gt;INT(L525),AND(J525&lt;&gt;"Public",J525&lt;&gt;"Partner",J525&lt;&gt;"Internal",J525&lt;&gt;"None"),AND(K525&lt;&gt;"High",K525&lt;&gt;"Medium",K525&lt;&gt;"Low",K525&lt;&gt;"None"),AND(W525&lt;&gt;"Hard-coded",W525&lt;&gt;"Configurable",W525&lt;&gt;"Policy-managed",W525&lt;&gt;"API/Library abstraction",W525&lt;&gt;"Automated"),AND(Z525&lt;&gt;"Y",Z525&lt;&gt;"N"),AND(AA525&lt;&gt;"Y",AA525&lt;&gt;"N")),"Incomplete",IF(Z525="Y",20,0)+L525*5+IF(AA525="Y",15,0)+IF(J525="Public",10,IF(J525="Partner",7,IF(J525="Internal",3,0)))+IF(W525="Hard-coded",10,IF(W525="Configurable",3,0))+IF(MAX(I525,AP525)&gt;=10,10,IF(MAX(I525,AP525)&gt;=5,7,IF(MAX(I525,AP525)&gt;=2,3,0)))+IF(K525="High",10,IF(K525="Medium",5,0))))</x:f>
      </x:c>
      <x:c r="AC525" s="73" t="str">
        <x:f>IF(A525="","",IF(NOT(ISNUMBER(AB525)),"Review inputs",IF(AB525&gt;=70,"P0 - Immediate",IF(AB525&gt;=50,"P1 - High",IF(AB525&gt;=30,"P2 - Medium",IF(AB525&gt;=15,"P3 - Low","P4 - Monitor"))))))</x:f>
      </x:c>
      <x:c r="AD525" s="73"/>
      <x:c r="AE525" s="73"/>
      <x:c r="AF525" s="73"/>
      <x:c r="AG525" s="77"/>
      <x:c r="AH525" s="73"/>
      <x:c r="AI525" s="91"/>
      <x:c r="AJ525" s="91"/>
      <x:c r="AK525" s="91"/>
      <x:c r="AL525" s="92"/>
      <x:c r="AM525" s="91"/>
      <x:c r="AN525" s="91"/>
      <x:c r="AO525" s="93"/>
      <x:c r="AP525" s="94"/>
      <x:c r="AQ525" s="91"/>
      <x:c r="AR525" s="91"/>
      <x:c r="AS525" s="91"/>
      <x:c r="AT525" s="91"/>
      <x:c r="AU525" s="91"/>
      <x:c r="AV525" s="91"/>
      <x:c r="AW525" s="91"/>
      <x:c r="AX525" s="91"/>
      <x:c r="AY525" s="91"/>
      <x:c r="AZ525" s="92"/>
      <x:c r="BA525" s="94"/>
      <x:c r="BB525" s="91"/>
      <x:c r="BC525" s="92"/>
      <x:c r="BD525" s="92"/>
      <x:c r="BE525" s="91"/>
      <x:c r="BF525" s="91"/>
      <x:c r="BG525" s="91"/>
      <x:c r="BH525" s="91"/>
      <x:c r="BI525" s="91"/>
      <x:c r="BJ525" s="91"/>
      <x:c r="BK525" s="91"/>
      <x:c r="BL525" s="91"/>
      <x:c r="BM525" s="73" t="str">
        <x:f>IF(A525="","",IF(AI525="Example","Example only",IF(AI525&lt;&gt;"Actual","Set record type",IF(COUNTIF($A$2:$A$1001,A525)&gt;1,"Duplicate record ID",IF(OR(D525="",E525="",AF525="",NOT(ISNUMBER(AG525)),AJ525="",AK525="",NOT(ISNUMBER(AL525)),AND(AM525&lt;&gt;"Observed",AM525&lt;&gt;"Corroborated",AM525&lt;&gt;"Declared"),OR(AN525="",AN525="Unknown"),OR(AQ525="",AQ525="Unknown"),OR(AR525="",AR525="Unknown",AR525="TBD"),OR(BC525="",NOT(ISNUMBER(BC525)))),"Evidence incomplete","Evidence recorded; review scope")))))</x:f>
      </x:c>
      <x:c r="BN525" s="73"/>
    </x:row>
    <x:row r="526" ht="34" customHeight="1">
      <x:c r="A526" s="73"/>
      <x:c r="B526" s="73"/>
      <x:c r="C526" s="73"/>
      <x:c r="D526" s="73"/>
      <x:c r="E526" s="73"/>
      <x:c r="F526" s="73"/>
      <x:c r="G526" s="73"/>
      <x:c r="H526" s="73"/>
      <x:c r="I526" s="75"/>
      <x:c r="J526" s="73"/>
      <x:c r="K526" s="73"/>
      <x:c r="L526" s="76"/>
      <x:c r="M526" s="73"/>
      <x:c r="N526" s="73"/>
      <x:c r="O526" s="73"/>
      <x:c r="P526" s="73"/>
      <x:c r="Q526" s="76"/>
      <x:c r="R526" s="73"/>
      <x:c r="S526" s="73"/>
      <x:c r="T526" s="73"/>
      <x:c r="U526" s="73"/>
      <x:c r="V526" s="73"/>
      <x:c r="W526" s="73"/>
      <x:c r="X526" s="73"/>
      <x:c r="Y526" s="73"/>
      <x:c r="Z526" s="73"/>
      <x:c r="AA526" s="73"/>
      <x:c r="AB526" s="76" t="str">
        <x:f>IF(A526="","",IF(OR(NOT(ISNUMBER(I526)),I526&lt;0,NOT(ISNUMBER(AP526)),AP526&lt;0,NOT(ISNUMBER(L526)),L526&lt;1,L526&gt;5,L526&lt;&gt;INT(L526),AND(J526&lt;&gt;"Public",J526&lt;&gt;"Partner",J526&lt;&gt;"Internal",J526&lt;&gt;"None"),AND(K526&lt;&gt;"High",K526&lt;&gt;"Medium",K526&lt;&gt;"Low",K526&lt;&gt;"None"),AND(W526&lt;&gt;"Hard-coded",W526&lt;&gt;"Configurable",W526&lt;&gt;"Policy-managed",W526&lt;&gt;"API/Library abstraction",W526&lt;&gt;"Automated"),AND(Z526&lt;&gt;"Y",Z526&lt;&gt;"N"),AND(AA526&lt;&gt;"Y",AA526&lt;&gt;"N")),"Incomplete",IF(Z526="Y",20,0)+L526*5+IF(AA526="Y",15,0)+IF(J526="Public",10,IF(J526="Partner",7,IF(J526="Internal",3,0)))+IF(W526="Hard-coded",10,IF(W526="Configurable",3,0))+IF(MAX(I526,AP526)&gt;=10,10,IF(MAX(I526,AP526)&gt;=5,7,IF(MAX(I526,AP526)&gt;=2,3,0)))+IF(K526="High",10,IF(K526="Medium",5,0))))</x:f>
      </x:c>
      <x:c r="AC526" s="73" t="str">
        <x:f>IF(A526="","",IF(NOT(ISNUMBER(AB526)),"Review inputs",IF(AB526&gt;=70,"P0 - Immediate",IF(AB526&gt;=50,"P1 - High",IF(AB526&gt;=30,"P2 - Medium",IF(AB526&gt;=15,"P3 - Low","P4 - Monitor"))))))</x:f>
      </x:c>
      <x:c r="AD526" s="73"/>
      <x:c r="AE526" s="73"/>
      <x:c r="AF526" s="73"/>
      <x:c r="AG526" s="77"/>
      <x:c r="AH526" s="73"/>
      <x:c r="AI526" s="91"/>
      <x:c r="AJ526" s="91"/>
      <x:c r="AK526" s="91"/>
      <x:c r="AL526" s="92"/>
      <x:c r="AM526" s="91"/>
      <x:c r="AN526" s="91"/>
      <x:c r="AO526" s="93"/>
      <x:c r="AP526" s="94"/>
      <x:c r="AQ526" s="91"/>
      <x:c r="AR526" s="91"/>
      <x:c r="AS526" s="91"/>
      <x:c r="AT526" s="91"/>
      <x:c r="AU526" s="91"/>
      <x:c r="AV526" s="91"/>
      <x:c r="AW526" s="91"/>
      <x:c r="AX526" s="91"/>
      <x:c r="AY526" s="91"/>
      <x:c r="AZ526" s="92"/>
      <x:c r="BA526" s="94"/>
      <x:c r="BB526" s="91"/>
      <x:c r="BC526" s="92"/>
      <x:c r="BD526" s="92"/>
      <x:c r="BE526" s="91"/>
      <x:c r="BF526" s="91"/>
      <x:c r="BG526" s="91"/>
      <x:c r="BH526" s="91"/>
      <x:c r="BI526" s="91"/>
      <x:c r="BJ526" s="91"/>
      <x:c r="BK526" s="91"/>
      <x:c r="BL526" s="91"/>
      <x:c r="BM526" s="73" t="str">
        <x:f>IF(A526="","",IF(AI526="Example","Example only",IF(AI526&lt;&gt;"Actual","Set record type",IF(COUNTIF($A$2:$A$1001,A526)&gt;1,"Duplicate record ID",IF(OR(D526="",E526="",AF526="",NOT(ISNUMBER(AG526)),AJ526="",AK526="",NOT(ISNUMBER(AL526)),AND(AM526&lt;&gt;"Observed",AM526&lt;&gt;"Corroborated",AM526&lt;&gt;"Declared"),OR(AN526="",AN526="Unknown"),OR(AQ526="",AQ526="Unknown"),OR(AR526="",AR526="Unknown",AR526="TBD"),OR(BC526="",NOT(ISNUMBER(BC526)))),"Evidence incomplete","Evidence recorded; review scope")))))</x:f>
      </x:c>
      <x:c r="BN526" s="73"/>
    </x:row>
    <x:row r="527" ht="34" customHeight="1">
      <x:c r="A527" s="73"/>
      <x:c r="B527" s="73"/>
      <x:c r="C527" s="73"/>
      <x:c r="D527" s="73"/>
      <x:c r="E527" s="73"/>
      <x:c r="F527" s="73"/>
      <x:c r="G527" s="73"/>
      <x:c r="H527" s="73"/>
      <x:c r="I527" s="75"/>
      <x:c r="J527" s="73"/>
      <x:c r="K527" s="73"/>
      <x:c r="L527" s="76"/>
      <x:c r="M527" s="73"/>
      <x:c r="N527" s="73"/>
      <x:c r="O527" s="73"/>
      <x:c r="P527" s="73"/>
      <x:c r="Q527" s="76"/>
      <x:c r="R527" s="73"/>
      <x:c r="S527" s="73"/>
      <x:c r="T527" s="73"/>
      <x:c r="U527" s="73"/>
      <x:c r="V527" s="73"/>
      <x:c r="W527" s="73"/>
      <x:c r="X527" s="73"/>
      <x:c r="Y527" s="73"/>
      <x:c r="Z527" s="73"/>
      <x:c r="AA527" s="73"/>
      <x:c r="AB527" s="76" t="str">
        <x:f>IF(A527="","",IF(OR(NOT(ISNUMBER(I527)),I527&lt;0,NOT(ISNUMBER(AP527)),AP527&lt;0,NOT(ISNUMBER(L527)),L527&lt;1,L527&gt;5,L527&lt;&gt;INT(L527),AND(J527&lt;&gt;"Public",J527&lt;&gt;"Partner",J527&lt;&gt;"Internal",J527&lt;&gt;"None"),AND(K527&lt;&gt;"High",K527&lt;&gt;"Medium",K527&lt;&gt;"Low",K527&lt;&gt;"None"),AND(W527&lt;&gt;"Hard-coded",W527&lt;&gt;"Configurable",W527&lt;&gt;"Policy-managed",W527&lt;&gt;"API/Library abstraction",W527&lt;&gt;"Automated"),AND(Z527&lt;&gt;"Y",Z527&lt;&gt;"N"),AND(AA527&lt;&gt;"Y",AA527&lt;&gt;"N")),"Incomplete",IF(Z527="Y",20,0)+L527*5+IF(AA527="Y",15,0)+IF(J527="Public",10,IF(J527="Partner",7,IF(J527="Internal",3,0)))+IF(W527="Hard-coded",10,IF(W527="Configurable",3,0))+IF(MAX(I527,AP527)&gt;=10,10,IF(MAX(I527,AP527)&gt;=5,7,IF(MAX(I527,AP527)&gt;=2,3,0)))+IF(K527="High",10,IF(K527="Medium",5,0))))</x:f>
      </x:c>
      <x:c r="AC527" s="73" t="str">
        <x:f>IF(A527="","",IF(NOT(ISNUMBER(AB527)),"Review inputs",IF(AB527&gt;=70,"P0 - Immediate",IF(AB527&gt;=50,"P1 - High",IF(AB527&gt;=30,"P2 - Medium",IF(AB527&gt;=15,"P3 - Low","P4 - Monitor"))))))</x:f>
      </x:c>
      <x:c r="AD527" s="73"/>
      <x:c r="AE527" s="73"/>
      <x:c r="AF527" s="73"/>
      <x:c r="AG527" s="77"/>
      <x:c r="AH527" s="73"/>
      <x:c r="AI527" s="91"/>
      <x:c r="AJ527" s="91"/>
      <x:c r="AK527" s="91"/>
      <x:c r="AL527" s="92"/>
      <x:c r="AM527" s="91"/>
      <x:c r="AN527" s="91"/>
      <x:c r="AO527" s="93"/>
      <x:c r="AP527" s="94"/>
      <x:c r="AQ527" s="91"/>
      <x:c r="AR527" s="91"/>
      <x:c r="AS527" s="91"/>
      <x:c r="AT527" s="91"/>
      <x:c r="AU527" s="91"/>
      <x:c r="AV527" s="91"/>
      <x:c r="AW527" s="91"/>
      <x:c r="AX527" s="91"/>
      <x:c r="AY527" s="91"/>
      <x:c r="AZ527" s="92"/>
      <x:c r="BA527" s="94"/>
      <x:c r="BB527" s="91"/>
      <x:c r="BC527" s="92"/>
      <x:c r="BD527" s="92"/>
      <x:c r="BE527" s="91"/>
      <x:c r="BF527" s="91"/>
      <x:c r="BG527" s="91"/>
      <x:c r="BH527" s="91"/>
      <x:c r="BI527" s="91"/>
      <x:c r="BJ527" s="91"/>
      <x:c r="BK527" s="91"/>
      <x:c r="BL527" s="91"/>
      <x:c r="BM527" s="73" t="str">
        <x:f>IF(A527="","",IF(AI527="Example","Example only",IF(AI527&lt;&gt;"Actual","Set record type",IF(COUNTIF($A$2:$A$1001,A527)&gt;1,"Duplicate record ID",IF(OR(D527="",E527="",AF527="",NOT(ISNUMBER(AG527)),AJ527="",AK527="",NOT(ISNUMBER(AL527)),AND(AM527&lt;&gt;"Observed",AM527&lt;&gt;"Corroborated",AM527&lt;&gt;"Declared"),OR(AN527="",AN527="Unknown"),OR(AQ527="",AQ527="Unknown"),OR(AR527="",AR527="Unknown",AR527="TBD"),OR(BC527="",NOT(ISNUMBER(BC527)))),"Evidence incomplete","Evidence recorded; review scope")))))</x:f>
      </x:c>
      <x:c r="BN527" s="73"/>
    </x:row>
    <x:row r="528" ht="34" customHeight="1">
      <x:c r="A528" s="73"/>
      <x:c r="B528" s="73"/>
      <x:c r="C528" s="73"/>
      <x:c r="D528" s="73"/>
      <x:c r="E528" s="73"/>
      <x:c r="F528" s="73"/>
      <x:c r="G528" s="73"/>
      <x:c r="H528" s="73"/>
      <x:c r="I528" s="75"/>
      <x:c r="J528" s="73"/>
      <x:c r="K528" s="73"/>
      <x:c r="L528" s="76"/>
      <x:c r="M528" s="73"/>
      <x:c r="N528" s="73"/>
      <x:c r="O528" s="73"/>
      <x:c r="P528" s="73"/>
      <x:c r="Q528" s="76"/>
      <x:c r="R528" s="73"/>
      <x:c r="S528" s="73"/>
      <x:c r="T528" s="73"/>
      <x:c r="U528" s="73"/>
      <x:c r="V528" s="73"/>
      <x:c r="W528" s="73"/>
      <x:c r="X528" s="73"/>
      <x:c r="Y528" s="73"/>
      <x:c r="Z528" s="73"/>
      <x:c r="AA528" s="73"/>
      <x:c r="AB528" s="76" t="str">
        <x:f>IF(A528="","",IF(OR(NOT(ISNUMBER(I528)),I528&lt;0,NOT(ISNUMBER(AP528)),AP528&lt;0,NOT(ISNUMBER(L528)),L528&lt;1,L528&gt;5,L528&lt;&gt;INT(L528),AND(J528&lt;&gt;"Public",J528&lt;&gt;"Partner",J528&lt;&gt;"Internal",J528&lt;&gt;"None"),AND(K528&lt;&gt;"High",K528&lt;&gt;"Medium",K528&lt;&gt;"Low",K528&lt;&gt;"None"),AND(W528&lt;&gt;"Hard-coded",W528&lt;&gt;"Configurable",W528&lt;&gt;"Policy-managed",W528&lt;&gt;"API/Library abstraction",W528&lt;&gt;"Automated"),AND(Z528&lt;&gt;"Y",Z528&lt;&gt;"N"),AND(AA528&lt;&gt;"Y",AA528&lt;&gt;"N")),"Incomplete",IF(Z528="Y",20,0)+L528*5+IF(AA528="Y",15,0)+IF(J528="Public",10,IF(J528="Partner",7,IF(J528="Internal",3,0)))+IF(W528="Hard-coded",10,IF(W528="Configurable",3,0))+IF(MAX(I528,AP528)&gt;=10,10,IF(MAX(I528,AP528)&gt;=5,7,IF(MAX(I528,AP528)&gt;=2,3,0)))+IF(K528="High",10,IF(K528="Medium",5,0))))</x:f>
      </x:c>
      <x:c r="AC528" s="73" t="str">
        <x:f>IF(A528="","",IF(NOT(ISNUMBER(AB528)),"Review inputs",IF(AB528&gt;=70,"P0 - Immediate",IF(AB528&gt;=50,"P1 - High",IF(AB528&gt;=30,"P2 - Medium",IF(AB528&gt;=15,"P3 - Low","P4 - Monitor"))))))</x:f>
      </x:c>
      <x:c r="AD528" s="73"/>
      <x:c r="AE528" s="73"/>
      <x:c r="AF528" s="73"/>
      <x:c r="AG528" s="77"/>
      <x:c r="AH528" s="73"/>
      <x:c r="AI528" s="91"/>
      <x:c r="AJ528" s="91"/>
      <x:c r="AK528" s="91"/>
      <x:c r="AL528" s="92"/>
      <x:c r="AM528" s="91"/>
      <x:c r="AN528" s="91"/>
      <x:c r="AO528" s="93"/>
      <x:c r="AP528" s="94"/>
      <x:c r="AQ528" s="91"/>
      <x:c r="AR528" s="91"/>
      <x:c r="AS528" s="91"/>
      <x:c r="AT528" s="91"/>
      <x:c r="AU528" s="91"/>
      <x:c r="AV528" s="91"/>
      <x:c r="AW528" s="91"/>
      <x:c r="AX528" s="91"/>
      <x:c r="AY528" s="91"/>
      <x:c r="AZ528" s="92"/>
      <x:c r="BA528" s="94"/>
      <x:c r="BB528" s="91"/>
      <x:c r="BC528" s="92"/>
      <x:c r="BD528" s="92"/>
      <x:c r="BE528" s="91"/>
      <x:c r="BF528" s="91"/>
      <x:c r="BG528" s="91"/>
      <x:c r="BH528" s="91"/>
      <x:c r="BI528" s="91"/>
      <x:c r="BJ528" s="91"/>
      <x:c r="BK528" s="91"/>
      <x:c r="BL528" s="91"/>
      <x:c r="BM528" s="73" t="str">
        <x:f>IF(A528="","",IF(AI528="Example","Example only",IF(AI528&lt;&gt;"Actual","Set record type",IF(COUNTIF($A$2:$A$1001,A528)&gt;1,"Duplicate record ID",IF(OR(D528="",E528="",AF528="",NOT(ISNUMBER(AG528)),AJ528="",AK528="",NOT(ISNUMBER(AL528)),AND(AM528&lt;&gt;"Observed",AM528&lt;&gt;"Corroborated",AM528&lt;&gt;"Declared"),OR(AN528="",AN528="Unknown"),OR(AQ528="",AQ528="Unknown"),OR(AR528="",AR528="Unknown",AR528="TBD"),OR(BC528="",NOT(ISNUMBER(BC528)))),"Evidence incomplete","Evidence recorded; review scope")))))</x:f>
      </x:c>
      <x:c r="BN528" s="73"/>
    </x:row>
    <x:row r="529" ht="34" customHeight="1">
      <x:c r="A529" s="73"/>
      <x:c r="B529" s="73"/>
      <x:c r="C529" s="73"/>
      <x:c r="D529" s="73"/>
      <x:c r="E529" s="73"/>
      <x:c r="F529" s="73"/>
      <x:c r="G529" s="73"/>
      <x:c r="H529" s="73"/>
      <x:c r="I529" s="75"/>
      <x:c r="J529" s="73"/>
      <x:c r="K529" s="73"/>
      <x:c r="L529" s="76"/>
      <x:c r="M529" s="73"/>
      <x:c r="N529" s="73"/>
      <x:c r="O529" s="73"/>
      <x:c r="P529" s="73"/>
      <x:c r="Q529" s="76"/>
      <x:c r="R529" s="73"/>
      <x:c r="S529" s="73"/>
      <x:c r="T529" s="73"/>
      <x:c r="U529" s="73"/>
      <x:c r="V529" s="73"/>
      <x:c r="W529" s="73"/>
      <x:c r="X529" s="73"/>
      <x:c r="Y529" s="73"/>
      <x:c r="Z529" s="73"/>
      <x:c r="AA529" s="73"/>
      <x:c r="AB529" s="76" t="str">
        <x:f>IF(A529="","",IF(OR(NOT(ISNUMBER(I529)),I529&lt;0,NOT(ISNUMBER(AP529)),AP529&lt;0,NOT(ISNUMBER(L529)),L529&lt;1,L529&gt;5,L529&lt;&gt;INT(L529),AND(J529&lt;&gt;"Public",J529&lt;&gt;"Partner",J529&lt;&gt;"Internal",J529&lt;&gt;"None"),AND(K529&lt;&gt;"High",K529&lt;&gt;"Medium",K529&lt;&gt;"Low",K529&lt;&gt;"None"),AND(W529&lt;&gt;"Hard-coded",W529&lt;&gt;"Configurable",W529&lt;&gt;"Policy-managed",W529&lt;&gt;"API/Library abstraction",W529&lt;&gt;"Automated"),AND(Z529&lt;&gt;"Y",Z529&lt;&gt;"N"),AND(AA529&lt;&gt;"Y",AA529&lt;&gt;"N")),"Incomplete",IF(Z529="Y",20,0)+L529*5+IF(AA529="Y",15,0)+IF(J529="Public",10,IF(J529="Partner",7,IF(J529="Internal",3,0)))+IF(W529="Hard-coded",10,IF(W529="Configurable",3,0))+IF(MAX(I529,AP529)&gt;=10,10,IF(MAX(I529,AP529)&gt;=5,7,IF(MAX(I529,AP529)&gt;=2,3,0)))+IF(K529="High",10,IF(K529="Medium",5,0))))</x:f>
      </x:c>
      <x:c r="AC529" s="73" t="str">
        <x:f>IF(A529="","",IF(NOT(ISNUMBER(AB529)),"Review inputs",IF(AB529&gt;=70,"P0 - Immediate",IF(AB529&gt;=50,"P1 - High",IF(AB529&gt;=30,"P2 - Medium",IF(AB529&gt;=15,"P3 - Low","P4 - Monitor"))))))</x:f>
      </x:c>
      <x:c r="AD529" s="73"/>
      <x:c r="AE529" s="73"/>
      <x:c r="AF529" s="73"/>
      <x:c r="AG529" s="77"/>
      <x:c r="AH529" s="73"/>
      <x:c r="AI529" s="91"/>
      <x:c r="AJ529" s="91"/>
      <x:c r="AK529" s="91"/>
      <x:c r="AL529" s="92"/>
      <x:c r="AM529" s="91"/>
      <x:c r="AN529" s="91"/>
      <x:c r="AO529" s="93"/>
      <x:c r="AP529" s="94"/>
      <x:c r="AQ529" s="91"/>
      <x:c r="AR529" s="91"/>
      <x:c r="AS529" s="91"/>
      <x:c r="AT529" s="91"/>
      <x:c r="AU529" s="91"/>
      <x:c r="AV529" s="91"/>
      <x:c r="AW529" s="91"/>
      <x:c r="AX529" s="91"/>
      <x:c r="AY529" s="91"/>
      <x:c r="AZ529" s="92"/>
      <x:c r="BA529" s="94"/>
      <x:c r="BB529" s="91"/>
      <x:c r="BC529" s="92"/>
      <x:c r="BD529" s="92"/>
      <x:c r="BE529" s="91"/>
      <x:c r="BF529" s="91"/>
      <x:c r="BG529" s="91"/>
      <x:c r="BH529" s="91"/>
      <x:c r="BI529" s="91"/>
      <x:c r="BJ529" s="91"/>
      <x:c r="BK529" s="91"/>
      <x:c r="BL529" s="91"/>
      <x:c r="BM529" s="73" t="str">
        <x:f>IF(A529="","",IF(AI529="Example","Example only",IF(AI529&lt;&gt;"Actual","Set record type",IF(COUNTIF($A$2:$A$1001,A529)&gt;1,"Duplicate record ID",IF(OR(D529="",E529="",AF529="",NOT(ISNUMBER(AG529)),AJ529="",AK529="",NOT(ISNUMBER(AL529)),AND(AM529&lt;&gt;"Observed",AM529&lt;&gt;"Corroborated",AM529&lt;&gt;"Declared"),OR(AN529="",AN529="Unknown"),OR(AQ529="",AQ529="Unknown"),OR(AR529="",AR529="Unknown",AR529="TBD"),OR(BC529="",NOT(ISNUMBER(BC529)))),"Evidence incomplete","Evidence recorded; review scope")))))</x:f>
      </x:c>
      <x:c r="BN529" s="73"/>
    </x:row>
    <x:row r="530" ht="34" customHeight="1">
      <x:c r="A530" s="73"/>
      <x:c r="B530" s="73"/>
      <x:c r="C530" s="73"/>
      <x:c r="D530" s="73"/>
      <x:c r="E530" s="73"/>
      <x:c r="F530" s="73"/>
      <x:c r="G530" s="73"/>
      <x:c r="H530" s="73"/>
      <x:c r="I530" s="75"/>
      <x:c r="J530" s="73"/>
      <x:c r="K530" s="73"/>
      <x:c r="L530" s="76"/>
      <x:c r="M530" s="73"/>
      <x:c r="N530" s="73"/>
      <x:c r="O530" s="73"/>
      <x:c r="P530" s="73"/>
      <x:c r="Q530" s="76"/>
      <x:c r="R530" s="73"/>
      <x:c r="S530" s="73"/>
      <x:c r="T530" s="73"/>
      <x:c r="U530" s="73"/>
      <x:c r="V530" s="73"/>
      <x:c r="W530" s="73"/>
      <x:c r="X530" s="73"/>
      <x:c r="Y530" s="73"/>
      <x:c r="Z530" s="73"/>
      <x:c r="AA530" s="73"/>
      <x:c r="AB530" s="76" t="str">
        <x:f>IF(A530="","",IF(OR(NOT(ISNUMBER(I530)),I530&lt;0,NOT(ISNUMBER(AP530)),AP530&lt;0,NOT(ISNUMBER(L530)),L530&lt;1,L530&gt;5,L530&lt;&gt;INT(L530),AND(J530&lt;&gt;"Public",J530&lt;&gt;"Partner",J530&lt;&gt;"Internal",J530&lt;&gt;"None"),AND(K530&lt;&gt;"High",K530&lt;&gt;"Medium",K530&lt;&gt;"Low",K530&lt;&gt;"None"),AND(W530&lt;&gt;"Hard-coded",W530&lt;&gt;"Configurable",W530&lt;&gt;"Policy-managed",W530&lt;&gt;"API/Library abstraction",W530&lt;&gt;"Automated"),AND(Z530&lt;&gt;"Y",Z530&lt;&gt;"N"),AND(AA530&lt;&gt;"Y",AA530&lt;&gt;"N")),"Incomplete",IF(Z530="Y",20,0)+L530*5+IF(AA530="Y",15,0)+IF(J530="Public",10,IF(J530="Partner",7,IF(J530="Internal",3,0)))+IF(W530="Hard-coded",10,IF(W530="Configurable",3,0))+IF(MAX(I530,AP530)&gt;=10,10,IF(MAX(I530,AP530)&gt;=5,7,IF(MAX(I530,AP530)&gt;=2,3,0)))+IF(K530="High",10,IF(K530="Medium",5,0))))</x:f>
      </x:c>
      <x:c r="AC530" s="73" t="str">
        <x:f>IF(A530="","",IF(NOT(ISNUMBER(AB530)),"Review inputs",IF(AB530&gt;=70,"P0 - Immediate",IF(AB530&gt;=50,"P1 - High",IF(AB530&gt;=30,"P2 - Medium",IF(AB530&gt;=15,"P3 - Low","P4 - Monitor"))))))</x:f>
      </x:c>
      <x:c r="AD530" s="73"/>
      <x:c r="AE530" s="73"/>
      <x:c r="AF530" s="73"/>
      <x:c r="AG530" s="77"/>
      <x:c r="AH530" s="73"/>
      <x:c r="AI530" s="91"/>
      <x:c r="AJ530" s="91"/>
      <x:c r="AK530" s="91"/>
      <x:c r="AL530" s="92"/>
      <x:c r="AM530" s="91"/>
      <x:c r="AN530" s="91"/>
      <x:c r="AO530" s="93"/>
      <x:c r="AP530" s="94"/>
      <x:c r="AQ530" s="91"/>
      <x:c r="AR530" s="91"/>
      <x:c r="AS530" s="91"/>
      <x:c r="AT530" s="91"/>
      <x:c r="AU530" s="91"/>
      <x:c r="AV530" s="91"/>
      <x:c r="AW530" s="91"/>
      <x:c r="AX530" s="91"/>
      <x:c r="AY530" s="91"/>
      <x:c r="AZ530" s="92"/>
      <x:c r="BA530" s="94"/>
      <x:c r="BB530" s="91"/>
      <x:c r="BC530" s="92"/>
      <x:c r="BD530" s="92"/>
      <x:c r="BE530" s="91"/>
      <x:c r="BF530" s="91"/>
      <x:c r="BG530" s="91"/>
      <x:c r="BH530" s="91"/>
      <x:c r="BI530" s="91"/>
      <x:c r="BJ530" s="91"/>
      <x:c r="BK530" s="91"/>
      <x:c r="BL530" s="91"/>
      <x:c r="BM530" s="73" t="str">
        <x:f>IF(A530="","",IF(AI530="Example","Example only",IF(AI530&lt;&gt;"Actual","Set record type",IF(COUNTIF($A$2:$A$1001,A530)&gt;1,"Duplicate record ID",IF(OR(D530="",E530="",AF530="",NOT(ISNUMBER(AG530)),AJ530="",AK530="",NOT(ISNUMBER(AL530)),AND(AM530&lt;&gt;"Observed",AM530&lt;&gt;"Corroborated",AM530&lt;&gt;"Declared"),OR(AN530="",AN530="Unknown"),OR(AQ530="",AQ530="Unknown"),OR(AR530="",AR530="Unknown",AR530="TBD"),OR(BC530="",NOT(ISNUMBER(BC530)))),"Evidence incomplete","Evidence recorded; review scope")))))</x:f>
      </x:c>
      <x:c r="BN530" s="73"/>
    </x:row>
    <x:row r="531" ht="34" customHeight="1">
      <x:c r="A531" s="73"/>
      <x:c r="B531" s="73"/>
      <x:c r="C531" s="73"/>
      <x:c r="D531" s="73"/>
      <x:c r="E531" s="73"/>
      <x:c r="F531" s="73"/>
      <x:c r="G531" s="73"/>
      <x:c r="H531" s="73"/>
      <x:c r="I531" s="75"/>
      <x:c r="J531" s="73"/>
      <x:c r="K531" s="73"/>
      <x:c r="L531" s="76"/>
      <x:c r="M531" s="73"/>
      <x:c r="N531" s="73"/>
      <x:c r="O531" s="73"/>
      <x:c r="P531" s="73"/>
      <x:c r="Q531" s="76"/>
      <x:c r="R531" s="73"/>
      <x:c r="S531" s="73"/>
      <x:c r="T531" s="73"/>
      <x:c r="U531" s="73"/>
      <x:c r="V531" s="73"/>
      <x:c r="W531" s="73"/>
      <x:c r="X531" s="73"/>
      <x:c r="Y531" s="73"/>
      <x:c r="Z531" s="73"/>
      <x:c r="AA531" s="73"/>
      <x:c r="AB531" s="76" t="str">
        <x:f>IF(A531="","",IF(OR(NOT(ISNUMBER(I531)),I531&lt;0,NOT(ISNUMBER(AP531)),AP531&lt;0,NOT(ISNUMBER(L531)),L531&lt;1,L531&gt;5,L531&lt;&gt;INT(L531),AND(J531&lt;&gt;"Public",J531&lt;&gt;"Partner",J531&lt;&gt;"Internal",J531&lt;&gt;"None"),AND(K531&lt;&gt;"High",K531&lt;&gt;"Medium",K531&lt;&gt;"Low",K531&lt;&gt;"None"),AND(W531&lt;&gt;"Hard-coded",W531&lt;&gt;"Configurable",W531&lt;&gt;"Policy-managed",W531&lt;&gt;"API/Library abstraction",W531&lt;&gt;"Automated"),AND(Z531&lt;&gt;"Y",Z531&lt;&gt;"N"),AND(AA531&lt;&gt;"Y",AA531&lt;&gt;"N")),"Incomplete",IF(Z531="Y",20,0)+L531*5+IF(AA531="Y",15,0)+IF(J531="Public",10,IF(J531="Partner",7,IF(J531="Internal",3,0)))+IF(W531="Hard-coded",10,IF(W531="Configurable",3,0))+IF(MAX(I531,AP531)&gt;=10,10,IF(MAX(I531,AP531)&gt;=5,7,IF(MAX(I531,AP531)&gt;=2,3,0)))+IF(K531="High",10,IF(K531="Medium",5,0))))</x:f>
      </x:c>
      <x:c r="AC531" s="73" t="str">
        <x:f>IF(A531="","",IF(NOT(ISNUMBER(AB531)),"Review inputs",IF(AB531&gt;=70,"P0 - Immediate",IF(AB531&gt;=50,"P1 - High",IF(AB531&gt;=30,"P2 - Medium",IF(AB531&gt;=15,"P3 - Low","P4 - Monitor"))))))</x:f>
      </x:c>
      <x:c r="AD531" s="73"/>
      <x:c r="AE531" s="73"/>
      <x:c r="AF531" s="73"/>
      <x:c r="AG531" s="77"/>
      <x:c r="AH531" s="73"/>
      <x:c r="AI531" s="91"/>
      <x:c r="AJ531" s="91"/>
      <x:c r="AK531" s="91"/>
      <x:c r="AL531" s="92"/>
      <x:c r="AM531" s="91"/>
      <x:c r="AN531" s="91"/>
      <x:c r="AO531" s="93"/>
      <x:c r="AP531" s="94"/>
      <x:c r="AQ531" s="91"/>
      <x:c r="AR531" s="91"/>
      <x:c r="AS531" s="91"/>
      <x:c r="AT531" s="91"/>
      <x:c r="AU531" s="91"/>
      <x:c r="AV531" s="91"/>
      <x:c r="AW531" s="91"/>
      <x:c r="AX531" s="91"/>
      <x:c r="AY531" s="91"/>
      <x:c r="AZ531" s="92"/>
      <x:c r="BA531" s="94"/>
      <x:c r="BB531" s="91"/>
      <x:c r="BC531" s="92"/>
      <x:c r="BD531" s="92"/>
      <x:c r="BE531" s="91"/>
      <x:c r="BF531" s="91"/>
      <x:c r="BG531" s="91"/>
      <x:c r="BH531" s="91"/>
      <x:c r="BI531" s="91"/>
      <x:c r="BJ531" s="91"/>
      <x:c r="BK531" s="91"/>
      <x:c r="BL531" s="91"/>
      <x:c r="BM531" s="73" t="str">
        <x:f>IF(A531="","",IF(AI531="Example","Example only",IF(AI531&lt;&gt;"Actual","Set record type",IF(COUNTIF($A$2:$A$1001,A531)&gt;1,"Duplicate record ID",IF(OR(D531="",E531="",AF531="",NOT(ISNUMBER(AG531)),AJ531="",AK531="",NOT(ISNUMBER(AL531)),AND(AM531&lt;&gt;"Observed",AM531&lt;&gt;"Corroborated",AM531&lt;&gt;"Declared"),OR(AN531="",AN531="Unknown"),OR(AQ531="",AQ531="Unknown"),OR(AR531="",AR531="Unknown",AR531="TBD"),OR(BC531="",NOT(ISNUMBER(BC531)))),"Evidence incomplete","Evidence recorded; review scope")))))</x:f>
      </x:c>
      <x:c r="BN531" s="73"/>
    </x:row>
    <x:row r="532" ht="34" customHeight="1">
      <x:c r="A532" s="73"/>
      <x:c r="B532" s="73"/>
      <x:c r="C532" s="73"/>
      <x:c r="D532" s="73"/>
      <x:c r="E532" s="73"/>
      <x:c r="F532" s="73"/>
      <x:c r="G532" s="73"/>
      <x:c r="H532" s="73"/>
      <x:c r="I532" s="75"/>
      <x:c r="J532" s="73"/>
      <x:c r="K532" s="73"/>
      <x:c r="L532" s="76"/>
      <x:c r="M532" s="73"/>
      <x:c r="N532" s="73"/>
      <x:c r="O532" s="73"/>
      <x:c r="P532" s="73"/>
      <x:c r="Q532" s="76"/>
      <x:c r="R532" s="73"/>
      <x:c r="S532" s="73"/>
      <x:c r="T532" s="73"/>
      <x:c r="U532" s="73"/>
      <x:c r="V532" s="73"/>
      <x:c r="W532" s="73"/>
      <x:c r="X532" s="73"/>
      <x:c r="Y532" s="73"/>
      <x:c r="Z532" s="73"/>
      <x:c r="AA532" s="73"/>
      <x:c r="AB532" s="76" t="str">
        <x:f>IF(A532="","",IF(OR(NOT(ISNUMBER(I532)),I532&lt;0,NOT(ISNUMBER(AP532)),AP532&lt;0,NOT(ISNUMBER(L532)),L532&lt;1,L532&gt;5,L532&lt;&gt;INT(L532),AND(J532&lt;&gt;"Public",J532&lt;&gt;"Partner",J532&lt;&gt;"Internal",J532&lt;&gt;"None"),AND(K532&lt;&gt;"High",K532&lt;&gt;"Medium",K532&lt;&gt;"Low",K532&lt;&gt;"None"),AND(W532&lt;&gt;"Hard-coded",W532&lt;&gt;"Configurable",W532&lt;&gt;"Policy-managed",W532&lt;&gt;"API/Library abstraction",W532&lt;&gt;"Automated"),AND(Z532&lt;&gt;"Y",Z532&lt;&gt;"N"),AND(AA532&lt;&gt;"Y",AA532&lt;&gt;"N")),"Incomplete",IF(Z532="Y",20,0)+L532*5+IF(AA532="Y",15,0)+IF(J532="Public",10,IF(J532="Partner",7,IF(J532="Internal",3,0)))+IF(W532="Hard-coded",10,IF(W532="Configurable",3,0))+IF(MAX(I532,AP532)&gt;=10,10,IF(MAX(I532,AP532)&gt;=5,7,IF(MAX(I532,AP532)&gt;=2,3,0)))+IF(K532="High",10,IF(K532="Medium",5,0))))</x:f>
      </x:c>
      <x:c r="AC532" s="73" t="str">
        <x:f>IF(A532="","",IF(NOT(ISNUMBER(AB532)),"Review inputs",IF(AB532&gt;=70,"P0 - Immediate",IF(AB532&gt;=50,"P1 - High",IF(AB532&gt;=30,"P2 - Medium",IF(AB532&gt;=15,"P3 - Low","P4 - Monitor"))))))</x:f>
      </x:c>
      <x:c r="AD532" s="73"/>
      <x:c r="AE532" s="73"/>
      <x:c r="AF532" s="73"/>
      <x:c r="AG532" s="77"/>
      <x:c r="AH532" s="73"/>
      <x:c r="AI532" s="91"/>
      <x:c r="AJ532" s="91"/>
      <x:c r="AK532" s="91"/>
      <x:c r="AL532" s="92"/>
      <x:c r="AM532" s="91"/>
      <x:c r="AN532" s="91"/>
      <x:c r="AO532" s="93"/>
      <x:c r="AP532" s="94"/>
      <x:c r="AQ532" s="91"/>
      <x:c r="AR532" s="91"/>
      <x:c r="AS532" s="91"/>
      <x:c r="AT532" s="91"/>
      <x:c r="AU532" s="91"/>
      <x:c r="AV532" s="91"/>
      <x:c r="AW532" s="91"/>
      <x:c r="AX532" s="91"/>
      <x:c r="AY532" s="91"/>
      <x:c r="AZ532" s="92"/>
      <x:c r="BA532" s="94"/>
      <x:c r="BB532" s="91"/>
      <x:c r="BC532" s="92"/>
      <x:c r="BD532" s="92"/>
      <x:c r="BE532" s="91"/>
      <x:c r="BF532" s="91"/>
      <x:c r="BG532" s="91"/>
      <x:c r="BH532" s="91"/>
      <x:c r="BI532" s="91"/>
      <x:c r="BJ532" s="91"/>
      <x:c r="BK532" s="91"/>
      <x:c r="BL532" s="91"/>
      <x:c r="BM532" s="73" t="str">
        <x:f>IF(A532="","",IF(AI532="Example","Example only",IF(AI532&lt;&gt;"Actual","Set record type",IF(COUNTIF($A$2:$A$1001,A532)&gt;1,"Duplicate record ID",IF(OR(D532="",E532="",AF532="",NOT(ISNUMBER(AG532)),AJ532="",AK532="",NOT(ISNUMBER(AL532)),AND(AM532&lt;&gt;"Observed",AM532&lt;&gt;"Corroborated",AM532&lt;&gt;"Declared"),OR(AN532="",AN532="Unknown"),OR(AQ532="",AQ532="Unknown"),OR(AR532="",AR532="Unknown",AR532="TBD"),OR(BC532="",NOT(ISNUMBER(BC532)))),"Evidence incomplete","Evidence recorded; review scope")))))</x:f>
      </x:c>
      <x:c r="BN532" s="73"/>
    </x:row>
    <x:row r="533" ht="34" customHeight="1">
      <x:c r="A533" s="73"/>
      <x:c r="B533" s="73"/>
      <x:c r="C533" s="73"/>
      <x:c r="D533" s="73"/>
      <x:c r="E533" s="73"/>
      <x:c r="F533" s="73"/>
      <x:c r="G533" s="73"/>
      <x:c r="H533" s="73"/>
      <x:c r="I533" s="75"/>
      <x:c r="J533" s="73"/>
      <x:c r="K533" s="73"/>
      <x:c r="L533" s="76"/>
      <x:c r="M533" s="73"/>
      <x:c r="N533" s="73"/>
      <x:c r="O533" s="73"/>
      <x:c r="P533" s="73"/>
      <x:c r="Q533" s="76"/>
      <x:c r="R533" s="73"/>
      <x:c r="S533" s="73"/>
      <x:c r="T533" s="73"/>
      <x:c r="U533" s="73"/>
      <x:c r="V533" s="73"/>
      <x:c r="W533" s="73"/>
      <x:c r="X533" s="73"/>
      <x:c r="Y533" s="73"/>
      <x:c r="Z533" s="73"/>
      <x:c r="AA533" s="73"/>
      <x:c r="AB533" s="76" t="str">
        <x:f>IF(A533="","",IF(OR(NOT(ISNUMBER(I533)),I533&lt;0,NOT(ISNUMBER(AP533)),AP533&lt;0,NOT(ISNUMBER(L533)),L533&lt;1,L533&gt;5,L533&lt;&gt;INT(L533),AND(J533&lt;&gt;"Public",J533&lt;&gt;"Partner",J533&lt;&gt;"Internal",J533&lt;&gt;"None"),AND(K533&lt;&gt;"High",K533&lt;&gt;"Medium",K533&lt;&gt;"Low",K533&lt;&gt;"None"),AND(W533&lt;&gt;"Hard-coded",W533&lt;&gt;"Configurable",W533&lt;&gt;"Policy-managed",W533&lt;&gt;"API/Library abstraction",W533&lt;&gt;"Automated"),AND(Z533&lt;&gt;"Y",Z533&lt;&gt;"N"),AND(AA533&lt;&gt;"Y",AA533&lt;&gt;"N")),"Incomplete",IF(Z533="Y",20,0)+L533*5+IF(AA533="Y",15,0)+IF(J533="Public",10,IF(J533="Partner",7,IF(J533="Internal",3,0)))+IF(W533="Hard-coded",10,IF(W533="Configurable",3,0))+IF(MAX(I533,AP533)&gt;=10,10,IF(MAX(I533,AP533)&gt;=5,7,IF(MAX(I533,AP533)&gt;=2,3,0)))+IF(K533="High",10,IF(K533="Medium",5,0))))</x:f>
      </x:c>
      <x:c r="AC533" s="73" t="str">
        <x:f>IF(A533="","",IF(NOT(ISNUMBER(AB533)),"Review inputs",IF(AB533&gt;=70,"P0 - Immediate",IF(AB533&gt;=50,"P1 - High",IF(AB533&gt;=30,"P2 - Medium",IF(AB533&gt;=15,"P3 - Low","P4 - Monitor"))))))</x:f>
      </x:c>
      <x:c r="AD533" s="73"/>
      <x:c r="AE533" s="73"/>
      <x:c r="AF533" s="73"/>
      <x:c r="AG533" s="77"/>
      <x:c r="AH533" s="73"/>
      <x:c r="AI533" s="91"/>
      <x:c r="AJ533" s="91"/>
      <x:c r="AK533" s="91"/>
      <x:c r="AL533" s="92"/>
      <x:c r="AM533" s="91"/>
      <x:c r="AN533" s="91"/>
      <x:c r="AO533" s="93"/>
      <x:c r="AP533" s="94"/>
      <x:c r="AQ533" s="91"/>
      <x:c r="AR533" s="91"/>
      <x:c r="AS533" s="91"/>
      <x:c r="AT533" s="91"/>
      <x:c r="AU533" s="91"/>
      <x:c r="AV533" s="91"/>
      <x:c r="AW533" s="91"/>
      <x:c r="AX533" s="91"/>
      <x:c r="AY533" s="91"/>
      <x:c r="AZ533" s="92"/>
      <x:c r="BA533" s="94"/>
      <x:c r="BB533" s="91"/>
      <x:c r="BC533" s="92"/>
      <x:c r="BD533" s="92"/>
      <x:c r="BE533" s="91"/>
      <x:c r="BF533" s="91"/>
      <x:c r="BG533" s="91"/>
      <x:c r="BH533" s="91"/>
      <x:c r="BI533" s="91"/>
      <x:c r="BJ533" s="91"/>
      <x:c r="BK533" s="91"/>
      <x:c r="BL533" s="91"/>
      <x:c r="BM533" s="73" t="str">
        <x:f>IF(A533="","",IF(AI533="Example","Example only",IF(AI533&lt;&gt;"Actual","Set record type",IF(COUNTIF($A$2:$A$1001,A533)&gt;1,"Duplicate record ID",IF(OR(D533="",E533="",AF533="",NOT(ISNUMBER(AG533)),AJ533="",AK533="",NOT(ISNUMBER(AL533)),AND(AM533&lt;&gt;"Observed",AM533&lt;&gt;"Corroborated",AM533&lt;&gt;"Declared"),OR(AN533="",AN533="Unknown"),OR(AQ533="",AQ533="Unknown"),OR(AR533="",AR533="Unknown",AR533="TBD"),OR(BC533="",NOT(ISNUMBER(BC533)))),"Evidence incomplete","Evidence recorded; review scope")))))</x:f>
      </x:c>
      <x:c r="BN533" s="73"/>
    </x:row>
    <x:row r="534" ht="34" customHeight="1">
      <x:c r="A534" s="73"/>
      <x:c r="B534" s="73"/>
      <x:c r="C534" s="73"/>
      <x:c r="D534" s="73"/>
      <x:c r="E534" s="73"/>
      <x:c r="F534" s="73"/>
      <x:c r="G534" s="73"/>
      <x:c r="H534" s="73"/>
      <x:c r="I534" s="75"/>
      <x:c r="J534" s="73"/>
      <x:c r="K534" s="73"/>
      <x:c r="L534" s="76"/>
      <x:c r="M534" s="73"/>
      <x:c r="N534" s="73"/>
      <x:c r="O534" s="73"/>
      <x:c r="P534" s="73"/>
      <x:c r="Q534" s="76"/>
      <x:c r="R534" s="73"/>
      <x:c r="S534" s="73"/>
      <x:c r="T534" s="73"/>
      <x:c r="U534" s="73"/>
      <x:c r="V534" s="73"/>
      <x:c r="W534" s="73"/>
      <x:c r="X534" s="73"/>
      <x:c r="Y534" s="73"/>
      <x:c r="Z534" s="73"/>
      <x:c r="AA534" s="73"/>
      <x:c r="AB534" s="76" t="str">
        <x:f>IF(A534="","",IF(OR(NOT(ISNUMBER(I534)),I534&lt;0,NOT(ISNUMBER(AP534)),AP534&lt;0,NOT(ISNUMBER(L534)),L534&lt;1,L534&gt;5,L534&lt;&gt;INT(L534),AND(J534&lt;&gt;"Public",J534&lt;&gt;"Partner",J534&lt;&gt;"Internal",J534&lt;&gt;"None"),AND(K534&lt;&gt;"High",K534&lt;&gt;"Medium",K534&lt;&gt;"Low",K534&lt;&gt;"None"),AND(W534&lt;&gt;"Hard-coded",W534&lt;&gt;"Configurable",W534&lt;&gt;"Policy-managed",W534&lt;&gt;"API/Library abstraction",W534&lt;&gt;"Automated"),AND(Z534&lt;&gt;"Y",Z534&lt;&gt;"N"),AND(AA534&lt;&gt;"Y",AA534&lt;&gt;"N")),"Incomplete",IF(Z534="Y",20,0)+L534*5+IF(AA534="Y",15,0)+IF(J534="Public",10,IF(J534="Partner",7,IF(J534="Internal",3,0)))+IF(W534="Hard-coded",10,IF(W534="Configurable",3,0))+IF(MAX(I534,AP534)&gt;=10,10,IF(MAX(I534,AP534)&gt;=5,7,IF(MAX(I534,AP534)&gt;=2,3,0)))+IF(K534="High",10,IF(K534="Medium",5,0))))</x:f>
      </x:c>
      <x:c r="AC534" s="73" t="str">
        <x:f>IF(A534="","",IF(NOT(ISNUMBER(AB534)),"Review inputs",IF(AB534&gt;=70,"P0 - Immediate",IF(AB534&gt;=50,"P1 - High",IF(AB534&gt;=30,"P2 - Medium",IF(AB534&gt;=15,"P3 - Low","P4 - Monitor"))))))</x:f>
      </x:c>
      <x:c r="AD534" s="73"/>
      <x:c r="AE534" s="73"/>
      <x:c r="AF534" s="73"/>
      <x:c r="AG534" s="77"/>
      <x:c r="AH534" s="73"/>
      <x:c r="AI534" s="91"/>
      <x:c r="AJ534" s="91"/>
      <x:c r="AK534" s="91"/>
      <x:c r="AL534" s="92"/>
      <x:c r="AM534" s="91"/>
      <x:c r="AN534" s="91"/>
      <x:c r="AO534" s="93"/>
      <x:c r="AP534" s="94"/>
      <x:c r="AQ534" s="91"/>
      <x:c r="AR534" s="91"/>
      <x:c r="AS534" s="91"/>
      <x:c r="AT534" s="91"/>
      <x:c r="AU534" s="91"/>
      <x:c r="AV534" s="91"/>
      <x:c r="AW534" s="91"/>
      <x:c r="AX534" s="91"/>
      <x:c r="AY534" s="91"/>
      <x:c r="AZ534" s="92"/>
      <x:c r="BA534" s="94"/>
      <x:c r="BB534" s="91"/>
      <x:c r="BC534" s="92"/>
      <x:c r="BD534" s="92"/>
      <x:c r="BE534" s="91"/>
      <x:c r="BF534" s="91"/>
      <x:c r="BG534" s="91"/>
      <x:c r="BH534" s="91"/>
      <x:c r="BI534" s="91"/>
      <x:c r="BJ534" s="91"/>
      <x:c r="BK534" s="91"/>
      <x:c r="BL534" s="91"/>
      <x:c r="BM534" s="73" t="str">
        <x:f>IF(A534="","",IF(AI534="Example","Example only",IF(AI534&lt;&gt;"Actual","Set record type",IF(COUNTIF($A$2:$A$1001,A534)&gt;1,"Duplicate record ID",IF(OR(D534="",E534="",AF534="",NOT(ISNUMBER(AG534)),AJ534="",AK534="",NOT(ISNUMBER(AL534)),AND(AM534&lt;&gt;"Observed",AM534&lt;&gt;"Corroborated",AM534&lt;&gt;"Declared"),OR(AN534="",AN534="Unknown"),OR(AQ534="",AQ534="Unknown"),OR(AR534="",AR534="Unknown",AR534="TBD"),OR(BC534="",NOT(ISNUMBER(BC534)))),"Evidence incomplete","Evidence recorded; review scope")))))</x:f>
      </x:c>
      <x:c r="BN534" s="73"/>
    </x:row>
    <x:row r="535" ht="34" customHeight="1">
      <x:c r="A535" s="73"/>
      <x:c r="B535" s="73"/>
      <x:c r="C535" s="73"/>
      <x:c r="D535" s="73"/>
      <x:c r="E535" s="73"/>
      <x:c r="F535" s="73"/>
      <x:c r="G535" s="73"/>
      <x:c r="H535" s="73"/>
      <x:c r="I535" s="75"/>
      <x:c r="J535" s="73"/>
      <x:c r="K535" s="73"/>
      <x:c r="L535" s="76"/>
      <x:c r="M535" s="73"/>
      <x:c r="N535" s="73"/>
      <x:c r="O535" s="73"/>
      <x:c r="P535" s="73"/>
      <x:c r="Q535" s="76"/>
      <x:c r="R535" s="73"/>
      <x:c r="S535" s="73"/>
      <x:c r="T535" s="73"/>
      <x:c r="U535" s="73"/>
      <x:c r="V535" s="73"/>
      <x:c r="W535" s="73"/>
      <x:c r="X535" s="73"/>
      <x:c r="Y535" s="73"/>
      <x:c r="Z535" s="73"/>
      <x:c r="AA535" s="73"/>
      <x:c r="AB535" s="76" t="str">
        <x:f>IF(A535="","",IF(OR(NOT(ISNUMBER(I535)),I535&lt;0,NOT(ISNUMBER(AP535)),AP535&lt;0,NOT(ISNUMBER(L535)),L535&lt;1,L535&gt;5,L535&lt;&gt;INT(L535),AND(J535&lt;&gt;"Public",J535&lt;&gt;"Partner",J535&lt;&gt;"Internal",J535&lt;&gt;"None"),AND(K535&lt;&gt;"High",K535&lt;&gt;"Medium",K535&lt;&gt;"Low",K535&lt;&gt;"None"),AND(W535&lt;&gt;"Hard-coded",W535&lt;&gt;"Configurable",W535&lt;&gt;"Policy-managed",W535&lt;&gt;"API/Library abstraction",W535&lt;&gt;"Automated"),AND(Z535&lt;&gt;"Y",Z535&lt;&gt;"N"),AND(AA535&lt;&gt;"Y",AA535&lt;&gt;"N")),"Incomplete",IF(Z535="Y",20,0)+L535*5+IF(AA535="Y",15,0)+IF(J535="Public",10,IF(J535="Partner",7,IF(J535="Internal",3,0)))+IF(W535="Hard-coded",10,IF(W535="Configurable",3,0))+IF(MAX(I535,AP535)&gt;=10,10,IF(MAX(I535,AP535)&gt;=5,7,IF(MAX(I535,AP535)&gt;=2,3,0)))+IF(K535="High",10,IF(K535="Medium",5,0))))</x:f>
      </x:c>
      <x:c r="AC535" s="73" t="str">
        <x:f>IF(A535="","",IF(NOT(ISNUMBER(AB535)),"Review inputs",IF(AB535&gt;=70,"P0 - Immediate",IF(AB535&gt;=50,"P1 - High",IF(AB535&gt;=30,"P2 - Medium",IF(AB535&gt;=15,"P3 - Low","P4 - Monitor"))))))</x:f>
      </x:c>
      <x:c r="AD535" s="73"/>
      <x:c r="AE535" s="73"/>
      <x:c r="AF535" s="73"/>
      <x:c r="AG535" s="77"/>
      <x:c r="AH535" s="73"/>
      <x:c r="AI535" s="91"/>
      <x:c r="AJ535" s="91"/>
      <x:c r="AK535" s="91"/>
      <x:c r="AL535" s="92"/>
      <x:c r="AM535" s="91"/>
      <x:c r="AN535" s="91"/>
      <x:c r="AO535" s="93"/>
      <x:c r="AP535" s="94"/>
      <x:c r="AQ535" s="91"/>
      <x:c r="AR535" s="91"/>
      <x:c r="AS535" s="91"/>
      <x:c r="AT535" s="91"/>
      <x:c r="AU535" s="91"/>
      <x:c r="AV535" s="91"/>
      <x:c r="AW535" s="91"/>
      <x:c r="AX535" s="91"/>
      <x:c r="AY535" s="91"/>
      <x:c r="AZ535" s="92"/>
      <x:c r="BA535" s="94"/>
      <x:c r="BB535" s="91"/>
      <x:c r="BC535" s="92"/>
      <x:c r="BD535" s="92"/>
      <x:c r="BE535" s="91"/>
      <x:c r="BF535" s="91"/>
      <x:c r="BG535" s="91"/>
      <x:c r="BH535" s="91"/>
      <x:c r="BI535" s="91"/>
      <x:c r="BJ535" s="91"/>
      <x:c r="BK535" s="91"/>
      <x:c r="BL535" s="91"/>
      <x:c r="BM535" s="73" t="str">
        <x:f>IF(A535="","",IF(AI535="Example","Example only",IF(AI535&lt;&gt;"Actual","Set record type",IF(COUNTIF($A$2:$A$1001,A535)&gt;1,"Duplicate record ID",IF(OR(D535="",E535="",AF535="",NOT(ISNUMBER(AG535)),AJ535="",AK535="",NOT(ISNUMBER(AL535)),AND(AM535&lt;&gt;"Observed",AM535&lt;&gt;"Corroborated",AM535&lt;&gt;"Declared"),OR(AN535="",AN535="Unknown"),OR(AQ535="",AQ535="Unknown"),OR(AR535="",AR535="Unknown",AR535="TBD"),OR(BC535="",NOT(ISNUMBER(BC535)))),"Evidence incomplete","Evidence recorded; review scope")))))</x:f>
      </x:c>
      <x:c r="BN535" s="73"/>
    </x:row>
    <x:row r="536" ht="34" customHeight="1">
      <x:c r="A536" s="73"/>
      <x:c r="B536" s="73"/>
      <x:c r="C536" s="73"/>
      <x:c r="D536" s="73"/>
      <x:c r="E536" s="73"/>
      <x:c r="F536" s="73"/>
      <x:c r="G536" s="73"/>
      <x:c r="H536" s="73"/>
      <x:c r="I536" s="75"/>
      <x:c r="J536" s="73"/>
      <x:c r="K536" s="73"/>
      <x:c r="L536" s="76"/>
      <x:c r="M536" s="73"/>
      <x:c r="N536" s="73"/>
      <x:c r="O536" s="73"/>
      <x:c r="P536" s="73"/>
      <x:c r="Q536" s="76"/>
      <x:c r="R536" s="73"/>
      <x:c r="S536" s="73"/>
      <x:c r="T536" s="73"/>
      <x:c r="U536" s="73"/>
      <x:c r="V536" s="73"/>
      <x:c r="W536" s="73"/>
      <x:c r="X536" s="73"/>
      <x:c r="Y536" s="73"/>
      <x:c r="Z536" s="73"/>
      <x:c r="AA536" s="73"/>
      <x:c r="AB536" s="76" t="str">
        <x:f>IF(A536="","",IF(OR(NOT(ISNUMBER(I536)),I536&lt;0,NOT(ISNUMBER(AP536)),AP536&lt;0,NOT(ISNUMBER(L536)),L536&lt;1,L536&gt;5,L536&lt;&gt;INT(L536),AND(J536&lt;&gt;"Public",J536&lt;&gt;"Partner",J536&lt;&gt;"Internal",J536&lt;&gt;"None"),AND(K536&lt;&gt;"High",K536&lt;&gt;"Medium",K536&lt;&gt;"Low",K536&lt;&gt;"None"),AND(W536&lt;&gt;"Hard-coded",W536&lt;&gt;"Configurable",W536&lt;&gt;"Policy-managed",W536&lt;&gt;"API/Library abstraction",W536&lt;&gt;"Automated"),AND(Z536&lt;&gt;"Y",Z536&lt;&gt;"N"),AND(AA536&lt;&gt;"Y",AA536&lt;&gt;"N")),"Incomplete",IF(Z536="Y",20,0)+L536*5+IF(AA536="Y",15,0)+IF(J536="Public",10,IF(J536="Partner",7,IF(J536="Internal",3,0)))+IF(W536="Hard-coded",10,IF(W536="Configurable",3,0))+IF(MAX(I536,AP536)&gt;=10,10,IF(MAX(I536,AP536)&gt;=5,7,IF(MAX(I536,AP536)&gt;=2,3,0)))+IF(K536="High",10,IF(K536="Medium",5,0))))</x:f>
      </x:c>
      <x:c r="AC536" s="73" t="str">
        <x:f>IF(A536="","",IF(NOT(ISNUMBER(AB536)),"Review inputs",IF(AB536&gt;=70,"P0 - Immediate",IF(AB536&gt;=50,"P1 - High",IF(AB536&gt;=30,"P2 - Medium",IF(AB536&gt;=15,"P3 - Low","P4 - Monitor"))))))</x:f>
      </x:c>
      <x:c r="AD536" s="73"/>
      <x:c r="AE536" s="73"/>
      <x:c r="AF536" s="73"/>
      <x:c r="AG536" s="77"/>
      <x:c r="AH536" s="73"/>
      <x:c r="AI536" s="91"/>
      <x:c r="AJ536" s="91"/>
      <x:c r="AK536" s="91"/>
      <x:c r="AL536" s="92"/>
      <x:c r="AM536" s="91"/>
      <x:c r="AN536" s="91"/>
      <x:c r="AO536" s="93"/>
      <x:c r="AP536" s="94"/>
      <x:c r="AQ536" s="91"/>
      <x:c r="AR536" s="91"/>
      <x:c r="AS536" s="91"/>
      <x:c r="AT536" s="91"/>
      <x:c r="AU536" s="91"/>
      <x:c r="AV536" s="91"/>
      <x:c r="AW536" s="91"/>
      <x:c r="AX536" s="91"/>
      <x:c r="AY536" s="91"/>
      <x:c r="AZ536" s="92"/>
      <x:c r="BA536" s="94"/>
      <x:c r="BB536" s="91"/>
      <x:c r="BC536" s="92"/>
      <x:c r="BD536" s="92"/>
      <x:c r="BE536" s="91"/>
      <x:c r="BF536" s="91"/>
      <x:c r="BG536" s="91"/>
      <x:c r="BH536" s="91"/>
      <x:c r="BI536" s="91"/>
      <x:c r="BJ536" s="91"/>
      <x:c r="BK536" s="91"/>
      <x:c r="BL536" s="91"/>
      <x:c r="BM536" s="73" t="str">
        <x:f>IF(A536="","",IF(AI536="Example","Example only",IF(AI536&lt;&gt;"Actual","Set record type",IF(COUNTIF($A$2:$A$1001,A536)&gt;1,"Duplicate record ID",IF(OR(D536="",E536="",AF536="",NOT(ISNUMBER(AG536)),AJ536="",AK536="",NOT(ISNUMBER(AL536)),AND(AM536&lt;&gt;"Observed",AM536&lt;&gt;"Corroborated",AM536&lt;&gt;"Declared"),OR(AN536="",AN536="Unknown"),OR(AQ536="",AQ536="Unknown"),OR(AR536="",AR536="Unknown",AR536="TBD"),OR(BC536="",NOT(ISNUMBER(BC536)))),"Evidence incomplete","Evidence recorded; review scope")))))</x:f>
      </x:c>
      <x:c r="BN536" s="73"/>
    </x:row>
    <x:row r="537" ht="34" customHeight="1">
      <x:c r="A537" s="73"/>
      <x:c r="B537" s="73"/>
      <x:c r="C537" s="73"/>
      <x:c r="D537" s="73"/>
      <x:c r="E537" s="73"/>
      <x:c r="F537" s="73"/>
      <x:c r="G537" s="73"/>
      <x:c r="H537" s="73"/>
      <x:c r="I537" s="75"/>
      <x:c r="J537" s="73"/>
      <x:c r="K537" s="73"/>
      <x:c r="L537" s="76"/>
      <x:c r="M537" s="73"/>
      <x:c r="N537" s="73"/>
      <x:c r="O537" s="73"/>
      <x:c r="P537" s="73"/>
      <x:c r="Q537" s="76"/>
      <x:c r="R537" s="73"/>
      <x:c r="S537" s="73"/>
      <x:c r="T537" s="73"/>
      <x:c r="U537" s="73"/>
      <x:c r="V537" s="73"/>
      <x:c r="W537" s="73"/>
      <x:c r="X537" s="73"/>
      <x:c r="Y537" s="73"/>
      <x:c r="Z537" s="73"/>
      <x:c r="AA537" s="73"/>
      <x:c r="AB537" s="76" t="str">
        <x:f>IF(A537="","",IF(OR(NOT(ISNUMBER(I537)),I537&lt;0,NOT(ISNUMBER(AP537)),AP537&lt;0,NOT(ISNUMBER(L537)),L537&lt;1,L537&gt;5,L537&lt;&gt;INT(L537),AND(J537&lt;&gt;"Public",J537&lt;&gt;"Partner",J537&lt;&gt;"Internal",J537&lt;&gt;"None"),AND(K537&lt;&gt;"High",K537&lt;&gt;"Medium",K537&lt;&gt;"Low",K537&lt;&gt;"None"),AND(W537&lt;&gt;"Hard-coded",W537&lt;&gt;"Configurable",W537&lt;&gt;"Policy-managed",W537&lt;&gt;"API/Library abstraction",W537&lt;&gt;"Automated"),AND(Z537&lt;&gt;"Y",Z537&lt;&gt;"N"),AND(AA537&lt;&gt;"Y",AA537&lt;&gt;"N")),"Incomplete",IF(Z537="Y",20,0)+L537*5+IF(AA537="Y",15,0)+IF(J537="Public",10,IF(J537="Partner",7,IF(J537="Internal",3,0)))+IF(W537="Hard-coded",10,IF(W537="Configurable",3,0))+IF(MAX(I537,AP537)&gt;=10,10,IF(MAX(I537,AP537)&gt;=5,7,IF(MAX(I537,AP537)&gt;=2,3,0)))+IF(K537="High",10,IF(K537="Medium",5,0))))</x:f>
      </x:c>
      <x:c r="AC537" s="73" t="str">
        <x:f>IF(A537="","",IF(NOT(ISNUMBER(AB537)),"Review inputs",IF(AB537&gt;=70,"P0 - Immediate",IF(AB537&gt;=50,"P1 - High",IF(AB537&gt;=30,"P2 - Medium",IF(AB537&gt;=15,"P3 - Low","P4 - Monitor"))))))</x:f>
      </x:c>
      <x:c r="AD537" s="73"/>
      <x:c r="AE537" s="73"/>
      <x:c r="AF537" s="73"/>
      <x:c r="AG537" s="77"/>
      <x:c r="AH537" s="73"/>
      <x:c r="AI537" s="91"/>
      <x:c r="AJ537" s="91"/>
      <x:c r="AK537" s="91"/>
      <x:c r="AL537" s="92"/>
      <x:c r="AM537" s="91"/>
      <x:c r="AN537" s="91"/>
      <x:c r="AO537" s="93"/>
      <x:c r="AP537" s="94"/>
      <x:c r="AQ537" s="91"/>
      <x:c r="AR537" s="91"/>
      <x:c r="AS537" s="91"/>
      <x:c r="AT537" s="91"/>
      <x:c r="AU537" s="91"/>
      <x:c r="AV537" s="91"/>
      <x:c r="AW537" s="91"/>
      <x:c r="AX537" s="91"/>
      <x:c r="AY537" s="91"/>
      <x:c r="AZ537" s="92"/>
      <x:c r="BA537" s="94"/>
      <x:c r="BB537" s="91"/>
      <x:c r="BC537" s="92"/>
      <x:c r="BD537" s="92"/>
      <x:c r="BE537" s="91"/>
      <x:c r="BF537" s="91"/>
      <x:c r="BG537" s="91"/>
      <x:c r="BH537" s="91"/>
      <x:c r="BI537" s="91"/>
      <x:c r="BJ537" s="91"/>
      <x:c r="BK537" s="91"/>
      <x:c r="BL537" s="91"/>
      <x:c r="BM537" s="73" t="str">
        <x:f>IF(A537="","",IF(AI537="Example","Example only",IF(AI537&lt;&gt;"Actual","Set record type",IF(COUNTIF($A$2:$A$1001,A537)&gt;1,"Duplicate record ID",IF(OR(D537="",E537="",AF537="",NOT(ISNUMBER(AG537)),AJ537="",AK537="",NOT(ISNUMBER(AL537)),AND(AM537&lt;&gt;"Observed",AM537&lt;&gt;"Corroborated",AM537&lt;&gt;"Declared"),OR(AN537="",AN537="Unknown"),OR(AQ537="",AQ537="Unknown"),OR(AR537="",AR537="Unknown",AR537="TBD"),OR(BC537="",NOT(ISNUMBER(BC537)))),"Evidence incomplete","Evidence recorded; review scope")))))</x:f>
      </x:c>
      <x:c r="BN537" s="73"/>
    </x:row>
    <x:row r="538" ht="34" customHeight="1">
      <x:c r="A538" s="73"/>
      <x:c r="B538" s="73"/>
      <x:c r="C538" s="73"/>
      <x:c r="D538" s="73"/>
      <x:c r="E538" s="73"/>
      <x:c r="F538" s="73"/>
      <x:c r="G538" s="73"/>
      <x:c r="H538" s="73"/>
      <x:c r="I538" s="75"/>
      <x:c r="J538" s="73"/>
      <x:c r="K538" s="73"/>
      <x:c r="L538" s="76"/>
      <x:c r="M538" s="73"/>
      <x:c r="N538" s="73"/>
      <x:c r="O538" s="73"/>
      <x:c r="P538" s="73"/>
      <x:c r="Q538" s="76"/>
      <x:c r="R538" s="73"/>
      <x:c r="S538" s="73"/>
      <x:c r="T538" s="73"/>
      <x:c r="U538" s="73"/>
      <x:c r="V538" s="73"/>
      <x:c r="W538" s="73"/>
      <x:c r="X538" s="73"/>
      <x:c r="Y538" s="73"/>
      <x:c r="Z538" s="73"/>
      <x:c r="AA538" s="73"/>
      <x:c r="AB538" s="76" t="str">
        <x:f>IF(A538="","",IF(OR(NOT(ISNUMBER(I538)),I538&lt;0,NOT(ISNUMBER(AP538)),AP538&lt;0,NOT(ISNUMBER(L538)),L538&lt;1,L538&gt;5,L538&lt;&gt;INT(L538),AND(J538&lt;&gt;"Public",J538&lt;&gt;"Partner",J538&lt;&gt;"Internal",J538&lt;&gt;"None"),AND(K538&lt;&gt;"High",K538&lt;&gt;"Medium",K538&lt;&gt;"Low",K538&lt;&gt;"None"),AND(W538&lt;&gt;"Hard-coded",W538&lt;&gt;"Configurable",W538&lt;&gt;"Policy-managed",W538&lt;&gt;"API/Library abstraction",W538&lt;&gt;"Automated"),AND(Z538&lt;&gt;"Y",Z538&lt;&gt;"N"),AND(AA538&lt;&gt;"Y",AA538&lt;&gt;"N")),"Incomplete",IF(Z538="Y",20,0)+L538*5+IF(AA538="Y",15,0)+IF(J538="Public",10,IF(J538="Partner",7,IF(J538="Internal",3,0)))+IF(W538="Hard-coded",10,IF(W538="Configurable",3,0))+IF(MAX(I538,AP538)&gt;=10,10,IF(MAX(I538,AP538)&gt;=5,7,IF(MAX(I538,AP538)&gt;=2,3,0)))+IF(K538="High",10,IF(K538="Medium",5,0))))</x:f>
      </x:c>
      <x:c r="AC538" s="73" t="str">
        <x:f>IF(A538="","",IF(NOT(ISNUMBER(AB538)),"Review inputs",IF(AB538&gt;=70,"P0 - Immediate",IF(AB538&gt;=50,"P1 - High",IF(AB538&gt;=30,"P2 - Medium",IF(AB538&gt;=15,"P3 - Low","P4 - Monitor"))))))</x:f>
      </x:c>
      <x:c r="AD538" s="73"/>
      <x:c r="AE538" s="73"/>
      <x:c r="AF538" s="73"/>
      <x:c r="AG538" s="77"/>
      <x:c r="AH538" s="73"/>
      <x:c r="AI538" s="91"/>
      <x:c r="AJ538" s="91"/>
      <x:c r="AK538" s="91"/>
      <x:c r="AL538" s="92"/>
      <x:c r="AM538" s="91"/>
      <x:c r="AN538" s="91"/>
      <x:c r="AO538" s="93"/>
      <x:c r="AP538" s="94"/>
      <x:c r="AQ538" s="91"/>
      <x:c r="AR538" s="91"/>
      <x:c r="AS538" s="91"/>
      <x:c r="AT538" s="91"/>
      <x:c r="AU538" s="91"/>
      <x:c r="AV538" s="91"/>
      <x:c r="AW538" s="91"/>
      <x:c r="AX538" s="91"/>
      <x:c r="AY538" s="91"/>
      <x:c r="AZ538" s="92"/>
      <x:c r="BA538" s="94"/>
      <x:c r="BB538" s="91"/>
      <x:c r="BC538" s="92"/>
      <x:c r="BD538" s="92"/>
      <x:c r="BE538" s="91"/>
      <x:c r="BF538" s="91"/>
      <x:c r="BG538" s="91"/>
      <x:c r="BH538" s="91"/>
      <x:c r="BI538" s="91"/>
      <x:c r="BJ538" s="91"/>
      <x:c r="BK538" s="91"/>
      <x:c r="BL538" s="91"/>
      <x:c r="BM538" s="73" t="str">
        <x:f>IF(A538="","",IF(AI538="Example","Example only",IF(AI538&lt;&gt;"Actual","Set record type",IF(COUNTIF($A$2:$A$1001,A538)&gt;1,"Duplicate record ID",IF(OR(D538="",E538="",AF538="",NOT(ISNUMBER(AG538)),AJ538="",AK538="",NOT(ISNUMBER(AL538)),AND(AM538&lt;&gt;"Observed",AM538&lt;&gt;"Corroborated",AM538&lt;&gt;"Declared"),OR(AN538="",AN538="Unknown"),OR(AQ538="",AQ538="Unknown"),OR(AR538="",AR538="Unknown",AR538="TBD"),OR(BC538="",NOT(ISNUMBER(BC538)))),"Evidence incomplete","Evidence recorded; review scope")))))</x:f>
      </x:c>
      <x:c r="BN538" s="73"/>
    </x:row>
    <x:row r="539" ht="34" customHeight="1">
      <x:c r="A539" s="73"/>
      <x:c r="B539" s="73"/>
      <x:c r="C539" s="73"/>
      <x:c r="D539" s="73"/>
      <x:c r="E539" s="73"/>
      <x:c r="F539" s="73"/>
      <x:c r="G539" s="73"/>
      <x:c r="H539" s="73"/>
      <x:c r="I539" s="75"/>
      <x:c r="J539" s="73"/>
      <x:c r="K539" s="73"/>
      <x:c r="L539" s="76"/>
      <x:c r="M539" s="73"/>
      <x:c r="N539" s="73"/>
      <x:c r="O539" s="73"/>
      <x:c r="P539" s="73"/>
      <x:c r="Q539" s="76"/>
      <x:c r="R539" s="73"/>
      <x:c r="S539" s="73"/>
      <x:c r="T539" s="73"/>
      <x:c r="U539" s="73"/>
      <x:c r="V539" s="73"/>
      <x:c r="W539" s="73"/>
      <x:c r="X539" s="73"/>
      <x:c r="Y539" s="73"/>
      <x:c r="Z539" s="73"/>
      <x:c r="AA539" s="73"/>
      <x:c r="AB539" s="76" t="str">
        <x:f>IF(A539="","",IF(OR(NOT(ISNUMBER(I539)),I539&lt;0,NOT(ISNUMBER(AP539)),AP539&lt;0,NOT(ISNUMBER(L539)),L539&lt;1,L539&gt;5,L539&lt;&gt;INT(L539),AND(J539&lt;&gt;"Public",J539&lt;&gt;"Partner",J539&lt;&gt;"Internal",J539&lt;&gt;"None"),AND(K539&lt;&gt;"High",K539&lt;&gt;"Medium",K539&lt;&gt;"Low",K539&lt;&gt;"None"),AND(W539&lt;&gt;"Hard-coded",W539&lt;&gt;"Configurable",W539&lt;&gt;"Policy-managed",W539&lt;&gt;"API/Library abstraction",W539&lt;&gt;"Automated"),AND(Z539&lt;&gt;"Y",Z539&lt;&gt;"N"),AND(AA539&lt;&gt;"Y",AA539&lt;&gt;"N")),"Incomplete",IF(Z539="Y",20,0)+L539*5+IF(AA539="Y",15,0)+IF(J539="Public",10,IF(J539="Partner",7,IF(J539="Internal",3,0)))+IF(W539="Hard-coded",10,IF(W539="Configurable",3,0))+IF(MAX(I539,AP539)&gt;=10,10,IF(MAX(I539,AP539)&gt;=5,7,IF(MAX(I539,AP539)&gt;=2,3,0)))+IF(K539="High",10,IF(K539="Medium",5,0))))</x:f>
      </x:c>
      <x:c r="AC539" s="73" t="str">
        <x:f>IF(A539="","",IF(NOT(ISNUMBER(AB539)),"Review inputs",IF(AB539&gt;=70,"P0 - Immediate",IF(AB539&gt;=50,"P1 - High",IF(AB539&gt;=30,"P2 - Medium",IF(AB539&gt;=15,"P3 - Low","P4 - Monitor"))))))</x:f>
      </x:c>
      <x:c r="AD539" s="73"/>
      <x:c r="AE539" s="73"/>
      <x:c r="AF539" s="73"/>
      <x:c r="AG539" s="77"/>
      <x:c r="AH539" s="73"/>
      <x:c r="AI539" s="91"/>
      <x:c r="AJ539" s="91"/>
      <x:c r="AK539" s="91"/>
      <x:c r="AL539" s="92"/>
      <x:c r="AM539" s="91"/>
      <x:c r="AN539" s="91"/>
      <x:c r="AO539" s="93"/>
      <x:c r="AP539" s="94"/>
      <x:c r="AQ539" s="91"/>
      <x:c r="AR539" s="91"/>
      <x:c r="AS539" s="91"/>
      <x:c r="AT539" s="91"/>
      <x:c r="AU539" s="91"/>
      <x:c r="AV539" s="91"/>
      <x:c r="AW539" s="91"/>
      <x:c r="AX539" s="91"/>
      <x:c r="AY539" s="91"/>
      <x:c r="AZ539" s="92"/>
      <x:c r="BA539" s="94"/>
      <x:c r="BB539" s="91"/>
      <x:c r="BC539" s="92"/>
      <x:c r="BD539" s="92"/>
      <x:c r="BE539" s="91"/>
      <x:c r="BF539" s="91"/>
      <x:c r="BG539" s="91"/>
      <x:c r="BH539" s="91"/>
      <x:c r="BI539" s="91"/>
      <x:c r="BJ539" s="91"/>
      <x:c r="BK539" s="91"/>
      <x:c r="BL539" s="91"/>
      <x:c r="BM539" s="73" t="str">
        <x:f>IF(A539="","",IF(AI539="Example","Example only",IF(AI539&lt;&gt;"Actual","Set record type",IF(COUNTIF($A$2:$A$1001,A539)&gt;1,"Duplicate record ID",IF(OR(D539="",E539="",AF539="",NOT(ISNUMBER(AG539)),AJ539="",AK539="",NOT(ISNUMBER(AL539)),AND(AM539&lt;&gt;"Observed",AM539&lt;&gt;"Corroborated",AM539&lt;&gt;"Declared"),OR(AN539="",AN539="Unknown"),OR(AQ539="",AQ539="Unknown"),OR(AR539="",AR539="Unknown",AR539="TBD"),OR(BC539="",NOT(ISNUMBER(BC539)))),"Evidence incomplete","Evidence recorded; review scope")))))</x:f>
      </x:c>
      <x:c r="BN539" s="73"/>
    </x:row>
    <x:row r="540" ht="34" customHeight="1">
      <x:c r="A540" s="73"/>
      <x:c r="B540" s="73"/>
      <x:c r="C540" s="73"/>
      <x:c r="D540" s="73"/>
      <x:c r="E540" s="73"/>
      <x:c r="F540" s="73"/>
      <x:c r="G540" s="73"/>
      <x:c r="H540" s="73"/>
      <x:c r="I540" s="75"/>
      <x:c r="J540" s="73"/>
      <x:c r="K540" s="73"/>
      <x:c r="L540" s="76"/>
      <x:c r="M540" s="73"/>
      <x:c r="N540" s="73"/>
      <x:c r="O540" s="73"/>
      <x:c r="P540" s="73"/>
      <x:c r="Q540" s="76"/>
      <x:c r="R540" s="73"/>
      <x:c r="S540" s="73"/>
      <x:c r="T540" s="73"/>
      <x:c r="U540" s="73"/>
      <x:c r="V540" s="73"/>
      <x:c r="W540" s="73"/>
      <x:c r="X540" s="73"/>
      <x:c r="Y540" s="73"/>
      <x:c r="Z540" s="73"/>
      <x:c r="AA540" s="73"/>
      <x:c r="AB540" s="76" t="str">
        <x:f>IF(A540="","",IF(OR(NOT(ISNUMBER(I540)),I540&lt;0,NOT(ISNUMBER(AP540)),AP540&lt;0,NOT(ISNUMBER(L540)),L540&lt;1,L540&gt;5,L540&lt;&gt;INT(L540),AND(J540&lt;&gt;"Public",J540&lt;&gt;"Partner",J540&lt;&gt;"Internal",J540&lt;&gt;"None"),AND(K540&lt;&gt;"High",K540&lt;&gt;"Medium",K540&lt;&gt;"Low",K540&lt;&gt;"None"),AND(W540&lt;&gt;"Hard-coded",W540&lt;&gt;"Configurable",W540&lt;&gt;"Policy-managed",W540&lt;&gt;"API/Library abstraction",W540&lt;&gt;"Automated"),AND(Z540&lt;&gt;"Y",Z540&lt;&gt;"N"),AND(AA540&lt;&gt;"Y",AA540&lt;&gt;"N")),"Incomplete",IF(Z540="Y",20,0)+L540*5+IF(AA540="Y",15,0)+IF(J540="Public",10,IF(J540="Partner",7,IF(J540="Internal",3,0)))+IF(W540="Hard-coded",10,IF(W540="Configurable",3,0))+IF(MAX(I540,AP540)&gt;=10,10,IF(MAX(I540,AP540)&gt;=5,7,IF(MAX(I540,AP540)&gt;=2,3,0)))+IF(K540="High",10,IF(K540="Medium",5,0))))</x:f>
      </x:c>
      <x:c r="AC540" s="73" t="str">
        <x:f>IF(A540="","",IF(NOT(ISNUMBER(AB540)),"Review inputs",IF(AB540&gt;=70,"P0 - Immediate",IF(AB540&gt;=50,"P1 - High",IF(AB540&gt;=30,"P2 - Medium",IF(AB540&gt;=15,"P3 - Low","P4 - Monitor"))))))</x:f>
      </x:c>
      <x:c r="AD540" s="73"/>
      <x:c r="AE540" s="73"/>
      <x:c r="AF540" s="73"/>
      <x:c r="AG540" s="77"/>
      <x:c r="AH540" s="73"/>
      <x:c r="AI540" s="91"/>
      <x:c r="AJ540" s="91"/>
      <x:c r="AK540" s="91"/>
      <x:c r="AL540" s="92"/>
      <x:c r="AM540" s="91"/>
      <x:c r="AN540" s="91"/>
      <x:c r="AO540" s="93"/>
      <x:c r="AP540" s="94"/>
      <x:c r="AQ540" s="91"/>
      <x:c r="AR540" s="91"/>
      <x:c r="AS540" s="91"/>
      <x:c r="AT540" s="91"/>
      <x:c r="AU540" s="91"/>
      <x:c r="AV540" s="91"/>
      <x:c r="AW540" s="91"/>
      <x:c r="AX540" s="91"/>
      <x:c r="AY540" s="91"/>
      <x:c r="AZ540" s="92"/>
      <x:c r="BA540" s="94"/>
      <x:c r="BB540" s="91"/>
      <x:c r="BC540" s="92"/>
      <x:c r="BD540" s="92"/>
      <x:c r="BE540" s="91"/>
      <x:c r="BF540" s="91"/>
      <x:c r="BG540" s="91"/>
      <x:c r="BH540" s="91"/>
      <x:c r="BI540" s="91"/>
      <x:c r="BJ540" s="91"/>
      <x:c r="BK540" s="91"/>
      <x:c r="BL540" s="91"/>
      <x:c r="BM540" s="73" t="str">
        <x:f>IF(A540="","",IF(AI540="Example","Example only",IF(AI540&lt;&gt;"Actual","Set record type",IF(COUNTIF($A$2:$A$1001,A540)&gt;1,"Duplicate record ID",IF(OR(D540="",E540="",AF540="",NOT(ISNUMBER(AG540)),AJ540="",AK540="",NOT(ISNUMBER(AL540)),AND(AM540&lt;&gt;"Observed",AM540&lt;&gt;"Corroborated",AM540&lt;&gt;"Declared"),OR(AN540="",AN540="Unknown"),OR(AQ540="",AQ540="Unknown"),OR(AR540="",AR540="Unknown",AR540="TBD"),OR(BC540="",NOT(ISNUMBER(BC540)))),"Evidence incomplete","Evidence recorded; review scope")))))</x:f>
      </x:c>
      <x:c r="BN540" s="73"/>
    </x:row>
    <x:row r="541" ht="34" customHeight="1">
      <x:c r="A541" s="73"/>
      <x:c r="B541" s="73"/>
      <x:c r="C541" s="73"/>
      <x:c r="D541" s="73"/>
      <x:c r="E541" s="73"/>
      <x:c r="F541" s="73"/>
      <x:c r="G541" s="73"/>
      <x:c r="H541" s="73"/>
      <x:c r="I541" s="75"/>
      <x:c r="J541" s="73"/>
      <x:c r="K541" s="73"/>
      <x:c r="L541" s="76"/>
      <x:c r="M541" s="73"/>
      <x:c r="N541" s="73"/>
      <x:c r="O541" s="73"/>
      <x:c r="P541" s="73"/>
      <x:c r="Q541" s="76"/>
      <x:c r="R541" s="73"/>
      <x:c r="S541" s="73"/>
      <x:c r="T541" s="73"/>
      <x:c r="U541" s="73"/>
      <x:c r="V541" s="73"/>
      <x:c r="W541" s="73"/>
      <x:c r="X541" s="73"/>
      <x:c r="Y541" s="73"/>
      <x:c r="Z541" s="73"/>
      <x:c r="AA541" s="73"/>
      <x:c r="AB541" s="76" t="str">
        <x:f>IF(A541="","",IF(OR(NOT(ISNUMBER(I541)),I541&lt;0,NOT(ISNUMBER(AP541)),AP541&lt;0,NOT(ISNUMBER(L541)),L541&lt;1,L541&gt;5,L541&lt;&gt;INT(L541),AND(J541&lt;&gt;"Public",J541&lt;&gt;"Partner",J541&lt;&gt;"Internal",J541&lt;&gt;"None"),AND(K541&lt;&gt;"High",K541&lt;&gt;"Medium",K541&lt;&gt;"Low",K541&lt;&gt;"None"),AND(W541&lt;&gt;"Hard-coded",W541&lt;&gt;"Configurable",W541&lt;&gt;"Policy-managed",W541&lt;&gt;"API/Library abstraction",W541&lt;&gt;"Automated"),AND(Z541&lt;&gt;"Y",Z541&lt;&gt;"N"),AND(AA541&lt;&gt;"Y",AA541&lt;&gt;"N")),"Incomplete",IF(Z541="Y",20,0)+L541*5+IF(AA541="Y",15,0)+IF(J541="Public",10,IF(J541="Partner",7,IF(J541="Internal",3,0)))+IF(W541="Hard-coded",10,IF(W541="Configurable",3,0))+IF(MAX(I541,AP541)&gt;=10,10,IF(MAX(I541,AP541)&gt;=5,7,IF(MAX(I541,AP541)&gt;=2,3,0)))+IF(K541="High",10,IF(K541="Medium",5,0))))</x:f>
      </x:c>
      <x:c r="AC541" s="73" t="str">
        <x:f>IF(A541="","",IF(NOT(ISNUMBER(AB541)),"Review inputs",IF(AB541&gt;=70,"P0 - Immediate",IF(AB541&gt;=50,"P1 - High",IF(AB541&gt;=30,"P2 - Medium",IF(AB541&gt;=15,"P3 - Low","P4 - Monitor"))))))</x:f>
      </x:c>
      <x:c r="AD541" s="73"/>
      <x:c r="AE541" s="73"/>
      <x:c r="AF541" s="73"/>
      <x:c r="AG541" s="77"/>
      <x:c r="AH541" s="73"/>
      <x:c r="AI541" s="91"/>
      <x:c r="AJ541" s="91"/>
      <x:c r="AK541" s="91"/>
      <x:c r="AL541" s="92"/>
      <x:c r="AM541" s="91"/>
      <x:c r="AN541" s="91"/>
      <x:c r="AO541" s="93"/>
      <x:c r="AP541" s="94"/>
      <x:c r="AQ541" s="91"/>
      <x:c r="AR541" s="91"/>
      <x:c r="AS541" s="91"/>
      <x:c r="AT541" s="91"/>
      <x:c r="AU541" s="91"/>
      <x:c r="AV541" s="91"/>
      <x:c r="AW541" s="91"/>
      <x:c r="AX541" s="91"/>
      <x:c r="AY541" s="91"/>
      <x:c r="AZ541" s="92"/>
      <x:c r="BA541" s="94"/>
      <x:c r="BB541" s="91"/>
      <x:c r="BC541" s="92"/>
      <x:c r="BD541" s="92"/>
      <x:c r="BE541" s="91"/>
      <x:c r="BF541" s="91"/>
      <x:c r="BG541" s="91"/>
      <x:c r="BH541" s="91"/>
      <x:c r="BI541" s="91"/>
      <x:c r="BJ541" s="91"/>
      <x:c r="BK541" s="91"/>
      <x:c r="BL541" s="91"/>
      <x:c r="BM541" s="73" t="str">
        <x:f>IF(A541="","",IF(AI541="Example","Example only",IF(AI541&lt;&gt;"Actual","Set record type",IF(COUNTIF($A$2:$A$1001,A541)&gt;1,"Duplicate record ID",IF(OR(D541="",E541="",AF541="",NOT(ISNUMBER(AG541)),AJ541="",AK541="",NOT(ISNUMBER(AL541)),AND(AM541&lt;&gt;"Observed",AM541&lt;&gt;"Corroborated",AM541&lt;&gt;"Declared"),OR(AN541="",AN541="Unknown"),OR(AQ541="",AQ541="Unknown"),OR(AR541="",AR541="Unknown",AR541="TBD"),OR(BC541="",NOT(ISNUMBER(BC541)))),"Evidence incomplete","Evidence recorded; review scope")))))</x:f>
      </x:c>
      <x:c r="BN541" s="73"/>
    </x:row>
    <x:row r="542" ht="34" customHeight="1">
      <x:c r="A542" s="73"/>
      <x:c r="B542" s="73"/>
      <x:c r="C542" s="73"/>
      <x:c r="D542" s="73"/>
      <x:c r="E542" s="73"/>
      <x:c r="F542" s="73"/>
      <x:c r="G542" s="73"/>
      <x:c r="H542" s="73"/>
      <x:c r="I542" s="75"/>
      <x:c r="J542" s="73"/>
      <x:c r="K542" s="73"/>
      <x:c r="L542" s="76"/>
      <x:c r="M542" s="73"/>
      <x:c r="N542" s="73"/>
      <x:c r="O542" s="73"/>
      <x:c r="P542" s="73"/>
      <x:c r="Q542" s="76"/>
      <x:c r="R542" s="73"/>
      <x:c r="S542" s="73"/>
      <x:c r="T542" s="73"/>
      <x:c r="U542" s="73"/>
      <x:c r="V542" s="73"/>
      <x:c r="W542" s="73"/>
      <x:c r="X542" s="73"/>
      <x:c r="Y542" s="73"/>
      <x:c r="Z542" s="73"/>
      <x:c r="AA542" s="73"/>
      <x:c r="AB542" s="76" t="str">
        <x:f>IF(A542="","",IF(OR(NOT(ISNUMBER(I542)),I542&lt;0,NOT(ISNUMBER(AP542)),AP542&lt;0,NOT(ISNUMBER(L542)),L542&lt;1,L542&gt;5,L542&lt;&gt;INT(L542),AND(J542&lt;&gt;"Public",J542&lt;&gt;"Partner",J542&lt;&gt;"Internal",J542&lt;&gt;"None"),AND(K542&lt;&gt;"High",K542&lt;&gt;"Medium",K542&lt;&gt;"Low",K542&lt;&gt;"None"),AND(W542&lt;&gt;"Hard-coded",W542&lt;&gt;"Configurable",W542&lt;&gt;"Policy-managed",W542&lt;&gt;"API/Library abstraction",W542&lt;&gt;"Automated"),AND(Z542&lt;&gt;"Y",Z542&lt;&gt;"N"),AND(AA542&lt;&gt;"Y",AA542&lt;&gt;"N")),"Incomplete",IF(Z542="Y",20,0)+L542*5+IF(AA542="Y",15,0)+IF(J542="Public",10,IF(J542="Partner",7,IF(J542="Internal",3,0)))+IF(W542="Hard-coded",10,IF(W542="Configurable",3,0))+IF(MAX(I542,AP542)&gt;=10,10,IF(MAX(I542,AP542)&gt;=5,7,IF(MAX(I542,AP542)&gt;=2,3,0)))+IF(K542="High",10,IF(K542="Medium",5,0))))</x:f>
      </x:c>
      <x:c r="AC542" s="73" t="str">
        <x:f>IF(A542="","",IF(NOT(ISNUMBER(AB542)),"Review inputs",IF(AB542&gt;=70,"P0 - Immediate",IF(AB542&gt;=50,"P1 - High",IF(AB542&gt;=30,"P2 - Medium",IF(AB542&gt;=15,"P3 - Low","P4 - Monitor"))))))</x:f>
      </x:c>
      <x:c r="AD542" s="73"/>
      <x:c r="AE542" s="73"/>
      <x:c r="AF542" s="73"/>
      <x:c r="AG542" s="77"/>
      <x:c r="AH542" s="73"/>
      <x:c r="AI542" s="91"/>
      <x:c r="AJ542" s="91"/>
      <x:c r="AK542" s="91"/>
      <x:c r="AL542" s="92"/>
      <x:c r="AM542" s="91"/>
      <x:c r="AN542" s="91"/>
      <x:c r="AO542" s="93"/>
      <x:c r="AP542" s="94"/>
      <x:c r="AQ542" s="91"/>
      <x:c r="AR542" s="91"/>
      <x:c r="AS542" s="91"/>
      <x:c r="AT542" s="91"/>
      <x:c r="AU542" s="91"/>
      <x:c r="AV542" s="91"/>
      <x:c r="AW542" s="91"/>
      <x:c r="AX542" s="91"/>
      <x:c r="AY542" s="91"/>
      <x:c r="AZ542" s="92"/>
      <x:c r="BA542" s="94"/>
      <x:c r="BB542" s="91"/>
      <x:c r="BC542" s="92"/>
      <x:c r="BD542" s="92"/>
      <x:c r="BE542" s="91"/>
      <x:c r="BF542" s="91"/>
      <x:c r="BG542" s="91"/>
      <x:c r="BH542" s="91"/>
      <x:c r="BI542" s="91"/>
      <x:c r="BJ542" s="91"/>
      <x:c r="BK542" s="91"/>
      <x:c r="BL542" s="91"/>
      <x:c r="BM542" s="73" t="str">
        <x:f>IF(A542="","",IF(AI542="Example","Example only",IF(AI542&lt;&gt;"Actual","Set record type",IF(COUNTIF($A$2:$A$1001,A542)&gt;1,"Duplicate record ID",IF(OR(D542="",E542="",AF542="",NOT(ISNUMBER(AG542)),AJ542="",AK542="",NOT(ISNUMBER(AL542)),AND(AM542&lt;&gt;"Observed",AM542&lt;&gt;"Corroborated",AM542&lt;&gt;"Declared"),OR(AN542="",AN542="Unknown"),OR(AQ542="",AQ542="Unknown"),OR(AR542="",AR542="Unknown",AR542="TBD"),OR(BC542="",NOT(ISNUMBER(BC542)))),"Evidence incomplete","Evidence recorded; review scope")))))</x:f>
      </x:c>
      <x:c r="BN542" s="73"/>
    </x:row>
    <x:row r="543" ht="34" customHeight="1">
      <x:c r="A543" s="73"/>
      <x:c r="B543" s="73"/>
      <x:c r="C543" s="73"/>
      <x:c r="D543" s="73"/>
      <x:c r="E543" s="73"/>
      <x:c r="F543" s="73"/>
      <x:c r="G543" s="73"/>
      <x:c r="H543" s="73"/>
      <x:c r="I543" s="75"/>
      <x:c r="J543" s="73"/>
      <x:c r="K543" s="73"/>
      <x:c r="L543" s="76"/>
      <x:c r="M543" s="73"/>
      <x:c r="N543" s="73"/>
      <x:c r="O543" s="73"/>
      <x:c r="P543" s="73"/>
      <x:c r="Q543" s="76"/>
      <x:c r="R543" s="73"/>
      <x:c r="S543" s="73"/>
      <x:c r="T543" s="73"/>
      <x:c r="U543" s="73"/>
      <x:c r="V543" s="73"/>
      <x:c r="W543" s="73"/>
      <x:c r="X543" s="73"/>
      <x:c r="Y543" s="73"/>
      <x:c r="Z543" s="73"/>
      <x:c r="AA543" s="73"/>
      <x:c r="AB543" s="76" t="str">
        <x:f>IF(A543="","",IF(OR(NOT(ISNUMBER(I543)),I543&lt;0,NOT(ISNUMBER(AP543)),AP543&lt;0,NOT(ISNUMBER(L543)),L543&lt;1,L543&gt;5,L543&lt;&gt;INT(L543),AND(J543&lt;&gt;"Public",J543&lt;&gt;"Partner",J543&lt;&gt;"Internal",J543&lt;&gt;"None"),AND(K543&lt;&gt;"High",K543&lt;&gt;"Medium",K543&lt;&gt;"Low",K543&lt;&gt;"None"),AND(W543&lt;&gt;"Hard-coded",W543&lt;&gt;"Configurable",W543&lt;&gt;"Policy-managed",W543&lt;&gt;"API/Library abstraction",W543&lt;&gt;"Automated"),AND(Z543&lt;&gt;"Y",Z543&lt;&gt;"N"),AND(AA543&lt;&gt;"Y",AA543&lt;&gt;"N")),"Incomplete",IF(Z543="Y",20,0)+L543*5+IF(AA543="Y",15,0)+IF(J543="Public",10,IF(J543="Partner",7,IF(J543="Internal",3,0)))+IF(W543="Hard-coded",10,IF(W543="Configurable",3,0))+IF(MAX(I543,AP543)&gt;=10,10,IF(MAX(I543,AP543)&gt;=5,7,IF(MAX(I543,AP543)&gt;=2,3,0)))+IF(K543="High",10,IF(K543="Medium",5,0))))</x:f>
      </x:c>
      <x:c r="AC543" s="73" t="str">
        <x:f>IF(A543="","",IF(NOT(ISNUMBER(AB543)),"Review inputs",IF(AB543&gt;=70,"P0 - Immediate",IF(AB543&gt;=50,"P1 - High",IF(AB543&gt;=30,"P2 - Medium",IF(AB543&gt;=15,"P3 - Low","P4 - Monitor"))))))</x:f>
      </x:c>
      <x:c r="AD543" s="73"/>
      <x:c r="AE543" s="73"/>
      <x:c r="AF543" s="73"/>
      <x:c r="AG543" s="77"/>
      <x:c r="AH543" s="73"/>
      <x:c r="AI543" s="91"/>
      <x:c r="AJ543" s="91"/>
      <x:c r="AK543" s="91"/>
      <x:c r="AL543" s="92"/>
      <x:c r="AM543" s="91"/>
      <x:c r="AN543" s="91"/>
      <x:c r="AO543" s="93"/>
      <x:c r="AP543" s="94"/>
      <x:c r="AQ543" s="91"/>
      <x:c r="AR543" s="91"/>
      <x:c r="AS543" s="91"/>
      <x:c r="AT543" s="91"/>
      <x:c r="AU543" s="91"/>
      <x:c r="AV543" s="91"/>
      <x:c r="AW543" s="91"/>
      <x:c r="AX543" s="91"/>
      <x:c r="AY543" s="91"/>
      <x:c r="AZ543" s="92"/>
      <x:c r="BA543" s="94"/>
      <x:c r="BB543" s="91"/>
      <x:c r="BC543" s="92"/>
      <x:c r="BD543" s="92"/>
      <x:c r="BE543" s="91"/>
      <x:c r="BF543" s="91"/>
      <x:c r="BG543" s="91"/>
      <x:c r="BH543" s="91"/>
      <x:c r="BI543" s="91"/>
      <x:c r="BJ543" s="91"/>
      <x:c r="BK543" s="91"/>
      <x:c r="BL543" s="91"/>
      <x:c r="BM543" s="73" t="str">
        <x:f>IF(A543="","",IF(AI543="Example","Example only",IF(AI543&lt;&gt;"Actual","Set record type",IF(COUNTIF($A$2:$A$1001,A543)&gt;1,"Duplicate record ID",IF(OR(D543="",E543="",AF543="",NOT(ISNUMBER(AG543)),AJ543="",AK543="",NOT(ISNUMBER(AL543)),AND(AM543&lt;&gt;"Observed",AM543&lt;&gt;"Corroborated",AM543&lt;&gt;"Declared"),OR(AN543="",AN543="Unknown"),OR(AQ543="",AQ543="Unknown"),OR(AR543="",AR543="Unknown",AR543="TBD"),OR(BC543="",NOT(ISNUMBER(BC543)))),"Evidence incomplete","Evidence recorded; review scope")))))</x:f>
      </x:c>
      <x:c r="BN543" s="73"/>
    </x:row>
    <x:row r="544" ht="34" customHeight="1">
      <x:c r="A544" s="73"/>
      <x:c r="B544" s="73"/>
      <x:c r="C544" s="73"/>
      <x:c r="D544" s="73"/>
      <x:c r="E544" s="73"/>
      <x:c r="F544" s="73"/>
      <x:c r="G544" s="73"/>
      <x:c r="H544" s="73"/>
      <x:c r="I544" s="75"/>
      <x:c r="J544" s="73"/>
      <x:c r="K544" s="73"/>
      <x:c r="L544" s="76"/>
      <x:c r="M544" s="73"/>
      <x:c r="N544" s="73"/>
      <x:c r="O544" s="73"/>
      <x:c r="P544" s="73"/>
      <x:c r="Q544" s="76"/>
      <x:c r="R544" s="73"/>
      <x:c r="S544" s="73"/>
      <x:c r="T544" s="73"/>
      <x:c r="U544" s="73"/>
      <x:c r="V544" s="73"/>
      <x:c r="W544" s="73"/>
      <x:c r="X544" s="73"/>
      <x:c r="Y544" s="73"/>
      <x:c r="Z544" s="73"/>
      <x:c r="AA544" s="73"/>
      <x:c r="AB544" s="76" t="str">
        <x:f>IF(A544="","",IF(OR(NOT(ISNUMBER(I544)),I544&lt;0,NOT(ISNUMBER(AP544)),AP544&lt;0,NOT(ISNUMBER(L544)),L544&lt;1,L544&gt;5,L544&lt;&gt;INT(L544),AND(J544&lt;&gt;"Public",J544&lt;&gt;"Partner",J544&lt;&gt;"Internal",J544&lt;&gt;"None"),AND(K544&lt;&gt;"High",K544&lt;&gt;"Medium",K544&lt;&gt;"Low",K544&lt;&gt;"None"),AND(W544&lt;&gt;"Hard-coded",W544&lt;&gt;"Configurable",W544&lt;&gt;"Policy-managed",W544&lt;&gt;"API/Library abstraction",W544&lt;&gt;"Automated"),AND(Z544&lt;&gt;"Y",Z544&lt;&gt;"N"),AND(AA544&lt;&gt;"Y",AA544&lt;&gt;"N")),"Incomplete",IF(Z544="Y",20,0)+L544*5+IF(AA544="Y",15,0)+IF(J544="Public",10,IF(J544="Partner",7,IF(J544="Internal",3,0)))+IF(W544="Hard-coded",10,IF(W544="Configurable",3,0))+IF(MAX(I544,AP544)&gt;=10,10,IF(MAX(I544,AP544)&gt;=5,7,IF(MAX(I544,AP544)&gt;=2,3,0)))+IF(K544="High",10,IF(K544="Medium",5,0))))</x:f>
      </x:c>
      <x:c r="AC544" s="73" t="str">
        <x:f>IF(A544="","",IF(NOT(ISNUMBER(AB544)),"Review inputs",IF(AB544&gt;=70,"P0 - Immediate",IF(AB544&gt;=50,"P1 - High",IF(AB544&gt;=30,"P2 - Medium",IF(AB544&gt;=15,"P3 - Low","P4 - Monitor"))))))</x:f>
      </x:c>
      <x:c r="AD544" s="73"/>
      <x:c r="AE544" s="73"/>
      <x:c r="AF544" s="73"/>
      <x:c r="AG544" s="77"/>
      <x:c r="AH544" s="73"/>
      <x:c r="AI544" s="91"/>
      <x:c r="AJ544" s="91"/>
      <x:c r="AK544" s="91"/>
      <x:c r="AL544" s="92"/>
      <x:c r="AM544" s="91"/>
      <x:c r="AN544" s="91"/>
      <x:c r="AO544" s="93"/>
      <x:c r="AP544" s="94"/>
      <x:c r="AQ544" s="91"/>
      <x:c r="AR544" s="91"/>
      <x:c r="AS544" s="91"/>
      <x:c r="AT544" s="91"/>
      <x:c r="AU544" s="91"/>
      <x:c r="AV544" s="91"/>
      <x:c r="AW544" s="91"/>
      <x:c r="AX544" s="91"/>
      <x:c r="AY544" s="91"/>
      <x:c r="AZ544" s="92"/>
      <x:c r="BA544" s="94"/>
      <x:c r="BB544" s="91"/>
      <x:c r="BC544" s="92"/>
      <x:c r="BD544" s="92"/>
      <x:c r="BE544" s="91"/>
      <x:c r="BF544" s="91"/>
      <x:c r="BG544" s="91"/>
      <x:c r="BH544" s="91"/>
      <x:c r="BI544" s="91"/>
      <x:c r="BJ544" s="91"/>
      <x:c r="BK544" s="91"/>
      <x:c r="BL544" s="91"/>
      <x:c r="BM544" s="73" t="str">
        <x:f>IF(A544="","",IF(AI544="Example","Example only",IF(AI544&lt;&gt;"Actual","Set record type",IF(COUNTIF($A$2:$A$1001,A544)&gt;1,"Duplicate record ID",IF(OR(D544="",E544="",AF544="",NOT(ISNUMBER(AG544)),AJ544="",AK544="",NOT(ISNUMBER(AL544)),AND(AM544&lt;&gt;"Observed",AM544&lt;&gt;"Corroborated",AM544&lt;&gt;"Declared"),OR(AN544="",AN544="Unknown"),OR(AQ544="",AQ544="Unknown"),OR(AR544="",AR544="Unknown",AR544="TBD"),OR(BC544="",NOT(ISNUMBER(BC544)))),"Evidence incomplete","Evidence recorded; review scope")))))</x:f>
      </x:c>
      <x:c r="BN544" s="73"/>
    </x:row>
    <x:row r="545" ht="34" customHeight="1">
      <x:c r="A545" s="73"/>
      <x:c r="B545" s="73"/>
      <x:c r="C545" s="73"/>
      <x:c r="D545" s="73"/>
      <x:c r="E545" s="73"/>
      <x:c r="F545" s="73"/>
      <x:c r="G545" s="73"/>
      <x:c r="H545" s="73"/>
      <x:c r="I545" s="75"/>
      <x:c r="J545" s="73"/>
      <x:c r="K545" s="73"/>
      <x:c r="L545" s="76"/>
      <x:c r="M545" s="73"/>
      <x:c r="N545" s="73"/>
      <x:c r="O545" s="73"/>
      <x:c r="P545" s="73"/>
      <x:c r="Q545" s="76"/>
      <x:c r="R545" s="73"/>
      <x:c r="S545" s="73"/>
      <x:c r="T545" s="73"/>
      <x:c r="U545" s="73"/>
      <x:c r="V545" s="73"/>
      <x:c r="W545" s="73"/>
      <x:c r="X545" s="73"/>
      <x:c r="Y545" s="73"/>
      <x:c r="Z545" s="73"/>
      <x:c r="AA545" s="73"/>
      <x:c r="AB545" s="76" t="str">
        <x:f>IF(A545="","",IF(OR(NOT(ISNUMBER(I545)),I545&lt;0,NOT(ISNUMBER(AP545)),AP545&lt;0,NOT(ISNUMBER(L545)),L545&lt;1,L545&gt;5,L545&lt;&gt;INT(L545),AND(J545&lt;&gt;"Public",J545&lt;&gt;"Partner",J545&lt;&gt;"Internal",J545&lt;&gt;"None"),AND(K545&lt;&gt;"High",K545&lt;&gt;"Medium",K545&lt;&gt;"Low",K545&lt;&gt;"None"),AND(W545&lt;&gt;"Hard-coded",W545&lt;&gt;"Configurable",W545&lt;&gt;"Policy-managed",W545&lt;&gt;"API/Library abstraction",W545&lt;&gt;"Automated"),AND(Z545&lt;&gt;"Y",Z545&lt;&gt;"N"),AND(AA545&lt;&gt;"Y",AA545&lt;&gt;"N")),"Incomplete",IF(Z545="Y",20,0)+L545*5+IF(AA545="Y",15,0)+IF(J545="Public",10,IF(J545="Partner",7,IF(J545="Internal",3,0)))+IF(W545="Hard-coded",10,IF(W545="Configurable",3,0))+IF(MAX(I545,AP545)&gt;=10,10,IF(MAX(I545,AP545)&gt;=5,7,IF(MAX(I545,AP545)&gt;=2,3,0)))+IF(K545="High",10,IF(K545="Medium",5,0))))</x:f>
      </x:c>
      <x:c r="AC545" s="73" t="str">
        <x:f>IF(A545="","",IF(NOT(ISNUMBER(AB545)),"Review inputs",IF(AB545&gt;=70,"P0 - Immediate",IF(AB545&gt;=50,"P1 - High",IF(AB545&gt;=30,"P2 - Medium",IF(AB545&gt;=15,"P3 - Low","P4 - Monitor"))))))</x:f>
      </x:c>
      <x:c r="AD545" s="73"/>
      <x:c r="AE545" s="73"/>
      <x:c r="AF545" s="73"/>
      <x:c r="AG545" s="77"/>
      <x:c r="AH545" s="73"/>
      <x:c r="AI545" s="91"/>
      <x:c r="AJ545" s="91"/>
      <x:c r="AK545" s="91"/>
      <x:c r="AL545" s="92"/>
      <x:c r="AM545" s="91"/>
      <x:c r="AN545" s="91"/>
      <x:c r="AO545" s="93"/>
      <x:c r="AP545" s="94"/>
      <x:c r="AQ545" s="91"/>
      <x:c r="AR545" s="91"/>
      <x:c r="AS545" s="91"/>
      <x:c r="AT545" s="91"/>
      <x:c r="AU545" s="91"/>
      <x:c r="AV545" s="91"/>
      <x:c r="AW545" s="91"/>
      <x:c r="AX545" s="91"/>
      <x:c r="AY545" s="91"/>
      <x:c r="AZ545" s="92"/>
      <x:c r="BA545" s="94"/>
      <x:c r="BB545" s="91"/>
      <x:c r="BC545" s="92"/>
      <x:c r="BD545" s="92"/>
      <x:c r="BE545" s="91"/>
      <x:c r="BF545" s="91"/>
      <x:c r="BG545" s="91"/>
      <x:c r="BH545" s="91"/>
      <x:c r="BI545" s="91"/>
      <x:c r="BJ545" s="91"/>
      <x:c r="BK545" s="91"/>
      <x:c r="BL545" s="91"/>
      <x:c r="BM545" s="73" t="str">
        <x:f>IF(A545="","",IF(AI545="Example","Example only",IF(AI545&lt;&gt;"Actual","Set record type",IF(COUNTIF($A$2:$A$1001,A545)&gt;1,"Duplicate record ID",IF(OR(D545="",E545="",AF545="",NOT(ISNUMBER(AG545)),AJ545="",AK545="",NOT(ISNUMBER(AL545)),AND(AM545&lt;&gt;"Observed",AM545&lt;&gt;"Corroborated",AM545&lt;&gt;"Declared"),OR(AN545="",AN545="Unknown"),OR(AQ545="",AQ545="Unknown"),OR(AR545="",AR545="Unknown",AR545="TBD"),OR(BC545="",NOT(ISNUMBER(BC545)))),"Evidence incomplete","Evidence recorded; review scope")))))</x:f>
      </x:c>
      <x:c r="BN545" s="73"/>
    </x:row>
    <x:row r="546" ht="34" customHeight="1">
      <x:c r="A546" s="73"/>
      <x:c r="B546" s="73"/>
      <x:c r="C546" s="73"/>
      <x:c r="D546" s="73"/>
      <x:c r="E546" s="73"/>
      <x:c r="F546" s="73"/>
      <x:c r="G546" s="73"/>
      <x:c r="H546" s="73"/>
      <x:c r="I546" s="75"/>
      <x:c r="J546" s="73"/>
      <x:c r="K546" s="73"/>
      <x:c r="L546" s="76"/>
      <x:c r="M546" s="73"/>
      <x:c r="N546" s="73"/>
      <x:c r="O546" s="73"/>
      <x:c r="P546" s="73"/>
      <x:c r="Q546" s="76"/>
      <x:c r="R546" s="73"/>
      <x:c r="S546" s="73"/>
      <x:c r="T546" s="73"/>
      <x:c r="U546" s="73"/>
      <x:c r="V546" s="73"/>
      <x:c r="W546" s="73"/>
      <x:c r="X546" s="73"/>
      <x:c r="Y546" s="73"/>
      <x:c r="Z546" s="73"/>
      <x:c r="AA546" s="73"/>
      <x:c r="AB546" s="76" t="str">
        <x:f>IF(A546="","",IF(OR(NOT(ISNUMBER(I546)),I546&lt;0,NOT(ISNUMBER(AP546)),AP546&lt;0,NOT(ISNUMBER(L546)),L546&lt;1,L546&gt;5,L546&lt;&gt;INT(L546),AND(J546&lt;&gt;"Public",J546&lt;&gt;"Partner",J546&lt;&gt;"Internal",J546&lt;&gt;"None"),AND(K546&lt;&gt;"High",K546&lt;&gt;"Medium",K546&lt;&gt;"Low",K546&lt;&gt;"None"),AND(W546&lt;&gt;"Hard-coded",W546&lt;&gt;"Configurable",W546&lt;&gt;"Policy-managed",W546&lt;&gt;"API/Library abstraction",W546&lt;&gt;"Automated"),AND(Z546&lt;&gt;"Y",Z546&lt;&gt;"N"),AND(AA546&lt;&gt;"Y",AA546&lt;&gt;"N")),"Incomplete",IF(Z546="Y",20,0)+L546*5+IF(AA546="Y",15,0)+IF(J546="Public",10,IF(J546="Partner",7,IF(J546="Internal",3,0)))+IF(W546="Hard-coded",10,IF(W546="Configurable",3,0))+IF(MAX(I546,AP546)&gt;=10,10,IF(MAX(I546,AP546)&gt;=5,7,IF(MAX(I546,AP546)&gt;=2,3,0)))+IF(K546="High",10,IF(K546="Medium",5,0))))</x:f>
      </x:c>
      <x:c r="AC546" s="73" t="str">
        <x:f>IF(A546="","",IF(NOT(ISNUMBER(AB546)),"Review inputs",IF(AB546&gt;=70,"P0 - Immediate",IF(AB546&gt;=50,"P1 - High",IF(AB546&gt;=30,"P2 - Medium",IF(AB546&gt;=15,"P3 - Low","P4 - Monitor"))))))</x:f>
      </x:c>
      <x:c r="AD546" s="73"/>
      <x:c r="AE546" s="73"/>
      <x:c r="AF546" s="73"/>
      <x:c r="AG546" s="77"/>
      <x:c r="AH546" s="73"/>
      <x:c r="AI546" s="91"/>
      <x:c r="AJ546" s="91"/>
      <x:c r="AK546" s="91"/>
      <x:c r="AL546" s="92"/>
      <x:c r="AM546" s="91"/>
      <x:c r="AN546" s="91"/>
      <x:c r="AO546" s="93"/>
      <x:c r="AP546" s="94"/>
      <x:c r="AQ546" s="91"/>
      <x:c r="AR546" s="91"/>
      <x:c r="AS546" s="91"/>
      <x:c r="AT546" s="91"/>
      <x:c r="AU546" s="91"/>
      <x:c r="AV546" s="91"/>
      <x:c r="AW546" s="91"/>
      <x:c r="AX546" s="91"/>
      <x:c r="AY546" s="91"/>
      <x:c r="AZ546" s="92"/>
      <x:c r="BA546" s="94"/>
      <x:c r="BB546" s="91"/>
      <x:c r="BC546" s="92"/>
      <x:c r="BD546" s="92"/>
      <x:c r="BE546" s="91"/>
      <x:c r="BF546" s="91"/>
      <x:c r="BG546" s="91"/>
      <x:c r="BH546" s="91"/>
      <x:c r="BI546" s="91"/>
      <x:c r="BJ546" s="91"/>
      <x:c r="BK546" s="91"/>
      <x:c r="BL546" s="91"/>
      <x:c r="BM546" s="73" t="str">
        <x:f>IF(A546="","",IF(AI546="Example","Example only",IF(AI546&lt;&gt;"Actual","Set record type",IF(COUNTIF($A$2:$A$1001,A546)&gt;1,"Duplicate record ID",IF(OR(D546="",E546="",AF546="",NOT(ISNUMBER(AG546)),AJ546="",AK546="",NOT(ISNUMBER(AL546)),AND(AM546&lt;&gt;"Observed",AM546&lt;&gt;"Corroborated",AM546&lt;&gt;"Declared"),OR(AN546="",AN546="Unknown"),OR(AQ546="",AQ546="Unknown"),OR(AR546="",AR546="Unknown",AR546="TBD"),OR(BC546="",NOT(ISNUMBER(BC546)))),"Evidence incomplete","Evidence recorded; review scope")))))</x:f>
      </x:c>
      <x:c r="BN546" s="73"/>
    </x:row>
    <x:row r="547" ht="34" customHeight="1">
      <x:c r="A547" s="73"/>
      <x:c r="B547" s="73"/>
      <x:c r="C547" s="73"/>
      <x:c r="D547" s="73"/>
      <x:c r="E547" s="73"/>
      <x:c r="F547" s="73"/>
      <x:c r="G547" s="73"/>
      <x:c r="H547" s="73"/>
      <x:c r="I547" s="75"/>
      <x:c r="J547" s="73"/>
      <x:c r="K547" s="73"/>
      <x:c r="L547" s="76"/>
      <x:c r="M547" s="73"/>
      <x:c r="N547" s="73"/>
      <x:c r="O547" s="73"/>
      <x:c r="P547" s="73"/>
      <x:c r="Q547" s="76"/>
      <x:c r="R547" s="73"/>
      <x:c r="S547" s="73"/>
      <x:c r="T547" s="73"/>
      <x:c r="U547" s="73"/>
      <x:c r="V547" s="73"/>
      <x:c r="W547" s="73"/>
      <x:c r="X547" s="73"/>
      <x:c r="Y547" s="73"/>
      <x:c r="Z547" s="73"/>
      <x:c r="AA547" s="73"/>
      <x:c r="AB547" s="76" t="str">
        <x:f>IF(A547="","",IF(OR(NOT(ISNUMBER(I547)),I547&lt;0,NOT(ISNUMBER(AP547)),AP547&lt;0,NOT(ISNUMBER(L547)),L547&lt;1,L547&gt;5,L547&lt;&gt;INT(L547),AND(J547&lt;&gt;"Public",J547&lt;&gt;"Partner",J547&lt;&gt;"Internal",J547&lt;&gt;"None"),AND(K547&lt;&gt;"High",K547&lt;&gt;"Medium",K547&lt;&gt;"Low",K547&lt;&gt;"None"),AND(W547&lt;&gt;"Hard-coded",W547&lt;&gt;"Configurable",W547&lt;&gt;"Policy-managed",W547&lt;&gt;"API/Library abstraction",W547&lt;&gt;"Automated"),AND(Z547&lt;&gt;"Y",Z547&lt;&gt;"N"),AND(AA547&lt;&gt;"Y",AA547&lt;&gt;"N")),"Incomplete",IF(Z547="Y",20,0)+L547*5+IF(AA547="Y",15,0)+IF(J547="Public",10,IF(J547="Partner",7,IF(J547="Internal",3,0)))+IF(W547="Hard-coded",10,IF(W547="Configurable",3,0))+IF(MAX(I547,AP547)&gt;=10,10,IF(MAX(I547,AP547)&gt;=5,7,IF(MAX(I547,AP547)&gt;=2,3,0)))+IF(K547="High",10,IF(K547="Medium",5,0))))</x:f>
      </x:c>
      <x:c r="AC547" s="73" t="str">
        <x:f>IF(A547="","",IF(NOT(ISNUMBER(AB547)),"Review inputs",IF(AB547&gt;=70,"P0 - Immediate",IF(AB547&gt;=50,"P1 - High",IF(AB547&gt;=30,"P2 - Medium",IF(AB547&gt;=15,"P3 - Low","P4 - Monitor"))))))</x:f>
      </x:c>
      <x:c r="AD547" s="73"/>
      <x:c r="AE547" s="73"/>
      <x:c r="AF547" s="73"/>
      <x:c r="AG547" s="77"/>
      <x:c r="AH547" s="73"/>
      <x:c r="AI547" s="91"/>
      <x:c r="AJ547" s="91"/>
      <x:c r="AK547" s="91"/>
      <x:c r="AL547" s="92"/>
      <x:c r="AM547" s="91"/>
      <x:c r="AN547" s="91"/>
      <x:c r="AO547" s="93"/>
      <x:c r="AP547" s="94"/>
      <x:c r="AQ547" s="91"/>
      <x:c r="AR547" s="91"/>
      <x:c r="AS547" s="91"/>
      <x:c r="AT547" s="91"/>
      <x:c r="AU547" s="91"/>
      <x:c r="AV547" s="91"/>
      <x:c r="AW547" s="91"/>
      <x:c r="AX547" s="91"/>
      <x:c r="AY547" s="91"/>
      <x:c r="AZ547" s="92"/>
      <x:c r="BA547" s="94"/>
      <x:c r="BB547" s="91"/>
      <x:c r="BC547" s="92"/>
      <x:c r="BD547" s="92"/>
      <x:c r="BE547" s="91"/>
      <x:c r="BF547" s="91"/>
      <x:c r="BG547" s="91"/>
      <x:c r="BH547" s="91"/>
      <x:c r="BI547" s="91"/>
      <x:c r="BJ547" s="91"/>
      <x:c r="BK547" s="91"/>
      <x:c r="BL547" s="91"/>
      <x:c r="BM547" s="73" t="str">
        <x:f>IF(A547="","",IF(AI547="Example","Example only",IF(AI547&lt;&gt;"Actual","Set record type",IF(COUNTIF($A$2:$A$1001,A547)&gt;1,"Duplicate record ID",IF(OR(D547="",E547="",AF547="",NOT(ISNUMBER(AG547)),AJ547="",AK547="",NOT(ISNUMBER(AL547)),AND(AM547&lt;&gt;"Observed",AM547&lt;&gt;"Corroborated",AM547&lt;&gt;"Declared"),OR(AN547="",AN547="Unknown"),OR(AQ547="",AQ547="Unknown"),OR(AR547="",AR547="Unknown",AR547="TBD"),OR(BC547="",NOT(ISNUMBER(BC547)))),"Evidence incomplete","Evidence recorded; review scope")))))</x:f>
      </x:c>
      <x:c r="BN547" s="73"/>
    </x:row>
    <x:row r="548" ht="34" customHeight="1">
      <x:c r="A548" s="73"/>
      <x:c r="B548" s="73"/>
      <x:c r="C548" s="73"/>
      <x:c r="D548" s="73"/>
      <x:c r="E548" s="73"/>
      <x:c r="F548" s="73"/>
      <x:c r="G548" s="73"/>
      <x:c r="H548" s="73"/>
      <x:c r="I548" s="75"/>
      <x:c r="J548" s="73"/>
      <x:c r="K548" s="73"/>
      <x:c r="L548" s="76"/>
      <x:c r="M548" s="73"/>
      <x:c r="N548" s="73"/>
      <x:c r="O548" s="73"/>
      <x:c r="P548" s="73"/>
      <x:c r="Q548" s="76"/>
      <x:c r="R548" s="73"/>
      <x:c r="S548" s="73"/>
      <x:c r="T548" s="73"/>
      <x:c r="U548" s="73"/>
      <x:c r="V548" s="73"/>
      <x:c r="W548" s="73"/>
      <x:c r="X548" s="73"/>
      <x:c r="Y548" s="73"/>
      <x:c r="Z548" s="73"/>
      <x:c r="AA548" s="73"/>
      <x:c r="AB548" s="76" t="str">
        <x:f>IF(A548="","",IF(OR(NOT(ISNUMBER(I548)),I548&lt;0,NOT(ISNUMBER(AP548)),AP548&lt;0,NOT(ISNUMBER(L548)),L548&lt;1,L548&gt;5,L548&lt;&gt;INT(L548),AND(J548&lt;&gt;"Public",J548&lt;&gt;"Partner",J548&lt;&gt;"Internal",J548&lt;&gt;"None"),AND(K548&lt;&gt;"High",K548&lt;&gt;"Medium",K548&lt;&gt;"Low",K548&lt;&gt;"None"),AND(W548&lt;&gt;"Hard-coded",W548&lt;&gt;"Configurable",W548&lt;&gt;"Policy-managed",W548&lt;&gt;"API/Library abstraction",W548&lt;&gt;"Automated"),AND(Z548&lt;&gt;"Y",Z548&lt;&gt;"N"),AND(AA548&lt;&gt;"Y",AA548&lt;&gt;"N")),"Incomplete",IF(Z548="Y",20,0)+L548*5+IF(AA548="Y",15,0)+IF(J548="Public",10,IF(J548="Partner",7,IF(J548="Internal",3,0)))+IF(W548="Hard-coded",10,IF(W548="Configurable",3,0))+IF(MAX(I548,AP548)&gt;=10,10,IF(MAX(I548,AP548)&gt;=5,7,IF(MAX(I548,AP548)&gt;=2,3,0)))+IF(K548="High",10,IF(K548="Medium",5,0))))</x:f>
      </x:c>
      <x:c r="AC548" s="73" t="str">
        <x:f>IF(A548="","",IF(NOT(ISNUMBER(AB548)),"Review inputs",IF(AB548&gt;=70,"P0 - Immediate",IF(AB548&gt;=50,"P1 - High",IF(AB548&gt;=30,"P2 - Medium",IF(AB548&gt;=15,"P3 - Low","P4 - Monitor"))))))</x:f>
      </x:c>
      <x:c r="AD548" s="73"/>
      <x:c r="AE548" s="73"/>
      <x:c r="AF548" s="73"/>
      <x:c r="AG548" s="77"/>
      <x:c r="AH548" s="73"/>
      <x:c r="AI548" s="91"/>
      <x:c r="AJ548" s="91"/>
      <x:c r="AK548" s="91"/>
      <x:c r="AL548" s="92"/>
      <x:c r="AM548" s="91"/>
      <x:c r="AN548" s="91"/>
      <x:c r="AO548" s="93"/>
      <x:c r="AP548" s="94"/>
      <x:c r="AQ548" s="91"/>
      <x:c r="AR548" s="91"/>
      <x:c r="AS548" s="91"/>
      <x:c r="AT548" s="91"/>
      <x:c r="AU548" s="91"/>
      <x:c r="AV548" s="91"/>
      <x:c r="AW548" s="91"/>
      <x:c r="AX548" s="91"/>
      <x:c r="AY548" s="91"/>
      <x:c r="AZ548" s="92"/>
      <x:c r="BA548" s="94"/>
      <x:c r="BB548" s="91"/>
      <x:c r="BC548" s="92"/>
      <x:c r="BD548" s="92"/>
      <x:c r="BE548" s="91"/>
      <x:c r="BF548" s="91"/>
      <x:c r="BG548" s="91"/>
      <x:c r="BH548" s="91"/>
      <x:c r="BI548" s="91"/>
      <x:c r="BJ548" s="91"/>
      <x:c r="BK548" s="91"/>
      <x:c r="BL548" s="91"/>
      <x:c r="BM548" s="73" t="str">
        <x:f>IF(A548="","",IF(AI548="Example","Example only",IF(AI548&lt;&gt;"Actual","Set record type",IF(COUNTIF($A$2:$A$1001,A548)&gt;1,"Duplicate record ID",IF(OR(D548="",E548="",AF548="",NOT(ISNUMBER(AG548)),AJ548="",AK548="",NOT(ISNUMBER(AL548)),AND(AM548&lt;&gt;"Observed",AM548&lt;&gt;"Corroborated",AM548&lt;&gt;"Declared"),OR(AN548="",AN548="Unknown"),OR(AQ548="",AQ548="Unknown"),OR(AR548="",AR548="Unknown",AR548="TBD"),OR(BC548="",NOT(ISNUMBER(BC548)))),"Evidence incomplete","Evidence recorded; review scope")))))</x:f>
      </x:c>
      <x:c r="BN548" s="73"/>
    </x:row>
    <x:row r="549" ht="34" customHeight="1">
      <x:c r="A549" s="73"/>
      <x:c r="B549" s="73"/>
      <x:c r="C549" s="73"/>
      <x:c r="D549" s="73"/>
      <x:c r="E549" s="73"/>
      <x:c r="F549" s="73"/>
      <x:c r="G549" s="73"/>
      <x:c r="H549" s="73"/>
      <x:c r="I549" s="75"/>
      <x:c r="J549" s="73"/>
      <x:c r="K549" s="73"/>
      <x:c r="L549" s="76"/>
      <x:c r="M549" s="73"/>
      <x:c r="N549" s="73"/>
      <x:c r="O549" s="73"/>
      <x:c r="P549" s="73"/>
      <x:c r="Q549" s="76"/>
      <x:c r="R549" s="73"/>
      <x:c r="S549" s="73"/>
      <x:c r="T549" s="73"/>
      <x:c r="U549" s="73"/>
      <x:c r="V549" s="73"/>
      <x:c r="W549" s="73"/>
      <x:c r="X549" s="73"/>
      <x:c r="Y549" s="73"/>
      <x:c r="Z549" s="73"/>
      <x:c r="AA549" s="73"/>
      <x:c r="AB549" s="76" t="str">
        <x:f>IF(A549="","",IF(OR(NOT(ISNUMBER(I549)),I549&lt;0,NOT(ISNUMBER(AP549)),AP549&lt;0,NOT(ISNUMBER(L549)),L549&lt;1,L549&gt;5,L549&lt;&gt;INT(L549),AND(J549&lt;&gt;"Public",J549&lt;&gt;"Partner",J549&lt;&gt;"Internal",J549&lt;&gt;"None"),AND(K549&lt;&gt;"High",K549&lt;&gt;"Medium",K549&lt;&gt;"Low",K549&lt;&gt;"None"),AND(W549&lt;&gt;"Hard-coded",W549&lt;&gt;"Configurable",W549&lt;&gt;"Policy-managed",W549&lt;&gt;"API/Library abstraction",W549&lt;&gt;"Automated"),AND(Z549&lt;&gt;"Y",Z549&lt;&gt;"N"),AND(AA549&lt;&gt;"Y",AA549&lt;&gt;"N")),"Incomplete",IF(Z549="Y",20,0)+L549*5+IF(AA549="Y",15,0)+IF(J549="Public",10,IF(J549="Partner",7,IF(J549="Internal",3,0)))+IF(W549="Hard-coded",10,IF(W549="Configurable",3,0))+IF(MAX(I549,AP549)&gt;=10,10,IF(MAX(I549,AP549)&gt;=5,7,IF(MAX(I549,AP549)&gt;=2,3,0)))+IF(K549="High",10,IF(K549="Medium",5,0))))</x:f>
      </x:c>
      <x:c r="AC549" s="73" t="str">
        <x:f>IF(A549="","",IF(NOT(ISNUMBER(AB549)),"Review inputs",IF(AB549&gt;=70,"P0 - Immediate",IF(AB549&gt;=50,"P1 - High",IF(AB549&gt;=30,"P2 - Medium",IF(AB549&gt;=15,"P3 - Low","P4 - Monitor"))))))</x:f>
      </x:c>
      <x:c r="AD549" s="73"/>
      <x:c r="AE549" s="73"/>
      <x:c r="AF549" s="73"/>
      <x:c r="AG549" s="77"/>
      <x:c r="AH549" s="73"/>
      <x:c r="AI549" s="91"/>
      <x:c r="AJ549" s="91"/>
      <x:c r="AK549" s="91"/>
      <x:c r="AL549" s="92"/>
      <x:c r="AM549" s="91"/>
      <x:c r="AN549" s="91"/>
      <x:c r="AO549" s="93"/>
      <x:c r="AP549" s="94"/>
      <x:c r="AQ549" s="91"/>
      <x:c r="AR549" s="91"/>
      <x:c r="AS549" s="91"/>
      <x:c r="AT549" s="91"/>
      <x:c r="AU549" s="91"/>
      <x:c r="AV549" s="91"/>
      <x:c r="AW549" s="91"/>
      <x:c r="AX549" s="91"/>
      <x:c r="AY549" s="91"/>
      <x:c r="AZ549" s="92"/>
      <x:c r="BA549" s="94"/>
      <x:c r="BB549" s="91"/>
      <x:c r="BC549" s="92"/>
      <x:c r="BD549" s="92"/>
      <x:c r="BE549" s="91"/>
      <x:c r="BF549" s="91"/>
      <x:c r="BG549" s="91"/>
      <x:c r="BH549" s="91"/>
      <x:c r="BI549" s="91"/>
      <x:c r="BJ549" s="91"/>
      <x:c r="BK549" s="91"/>
      <x:c r="BL549" s="91"/>
      <x:c r="BM549" s="73" t="str">
        <x:f>IF(A549="","",IF(AI549="Example","Example only",IF(AI549&lt;&gt;"Actual","Set record type",IF(COUNTIF($A$2:$A$1001,A549)&gt;1,"Duplicate record ID",IF(OR(D549="",E549="",AF549="",NOT(ISNUMBER(AG549)),AJ549="",AK549="",NOT(ISNUMBER(AL549)),AND(AM549&lt;&gt;"Observed",AM549&lt;&gt;"Corroborated",AM549&lt;&gt;"Declared"),OR(AN549="",AN549="Unknown"),OR(AQ549="",AQ549="Unknown"),OR(AR549="",AR549="Unknown",AR549="TBD"),OR(BC549="",NOT(ISNUMBER(BC549)))),"Evidence incomplete","Evidence recorded; review scope")))))</x:f>
      </x:c>
      <x:c r="BN549" s="73"/>
    </x:row>
    <x:row r="550" ht="34" customHeight="1">
      <x:c r="A550" s="73"/>
      <x:c r="B550" s="73"/>
      <x:c r="C550" s="73"/>
      <x:c r="D550" s="73"/>
      <x:c r="E550" s="73"/>
      <x:c r="F550" s="73"/>
      <x:c r="G550" s="73"/>
      <x:c r="H550" s="73"/>
      <x:c r="I550" s="75"/>
      <x:c r="J550" s="73"/>
      <x:c r="K550" s="73"/>
      <x:c r="L550" s="76"/>
      <x:c r="M550" s="73"/>
      <x:c r="N550" s="73"/>
      <x:c r="O550" s="73"/>
      <x:c r="P550" s="73"/>
      <x:c r="Q550" s="76"/>
      <x:c r="R550" s="73"/>
      <x:c r="S550" s="73"/>
      <x:c r="T550" s="73"/>
      <x:c r="U550" s="73"/>
      <x:c r="V550" s="73"/>
      <x:c r="W550" s="73"/>
      <x:c r="X550" s="73"/>
      <x:c r="Y550" s="73"/>
      <x:c r="Z550" s="73"/>
      <x:c r="AA550" s="73"/>
      <x:c r="AB550" s="76" t="str">
        <x:f>IF(A550="","",IF(OR(NOT(ISNUMBER(I550)),I550&lt;0,NOT(ISNUMBER(AP550)),AP550&lt;0,NOT(ISNUMBER(L550)),L550&lt;1,L550&gt;5,L550&lt;&gt;INT(L550),AND(J550&lt;&gt;"Public",J550&lt;&gt;"Partner",J550&lt;&gt;"Internal",J550&lt;&gt;"None"),AND(K550&lt;&gt;"High",K550&lt;&gt;"Medium",K550&lt;&gt;"Low",K550&lt;&gt;"None"),AND(W550&lt;&gt;"Hard-coded",W550&lt;&gt;"Configurable",W550&lt;&gt;"Policy-managed",W550&lt;&gt;"API/Library abstraction",W550&lt;&gt;"Automated"),AND(Z550&lt;&gt;"Y",Z550&lt;&gt;"N"),AND(AA550&lt;&gt;"Y",AA550&lt;&gt;"N")),"Incomplete",IF(Z550="Y",20,0)+L550*5+IF(AA550="Y",15,0)+IF(J550="Public",10,IF(J550="Partner",7,IF(J550="Internal",3,0)))+IF(W550="Hard-coded",10,IF(W550="Configurable",3,0))+IF(MAX(I550,AP550)&gt;=10,10,IF(MAX(I550,AP550)&gt;=5,7,IF(MAX(I550,AP550)&gt;=2,3,0)))+IF(K550="High",10,IF(K550="Medium",5,0))))</x:f>
      </x:c>
      <x:c r="AC550" s="73" t="str">
        <x:f>IF(A550="","",IF(NOT(ISNUMBER(AB550)),"Review inputs",IF(AB550&gt;=70,"P0 - Immediate",IF(AB550&gt;=50,"P1 - High",IF(AB550&gt;=30,"P2 - Medium",IF(AB550&gt;=15,"P3 - Low","P4 - Monitor"))))))</x:f>
      </x:c>
      <x:c r="AD550" s="73"/>
      <x:c r="AE550" s="73"/>
      <x:c r="AF550" s="73"/>
      <x:c r="AG550" s="77"/>
      <x:c r="AH550" s="73"/>
      <x:c r="AI550" s="91"/>
      <x:c r="AJ550" s="91"/>
      <x:c r="AK550" s="91"/>
      <x:c r="AL550" s="92"/>
      <x:c r="AM550" s="91"/>
      <x:c r="AN550" s="91"/>
      <x:c r="AO550" s="93"/>
      <x:c r="AP550" s="94"/>
      <x:c r="AQ550" s="91"/>
      <x:c r="AR550" s="91"/>
      <x:c r="AS550" s="91"/>
      <x:c r="AT550" s="91"/>
      <x:c r="AU550" s="91"/>
      <x:c r="AV550" s="91"/>
      <x:c r="AW550" s="91"/>
      <x:c r="AX550" s="91"/>
      <x:c r="AY550" s="91"/>
      <x:c r="AZ550" s="92"/>
      <x:c r="BA550" s="94"/>
      <x:c r="BB550" s="91"/>
      <x:c r="BC550" s="92"/>
      <x:c r="BD550" s="92"/>
      <x:c r="BE550" s="91"/>
      <x:c r="BF550" s="91"/>
      <x:c r="BG550" s="91"/>
      <x:c r="BH550" s="91"/>
      <x:c r="BI550" s="91"/>
      <x:c r="BJ550" s="91"/>
      <x:c r="BK550" s="91"/>
      <x:c r="BL550" s="91"/>
      <x:c r="BM550" s="73" t="str">
        <x:f>IF(A550="","",IF(AI550="Example","Example only",IF(AI550&lt;&gt;"Actual","Set record type",IF(COUNTIF($A$2:$A$1001,A550)&gt;1,"Duplicate record ID",IF(OR(D550="",E550="",AF550="",NOT(ISNUMBER(AG550)),AJ550="",AK550="",NOT(ISNUMBER(AL550)),AND(AM550&lt;&gt;"Observed",AM550&lt;&gt;"Corroborated",AM550&lt;&gt;"Declared"),OR(AN550="",AN550="Unknown"),OR(AQ550="",AQ550="Unknown"),OR(AR550="",AR550="Unknown",AR550="TBD"),OR(BC550="",NOT(ISNUMBER(BC550)))),"Evidence incomplete","Evidence recorded; review scope")))))</x:f>
      </x:c>
      <x:c r="BN550" s="73"/>
    </x:row>
    <x:row r="551" ht="34" customHeight="1">
      <x:c r="A551" s="73"/>
      <x:c r="B551" s="73"/>
      <x:c r="C551" s="73"/>
      <x:c r="D551" s="73"/>
      <x:c r="E551" s="73"/>
      <x:c r="F551" s="73"/>
      <x:c r="G551" s="73"/>
      <x:c r="H551" s="73"/>
      <x:c r="I551" s="75"/>
      <x:c r="J551" s="73"/>
      <x:c r="K551" s="73"/>
      <x:c r="L551" s="76"/>
      <x:c r="M551" s="73"/>
      <x:c r="N551" s="73"/>
      <x:c r="O551" s="73"/>
      <x:c r="P551" s="73"/>
      <x:c r="Q551" s="76"/>
      <x:c r="R551" s="73"/>
      <x:c r="S551" s="73"/>
      <x:c r="T551" s="73"/>
      <x:c r="U551" s="73"/>
      <x:c r="V551" s="73"/>
      <x:c r="W551" s="73"/>
      <x:c r="X551" s="73"/>
      <x:c r="Y551" s="73"/>
      <x:c r="Z551" s="73"/>
      <x:c r="AA551" s="73"/>
      <x:c r="AB551" s="76" t="str">
        <x:f>IF(A551="","",IF(OR(NOT(ISNUMBER(I551)),I551&lt;0,NOT(ISNUMBER(AP551)),AP551&lt;0,NOT(ISNUMBER(L551)),L551&lt;1,L551&gt;5,L551&lt;&gt;INT(L551),AND(J551&lt;&gt;"Public",J551&lt;&gt;"Partner",J551&lt;&gt;"Internal",J551&lt;&gt;"None"),AND(K551&lt;&gt;"High",K551&lt;&gt;"Medium",K551&lt;&gt;"Low",K551&lt;&gt;"None"),AND(W551&lt;&gt;"Hard-coded",W551&lt;&gt;"Configurable",W551&lt;&gt;"Policy-managed",W551&lt;&gt;"API/Library abstraction",W551&lt;&gt;"Automated"),AND(Z551&lt;&gt;"Y",Z551&lt;&gt;"N"),AND(AA551&lt;&gt;"Y",AA551&lt;&gt;"N")),"Incomplete",IF(Z551="Y",20,0)+L551*5+IF(AA551="Y",15,0)+IF(J551="Public",10,IF(J551="Partner",7,IF(J551="Internal",3,0)))+IF(W551="Hard-coded",10,IF(W551="Configurable",3,0))+IF(MAX(I551,AP551)&gt;=10,10,IF(MAX(I551,AP551)&gt;=5,7,IF(MAX(I551,AP551)&gt;=2,3,0)))+IF(K551="High",10,IF(K551="Medium",5,0))))</x:f>
      </x:c>
      <x:c r="AC551" s="73" t="str">
        <x:f>IF(A551="","",IF(NOT(ISNUMBER(AB551)),"Review inputs",IF(AB551&gt;=70,"P0 - Immediate",IF(AB551&gt;=50,"P1 - High",IF(AB551&gt;=30,"P2 - Medium",IF(AB551&gt;=15,"P3 - Low","P4 - Monitor"))))))</x:f>
      </x:c>
      <x:c r="AD551" s="73"/>
      <x:c r="AE551" s="73"/>
      <x:c r="AF551" s="73"/>
      <x:c r="AG551" s="77"/>
      <x:c r="AH551" s="73"/>
      <x:c r="AI551" s="91"/>
      <x:c r="AJ551" s="91"/>
      <x:c r="AK551" s="91"/>
      <x:c r="AL551" s="92"/>
      <x:c r="AM551" s="91"/>
      <x:c r="AN551" s="91"/>
      <x:c r="AO551" s="93"/>
      <x:c r="AP551" s="94"/>
      <x:c r="AQ551" s="91"/>
      <x:c r="AR551" s="91"/>
      <x:c r="AS551" s="91"/>
      <x:c r="AT551" s="91"/>
      <x:c r="AU551" s="91"/>
      <x:c r="AV551" s="91"/>
      <x:c r="AW551" s="91"/>
      <x:c r="AX551" s="91"/>
      <x:c r="AY551" s="91"/>
      <x:c r="AZ551" s="92"/>
      <x:c r="BA551" s="94"/>
      <x:c r="BB551" s="91"/>
      <x:c r="BC551" s="92"/>
      <x:c r="BD551" s="92"/>
      <x:c r="BE551" s="91"/>
      <x:c r="BF551" s="91"/>
      <x:c r="BG551" s="91"/>
      <x:c r="BH551" s="91"/>
      <x:c r="BI551" s="91"/>
      <x:c r="BJ551" s="91"/>
      <x:c r="BK551" s="91"/>
      <x:c r="BL551" s="91"/>
      <x:c r="BM551" s="73" t="str">
        <x:f>IF(A551="","",IF(AI551="Example","Example only",IF(AI551&lt;&gt;"Actual","Set record type",IF(COUNTIF($A$2:$A$1001,A551)&gt;1,"Duplicate record ID",IF(OR(D551="",E551="",AF551="",NOT(ISNUMBER(AG551)),AJ551="",AK551="",NOT(ISNUMBER(AL551)),AND(AM551&lt;&gt;"Observed",AM551&lt;&gt;"Corroborated",AM551&lt;&gt;"Declared"),OR(AN551="",AN551="Unknown"),OR(AQ551="",AQ551="Unknown"),OR(AR551="",AR551="Unknown",AR551="TBD"),OR(BC551="",NOT(ISNUMBER(BC551)))),"Evidence incomplete","Evidence recorded; review scope")))))</x:f>
      </x:c>
      <x:c r="BN551" s="73"/>
    </x:row>
    <x:row r="552" ht="34" customHeight="1">
      <x:c r="A552" s="73"/>
      <x:c r="B552" s="73"/>
      <x:c r="C552" s="73"/>
      <x:c r="D552" s="73"/>
      <x:c r="E552" s="73"/>
      <x:c r="F552" s="73"/>
      <x:c r="G552" s="73"/>
      <x:c r="H552" s="73"/>
      <x:c r="I552" s="75"/>
      <x:c r="J552" s="73"/>
      <x:c r="K552" s="73"/>
      <x:c r="L552" s="76"/>
      <x:c r="M552" s="73"/>
      <x:c r="N552" s="73"/>
      <x:c r="O552" s="73"/>
      <x:c r="P552" s="73"/>
      <x:c r="Q552" s="76"/>
      <x:c r="R552" s="73"/>
      <x:c r="S552" s="73"/>
      <x:c r="T552" s="73"/>
      <x:c r="U552" s="73"/>
      <x:c r="V552" s="73"/>
      <x:c r="W552" s="73"/>
      <x:c r="X552" s="73"/>
      <x:c r="Y552" s="73"/>
      <x:c r="Z552" s="73"/>
      <x:c r="AA552" s="73"/>
      <x:c r="AB552" s="76" t="str">
        <x:f>IF(A552="","",IF(OR(NOT(ISNUMBER(I552)),I552&lt;0,NOT(ISNUMBER(AP552)),AP552&lt;0,NOT(ISNUMBER(L552)),L552&lt;1,L552&gt;5,L552&lt;&gt;INT(L552),AND(J552&lt;&gt;"Public",J552&lt;&gt;"Partner",J552&lt;&gt;"Internal",J552&lt;&gt;"None"),AND(K552&lt;&gt;"High",K552&lt;&gt;"Medium",K552&lt;&gt;"Low",K552&lt;&gt;"None"),AND(W552&lt;&gt;"Hard-coded",W552&lt;&gt;"Configurable",W552&lt;&gt;"Policy-managed",W552&lt;&gt;"API/Library abstraction",W552&lt;&gt;"Automated"),AND(Z552&lt;&gt;"Y",Z552&lt;&gt;"N"),AND(AA552&lt;&gt;"Y",AA552&lt;&gt;"N")),"Incomplete",IF(Z552="Y",20,0)+L552*5+IF(AA552="Y",15,0)+IF(J552="Public",10,IF(J552="Partner",7,IF(J552="Internal",3,0)))+IF(W552="Hard-coded",10,IF(W552="Configurable",3,0))+IF(MAX(I552,AP552)&gt;=10,10,IF(MAX(I552,AP552)&gt;=5,7,IF(MAX(I552,AP552)&gt;=2,3,0)))+IF(K552="High",10,IF(K552="Medium",5,0))))</x:f>
      </x:c>
      <x:c r="AC552" s="73" t="str">
        <x:f>IF(A552="","",IF(NOT(ISNUMBER(AB552)),"Review inputs",IF(AB552&gt;=70,"P0 - Immediate",IF(AB552&gt;=50,"P1 - High",IF(AB552&gt;=30,"P2 - Medium",IF(AB552&gt;=15,"P3 - Low","P4 - Monitor"))))))</x:f>
      </x:c>
      <x:c r="AD552" s="73"/>
      <x:c r="AE552" s="73"/>
      <x:c r="AF552" s="73"/>
      <x:c r="AG552" s="77"/>
      <x:c r="AH552" s="73"/>
      <x:c r="AI552" s="91"/>
      <x:c r="AJ552" s="91"/>
      <x:c r="AK552" s="91"/>
      <x:c r="AL552" s="92"/>
      <x:c r="AM552" s="91"/>
      <x:c r="AN552" s="91"/>
      <x:c r="AO552" s="93"/>
      <x:c r="AP552" s="94"/>
      <x:c r="AQ552" s="91"/>
      <x:c r="AR552" s="91"/>
      <x:c r="AS552" s="91"/>
      <x:c r="AT552" s="91"/>
      <x:c r="AU552" s="91"/>
      <x:c r="AV552" s="91"/>
      <x:c r="AW552" s="91"/>
      <x:c r="AX552" s="91"/>
      <x:c r="AY552" s="91"/>
      <x:c r="AZ552" s="92"/>
      <x:c r="BA552" s="94"/>
      <x:c r="BB552" s="91"/>
      <x:c r="BC552" s="92"/>
      <x:c r="BD552" s="92"/>
      <x:c r="BE552" s="91"/>
      <x:c r="BF552" s="91"/>
      <x:c r="BG552" s="91"/>
      <x:c r="BH552" s="91"/>
      <x:c r="BI552" s="91"/>
      <x:c r="BJ552" s="91"/>
      <x:c r="BK552" s="91"/>
      <x:c r="BL552" s="91"/>
      <x:c r="BM552" s="73" t="str">
        <x:f>IF(A552="","",IF(AI552="Example","Example only",IF(AI552&lt;&gt;"Actual","Set record type",IF(COUNTIF($A$2:$A$1001,A552)&gt;1,"Duplicate record ID",IF(OR(D552="",E552="",AF552="",NOT(ISNUMBER(AG552)),AJ552="",AK552="",NOT(ISNUMBER(AL552)),AND(AM552&lt;&gt;"Observed",AM552&lt;&gt;"Corroborated",AM552&lt;&gt;"Declared"),OR(AN552="",AN552="Unknown"),OR(AQ552="",AQ552="Unknown"),OR(AR552="",AR552="Unknown",AR552="TBD"),OR(BC552="",NOT(ISNUMBER(BC552)))),"Evidence incomplete","Evidence recorded; review scope")))))</x:f>
      </x:c>
      <x:c r="BN552" s="73"/>
    </x:row>
    <x:row r="553" ht="34" customHeight="1">
      <x:c r="A553" s="73"/>
      <x:c r="B553" s="73"/>
      <x:c r="C553" s="73"/>
      <x:c r="D553" s="73"/>
      <x:c r="E553" s="73"/>
      <x:c r="F553" s="73"/>
      <x:c r="G553" s="73"/>
      <x:c r="H553" s="73"/>
      <x:c r="I553" s="75"/>
      <x:c r="J553" s="73"/>
      <x:c r="K553" s="73"/>
      <x:c r="L553" s="76"/>
      <x:c r="M553" s="73"/>
      <x:c r="N553" s="73"/>
      <x:c r="O553" s="73"/>
      <x:c r="P553" s="73"/>
      <x:c r="Q553" s="76"/>
      <x:c r="R553" s="73"/>
      <x:c r="S553" s="73"/>
      <x:c r="T553" s="73"/>
      <x:c r="U553" s="73"/>
      <x:c r="V553" s="73"/>
      <x:c r="W553" s="73"/>
      <x:c r="X553" s="73"/>
      <x:c r="Y553" s="73"/>
      <x:c r="Z553" s="73"/>
      <x:c r="AA553" s="73"/>
      <x:c r="AB553" s="76" t="str">
        <x:f>IF(A553="","",IF(OR(NOT(ISNUMBER(I553)),I553&lt;0,NOT(ISNUMBER(AP553)),AP553&lt;0,NOT(ISNUMBER(L553)),L553&lt;1,L553&gt;5,L553&lt;&gt;INT(L553),AND(J553&lt;&gt;"Public",J553&lt;&gt;"Partner",J553&lt;&gt;"Internal",J553&lt;&gt;"None"),AND(K553&lt;&gt;"High",K553&lt;&gt;"Medium",K553&lt;&gt;"Low",K553&lt;&gt;"None"),AND(W553&lt;&gt;"Hard-coded",W553&lt;&gt;"Configurable",W553&lt;&gt;"Policy-managed",W553&lt;&gt;"API/Library abstraction",W553&lt;&gt;"Automated"),AND(Z553&lt;&gt;"Y",Z553&lt;&gt;"N"),AND(AA553&lt;&gt;"Y",AA553&lt;&gt;"N")),"Incomplete",IF(Z553="Y",20,0)+L553*5+IF(AA553="Y",15,0)+IF(J553="Public",10,IF(J553="Partner",7,IF(J553="Internal",3,0)))+IF(W553="Hard-coded",10,IF(W553="Configurable",3,0))+IF(MAX(I553,AP553)&gt;=10,10,IF(MAX(I553,AP553)&gt;=5,7,IF(MAX(I553,AP553)&gt;=2,3,0)))+IF(K553="High",10,IF(K553="Medium",5,0))))</x:f>
      </x:c>
      <x:c r="AC553" s="73" t="str">
        <x:f>IF(A553="","",IF(NOT(ISNUMBER(AB553)),"Review inputs",IF(AB553&gt;=70,"P0 - Immediate",IF(AB553&gt;=50,"P1 - High",IF(AB553&gt;=30,"P2 - Medium",IF(AB553&gt;=15,"P3 - Low","P4 - Monitor"))))))</x:f>
      </x:c>
      <x:c r="AD553" s="73"/>
      <x:c r="AE553" s="73"/>
      <x:c r="AF553" s="73"/>
      <x:c r="AG553" s="77"/>
      <x:c r="AH553" s="73"/>
      <x:c r="AI553" s="91"/>
      <x:c r="AJ553" s="91"/>
      <x:c r="AK553" s="91"/>
      <x:c r="AL553" s="92"/>
      <x:c r="AM553" s="91"/>
      <x:c r="AN553" s="91"/>
      <x:c r="AO553" s="93"/>
      <x:c r="AP553" s="94"/>
      <x:c r="AQ553" s="91"/>
      <x:c r="AR553" s="91"/>
      <x:c r="AS553" s="91"/>
      <x:c r="AT553" s="91"/>
      <x:c r="AU553" s="91"/>
      <x:c r="AV553" s="91"/>
      <x:c r="AW553" s="91"/>
      <x:c r="AX553" s="91"/>
      <x:c r="AY553" s="91"/>
      <x:c r="AZ553" s="92"/>
      <x:c r="BA553" s="94"/>
      <x:c r="BB553" s="91"/>
      <x:c r="BC553" s="92"/>
      <x:c r="BD553" s="92"/>
      <x:c r="BE553" s="91"/>
      <x:c r="BF553" s="91"/>
      <x:c r="BG553" s="91"/>
      <x:c r="BH553" s="91"/>
      <x:c r="BI553" s="91"/>
      <x:c r="BJ553" s="91"/>
      <x:c r="BK553" s="91"/>
      <x:c r="BL553" s="91"/>
      <x:c r="BM553" s="73" t="str">
        <x:f>IF(A553="","",IF(AI553="Example","Example only",IF(AI553&lt;&gt;"Actual","Set record type",IF(COUNTIF($A$2:$A$1001,A553)&gt;1,"Duplicate record ID",IF(OR(D553="",E553="",AF553="",NOT(ISNUMBER(AG553)),AJ553="",AK553="",NOT(ISNUMBER(AL553)),AND(AM553&lt;&gt;"Observed",AM553&lt;&gt;"Corroborated",AM553&lt;&gt;"Declared"),OR(AN553="",AN553="Unknown"),OR(AQ553="",AQ553="Unknown"),OR(AR553="",AR553="Unknown",AR553="TBD"),OR(BC553="",NOT(ISNUMBER(BC553)))),"Evidence incomplete","Evidence recorded; review scope")))))</x:f>
      </x:c>
      <x:c r="BN553" s="73"/>
    </x:row>
    <x:row r="554" ht="34" customHeight="1">
      <x:c r="A554" s="73"/>
      <x:c r="B554" s="73"/>
      <x:c r="C554" s="73"/>
      <x:c r="D554" s="73"/>
      <x:c r="E554" s="73"/>
      <x:c r="F554" s="73"/>
      <x:c r="G554" s="73"/>
      <x:c r="H554" s="73"/>
      <x:c r="I554" s="75"/>
      <x:c r="J554" s="73"/>
      <x:c r="K554" s="73"/>
      <x:c r="L554" s="76"/>
      <x:c r="M554" s="73"/>
      <x:c r="N554" s="73"/>
      <x:c r="O554" s="73"/>
      <x:c r="P554" s="73"/>
      <x:c r="Q554" s="76"/>
      <x:c r="R554" s="73"/>
      <x:c r="S554" s="73"/>
      <x:c r="T554" s="73"/>
      <x:c r="U554" s="73"/>
      <x:c r="V554" s="73"/>
      <x:c r="W554" s="73"/>
      <x:c r="X554" s="73"/>
      <x:c r="Y554" s="73"/>
      <x:c r="Z554" s="73"/>
      <x:c r="AA554" s="73"/>
      <x:c r="AB554" s="76" t="str">
        <x:f>IF(A554="","",IF(OR(NOT(ISNUMBER(I554)),I554&lt;0,NOT(ISNUMBER(AP554)),AP554&lt;0,NOT(ISNUMBER(L554)),L554&lt;1,L554&gt;5,L554&lt;&gt;INT(L554),AND(J554&lt;&gt;"Public",J554&lt;&gt;"Partner",J554&lt;&gt;"Internal",J554&lt;&gt;"None"),AND(K554&lt;&gt;"High",K554&lt;&gt;"Medium",K554&lt;&gt;"Low",K554&lt;&gt;"None"),AND(W554&lt;&gt;"Hard-coded",W554&lt;&gt;"Configurable",W554&lt;&gt;"Policy-managed",W554&lt;&gt;"API/Library abstraction",W554&lt;&gt;"Automated"),AND(Z554&lt;&gt;"Y",Z554&lt;&gt;"N"),AND(AA554&lt;&gt;"Y",AA554&lt;&gt;"N")),"Incomplete",IF(Z554="Y",20,0)+L554*5+IF(AA554="Y",15,0)+IF(J554="Public",10,IF(J554="Partner",7,IF(J554="Internal",3,0)))+IF(W554="Hard-coded",10,IF(W554="Configurable",3,0))+IF(MAX(I554,AP554)&gt;=10,10,IF(MAX(I554,AP554)&gt;=5,7,IF(MAX(I554,AP554)&gt;=2,3,0)))+IF(K554="High",10,IF(K554="Medium",5,0))))</x:f>
      </x:c>
      <x:c r="AC554" s="73" t="str">
        <x:f>IF(A554="","",IF(NOT(ISNUMBER(AB554)),"Review inputs",IF(AB554&gt;=70,"P0 - Immediate",IF(AB554&gt;=50,"P1 - High",IF(AB554&gt;=30,"P2 - Medium",IF(AB554&gt;=15,"P3 - Low","P4 - Monitor"))))))</x:f>
      </x:c>
      <x:c r="AD554" s="73"/>
      <x:c r="AE554" s="73"/>
      <x:c r="AF554" s="73"/>
      <x:c r="AG554" s="77"/>
      <x:c r="AH554" s="73"/>
      <x:c r="AI554" s="91"/>
      <x:c r="AJ554" s="91"/>
      <x:c r="AK554" s="91"/>
      <x:c r="AL554" s="92"/>
      <x:c r="AM554" s="91"/>
      <x:c r="AN554" s="91"/>
      <x:c r="AO554" s="93"/>
      <x:c r="AP554" s="94"/>
      <x:c r="AQ554" s="91"/>
      <x:c r="AR554" s="91"/>
      <x:c r="AS554" s="91"/>
      <x:c r="AT554" s="91"/>
      <x:c r="AU554" s="91"/>
      <x:c r="AV554" s="91"/>
      <x:c r="AW554" s="91"/>
      <x:c r="AX554" s="91"/>
      <x:c r="AY554" s="91"/>
      <x:c r="AZ554" s="92"/>
      <x:c r="BA554" s="94"/>
      <x:c r="BB554" s="91"/>
      <x:c r="BC554" s="92"/>
      <x:c r="BD554" s="92"/>
      <x:c r="BE554" s="91"/>
      <x:c r="BF554" s="91"/>
      <x:c r="BG554" s="91"/>
      <x:c r="BH554" s="91"/>
      <x:c r="BI554" s="91"/>
      <x:c r="BJ554" s="91"/>
      <x:c r="BK554" s="91"/>
      <x:c r="BL554" s="91"/>
      <x:c r="BM554" s="73" t="str">
        <x:f>IF(A554="","",IF(AI554="Example","Example only",IF(AI554&lt;&gt;"Actual","Set record type",IF(COUNTIF($A$2:$A$1001,A554)&gt;1,"Duplicate record ID",IF(OR(D554="",E554="",AF554="",NOT(ISNUMBER(AG554)),AJ554="",AK554="",NOT(ISNUMBER(AL554)),AND(AM554&lt;&gt;"Observed",AM554&lt;&gt;"Corroborated",AM554&lt;&gt;"Declared"),OR(AN554="",AN554="Unknown"),OR(AQ554="",AQ554="Unknown"),OR(AR554="",AR554="Unknown",AR554="TBD"),OR(BC554="",NOT(ISNUMBER(BC554)))),"Evidence incomplete","Evidence recorded; review scope")))))</x:f>
      </x:c>
      <x:c r="BN554" s="73"/>
    </x:row>
    <x:row r="555" ht="34" customHeight="1">
      <x:c r="A555" s="73"/>
      <x:c r="B555" s="73"/>
      <x:c r="C555" s="73"/>
      <x:c r="D555" s="73"/>
      <x:c r="E555" s="73"/>
      <x:c r="F555" s="73"/>
      <x:c r="G555" s="73"/>
      <x:c r="H555" s="73"/>
      <x:c r="I555" s="75"/>
      <x:c r="J555" s="73"/>
      <x:c r="K555" s="73"/>
      <x:c r="L555" s="76"/>
      <x:c r="M555" s="73"/>
      <x:c r="N555" s="73"/>
      <x:c r="O555" s="73"/>
      <x:c r="P555" s="73"/>
      <x:c r="Q555" s="76"/>
      <x:c r="R555" s="73"/>
      <x:c r="S555" s="73"/>
      <x:c r="T555" s="73"/>
      <x:c r="U555" s="73"/>
      <x:c r="V555" s="73"/>
      <x:c r="W555" s="73"/>
      <x:c r="X555" s="73"/>
      <x:c r="Y555" s="73"/>
      <x:c r="Z555" s="73"/>
      <x:c r="AA555" s="73"/>
      <x:c r="AB555" s="76" t="str">
        <x:f>IF(A555="","",IF(OR(NOT(ISNUMBER(I555)),I555&lt;0,NOT(ISNUMBER(AP555)),AP555&lt;0,NOT(ISNUMBER(L555)),L555&lt;1,L555&gt;5,L555&lt;&gt;INT(L555),AND(J555&lt;&gt;"Public",J555&lt;&gt;"Partner",J555&lt;&gt;"Internal",J555&lt;&gt;"None"),AND(K555&lt;&gt;"High",K555&lt;&gt;"Medium",K555&lt;&gt;"Low",K555&lt;&gt;"None"),AND(W555&lt;&gt;"Hard-coded",W555&lt;&gt;"Configurable",W555&lt;&gt;"Policy-managed",W555&lt;&gt;"API/Library abstraction",W555&lt;&gt;"Automated"),AND(Z555&lt;&gt;"Y",Z555&lt;&gt;"N"),AND(AA555&lt;&gt;"Y",AA555&lt;&gt;"N")),"Incomplete",IF(Z555="Y",20,0)+L555*5+IF(AA555="Y",15,0)+IF(J555="Public",10,IF(J555="Partner",7,IF(J555="Internal",3,0)))+IF(W555="Hard-coded",10,IF(W555="Configurable",3,0))+IF(MAX(I555,AP555)&gt;=10,10,IF(MAX(I555,AP555)&gt;=5,7,IF(MAX(I555,AP555)&gt;=2,3,0)))+IF(K555="High",10,IF(K555="Medium",5,0))))</x:f>
      </x:c>
      <x:c r="AC555" s="73" t="str">
        <x:f>IF(A555="","",IF(NOT(ISNUMBER(AB555)),"Review inputs",IF(AB555&gt;=70,"P0 - Immediate",IF(AB555&gt;=50,"P1 - High",IF(AB555&gt;=30,"P2 - Medium",IF(AB555&gt;=15,"P3 - Low","P4 - Monitor"))))))</x:f>
      </x:c>
      <x:c r="AD555" s="73"/>
      <x:c r="AE555" s="73"/>
      <x:c r="AF555" s="73"/>
      <x:c r="AG555" s="77"/>
      <x:c r="AH555" s="73"/>
      <x:c r="AI555" s="91"/>
      <x:c r="AJ555" s="91"/>
      <x:c r="AK555" s="91"/>
      <x:c r="AL555" s="92"/>
      <x:c r="AM555" s="91"/>
      <x:c r="AN555" s="91"/>
      <x:c r="AO555" s="93"/>
      <x:c r="AP555" s="94"/>
      <x:c r="AQ555" s="91"/>
      <x:c r="AR555" s="91"/>
      <x:c r="AS555" s="91"/>
      <x:c r="AT555" s="91"/>
      <x:c r="AU555" s="91"/>
      <x:c r="AV555" s="91"/>
      <x:c r="AW555" s="91"/>
      <x:c r="AX555" s="91"/>
      <x:c r="AY555" s="91"/>
      <x:c r="AZ555" s="92"/>
      <x:c r="BA555" s="94"/>
      <x:c r="BB555" s="91"/>
      <x:c r="BC555" s="92"/>
      <x:c r="BD555" s="92"/>
      <x:c r="BE555" s="91"/>
      <x:c r="BF555" s="91"/>
      <x:c r="BG555" s="91"/>
      <x:c r="BH555" s="91"/>
      <x:c r="BI555" s="91"/>
      <x:c r="BJ555" s="91"/>
      <x:c r="BK555" s="91"/>
      <x:c r="BL555" s="91"/>
      <x:c r="BM555" s="73" t="str">
        <x:f>IF(A555="","",IF(AI555="Example","Example only",IF(AI555&lt;&gt;"Actual","Set record type",IF(COUNTIF($A$2:$A$1001,A555)&gt;1,"Duplicate record ID",IF(OR(D555="",E555="",AF555="",NOT(ISNUMBER(AG555)),AJ555="",AK555="",NOT(ISNUMBER(AL555)),AND(AM555&lt;&gt;"Observed",AM555&lt;&gt;"Corroborated",AM555&lt;&gt;"Declared"),OR(AN555="",AN555="Unknown"),OR(AQ555="",AQ555="Unknown"),OR(AR555="",AR555="Unknown",AR555="TBD"),OR(BC555="",NOT(ISNUMBER(BC555)))),"Evidence incomplete","Evidence recorded; review scope")))))</x:f>
      </x:c>
      <x:c r="BN555" s="73"/>
    </x:row>
    <x:row r="556" ht="34" customHeight="1">
      <x:c r="A556" s="73"/>
      <x:c r="B556" s="73"/>
      <x:c r="C556" s="73"/>
      <x:c r="D556" s="73"/>
      <x:c r="E556" s="73"/>
      <x:c r="F556" s="73"/>
      <x:c r="G556" s="73"/>
      <x:c r="H556" s="73"/>
      <x:c r="I556" s="75"/>
      <x:c r="J556" s="73"/>
      <x:c r="K556" s="73"/>
      <x:c r="L556" s="76"/>
      <x:c r="M556" s="73"/>
      <x:c r="N556" s="73"/>
      <x:c r="O556" s="73"/>
      <x:c r="P556" s="73"/>
      <x:c r="Q556" s="76"/>
      <x:c r="R556" s="73"/>
      <x:c r="S556" s="73"/>
      <x:c r="T556" s="73"/>
      <x:c r="U556" s="73"/>
      <x:c r="V556" s="73"/>
      <x:c r="W556" s="73"/>
      <x:c r="X556" s="73"/>
      <x:c r="Y556" s="73"/>
      <x:c r="Z556" s="73"/>
      <x:c r="AA556" s="73"/>
      <x:c r="AB556" s="76" t="str">
        <x:f>IF(A556="","",IF(OR(NOT(ISNUMBER(I556)),I556&lt;0,NOT(ISNUMBER(AP556)),AP556&lt;0,NOT(ISNUMBER(L556)),L556&lt;1,L556&gt;5,L556&lt;&gt;INT(L556),AND(J556&lt;&gt;"Public",J556&lt;&gt;"Partner",J556&lt;&gt;"Internal",J556&lt;&gt;"None"),AND(K556&lt;&gt;"High",K556&lt;&gt;"Medium",K556&lt;&gt;"Low",K556&lt;&gt;"None"),AND(W556&lt;&gt;"Hard-coded",W556&lt;&gt;"Configurable",W556&lt;&gt;"Policy-managed",W556&lt;&gt;"API/Library abstraction",W556&lt;&gt;"Automated"),AND(Z556&lt;&gt;"Y",Z556&lt;&gt;"N"),AND(AA556&lt;&gt;"Y",AA556&lt;&gt;"N")),"Incomplete",IF(Z556="Y",20,0)+L556*5+IF(AA556="Y",15,0)+IF(J556="Public",10,IF(J556="Partner",7,IF(J556="Internal",3,0)))+IF(W556="Hard-coded",10,IF(W556="Configurable",3,0))+IF(MAX(I556,AP556)&gt;=10,10,IF(MAX(I556,AP556)&gt;=5,7,IF(MAX(I556,AP556)&gt;=2,3,0)))+IF(K556="High",10,IF(K556="Medium",5,0))))</x:f>
      </x:c>
      <x:c r="AC556" s="73" t="str">
        <x:f>IF(A556="","",IF(NOT(ISNUMBER(AB556)),"Review inputs",IF(AB556&gt;=70,"P0 - Immediate",IF(AB556&gt;=50,"P1 - High",IF(AB556&gt;=30,"P2 - Medium",IF(AB556&gt;=15,"P3 - Low","P4 - Monitor"))))))</x:f>
      </x:c>
      <x:c r="AD556" s="73"/>
      <x:c r="AE556" s="73"/>
      <x:c r="AF556" s="73"/>
      <x:c r="AG556" s="77"/>
      <x:c r="AH556" s="73"/>
      <x:c r="AI556" s="91"/>
      <x:c r="AJ556" s="91"/>
      <x:c r="AK556" s="91"/>
      <x:c r="AL556" s="92"/>
      <x:c r="AM556" s="91"/>
      <x:c r="AN556" s="91"/>
      <x:c r="AO556" s="93"/>
      <x:c r="AP556" s="94"/>
      <x:c r="AQ556" s="91"/>
      <x:c r="AR556" s="91"/>
      <x:c r="AS556" s="91"/>
      <x:c r="AT556" s="91"/>
      <x:c r="AU556" s="91"/>
      <x:c r="AV556" s="91"/>
      <x:c r="AW556" s="91"/>
      <x:c r="AX556" s="91"/>
      <x:c r="AY556" s="91"/>
      <x:c r="AZ556" s="92"/>
      <x:c r="BA556" s="94"/>
      <x:c r="BB556" s="91"/>
      <x:c r="BC556" s="92"/>
      <x:c r="BD556" s="92"/>
      <x:c r="BE556" s="91"/>
      <x:c r="BF556" s="91"/>
      <x:c r="BG556" s="91"/>
      <x:c r="BH556" s="91"/>
      <x:c r="BI556" s="91"/>
      <x:c r="BJ556" s="91"/>
      <x:c r="BK556" s="91"/>
      <x:c r="BL556" s="91"/>
      <x:c r="BM556" s="73" t="str">
        <x:f>IF(A556="","",IF(AI556="Example","Example only",IF(AI556&lt;&gt;"Actual","Set record type",IF(COUNTIF($A$2:$A$1001,A556)&gt;1,"Duplicate record ID",IF(OR(D556="",E556="",AF556="",NOT(ISNUMBER(AG556)),AJ556="",AK556="",NOT(ISNUMBER(AL556)),AND(AM556&lt;&gt;"Observed",AM556&lt;&gt;"Corroborated",AM556&lt;&gt;"Declared"),OR(AN556="",AN556="Unknown"),OR(AQ556="",AQ556="Unknown"),OR(AR556="",AR556="Unknown",AR556="TBD"),OR(BC556="",NOT(ISNUMBER(BC556)))),"Evidence incomplete","Evidence recorded; review scope")))))</x:f>
      </x:c>
      <x:c r="BN556" s="73"/>
    </x:row>
    <x:row r="557" ht="34" customHeight="1">
      <x:c r="A557" s="73"/>
      <x:c r="B557" s="73"/>
      <x:c r="C557" s="73"/>
      <x:c r="D557" s="73"/>
      <x:c r="E557" s="73"/>
      <x:c r="F557" s="73"/>
      <x:c r="G557" s="73"/>
      <x:c r="H557" s="73"/>
      <x:c r="I557" s="75"/>
      <x:c r="J557" s="73"/>
      <x:c r="K557" s="73"/>
      <x:c r="L557" s="76"/>
      <x:c r="M557" s="73"/>
      <x:c r="N557" s="73"/>
      <x:c r="O557" s="73"/>
      <x:c r="P557" s="73"/>
      <x:c r="Q557" s="76"/>
      <x:c r="R557" s="73"/>
      <x:c r="S557" s="73"/>
      <x:c r="T557" s="73"/>
      <x:c r="U557" s="73"/>
      <x:c r="V557" s="73"/>
      <x:c r="W557" s="73"/>
      <x:c r="X557" s="73"/>
      <x:c r="Y557" s="73"/>
      <x:c r="Z557" s="73"/>
      <x:c r="AA557" s="73"/>
      <x:c r="AB557" s="76" t="str">
        <x:f>IF(A557="","",IF(OR(NOT(ISNUMBER(I557)),I557&lt;0,NOT(ISNUMBER(AP557)),AP557&lt;0,NOT(ISNUMBER(L557)),L557&lt;1,L557&gt;5,L557&lt;&gt;INT(L557),AND(J557&lt;&gt;"Public",J557&lt;&gt;"Partner",J557&lt;&gt;"Internal",J557&lt;&gt;"None"),AND(K557&lt;&gt;"High",K557&lt;&gt;"Medium",K557&lt;&gt;"Low",K557&lt;&gt;"None"),AND(W557&lt;&gt;"Hard-coded",W557&lt;&gt;"Configurable",W557&lt;&gt;"Policy-managed",W557&lt;&gt;"API/Library abstraction",W557&lt;&gt;"Automated"),AND(Z557&lt;&gt;"Y",Z557&lt;&gt;"N"),AND(AA557&lt;&gt;"Y",AA557&lt;&gt;"N")),"Incomplete",IF(Z557="Y",20,0)+L557*5+IF(AA557="Y",15,0)+IF(J557="Public",10,IF(J557="Partner",7,IF(J557="Internal",3,0)))+IF(W557="Hard-coded",10,IF(W557="Configurable",3,0))+IF(MAX(I557,AP557)&gt;=10,10,IF(MAX(I557,AP557)&gt;=5,7,IF(MAX(I557,AP557)&gt;=2,3,0)))+IF(K557="High",10,IF(K557="Medium",5,0))))</x:f>
      </x:c>
      <x:c r="AC557" s="73" t="str">
        <x:f>IF(A557="","",IF(NOT(ISNUMBER(AB557)),"Review inputs",IF(AB557&gt;=70,"P0 - Immediate",IF(AB557&gt;=50,"P1 - High",IF(AB557&gt;=30,"P2 - Medium",IF(AB557&gt;=15,"P3 - Low","P4 - Monitor"))))))</x:f>
      </x:c>
      <x:c r="AD557" s="73"/>
      <x:c r="AE557" s="73"/>
      <x:c r="AF557" s="73"/>
      <x:c r="AG557" s="77"/>
      <x:c r="AH557" s="73"/>
      <x:c r="AI557" s="91"/>
      <x:c r="AJ557" s="91"/>
      <x:c r="AK557" s="91"/>
      <x:c r="AL557" s="92"/>
      <x:c r="AM557" s="91"/>
      <x:c r="AN557" s="91"/>
      <x:c r="AO557" s="93"/>
      <x:c r="AP557" s="94"/>
      <x:c r="AQ557" s="91"/>
      <x:c r="AR557" s="91"/>
      <x:c r="AS557" s="91"/>
      <x:c r="AT557" s="91"/>
      <x:c r="AU557" s="91"/>
      <x:c r="AV557" s="91"/>
      <x:c r="AW557" s="91"/>
      <x:c r="AX557" s="91"/>
      <x:c r="AY557" s="91"/>
      <x:c r="AZ557" s="92"/>
      <x:c r="BA557" s="94"/>
      <x:c r="BB557" s="91"/>
      <x:c r="BC557" s="92"/>
      <x:c r="BD557" s="92"/>
      <x:c r="BE557" s="91"/>
      <x:c r="BF557" s="91"/>
      <x:c r="BG557" s="91"/>
      <x:c r="BH557" s="91"/>
      <x:c r="BI557" s="91"/>
      <x:c r="BJ557" s="91"/>
      <x:c r="BK557" s="91"/>
      <x:c r="BL557" s="91"/>
      <x:c r="BM557" s="73" t="str">
        <x:f>IF(A557="","",IF(AI557="Example","Example only",IF(AI557&lt;&gt;"Actual","Set record type",IF(COUNTIF($A$2:$A$1001,A557)&gt;1,"Duplicate record ID",IF(OR(D557="",E557="",AF557="",NOT(ISNUMBER(AG557)),AJ557="",AK557="",NOT(ISNUMBER(AL557)),AND(AM557&lt;&gt;"Observed",AM557&lt;&gt;"Corroborated",AM557&lt;&gt;"Declared"),OR(AN557="",AN557="Unknown"),OR(AQ557="",AQ557="Unknown"),OR(AR557="",AR557="Unknown",AR557="TBD"),OR(BC557="",NOT(ISNUMBER(BC557)))),"Evidence incomplete","Evidence recorded; review scope")))))</x:f>
      </x:c>
      <x:c r="BN557" s="73"/>
    </x:row>
    <x:row r="558" ht="34" customHeight="1">
      <x:c r="A558" s="73"/>
      <x:c r="B558" s="73"/>
      <x:c r="C558" s="73"/>
      <x:c r="D558" s="73"/>
      <x:c r="E558" s="73"/>
      <x:c r="F558" s="73"/>
      <x:c r="G558" s="73"/>
      <x:c r="H558" s="73"/>
      <x:c r="I558" s="75"/>
      <x:c r="J558" s="73"/>
      <x:c r="K558" s="73"/>
      <x:c r="L558" s="76"/>
      <x:c r="M558" s="73"/>
      <x:c r="N558" s="73"/>
      <x:c r="O558" s="73"/>
      <x:c r="P558" s="73"/>
      <x:c r="Q558" s="76"/>
      <x:c r="R558" s="73"/>
      <x:c r="S558" s="73"/>
      <x:c r="T558" s="73"/>
      <x:c r="U558" s="73"/>
      <x:c r="V558" s="73"/>
      <x:c r="W558" s="73"/>
      <x:c r="X558" s="73"/>
      <x:c r="Y558" s="73"/>
      <x:c r="Z558" s="73"/>
      <x:c r="AA558" s="73"/>
      <x:c r="AB558" s="76" t="str">
        <x:f>IF(A558="","",IF(OR(NOT(ISNUMBER(I558)),I558&lt;0,NOT(ISNUMBER(AP558)),AP558&lt;0,NOT(ISNUMBER(L558)),L558&lt;1,L558&gt;5,L558&lt;&gt;INT(L558),AND(J558&lt;&gt;"Public",J558&lt;&gt;"Partner",J558&lt;&gt;"Internal",J558&lt;&gt;"None"),AND(K558&lt;&gt;"High",K558&lt;&gt;"Medium",K558&lt;&gt;"Low",K558&lt;&gt;"None"),AND(W558&lt;&gt;"Hard-coded",W558&lt;&gt;"Configurable",W558&lt;&gt;"Policy-managed",W558&lt;&gt;"API/Library abstraction",W558&lt;&gt;"Automated"),AND(Z558&lt;&gt;"Y",Z558&lt;&gt;"N"),AND(AA558&lt;&gt;"Y",AA558&lt;&gt;"N")),"Incomplete",IF(Z558="Y",20,0)+L558*5+IF(AA558="Y",15,0)+IF(J558="Public",10,IF(J558="Partner",7,IF(J558="Internal",3,0)))+IF(W558="Hard-coded",10,IF(W558="Configurable",3,0))+IF(MAX(I558,AP558)&gt;=10,10,IF(MAX(I558,AP558)&gt;=5,7,IF(MAX(I558,AP558)&gt;=2,3,0)))+IF(K558="High",10,IF(K558="Medium",5,0))))</x:f>
      </x:c>
      <x:c r="AC558" s="73" t="str">
        <x:f>IF(A558="","",IF(NOT(ISNUMBER(AB558)),"Review inputs",IF(AB558&gt;=70,"P0 - Immediate",IF(AB558&gt;=50,"P1 - High",IF(AB558&gt;=30,"P2 - Medium",IF(AB558&gt;=15,"P3 - Low","P4 - Monitor"))))))</x:f>
      </x:c>
      <x:c r="AD558" s="73"/>
      <x:c r="AE558" s="73"/>
      <x:c r="AF558" s="73"/>
      <x:c r="AG558" s="77"/>
      <x:c r="AH558" s="73"/>
      <x:c r="AI558" s="91"/>
      <x:c r="AJ558" s="91"/>
      <x:c r="AK558" s="91"/>
      <x:c r="AL558" s="92"/>
      <x:c r="AM558" s="91"/>
      <x:c r="AN558" s="91"/>
      <x:c r="AO558" s="93"/>
      <x:c r="AP558" s="94"/>
      <x:c r="AQ558" s="91"/>
      <x:c r="AR558" s="91"/>
      <x:c r="AS558" s="91"/>
      <x:c r="AT558" s="91"/>
      <x:c r="AU558" s="91"/>
      <x:c r="AV558" s="91"/>
      <x:c r="AW558" s="91"/>
      <x:c r="AX558" s="91"/>
      <x:c r="AY558" s="91"/>
      <x:c r="AZ558" s="92"/>
      <x:c r="BA558" s="94"/>
      <x:c r="BB558" s="91"/>
      <x:c r="BC558" s="92"/>
      <x:c r="BD558" s="92"/>
      <x:c r="BE558" s="91"/>
      <x:c r="BF558" s="91"/>
      <x:c r="BG558" s="91"/>
      <x:c r="BH558" s="91"/>
      <x:c r="BI558" s="91"/>
      <x:c r="BJ558" s="91"/>
      <x:c r="BK558" s="91"/>
      <x:c r="BL558" s="91"/>
      <x:c r="BM558" s="73" t="str">
        <x:f>IF(A558="","",IF(AI558="Example","Example only",IF(AI558&lt;&gt;"Actual","Set record type",IF(COUNTIF($A$2:$A$1001,A558)&gt;1,"Duplicate record ID",IF(OR(D558="",E558="",AF558="",NOT(ISNUMBER(AG558)),AJ558="",AK558="",NOT(ISNUMBER(AL558)),AND(AM558&lt;&gt;"Observed",AM558&lt;&gt;"Corroborated",AM558&lt;&gt;"Declared"),OR(AN558="",AN558="Unknown"),OR(AQ558="",AQ558="Unknown"),OR(AR558="",AR558="Unknown",AR558="TBD"),OR(BC558="",NOT(ISNUMBER(BC558)))),"Evidence incomplete","Evidence recorded; review scope")))))</x:f>
      </x:c>
      <x:c r="BN558" s="73"/>
    </x:row>
    <x:row r="559" ht="34" customHeight="1">
      <x:c r="A559" s="73"/>
      <x:c r="B559" s="73"/>
      <x:c r="C559" s="73"/>
      <x:c r="D559" s="73"/>
      <x:c r="E559" s="73"/>
      <x:c r="F559" s="73"/>
      <x:c r="G559" s="73"/>
      <x:c r="H559" s="73"/>
      <x:c r="I559" s="75"/>
      <x:c r="J559" s="73"/>
      <x:c r="K559" s="73"/>
      <x:c r="L559" s="76"/>
      <x:c r="M559" s="73"/>
      <x:c r="N559" s="73"/>
      <x:c r="O559" s="73"/>
      <x:c r="P559" s="73"/>
      <x:c r="Q559" s="76"/>
      <x:c r="R559" s="73"/>
      <x:c r="S559" s="73"/>
      <x:c r="T559" s="73"/>
      <x:c r="U559" s="73"/>
      <x:c r="V559" s="73"/>
      <x:c r="W559" s="73"/>
      <x:c r="X559" s="73"/>
      <x:c r="Y559" s="73"/>
      <x:c r="Z559" s="73"/>
      <x:c r="AA559" s="73"/>
      <x:c r="AB559" s="76" t="str">
        <x:f>IF(A559="","",IF(OR(NOT(ISNUMBER(I559)),I559&lt;0,NOT(ISNUMBER(AP559)),AP559&lt;0,NOT(ISNUMBER(L559)),L559&lt;1,L559&gt;5,L559&lt;&gt;INT(L559),AND(J559&lt;&gt;"Public",J559&lt;&gt;"Partner",J559&lt;&gt;"Internal",J559&lt;&gt;"None"),AND(K559&lt;&gt;"High",K559&lt;&gt;"Medium",K559&lt;&gt;"Low",K559&lt;&gt;"None"),AND(W559&lt;&gt;"Hard-coded",W559&lt;&gt;"Configurable",W559&lt;&gt;"Policy-managed",W559&lt;&gt;"API/Library abstraction",W559&lt;&gt;"Automated"),AND(Z559&lt;&gt;"Y",Z559&lt;&gt;"N"),AND(AA559&lt;&gt;"Y",AA559&lt;&gt;"N")),"Incomplete",IF(Z559="Y",20,0)+L559*5+IF(AA559="Y",15,0)+IF(J559="Public",10,IF(J559="Partner",7,IF(J559="Internal",3,0)))+IF(W559="Hard-coded",10,IF(W559="Configurable",3,0))+IF(MAX(I559,AP559)&gt;=10,10,IF(MAX(I559,AP559)&gt;=5,7,IF(MAX(I559,AP559)&gt;=2,3,0)))+IF(K559="High",10,IF(K559="Medium",5,0))))</x:f>
      </x:c>
      <x:c r="AC559" s="73" t="str">
        <x:f>IF(A559="","",IF(NOT(ISNUMBER(AB559)),"Review inputs",IF(AB559&gt;=70,"P0 - Immediate",IF(AB559&gt;=50,"P1 - High",IF(AB559&gt;=30,"P2 - Medium",IF(AB559&gt;=15,"P3 - Low","P4 - Monitor"))))))</x:f>
      </x:c>
      <x:c r="AD559" s="73"/>
      <x:c r="AE559" s="73"/>
      <x:c r="AF559" s="73"/>
      <x:c r="AG559" s="77"/>
      <x:c r="AH559" s="73"/>
      <x:c r="AI559" s="91"/>
      <x:c r="AJ559" s="91"/>
      <x:c r="AK559" s="91"/>
      <x:c r="AL559" s="92"/>
      <x:c r="AM559" s="91"/>
      <x:c r="AN559" s="91"/>
      <x:c r="AO559" s="93"/>
      <x:c r="AP559" s="94"/>
      <x:c r="AQ559" s="91"/>
      <x:c r="AR559" s="91"/>
      <x:c r="AS559" s="91"/>
      <x:c r="AT559" s="91"/>
      <x:c r="AU559" s="91"/>
      <x:c r="AV559" s="91"/>
      <x:c r="AW559" s="91"/>
      <x:c r="AX559" s="91"/>
      <x:c r="AY559" s="91"/>
      <x:c r="AZ559" s="92"/>
      <x:c r="BA559" s="94"/>
      <x:c r="BB559" s="91"/>
      <x:c r="BC559" s="92"/>
      <x:c r="BD559" s="92"/>
      <x:c r="BE559" s="91"/>
      <x:c r="BF559" s="91"/>
      <x:c r="BG559" s="91"/>
      <x:c r="BH559" s="91"/>
      <x:c r="BI559" s="91"/>
      <x:c r="BJ559" s="91"/>
      <x:c r="BK559" s="91"/>
      <x:c r="BL559" s="91"/>
      <x:c r="BM559" s="73" t="str">
        <x:f>IF(A559="","",IF(AI559="Example","Example only",IF(AI559&lt;&gt;"Actual","Set record type",IF(COUNTIF($A$2:$A$1001,A559)&gt;1,"Duplicate record ID",IF(OR(D559="",E559="",AF559="",NOT(ISNUMBER(AG559)),AJ559="",AK559="",NOT(ISNUMBER(AL559)),AND(AM559&lt;&gt;"Observed",AM559&lt;&gt;"Corroborated",AM559&lt;&gt;"Declared"),OR(AN559="",AN559="Unknown"),OR(AQ559="",AQ559="Unknown"),OR(AR559="",AR559="Unknown",AR559="TBD"),OR(BC559="",NOT(ISNUMBER(BC559)))),"Evidence incomplete","Evidence recorded; review scope")))))</x:f>
      </x:c>
      <x:c r="BN559" s="73"/>
    </x:row>
    <x:row r="560" ht="34" customHeight="1">
      <x:c r="A560" s="73"/>
      <x:c r="B560" s="73"/>
      <x:c r="C560" s="73"/>
      <x:c r="D560" s="73"/>
      <x:c r="E560" s="73"/>
      <x:c r="F560" s="73"/>
      <x:c r="G560" s="73"/>
      <x:c r="H560" s="73"/>
      <x:c r="I560" s="75"/>
      <x:c r="J560" s="73"/>
      <x:c r="K560" s="73"/>
      <x:c r="L560" s="76"/>
      <x:c r="M560" s="73"/>
      <x:c r="N560" s="73"/>
      <x:c r="O560" s="73"/>
      <x:c r="P560" s="73"/>
      <x:c r="Q560" s="76"/>
      <x:c r="R560" s="73"/>
      <x:c r="S560" s="73"/>
      <x:c r="T560" s="73"/>
      <x:c r="U560" s="73"/>
      <x:c r="V560" s="73"/>
      <x:c r="W560" s="73"/>
      <x:c r="X560" s="73"/>
      <x:c r="Y560" s="73"/>
      <x:c r="Z560" s="73"/>
      <x:c r="AA560" s="73"/>
      <x:c r="AB560" s="76" t="str">
        <x:f>IF(A560="","",IF(OR(NOT(ISNUMBER(I560)),I560&lt;0,NOT(ISNUMBER(AP560)),AP560&lt;0,NOT(ISNUMBER(L560)),L560&lt;1,L560&gt;5,L560&lt;&gt;INT(L560),AND(J560&lt;&gt;"Public",J560&lt;&gt;"Partner",J560&lt;&gt;"Internal",J560&lt;&gt;"None"),AND(K560&lt;&gt;"High",K560&lt;&gt;"Medium",K560&lt;&gt;"Low",K560&lt;&gt;"None"),AND(W560&lt;&gt;"Hard-coded",W560&lt;&gt;"Configurable",W560&lt;&gt;"Policy-managed",W560&lt;&gt;"API/Library abstraction",W560&lt;&gt;"Automated"),AND(Z560&lt;&gt;"Y",Z560&lt;&gt;"N"),AND(AA560&lt;&gt;"Y",AA560&lt;&gt;"N")),"Incomplete",IF(Z560="Y",20,0)+L560*5+IF(AA560="Y",15,0)+IF(J560="Public",10,IF(J560="Partner",7,IF(J560="Internal",3,0)))+IF(W560="Hard-coded",10,IF(W560="Configurable",3,0))+IF(MAX(I560,AP560)&gt;=10,10,IF(MAX(I560,AP560)&gt;=5,7,IF(MAX(I560,AP560)&gt;=2,3,0)))+IF(K560="High",10,IF(K560="Medium",5,0))))</x:f>
      </x:c>
      <x:c r="AC560" s="73" t="str">
        <x:f>IF(A560="","",IF(NOT(ISNUMBER(AB560)),"Review inputs",IF(AB560&gt;=70,"P0 - Immediate",IF(AB560&gt;=50,"P1 - High",IF(AB560&gt;=30,"P2 - Medium",IF(AB560&gt;=15,"P3 - Low","P4 - Monitor"))))))</x:f>
      </x:c>
      <x:c r="AD560" s="73"/>
      <x:c r="AE560" s="73"/>
      <x:c r="AF560" s="73"/>
      <x:c r="AG560" s="77"/>
      <x:c r="AH560" s="73"/>
      <x:c r="AI560" s="91"/>
      <x:c r="AJ560" s="91"/>
      <x:c r="AK560" s="91"/>
      <x:c r="AL560" s="92"/>
      <x:c r="AM560" s="91"/>
      <x:c r="AN560" s="91"/>
      <x:c r="AO560" s="93"/>
      <x:c r="AP560" s="94"/>
      <x:c r="AQ560" s="91"/>
      <x:c r="AR560" s="91"/>
      <x:c r="AS560" s="91"/>
      <x:c r="AT560" s="91"/>
      <x:c r="AU560" s="91"/>
      <x:c r="AV560" s="91"/>
      <x:c r="AW560" s="91"/>
      <x:c r="AX560" s="91"/>
      <x:c r="AY560" s="91"/>
      <x:c r="AZ560" s="92"/>
      <x:c r="BA560" s="94"/>
      <x:c r="BB560" s="91"/>
      <x:c r="BC560" s="92"/>
      <x:c r="BD560" s="92"/>
      <x:c r="BE560" s="91"/>
      <x:c r="BF560" s="91"/>
      <x:c r="BG560" s="91"/>
      <x:c r="BH560" s="91"/>
      <x:c r="BI560" s="91"/>
      <x:c r="BJ560" s="91"/>
      <x:c r="BK560" s="91"/>
      <x:c r="BL560" s="91"/>
      <x:c r="BM560" s="73" t="str">
        <x:f>IF(A560="","",IF(AI560="Example","Example only",IF(AI560&lt;&gt;"Actual","Set record type",IF(COUNTIF($A$2:$A$1001,A560)&gt;1,"Duplicate record ID",IF(OR(D560="",E560="",AF560="",NOT(ISNUMBER(AG560)),AJ560="",AK560="",NOT(ISNUMBER(AL560)),AND(AM560&lt;&gt;"Observed",AM560&lt;&gt;"Corroborated",AM560&lt;&gt;"Declared"),OR(AN560="",AN560="Unknown"),OR(AQ560="",AQ560="Unknown"),OR(AR560="",AR560="Unknown",AR560="TBD"),OR(BC560="",NOT(ISNUMBER(BC560)))),"Evidence incomplete","Evidence recorded; review scope")))))</x:f>
      </x:c>
      <x:c r="BN560" s="73"/>
    </x:row>
    <x:row r="561" ht="34" customHeight="1">
      <x:c r="A561" s="73"/>
      <x:c r="B561" s="73"/>
      <x:c r="C561" s="73"/>
      <x:c r="D561" s="73"/>
      <x:c r="E561" s="73"/>
      <x:c r="F561" s="73"/>
      <x:c r="G561" s="73"/>
      <x:c r="H561" s="73"/>
      <x:c r="I561" s="75"/>
      <x:c r="J561" s="73"/>
      <x:c r="K561" s="73"/>
      <x:c r="L561" s="76"/>
      <x:c r="M561" s="73"/>
      <x:c r="N561" s="73"/>
      <x:c r="O561" s="73"/>
      <x:c r="P561" s="73"/>
      <x:c r="Q561" s="76"/>
      <x:c r="R561" s="73"/>
      <x:c r="S561" s="73"/>
      <x:c r="T561" s="73"/>
      <x:c r="U561" s="73"/>
      <x:c r="V561" s="73"/>
      <x:c r="W561" s="73"/>
      <x:c r="X561" s="73"/>
      <x:c r="Y561" s="73"/>
      <x:c r="Z561" s="73"/>
      <x:c r="AA561" s="73"/>
      <x:c r="AB561" s="76" t="str">
        <x:f>IF(A561="","",IF(OR(NOT(ISNUMBER(I561)),I561&lt;0,NOT(ISNUMBER(AP561)),AP561&lt;0,NOT(ISNUMBER(L561)),L561&lt;1,L561&gt;5,L561&lt;&gt;INT(L561),AND(J561&lt;&gt;"Public",J561&lt;&gt;"Partner",J561&lt;&gt;"Internal",J561&lt;&gt;"None"),AND(K561&lt;&gt;"High",K561&lt;&gt;"Medium",K561&lt;&gt;"Low",K561&lt;&gt;"None"),AND(W561&lt;&gt;"Hard-coded",W561&lt;&gt;"Configurable",W561&lt;&gt;"Policy-managed",W561&lt;&gt;"API/Library abstraction",W561&lt;&gt;"Automated"),AND(Z561&lt;&gt;"Y",Z561&lt;&gt;"N"),AND(AA561&lt;&gt;"Y",AA561&lt;&gt;"N")),"Incomplete",IF(Z561="Y",20,0)+L561*5+IF(AA561="Y",15,0)+IF(J561="Public",10,IF(J561="Partner",7,IF(J561="Internal",3,0)))+IF(W561="Hard-coded",10,IF(W561="Configurable",3,0))+IF(MAX(I561,AP561)&gt;=10,10,IF(MAX(I561,AP561)&gt;=5,7,IF(MAX(I561,AP561)&gt;=2,3,0)))+IF(K561="High",10,IF(K561="Medium",5,0))))</x:f>
      </x:c>
      <x:c r="AC561" s="73" t="str">
        <x:f>IF(A561="","",IF(NOT(ISNUMBER(AB561)),"Review inputs",IF(AB561&gt;=70,"P0 - Immediate",IF(AB561&gt;=50,"P1 - High",IF(AB561&gt;=30,"P2 - Medium",IF(AB561&gt;=15,"P3 - Low","P4 - Monitor"))))))</x:f>
      </x:c>
      <x:c r="AD561" s="73"/>
      <x:c r="AE561" s="73"/>
      <x:c r="AF561" s="73"/>
      <x:c r="AG561" s="77"/>
      <x:c r="AH561" s="73"/>
      <x:c r="AI561" s="91"/>
      <x:c r="AJ561" s="91"/>
      <x:c r="AK561" s="91"/>
      <x:c r="AL561" s="92"/>
      <x:c r="AM561" s="91"/>
      <x:c r="AN561" s="91"/>
      <x:c r="AO561" s="93"/>
      <x:c r="AP561" s="94"/>
      <x:c r="AQ561" s="91"/>
      <x:c r="AR561" s="91"/>
      <x:c r="AS561" s="91"/>
      <x:c r="AT561" s="91"/>
      <x:c r="AU561" s="91"/>
      <x:c r="AV561" s="91"/>
      <x:c r="AW561" s="91"/>
      <x:c r="AX561" s="91"/>
      <x:c r="AY561" s="91"/>
      <x:c r="AZ561" s="92"/>
      <x:c r="BA561" s="94"/>
      <x:c r="BB561" s="91"/>
      <x:c r="BC561" s="92"/>
      <x:c r="BD561" s="92"/>
      <x:c r="BE561" s="91"/>
      <x:c r="BF561" s="91"/>
      <x:c r="BG561" s="91"/>
      <x:c r="BH561" s="91"/>
      <x:c r="BI561" s="91"/>
      <x:c r="BJ561" s="91"/>
      <x:c r="BK561" s="91"/>
      <x:c r="BL561" s="91"/>
      <x:c r="BM561" s="73" t="str">
        <x:f>IF(A561="","",IF(AI561="Example","Example only",IF(AI561&lt;&gt;"Actual","Set record type",IF(COUNTIF($A$2:$A$1001,A561)&gt;1,"Duplicate record ID",IF(OR(D561="",E561="",AF561="",NOT(ISNUMBER(AG561)),AJ561="",AK561="",NOT(ISNUMBER(AL561)),AND(AM561&lt;&gt;"Observed",AM561&lt;&gt;"Corroborated",AM561&lt;&gt;"Declared"),OR(AN561="",AN561="Unknown"),OR(AQ561="",AQ561="Unknown"),OR(AR561="",AR561="Unknown",AR561="TBD"),OR(BC561="",NOT(ISNUMBER(BC561)))),"Evidence incomplete","Evidence recorded; review scope")))))</x:f>
      </x:c>
      <x:c r="BN561" s="73"/>
    </x:row>
    <x:row r="562" ht="34" customHeight="1">
      <x:c r="A562" s="73"/>
      <x:c r="B562" s="73"/>
      <x:c r="C562" s="73"/>
      <x:c r="D562" s="73"/>
      <x:c r="E562" s="73"/>
      <x:c r="F562" s="73"/>
      <x:c r="G562" s="73"/>
      <x:c r="H562" s="73"/>
      <x:c r="I562" s="75"/>
      <x:c r="J562" s="73"/>
      <x:c r="K562" s="73"/>
      <x:c r="L562" s="76"/>
      <x:c r="M562" s="73"/>
      <x:c r="N562" s="73"/>
      <x:c r="O562" s="73"/>
      <x:c r="P562" s="73"/>
      <x:c r="Q562" s="76"/>
      <x:c r="R562" s="73"/>
      <x:c r="S562" s="73"/>
      <x:c r="T562" s="73"/>
      <x:c r="U562" s="73"/>
      <x:c r="V562" s="73"/>
      <x:c r="W562" s="73"/>
      <x:c r="X562" s="73"/>
      <x:c r="Y562" s="73"/>
      <x:c r="Z562" s="73"/>
      <x:c r="AA562" s="73"/>
      <x:c r="AB562" s="76" t="str">
        <x:f>IF(A562="","",IF(OR(NOT(ISNUMBER(I562)),I562&lt;0,NOT(ISNUMBER(AP562)),AP562&lt;0,NOT(ISNUMBER(L562)),L562&lt;1,L562&gt;5,L562&lt;&gt;INT(L562),AND(J562&lt;&gt;"Public",J562&lt;&gt;"Partner",J562&lt;&gt;"Internal",J562&lt;&gt;"None"),AND(K562&lt;&gt;"High",K562&lt;&gt;"Medium",K562&lt;&gt;"Low",K562&lt;&gt;"None"),AND(W562&lt;&gt;"Hard-coded",W562&lt;&gt;"Configurable",W562&lt;&gt;"Policy-managed",W562&lt;&gt;"API/Library abstraction",W562&lt;&gt;"Automated"),AND(Z562&lt;&gt;"Y",Z562&lt;&gt;"N"),AND(AA562&lt;&gt;"Y",AA562&lt;&gt;"N")),"Incomplete",IF(Z562="Y",20,0)+L562*5+IF(AA562="Y",15,0)+IF(J562="Public",10,IF(J562="Partner",7,IF(J562="Internal",3,0)))+IF(W562="Hard-coded",10,IF(W562="Configurable",3,0))+IF(MAX(I562,AP562)&gt;=10,10,IF(MAX(I562,AP562)&gt;=5,7,IF(MAX(I562,AP562)&gt;=2,3,0)))+IF(K562="High",10,IF(K562="Medium",5,0))))</x:f>
      </x:c>
      <x:c r="AC562" s="73" t="str">
        <x:f>IF(A562="","",IF(NOT(ISNUMBER(AB562)),"Review inputs",IF(AB562&gt;=70,"P0 - Immediate",IF(AB562&gt;=50,"P1 - High",IF(AB562&gt;=30,"P2 - Medium",IF(AB562&gt;=15,"P3 - Low","P4 - Monitor"))))))</x:f>
      </x:c>
      <x:c r="AD562" s="73"/>
      <x:c r="AE562" s="73"/>
      <x:c r="AF562" s="73"/>
      <x:c r="AG562" s="77"/>
      <x:c r="AH562" s="73"/>
      <x:c r="AI562" s="91"/>
      <x:c r="AJ562" s="91"/>
      <x:c r="AK562" s="91"/>
      <x:c r="AL562" s="92"/>
      <x:c r="AM562" s="91"/>
      <x:c r="AN562" s="91"/>
      <x:c r="AO562" s="93"/>
      <x:c r="AP562" s="94"/>
      <x:c r="AQ562" s="91"/>
      <x:c r="AR562" s="91"/>
      <x:c r="AS562" s="91"/>
      <x:c r="AT562" s="91"/>
      <x:c r="AU562" s="91"/>
      <x:c r="AV562" s="91"/>
      <x:c r="AW562" s="91"/>
      <x:c r="AX562" s="91"/>
      <x:c r="AY562" s="91"/>
      <x:c r="AZ562" s="92"/>
      <x:c r="BA562" s="94"/>
      <x:c r="BB562" s="91"/>
      <x:c r="BC562" s="92"/>
      <x:c r="BD562" s="92"/>
      <x:c r="BE562" s="91"/>
      <x:c r="BF562" s="91"/>
      <x:c r="BG562" s="91"/>
      <x:c r="BH562" s="91"/>
      <x:c r="BI562" s="91"/>
      <x:c r="BJ562" s="91"/>
      <x:c r="BK562" s="91"/>
      <x:c r="BL562" s="91"/>
      <x:c r="BM562" s="73" t="str">
        <x:f>IF(A562="","",IF(AI562="Example","Example only",IF(AI562&lt;&gt;"Actual","Set record type",IF(COUNTIF($A$2:$A$1001,A562)&gt;1,"Duplicate record ID",IF(OR(D562="",E562="",AF562="",NOT(ISNUMBER(AG562)),AJ562="",AK562="",NOT(ISNUMBER(AL562)),AND(AM562&lt;&gt;"Observed",AM562&lt;&gt;"Corroborated",AM562&lt;&gt;"Declared"),OR(AN562="",AN562="Unknown"),OR(AQ562="",AQ562="Unknown"),OR(AR562="",AR562="Unknown",AR562="TBD"),OR(BC562="",NOT(ISNUMBER(BC562)))),"Evidence incomplete","Evidence recorded; review scope")))))</x:f>
      </x:c>
      <x:c r="BN562" s="73"/>
    </x:row>
    <x:row r="563" ht="34" customHeight="1">
      <x:c r="A563" s="73"/>
      <x:c r="B563" s="73"/>
      <x:c r="C563" s="73"/>
      <x:c r="D563" s="73"/>
      <x:c r="E563" s="73"/>
      <x:c r="F563" s="73"/>
      <x:c r="G563" s="73"/>
      <x:c r="H563" s="73"/>
      <x:c r="I563" s="75"/>
      <x:c r="J563" s="73"/>
      <x:c r="K563" s="73"/>
      <x:c r="L563" s="76"/>
      <x:c r="M563" s="73"/>
      <x:c r="N563" s="73"/>
      <x:c r="O563" s="73"/>
      <x:c r="P563" s="73"/>
      <x:c r="Q563" s="76"/>
      <x:c r="R563" s="73"/>
      <x:c r="S563" s="73"/>
      <x:c r="T563" s="73"/>
      <x:c r="U563" s="73"/>
      <x:c r="V563" s="73"/>
      <x:c r="W563" s="73"/>
      <x:c r="X563" s="73"/>
      <x:c r="Y563" s="73"/>
      <x:c r="Z563" s="73"/>
      <x:c r="AA563" s="73"/>
      <x:c r="AB563" s="76" t="str">
        <x:f>IF(A563="","",IF(OR(NOT(ISNUMBER(I563)),I563&lt;0,NOT(ISNUMBER(AP563)),AP563&lt;0,NOT(ISNUMBER(L563)),L563&lt;1,L563&gt;5,L563&lt;&gt;INT(L563),AND(J563&lt;&gt;"Public",J563&lt;&gt;"Partner",J563&lt;&gt;"Internal",J563&lt;&gt;"None"),AND(K563&lt;&gt;"High",K563&lt;&gt;"Medium",K563&lt;&gt;"Low",K563&lt;&gt;"None"),AND(W563&lt;&gt;"Hard-coded",W563&lt;&gt;"Configurable",W563&lt;&gt;"Policy-managed",W563&lt;&gt;"API/Library abstraction",W563&lt;&gt;"Automated"),AND(Z563&lt;&gt;"Y",Z563&lt;&gt;"N"),AND(AA563&lt;&gt;"Y",AA563&lt;&gt;"N")),"Incomplete",IF(Z563="Y",20,0)+L563*5+IF(AA563="Y",15,0)+IF(J563="Public",10,IF(J563="Partner",7,IF(J563="Internal",3,0)))+IF(W563="Hard-coded",10,IF(W563="Configurable",3,0))+IF(MAX(I563,AP563)&gt;=10,10,IF(MAX(I563,AP563)&gt;=5,7,IF(MAX(I563,AP563)&gt;=2,3,0)))+IF(K563="High",10,IF(K563="Medium",5,0))))</x:f>
      </x:c>
      <x:c r="AC563" s="73" t="str">
        <x:f>IF(A563="","",IF(NOT(ISNUMBER(AB563)),"Review inputs",IF(AB563&gt;=70,"P0 - Immediate",IF(AB563&gt;=50,"P1 - High",IF(AB563&gt;=30,"P2 - Medium",IF(AB563&gt;=15,"P3 - Low","P4 - Monitor"))))))</x:f>
      </x:c>
      <x:c r="AD563" s="73"/>
      <x:c r="AE563" s="73"/>
      <x:c r="AF563" s="73"/>
      <x:c r="AG563" s="77"/>
      <x:c r="AH563" s="73"/>
      <x:c r="AI563" s="91"/>
      <x:c r="AJ563" s="91"/>
      <x:c r="AK563" s="91"/>
      <x:c r="AL563" s="92"/>
      <x:c r="AM563" s="91"/>
      <x:c r="AN563" s="91"/>
      <x:c r="AO563" s="93"/>
      <x:c r="AP563" s="94"/>
      <x:c r="AQ563" s="91"/>
      <x:c r="AR563" s="91"/>
      <x:c r="AS563" s="91"/>
      <x:c r="AT563" s="91"/>
      <x:c r="AU563" s="91"/>
      <x:c r="AV563" s="91"/>
      <x:c r="AW563" s="91"/>
      <x:c r="AX563" s="91"/>
      <x:c r="AY563" s="91"/>
      <x:c r="AZ563" s="92"/>
      <x:c r="BA563" s="94"/>
      <x:c r="BB563" s="91"/>
      <x:c r="BC563" s="92"/>
      <x:c r="BD563" s="92"/>
      <x:c r="BE563" s="91"/>
      <x:c r="BF563" s="91"/>
      <x:c r="BG563" s="91"/>
      <x:c r="BH563" s="91"/>
      <x:c r="BI563" s="91"/>
      <x:c r="BJ563" s="91"/>
      <x:c r="BK563" s="91"/>
      <x:c r="BL563" s="91"/>
      <x:c r="BM563" s="73" t="str">
        <x:f>IF(A563="","",IF(AI563="Example","Example only",IF(AI563&lt;&gt;"Actual","Set record type",IF(COUNTIF($A$2:$A$1001,A563)&gt;1,"Duplicate record ID",IF(OR(D563="",E563="",AF563="",NOT(ISNUMBER(AG563)),AJ563="",AK563="",NOT(ISNUMBER(AL563)),AND(AM563&lt;&gt;"Observed",AM563&lt;&gt;"Corroborated",AM563&lt;&gt;"Declared"),OR(AN563="",AN563="Unknown"),OR(AQ563="",AQ563="Unknown"),OR(AR563="",AR563="Unknown",AR563="TBD"),OR(BC563="",NOT(ISNUMBER(BC563)))),"Evidence incomplete","Evidence recorded; review scope")))))</x:f>
      </x:c>
      <x:c r="BN563" s="73"/>
    </x:row>
    <x:row r="564" ht="34" customHeight="1">
      <x:c r="A564" s="73"/>
      <x:c r="B564" s="73"/>
      <x:c r="C564" s="73"/>
      <x:c r="D564" s="73"/>
      <x:c r="E564" s="73"/>
      <x:c r="F564" s="73"/>
      <x:c r="G564" s="73"/>
      <x:c r="H564" s="73"/>
      <x:c r="I564" s="75"/>
      <x:c r="J564" s="73"/>
      <x:c r="K564" s="73"/>
      <x:c r="L564" s="76"/>
      <x:c r="M564" s="73"/>
      <x:c r="N564" s="73"/>
      <x:c r="O564" s="73"/>
      <x:c r="P564" s="73"/>
      <x:c r="Q564" s="76"/>
      <x:c r="R564" s="73"/>
      <x:c r="S564" s="73"/>
      <x:c r="T564" s="73"/>
      <x:c r="U564" s="73"/>
      <x:c r="V564" s="73"/>
      <x:c r="W564" s="73"/>
      <x:c r="X564" s="73"/>
      <x:c r="Y564" s="73"/>
      <x:c r="Z564" s="73"/>
      <x:c r="AA564" s="73"/>
      <x:c r="AB564" s="76" t="str">
        <x:f>IF(A564="","",IF(OR(NOT(ISNUMBER(I564)),I564&lt;0,NOT(ISNUMBER(AP564)),AP564&lt;0,NOT(ISNUMBER(L564)),L564&lt;1,L564&gt;5,L564&lt;&gt;INT(L564),AND(J564&lt;&gt;"Public",J564&lt;&gt;"Partner",J564&lt;&gt;"Internal",J564&lt;&gt;"None"),AND(K564&lt;&gt;"High",K564&lt;&gt;"Medium",K564&lt;&gt;"Low",K564&lt;&gt;"None"),AND(W564&lt;&gt;"Hard-coded",W564&lt;&gt;"Configurable",W564&lt;&gt;"Policy-managed",W564&lt;&gt;"API/Library abstraction",W564&lt;&gt;"Automated"),AND(Z564&lt;&gt;"Y",Z564&lt;&gt;"N"),AND(AA564&lt;&gt;"Y",AA564&lt;&gt;"N")),"Incomplete",IF(Z564="Y",20,0)+L564*5+IF(AA564="Y",15,0)+IF(J564="Public",10,IF(J564="Partner",7,IF(J564="Internal",3,0)))+IF(W564="Hard-coded",10,IF(W564="Configurable",3,0))+IF(MAX(I564,AP564)&gt;=10,10,IF(MAX(I564,AP564)&gt;=5,7,IF(MAX(I564,AP564)&gt;=2,3,0)))+IF(K564="High",10,IF(K564="Medium",5,0))))</x:f>
      </x:c>
      <x:c r="AC564" s="73" t="str">
        <x:f>IF(A564="","",IF(NOT(ISNUMBER(AB564)),"Review inputs",IF(AB564&gt;=70,"P0 - Immediate",IF(AB564&gt;=50,"P1 - High",IF(AB564&gt;=30,"P2 - Medium",IF(AB564&gt;=15,"P3 - Low","P4 - Monitor"))))))</x:f>
      </x:c>
      <x:c r="AD564" s="73"/>
      <x:c r="AE564" s="73"/>
      <x:c r="AF564" s="73"/>
      <x:c r="AG564" s="77"/>
      <x:c r="AH564" s="73"/>
      <x:c r="AI564" s="91"/>
      <x:c r="AJ564" s="91"/>
      <x:c r="AK564" s="91"/>
      <x:c r="AL564" s="92"/>
      <x:c r="AM564" s="91"/>
      <x:c r="AN564" s="91"/>
      <x:c r="AO564" s="93"/>
      <x:c r="AP564" s="94"/>
      <x:c r="AQ564" s="91"/>
      <x:c r="AR564" s="91"/>
      <x:c r="AS564" s="91"/>
      <x:c r="AT564" s="91"/>
      <x:c r="AU564" s="91"/>
      <x:c r="AV564" s="91"/>
      <x:c r="AW564" s="91"/>
      <x:c r="AX564" s="91"/>
      <x:c r="AY564" s="91"/>
      <x:c r="AZ564" s="92"/>
      <x:c r="BA564" s="94"/>
      <x:c r="BB564" s="91"/>
      <x:c r="BC564" s="92"/>
      <x:c r="BD564" s="92"/>
      <x:c r="BE564" s="91"/>
      <x:c r="BF564" s="91"/>
      <x:c r="BG564" s="91"/>
      <x:c r="BH564" s="91"/>
      <x:c r="BI564" s="91"/>
      <x:c r="BJ564" s="91"/>
      <x:c r="BK564" s="91"/>
      <x:c r="BL564" s="91"/>
      <x:c r="BM564" s="73" t="str">
        <x:f>IF(A564="","",IF(AI564="Example","Example only",IF(AI564&lt;&gt;"Actual","Set record type",IF(COUNTIF($A$2:$A$1001,A564)&gt;1,"Duplicate record ID",IF(OR(D564="",E564="",AF564="",NOT(ISNUMBER(AG564)),AJ564="",AK564="",NOT(ISNUMBER(AL564)),AND(AM564&lt;&gt;"Observed",AM564&lt;&gt;"Corroborated",AM564&lt;&gt;"Declared"),OR(AN564="",AN564="Unknown"),OR(AQ564="",AQ564="Unknown"),OR(AR564="",AR564="Unknown",AR564="TBD"),OR(BC564="",NOT(ISNUMBER(BC564)))),"Evidence incomplete","Evidence recorded; review scope")))))</x:f>
      </x:c>
      <x:c r="BN564" s="73"/>
    </x:row>
    <x:row r="565" ht="34" customHeight="1">
      <x:c r="A565" s="73"/>
      <x:c r="B565" s="73"/>
      <x:c r="C565" s="73"/>
      <x:c r="D565" s="73"/>
      <x:c r="E565" s="73"/>
      <x:c r="F565" s="73"/>
      <x:c r="G565" s="73"/>
      <x:c r="H565" s="73"/>
      <x:c r="I565" s="75"/>
      <x:c r="J565" s="73"/>
      <x:c r="K565" s="73"/>
      <x:c r="L565" s="76"/>
      <x:c r="M565" s="73"/>
      <x:c r="N565" s="73"/>
      <x:c r="O565" s="73"/>
      <x:c r="P565" s="73"/>
      <x:c r="Q565" s="76"/>
      <x:c r="R565" s="73"/>
      <x:c r="S565" s="73"/>
      <x:c r="T565" s="73"/>
      <x:c r="U565" s="73"/>
      <x:c r="V565" s="73"/>
      <x:c r="W565" s="73"/>
      <x:c r="X565" s="73"/>
      <x:c r="Y565" s="73"/>
      <x:c r="Z565" s="73"/>
      <x:c r="AA565" s="73"/>
      <x:c r="AB565" s="76" t="str">
        <x:f>IF(A565="","",IF(OR(NOT(ISNUMBER(I565)),I565&lt;0,NOT(ISNUMBER(AP565)),AP565&lt;0,NOT(ISNUMBER(L565)),L565&lt;1,L565&gt;5,L565&lt;&gt;INT(L565),AND(J565&lt;&gt;"Public",J565&lt;&gt;"Partner",J565&lt;&gt;"Internal",J565&lt;&gt;"None"),AND(K565&lt;&gt;"High",K565&lt;&gt;"Medium",K565&lt;&gt;"Low",K565&lt;&gt;"None"),AND(W565&lt;&gt;"Hard-coded",W565&lt;&gt;"Configurable",W565&lt;&gt;"Policy-managed",W565&lt;&gt;"API/Library abstraction",W565&lt;&gt;"Automated"),AND(Z565&lt;&gt;"Y",Z565&lt;&gt;"N"),AND(AA565&lt;&gt;"Y",AA565&lt;&gt;"N")),"Incomplete",IF(Z565="Y",20,0)+L565*5+IF(AA565="Y",15,0)+IF(J565="Public",10,IF(J565="Partner",7,IF(J565="Internal",3,0)))+IF(W565="Hard-coded",10,IF(W565="Configurable",3,0))+IF(MAX(I565,AP565)&gt;=10,10,IF(MAX(I565,AP565)&gt;=5,7,IF(MAX(I565,AP565)&gt;=2,3,0)))+IF(K565="High",10,IF(K565="Medium",5,0))))</x:f>
      </x:c>
      <x:c r="AC565" s="73" t="str">
        <x:f>IF(A565="","",IF(NOT(ISNUMBER(AB565)),"Review inputs",IF(AB565&gt;=70,"P0 - Immediate",IF(AB565&gt;=50,"P1 - High",IF(AB565&gt;=30,"P2 - Medium",IF(AB565&gt;=15,"P3 - Low","P4 - Monitor"))))))</x:f>
      </x:c>
      <x:c r="AD565" s="73"/>
      <x:c r="AE565" s="73"/>
      <x:c r="AF565" s="73"/>
      <x:c r="AG565" s="77"/>
      <x:c r="AH565" s="73"/>
      <x:c r="AI565" s="91"/>
      <x:c r="AJ565" s="91"/>
      <x:c r="AK565" s="91"/>
      <x:c r="AL565" s="92"/>
      <x:c r="AM565" s="91"/>
      <x:c r="AN565" s="91"/>
      <x:c r="AO565" s="93"/>
      <x:c r="AP565" s="94"/>
      <x:c r="AQ565" s="91"/>
      <x:c r="AR565" s="91"/>
      <x:c r="AS565" s="91"/>
      <x:c r="AT565" s="91"/>
      <x:c r="AU565" s="91"/>
      <x:c r="AV565" s="91"/>
      <x:c r="AW565" s="91"/>
      <x:c r="AX565" s="91"/>
      <x:c r="AY565" s="91"/>
      <x:c r="AZ565" s="92"/>
      <x:c r="BA565" s="94"/>
      <x:c r="BB565" s="91"/>
      <x:c r="BC565" s="92"/>
      <x:c r="BD565" s="92"/>
      <x:c r="BE565" s="91"/>
      <x:c r="BF565" s="91"/>
      <x:c r="BG565" s="91"/>
      <x:c r="BH565" s="91"/>
      <x:c r="BI565" s="91"/>
      <x:c r="BJ565" s="91"/>
      <x:c r="BK565" s="91"/>
      <x:c r="BL565" s="91"/>
      <x:c r="BM565" s="73" t="str">
        <x:f>IF(A565="","",IF(AI565="Example","Example only",IF(AI565&lt;&gt;"Actual","Set record type",IF(COUNTIF($A$2:$A$1001,A565)&gt;1,"Duplicate record ID",IF(OR(D565="",E565="",AF565="",NOT(ISNUMBER(AG565)),AJ565="",AK565="",NOT(ISNUMBER(AL565)),AND(AM565&lt;&gt;"Observed",AM565&lt;&gt;"Corroborated",AM565&lt;&gt;"Declared"),OR(AN565="",AN565="Unknown"),OR(AQ565="",AQ565="Unknown"),OR(AR565="",AR565="Unknown",AR565="TBD"),OR(BC565="",NOT(ISNUMBER(BC565)))),"Evidence incomplete","Evidence recorded; review scope")))))</x:f>
      </x:c>
      <x:c r="BN565" s="73"/>
    </x:row>
    <x:row r="566" ht="34" customHeight="1">
      <x:c r="A566" s="73"/>
      <x:c r="B566" s="73"/>
      <x:c r="C566" s="73"/>
      <x:c r="D566" s="73"/>
      <x:c r="E566" s="73"/>
      <x:c r="F566" s="73"/>
      <x:c r="G566" s="73"/>
      <x:c r="H566" s="73"/>
      <x:c r="I566" s="75"/>
      <x:c r="J566" s="73"/>
      <x:c r="K566" s="73"/>
      <x:c r="L566" s="76"/>
      <x:c r="M566" s="73"/>
      <x:c r="N566" s="73"/>
      <x:c r="O566" s="73"/>
      <x:c r="P566" s="73"/>
      <x:c r="Q566" s="76"/>
      <x:c r="R566" s="73"/>
      <x:c r="S566" s="73"/>
      <x:c r="T566" s="73"/>
      <x:c r="U566" s="73"/>
      <x:c r="V566" s="73"/>
      <x:c r="W566" s="73"/>
      <x:c r="X566" s="73"/>
      <x:c r="Y566" s="73"/>
      <x:c r="Z566" s="73"/>
      <x:c r="AA566" s="73"/>
      <x:c r="AB566" s="76" t="str">
        <x:f>IF(A566="","",IF(OR(NOT(ISNUMBER(I566)),I566&lt;0,NOT(ISNUMBER(AP566)),AP566&lt;0,NOT(ISNUMBER(L566)),L566&lt;1,L566&gt;5,L566&lt;&gt;INT(L566),AND(J566&lt;&gt;"Public",J566&lt;&gt;"Partner",J566&lt;&gt;"Internal",J566&lt;&gt;"None"),AND(K566&lt;&gt;"High",K566&lt;&gt;"Medium",K566&lt;&gt;"Low",K566&lt;&gt;"None"),AND(W566&lt;&gt;"Hard-coded",W566&lt;&gt;"Configurable",W566&lt;&gt;"Policy-managed",W566&lt;&gt;"API/Library abstraction",W566&lt;&gt;"Automated"),AND(Z566&lt;&gt;"Y",Z566&lt;&gt;"N"),AND(AA566&lt;&gt;"Y",AA566&lt;&gt;"N")),"Incomplete",IF(Z566="Y",20,0)+L566*5+IF(AA566="Y",15,0)+IF(J566="Public",10,IF(J566="Partner",7,IF(J566="Internal",3,0)))+IF(W566="Hard-coded",10,IF(W566="Configurable",3,0))+IF(MAX(I566,AP566)&gt;=10,10,IF(MAX(I566,AP566)&gt;=5,7,IF(MAX(I566,AP566)&gt;=2,3,0)))+IF(K566="High",10,IF(K566="Medium",5,0))))</x:f>
      </x:c>
      <x:c r="AC566" s="73" t="str">
        <x:f>IF(A566="","",IF(NOT(ISNUMBER(AB566)),"Review inputs",IF(AB566&gt;=70,"P0 - Immediate",IF(AB566&gt;=50,"P1 - High",IF(AB566&gt;=30,"P2 - Medium",IF(AB566&gt;=15,"P3 - Low","P4 - Monitor"))))))</x:f>
      </x:c>
      <x:c r="AD566" s="73"/>
      <x:c r="AE566" s="73"/>
      <x:c r="AF566" s="73"/>
      <x:c r="AG566" s="77"/>
      <x:c r="AH566" s="73"/>
      <x:c r="AI566" s="91"/>
      <x:c r="AJ566" s="91"/>
      <x:c r="AK566" s="91"/>
      <x:c r="AL566" s="92"/>
      <x:c r="AM566" s="91"/>
      <x:c r="AN566" s="91"/>
      <x:c r="AO566" s="93"/>
      <x:c r="AP566" s="94"/>
      <x:c r="AQ566" s="91"/>
      <x:c r="AR566" s="91"/>
      <x:c r="AS566" s="91"/>
      <x:c r="AT566" s="91"/>
      <x:c r="AU566" s="91"/>
      <x:c r="AV566" s="91"/>
      <x:c r="AW566" s="91"/>
      <x:c r="AX566" s="91"/>
      <x:c r="AY566" s="91"/>
      <x:c r="AZ566" s="92"/>
      <x:c r="BA566" s="94"/>
      <x:c r="BB566" s="91"/>
      <x:c r="BC566" s="92"/>
      <x:c r="BD566" s="92"/>
      <x:c r="BE566" s="91"/>
      <x:c r="BF566" s="91"/>
      <x:c r="BG566" s="91"/>
      <x:c r="BH566" s="91"/>
      <x:c r="BI566" s="91"/>
      <x:c r="BJ566" s="91"/>
      <x:c r="BK566" s="91"/>
      <x:c r="BL566" s="91"/>
      <x:c r="BM566" s="73" t="str">
        <x:f>IF(A566="","",IF(AI566="Example","Example only",IF(AI566&lt;&gt;"Actual","Set record type",IF(COUNTIF($A$2:$A$1001,A566)&gt;1,"Duplicate record ID",IF(OR(D566="",E566="",AF566="",NOT(ISNUMBER(AG566)),AJ566="",AK566="",NOT(ISNUMBER(AL566)),AND(AM566&lt;&gt;"Observed",AM566&lt;&gt;"Corroborated",AM566&lt;&gt;"Declared"),OR(AN566="",AN566="Unknown"),OR(AQ566="",AQ566="Unknown"),OR(AR566="",AR566="Unknown",AR566="TBD"),OR(BC566="",NOT(ISNUMBER(BC566)))),"Evidence incomplete","Evidence recorded; review scope")))))</x:f>
      </x:c>
      <x:c r="BN566" s="73"/>
    </x:row>
    <x:row r="567" ht="34" customHeight="1">
      <x:c r="A567" s="73"/>
      <x:c r="B567" s="73"/>
      <x:c r="C567" s="73"/>
      <x:c r="D567" s="73"/>
      <x:c r="E567" s="73"/>
      <x:c r="F567" s="73"/>
      <x:c r="G567" s="73"/>
      <x:c r="H567" s="73"/>
      <x:c r="I567" s="75"/>
      <x:c r="J567" s="73"/>
      <x:c r="K567" s="73"/>
      <x:c r="L567" s="76"/>
      <x:c r="M567" s="73"/>
      <x:c r="N567" s="73"/>
      <x:c r="O567" s="73"/>
      <x:c r="P567" s="73"/>
      <x:c r="Q567" s="76"/>
      <x:c r="R567" s="73"/>
      <x:c r="S567" s="73"/>
      <x:c r="T567" s="73"/>
      <x:c r="U567" s="73"/>
      <x:c r="V567" s="73"/>
      <x:c r="W567" s="73"/>
      <x:c r="X567" s="73"/>
      <x:c r="Y567" s="73"/>
      <x:c r="Z567" s="73"/>
      <x:c r="AA567" s="73"/>
      <x:c r="AB567" s="76" t="str">
        <x:f>IF(A567="","",IF(OR(NOT(ISNUMBER(I567)),I567&lt;0,NOT(ISNUMBER(AP567)),AP567&lt;0,NOT(ISNUMBER(L567)),L567&lt;1,L567&gt;5,L567&lt;&gt;INT(L567),AND(J567&lt;&gt;"Public",J567&lt;&gt;"Partner",J567&lt;&gt;"Internal",J567&lt;&gt;"None"),AND(K567&lt;&gt;"High",K567&lt;&gt;"Medium",K567&lt;&gt;"Low",K567&lt;&gt;"None"),AND(W567&lt;&gt;"Hard-coded",W567&lt;&gt;"Configurable",W567&lt;&gt;"Policy-managed",W567&lt;&gt;"API/Library abstraction",W567&lt;&gt;"Automated"),AND(Z567&lt;&gt;"Y",Z567&lt;&gt;"N"),AND(AA567&lt;&gt;"Y",AA567&lt;&gt;"N")),"Incomplete",IF(Z567="Y",20,0)+L567*5+IF(AA567="Y",15,0)+IF(J567="Public",10,IF(J567="Partner",7,IF(J567="Internal",3,0)))+IF(W567="Hard-coded",10,IF(W567="Configurable",3,0))+IF(MAX(I567,AP567)&gt;=10,10,IF(MAX(I567,AP567)&gt;=5,7,IF(MAX(I567,AP567)&gt;=2,3,0)))+IF(K567="High",10,IF(K567="Medium",5,0))))</x:f>
      </x:c>
      <x:c r="AC567" s="73" t="str">
        <x:f>IF(A567="","",IF(NOT(ISNUMBER(AB567)),"Review inputs",IF(AB567&gt;=70,"P0 - Immediate",IF(AB567&gt;=50,"P1 - High",IF(AB567&gt;=30,"P2 - Medium",IF(AB567&gt;=15,"P3 - Low","P4 - Monitor"))))))</x:f>
      </x:c>
      <x:c r="AD567" s="73"/>
      <x:c r="AE567" s="73"/>
      <x:c r="AF567" s="73"/>
      <x:c r="AG567" s="77"/>
      <x:c r="AH567" s="73"/>
      <x:c r="AI567" s="91"/>
      <x:c r="AJ567" s="91"/>
      <x:c r="AK567" s="91"/>
      <x:c r="AL567" s="92"/>
      <x:c r="AM567" s="91"/>
      <x:c r="AN567" s="91"/>
      <x:c r="AO567" s="93"/>
      <x:c r="AP567" s="94"/>
      <x:c r="AQ567" s="91"/>
      <x:c r="AR567" s="91"/>
      <x:c r="AS567" s="91"/>
      <x:c r="AT567" s="91"/>
      <x:c r="AU567" s="91"/>
      <x:c r="AV567" s="91"/>
      <x:c r="AW567" s="91"/>
      <x:c r="AX567" s="91"/>
      <x:c r="AY567" s="91"/>
      <x:c r="AZ567" s="92"/>
      <x:c r="BA567" s="94"/>
      <x:c r="BB567" s="91"/>
      <x:c r="BC567" s="92"/>
      <x:c r="BD567" s="92"/>
      <x:c r="BE567" s="91"/>
      <x:c r="BF567" s="91"/>
      <x:c r="BG567" s="91"/>
      <x:c r="BH567" s="91"/>
      <x:c r="BI567" s="91"/>
      <x:c r="BJ567" s="91"/>
      <x:c r="BK567" s="91"/>
      <x:c r="BL567" s="91"/>
      <x:c r="BM567" s="73" t="str">
        <x:f>IF(A567="","",IF(AI567="Example","Example only",IF(AI567&lt;&gt;"Actual","Set record type",IF(COUNTIF($A$2:$A$1001,A567)&gt;1,"Duplicate record ID",IF(OR(D567="",E567="",AF567="",NOT(ISNUMBER(AG567)),AJ567="",AK567="",NOT(ISNUMBER(AL567)),AND(AM567&lt;&gt;"Observed",AM567&lt;&gt;"Corroborated",AM567&lt;&gt;"Declared"),OR(AN567="",AN567="Unknown"),OR(AQ567="",AQ567="Unknown"),OR(AR567="",AR567="Unknown",AR567="TBD"),OR(BC567="",NOT(ISNUMBER(BC567)))),"Evidence incomplete","Evidence recorded; review scope")))))</x:f>
      </x:c>
      <x:c r="BN567" s="73"/>
    </x:row>
    <x:row r="568" ht="34" customHeight="1">
      <x:c r="A568" s="73"/>
      <x:c r="B568" s="73"/>
      <x:c r="C568" s="73"/>
      <x:c r="D568" s="73"/>
      <x:c r="E568" s="73"/>
      <x:c r="F568" s="73"/>
      <x:c r="G568" s="73"/>
      <x:c r="H568" s="73"/>
      <x:c r="I568" s="75"/>
      <x:c r="J568" s="73"/>
      <x:c r="K568" s="73"/>
      <x:c r="L568" s="76"/>
      <x:c r="M568" s="73"/>
      <x:c r="N568" s="73"/>
      <x:c r="O568" s="73"/>
      <x:c r="P568" s="73"/>
      <x:c r="Q568" s="76"/>
      <x:c r="R568" s="73"/>
      <x:c r="S568" s="73"/>
      <x:c r="T568" s="73"/>
      <x:c r="U568" s="73"/>
      <x:c r="V568" s="73"/>
      <x:c r="W568" s="73"/>
      <x:c r="X568" s="73"/>
      <x:c r="Y568" s="73"/>
      <x:c r="Z568" s="73"/>
      <x:c r="AA568" s="73"/>
      <x:c r="AB568" s="76" t="str">
        <x:f>IF(A568="","",IF(OR(NOT(ISNUMBER(I568)),I568&lt;0,NOT(ISNUMBER(AP568)),AP568&lt;0,NOT(ISNUMBER(L568)),L568&lt;1,L568&gt;5,L568&lt;&gt;INT(L568),AND(J568&lt;&gt;"Public",J568&lt;&gt;"Partner",J568&lt;&gt;"Internal",J568&lt;&gt;"None"),AND(K568&lt;&gt;"High",K568&lt;&gt;"Medium",K568&lt;&gt;"Low",K568&lt;&gt;"None"),AND(W568&lt;&gt;"Hard-coded",W568&lt;&gt;"Configurable",W568&lt;&gt;"Policy-managed",W568&lt;&gt;"API/Library abstraction",W568&lt;&gt;"Automated"),AND(Z568&lt;&gt;"Y",Z568&lt;&gt;"N"),AND(AA568&lt;&gt;"Y",AA568&lt;&gt;"N")),"Incomplete",IF(Z568="Y",20,0)+L568*5+IF(AA568="Y",15,0)+IF(J568="Public",10,IF(J568="Partner",7,IF(J568="Internal",3,0)))+IF(W568="Hard-coded",10,IF(W568="Configurable",3,0))+IF(MAX(I568,AP568)&gt;=10,10,IF(MAX(I568,AP568)&gt;=5,7,IF(MAX(I568,AP568)&gt;=2,3,0)))+IF(K568="High",10,IF(K568="Medium",5,0))))</x:f>
      </x:c>
      <x:c r="AC568" s="73" t="str">
        <x:f>IF(A568="","",IF(NOT(ISNUMBER(AB568)),"Review inputs",IF(AB568&gt;=70,"P0 - Immediate",IF(AB568&gt;=50,"P1 - High",IF(AB568&gt;=30,"P2 - Medium",IF(AB568&gt;=15,"P3 - Low","P4 - Monitor"))))))</x:f>
      </x:c>
      <x:c r="AD568" s="73"/>
      <x:c r="AE568" s="73"/>
      <x:c r="AF568" s="73"/>
      <x:c r="AG568" s="77"/>
      <x:c r="AH568" s="73"/>
      <x:c r="AI568" s="91"/>
      <x:c r="AJ568" s="91"/>
      <x:c r="AK568" s="91"/>
      <x:c r="AL568" s="92"/>
      <x:c r="AM568" s="91"/>
      <x:c r="AN568" s="91"/>
      <x:c r="AO568" s="93"/>
      <x:c r="AP568" s="94"/>
      <x:c r="AQ568" s="91"/>
      <x:c r="AR568" s="91"/>
      <x:c r="AS568" s="91"/>
      <x:c r="AT568" s="91"/>
      <x:c r="AU568" s="91"/>
      <x:c r="AV568" s="91"/>
      <x:c r="AW568" s="91"/>
      <x:c r="AX568" s="91"/>
      <x:c r="AY568" s="91"/>
      <x:c r="AZ568" s="92"/>
      <x:c r="BA568" s="94"/>
      <x:c r="BB568" s="91"/>
      <x:c r="BC568" s="92"/>
      <x:c r="BD568" s="92"/>
      <x:c r="BE568" s="91"/>
      <x:c r="BF568" s="91"/>
      <x:c r="BG568" s="91"/>
      <x:c r="BH568" s="91"/>
      <x:c r="BI568" s="91"/>
      <x:c r="BJ568" s="91"/>
      <x:c r="BK568" s="91"/>
      <x:c r="BL568" s="91"/>
      <x:c r="BM568" s="73" t="str">
        <x:f>IF(A568="","",IF(AI568="Example","Example only",IF(AI568&lt;&gt;"Actual","Set record type",IF(COUNTIF($A$2:$A$1001,A568)&gt;1,"Duplicate record ID",IF(OR(D568="",E568="",AF568="",NOT(ISNUMBER(AG568)),AJ568="",AK568="",NOT(ISNUMBER(AL568)),AND(AM568&lt;&gt;"Observed",AM568&lt;&gt;"Corroborated",AM568&lt;&gt;"Declared"),OR(AN568="",AN568="Unknown"),OR(AQ568="",AQ568="Unknown"),OR(AR568="",AR568="Unknown",AR568="TBD"),OR(BC568="",NOT(ISNUMBER(BC568)))),"Evidence incomplete","Evidence recorded; review scope")))))</x:f>
      </x:c>
      <x:c r="BN568" s="73"/>
    </x:row>
    <x:row r="569" ht="34" customHeight="1">
      <x:c r="A569" s="73"/>
      <x:c r="B569" s="73"/>
      <x:c r="C569" s="73"/>
      <x:c r="D569" s="73"/>
      <x:c r="E569" s="73"/>
      <x:c r="F569" s="73"/>
      <x:c r="G569" s="73"/>
      <x:c r="H569" s="73"/>
      <x:c r="I569" s="75"/>
      <x:c r="J569" s="73"/>
      <x:c r="K569" s="73"/>
      <x:c r="L569" s="76"/>
      <x:c r="M569" s="73"/>
      <x:c r="N569" s="73"/>
      <x:c r="O569" s="73"/>
      <x:c r="P569" s="73"/>
      <x:c r="Q569" s="76"/>
      <x:c r="R569" s="73"/>
      <x:c r="S569" s="73"/>
      <x:c r="T569" s="73"/>
      <x:c r="U569" s="73"/>
      <x:c r="V569" s="73"/>
      <x:c r="W569" s="73"/>
      <x:c r="X569" s="73"/>
      <x:c r="Y569" s="73"/>
      <x:c r="Z569" s="73"/>
      <x:c r="AA569" s="73"/>
      <x:c r="AB569" s="76" t="str">
        <x:f>IF(A569="","",IF(OR(NOT(ISNUMBER(I569)),I569&lt;0,NOT(ISNUMBER(AP569)),AP569&lt;0,NOT(ISNUMBER(L569)),L569&lt;1,L569&gt;5,L569&lt;&gt;INT(L569),AND(J569&lt;&gt;"Public",J569&lt;&gt;"Partner",J569&lt;&gt;"Internal",J569&lt;&gt;"None"),AND(K569&lt;&gt;"High",K569&lt;&gt;"Medium",K569&lt;&gt;"Low",K569&lt;&gt;"None"),AND(W569&lt;&gt;"Hard-coded",W569&lt;&gt;"Configurable",W569&lt;&gt;"Policy-managed",W569&lt;&gt;"API/Library abstraction",W569&lt;&gt;"Automated"),AND(Z569&lt;&gt;"Y",Z569&lt;&gt;"N"),AND(AA569&lt;&gt;"Y",AA569&lt;&gt;"N")),"Incomplete",IF(Z569="Y",20,0)+L569*5+IF(AA569="Y",15,0)+IF(J569="Public",10,IF(J569="Partner",7,IF(J569="Internal",3,0)))+IF(W569="Hard-coded",10,IF(W569="Configurable",3,0))+IF(MAX(I569,AP569)&gt;=10,10,IF(MAX(I569,AP569)&gt;=5,7,IF(MAX(I569,AP569)&gt;=2,3,0)))+IF(K569="High",10,IF(K569="Medium",5,0))))</x:f>
      </x:c>
      <x:c r="AC569" s="73" t="str">
        <x:f>IF(A569="","",IF(NOT(ISNUMBER(AB569)),"Review inputs",IF(AB569&gt;=70,"P0 - Immediate",IF(AB569&gt;=50,"P1 - High",IF(AB569&gt;=30,"P2 - Medium",IF(AB569&gt;=15,"P3 - Low","P4 - Monitor"))))))</x:f>
      </x:c>
      <x:c r="AD569" s="73"/>
      <x:c r="AE569" s="73"/>
      <x:c r="AF569" s="73"/>
      <x:c r="AG569" s="77"/>
      <x:c r="AH569" s="73"/>
      <x:c r="AI569" s="91"/>
      <x:c r="AJ569" s="91"/>
      <x:c r="AK569" s="91"/>
      <x:c r="AL569" s="92"/>
      <x:c r="AM569" s="91"/>
      <x:c r="AN569" s="91"/>
      <x:c r="AO569" s="93"/>
      <x:c r="AP569" s="94"/>
      <x:c r="AQ569" s="91"/>
      <x:c r="AR569" s="91"/>
      <x:c r="AS569" s="91"/>
      <x:c r="AT569" s="91"/>
      <x:c r="AU569" s="91"/>
      <x:c r="AV569" s="91"/>
      <x:c r="AW569" s="91"/>
      <x:c r="AX569" s="91"/>
      <x:c r="AY569" s="91"/>
      <x:c r="AZ569" s="92"/>
      <x:c r="BA569" s="94"/>
      <x:c r="BB569" s="91"/>
      <x:c r="BC569" s="92"/>
      <x:c r="BD569" s="92"/>
      <x:c r="BE569" s="91"/>
      <x:c r="BF569" s="91"/>
      <x:c r="BG569" s="91"/>
      <x:c r="BH569" s="91"/>
      <x:c r="BI569" s="91"/>
      <x:c r="BJ569" s="91"/>
      <x:c r="BK569" s="91"/>
      <x:c r="BL569" s="91"/>
      <x:c r="BM569" s="73" t="str">
        <x:f>IF(A569="","",IF(AI569="Example","Example only",IF(AI569&lt;&gt;"Actual","Set record type",IF(COUNTIF($A$2:$A$1001,A569)&gt;1,"Duplicate record ID",IF(OR(D569="",E569="",AF569="",NOT(ISNUMBER(AG569)),AJ569="",AK569="",NOT(ISNUMBER(AL569)),AND(AM569&lt;&gt;"Observed",AM569&lt;&gt;"Corroborated",AM569&lt;&gt;"Declared"),OR(AN569="",AN569="Unknown"),OR(AQ569="",AQ569="Unknown"),OR(AR569="",AR569="Unknown",AR569="TBD"),OR(BC569="",NOT(ISNUMBER(BC569)))),"Evidence incomplete","Evidence recorded; review scope")))))</x:f>
      </x:c>
      <x:c r="BN569" s="73"/>
    </x:row>
    <x:row r="570" ht="34" customHeight="1">
      <x:c r="A570" s="73"/>
      <x:c r="B570" s="73"/>
      <x:c r="C570" s="73"/>
      <x:c r="D570" s="73"/>
      <x:c r="E570" s="73"/>
      <x:c r="F570" s="73"/>
      <x:c r="G570" s="73"/>
      <x:c r="H570" s="73"/>
      <x:c r="I570" s="75"/>
      <x:c r="J570" s="73"/>
      <x:c r="K570" s="73"/>
      <x:c r="L570" s="76"/>
      <x:c r="M570" s="73"/>
      <x:c r="N570" s="73"/>
      <x:c r="O570" s="73"/>
      <x:c r="P570" s="73"/>
      <x:c r="Q570" s="76"/>
      <x:c r="R570" s="73"/>
      <x:c r="S570" s="73"/>
      <x:c r="T570" s="73"/>
      <x:c r="U570" s="73"/>
      <x:c r="V570" s="73"/>
      <x:c r="W570" s="73"/>
      <x:c r="X570" s="73"/>
      <x:c r="Y570" s="73"/>
      <x:c r="Z570" s="73"/>
      <x:c r="AA570" s="73"/>
      <x:c r="AB570" s="76" t="str">
        <x:f>IF(A570="","",IF(OR(NOT(ISNUMBER(I570)),I570&lt;0,NOT(ISNUMBER(AP570)),AP570&lt;0,NOT(ISNUMBER(L570)),L570&lt;1,L570&gt;5,L570&lt;&gt;INT(L570),AND(J570&lt;&gt;"Public",J570&lt;&gt;"Partner",J570&lt;&gt;"Internal",J570&lt;&gt;"None"),AND(K570&lt;&gt;"High",K570&lt;&gt;"Medium",K570&lt;&gt;"Low",K570&lt;&gt;"None"),AND(W570&lt;&gt;"Hard-coded",W570&lt;&gt;"Configurable",W570&lt;&gt;"Policy-managed",W570&lt;&gt;"API/Library abstraction",W570&lt;&gt;"Automated"),AND(Z570&lt;&gt;"Y",Z570&lt;&gt;"N"),AND(AA570&lt;&gt;"Y",AA570&lt;&gt;"N")),"Incomplete",IF(Z570="Y",20,0)+L570*5+IF(AA570="Y",15,0)+IF(J570="Public",10,IF(J570="Partner",7,IF(J570="Internal",3,0)))+IF(W570="Hard-coded",10,IF(W570="Configurable",3,0))+IF(MAX(I570,AP570)&gt;=10,10,IF(MAX(I570,AP570)&gt;=5,7,IF(MAX(I570,AP570)&gt;=2,3,0)))+IF(K570="High",10,IF(K570="Medium",5,0))))</x:f>
      </x:c>
      <x:c r="AC570" s="73" t="str">
        <x:f>IF(A570="","",IF(NOT(ISNUMBER(AB570)),"Review inputs",IF(AB570&gt;=70,"P0 - Immediate",IF(AB570&gt;=50,"P1 - High",IF(AB570&gt;=30,"P2 - Medium",IF(AB570&gt;=15,"P3 - Low","P4 - Monitor"))))))</x:f>
      </x:c>
      <x:c r="AD570" s="73"/>
      <x:c r="AE570" s="73"/>
      <x:c r="AF570" s="73"/>
      <x:c r="AG570" s="77"/>
      <x:c r="AH570" s="73"/>
      <x:c r="AI570" s="91"/>
      <x:c r="AJ570" s="91"/>
      <x:c r="AK570" s="91"/>
      <x:c r="AL570" s="92"/>
      <x:c r="AM570" s="91"/>
      <x:c r="AN570" s="91"/>
      <x:c r="AO570" s="93"/>
      <x:c r="AP570" s="94"/>
      <x:c r="AQ570" s="91"/>
      <x:c r="AR570" s="91"/>
      <x:c r="AS570" s="91"/>
      <x:c r="AT570" s="91"/>
      <x:c r="AU570" s="91"/>
      <x:c r="AV570" s="91"/>
      <x:c r="AW570" s="91"/>
      <x:c r="AX570" s="91"/>
      <x:c r="AY570" s="91"/>
      <x:c r="AZ570" s="92"/>
      <x:c r="BA570" s="94"/>
      <x:c r="BB570" s="91"/>
      <x:c r="BC570" s="92"/>
      <x:c r="BD570" s="92"/>
      <x:c r="BE570" s="91"/>
      <x:c r="BF570" s="91"/>
      <x:c r="BG570" s="91"/>
      <x:c r="BH570" s="91"/>
      <x:c r="BI570" s="91"/>
      <x:c r="BJ570" s="91"/>
      <x:c r="BK570" s="91"/>
      <x:c r="BL570" s="91"/>
      <x:c r="BM570" s="73" t="str">
        <x:f>IF(A570="","",IF(AI570="Example","Example only",IF(AI570&lt;&gt;"Actual","Set record type",IF(COUNTIF($A$2:$A$1001,A570)&gt;1,"Duplicate record ID",IF(OR(D570="",E570="",AF570="",NOT(ISNUMBER(AG570)),AJ570="",AK570="",NOT(ISNUMBER(AL570)),AND(AM570&lt;&gt;"Observed",AM570&lt;&gt;"Corroborated",AM570&lt;&gt;"Declared"),OR(AN570="",AN570="Unknown"),OR(AQ570="",AQ570="Unknown"),OR(AR570="",AR570="Unknown",AR570="TBD"),OR(BC570="",NOT(ISNUMBER(BC570)))),"Evidence incomplete","Evidence recorded; review scope")))))</x:f>
      </x:c>
      <x:c r="BN570" s="73"/>
    </x:row>
    <x:row r="571" ht="34" customHeight="1">
      <x:c r="A571" s="73"/>
      <x:c r="B571" s="73"/>
      <x:c r="C571" s="73"/>
      <x:c r="D571" s="73"/>
      <x:c r="E571" s="73"/>
      <x:c r="F571" s="73"/>
      <x:c r="G571" s="73"/>
      <x:c r="H571" s="73"/>
      <x:c r="I571" s="75"/>
      <x:c r="J571" s="73"/>
      <x:c r="K571" s="73"/>
      <x:c r="L571" s="76"/>
      <x:c r="M571" s="73"/>
      <x:c r="N571" s="73"/>
      <x:c r="O571" s="73"/>
      <x:c r="P571" s="73"/>
      <x:c r="Q571" s="76"/>
      <x:c r="R571" s="73"/>
      <x:c r="S571" s="73"/>
      <x:c r="T571" s="73"/>
      <x:c r="U571" s="73"/>
      <x:c r="V571" s="73"/>
      <x:c r="W571" s="73"/>
      <x:c r="X571" s="73"/>
      <x:c r="Y571" s="73"/>
      <x:c r="Z571" s="73"/>
      <x:c r="AA571" s="73"/>
      <x:c r="AB571" s="76" t="str">
        <x:f>IF(A571="","",IF(OR(NOT(ISNUMBER(I571)),I571&lt;0,NOT(ISNUMBER(AP571)),AP571&lt;0,NOT(ISNUMBER(L571)),L571&lt;1,L571&gt;5,L571&lt;&gt;INT(L571),AND(J571&lt;&gt;"Public",J571&lt;&gt;"Partner",J571&lt;&gt;"Internal",J571&lt;&gt;"None"),AND(K571&lt;&gt;"High",K571&lt;&gt;"Medium",K571&lt;&gt;"Low",K571&lt;&gt;"None"),AND(W571&lt;&gt;"Hard-coded",W571&lt;&gt;"Configurable",W571&lt;&gt;"Policy-managed",W571&lt;&gt;"API/Library abstraction",W571&lt;&gt;"Automated"),AND(Z571&lt;&gt;"Y",Z571&lt;&gt;"N"),AND(AA571&lt;&gt;"Y",AA571&lt;&gt;"N")),"Incomplete",IF(Z571="Y",20,0)+L571*5+IF(AA571="Y",15,0)+IF(J571="Public",10,IF(J571="Partner",7,IF(J571="Internal",3,0)))+IF(W571="Hard-coded",10,IF(W571="Configurable",3,0))+IF(MAX(I571,AP571)&gt;=10,10,IF(MAX(I571,AP571)&gt;=5,7,IF(MAX(I571,AP571)&gt;=2,3,0)))+IF(K571="High",10,IF(K571="Medium",5,0))))</x:f>
      </x:c>
      <x:c r="AC571" s="73" t="str">
        <x:f>IF(A571="","",IF(NOT(ISNUMBER(AB571)),"Review inputs",IF(AB571&gt;=70,"P0 - Immediate",IF(AB571&gt;=50,"P1 - High",IF(AB571&gt;=30,"P2 - Medium",IF(AB571&gt;=15,"P3 - Low","P4 - Monitor"))))))</x:f>
      </x:c>
      <x:c r="AD571" s="73"/>
      <x:c r="AE571" s="73"/>
      <x:c r="AF571" s="73"/>
      <x:c r="AG571" s="77"/>
      <x:c r="AH571" s="73"/>
      <x:c r="AI571" s="91"/>
      <x:c r="AJ571" s="91"/>
      <x:c r="AK571" s="91"/>
      <x:c r="AL571" s="92"/>
      <x:c r="AM571" s="91"/>
      <x:c r="AN571" s="91"/>
      <x:c r="AO571" s="93"/>
      <x:c r="AP571" s="94"/>
      <x:c r="AQ571" s="91"/>
      <x:c r="AR571" s="91"/>
      <x:c r="AS571" s="91"/>
      <x:c r="AT571" s="91"/>
      <x:c r="AU571" s="91"/>
      <x:c r="AV571" s="91"/>
      <x:c r="AW571" s="91"/>
      <x:c r="AX571" s="91"/>
      <x:c r="AY571" s="91"/>
      <x:c r="AZ571" s="92"/>
      <x:c r="BA571" s="94"/>
      <x:c r="BB571" s="91"/>
      <x:c r="BC571" s="92"/>
      <x:c r="BD571" s="92"/>
      <x:c r="BE571" s="91"/>
      <x:c r="BF571" s="91"/>
      <x:c r="BG571" s="91"/>
      <x:c r="BH571" s="91"/>
      <x:c r="BI571" s="91"/>
      <x:c r="BJ571" s="91"/>
      <x:c r="BK571" s="91"/>
      <x:c r="BL571" s="91"/>
      <x:c r="BM571" s="73" t="str">
        <x:f>IF(A571="","",IF(AI571="Example","Example only",IF(AI571&lt;&gt;"Actual","Set record type",IF(COUNTIF($A$2:$A$1001,A571)&gt;1,"Duplicate record ID",IF(OR(D571="",E571="",AF571="",NOT(ISNUMBER(AG571)),AJ571="",AK571="",NOT(ISNUMBER(AL571)),AND(AM571&lt;&gt;"Observed",AM571&lt;&gt;"Corroborated",AM571&lt;&gt;"Declared"),OR(AN571="",AN571="Unknown"),OR(AQ571="",AQ571="Unknown"),OR(AR571="",AR571="Unknown",AR571="TBD"),OR(BC571="",NOT(ISNUMBER(BC571)))),"Evidence incomplete","Evidence recorded; review scope")))))</x:f>
      </x:c>
      <x:c r="BN571" s="73"/>
    </x:row>
    <x:row r="572" ht="34" customHeight="1">
      <x:c r="A572" s="73"/>
      <x:c r="B572" s="73"/>
      <x:c r="C572" s="73"/>
      <x:c r="D572" s="73"/>
      <x:c r="E572" s="73"/>
      <x:c r="F572" s="73"/>
      <x:c r="G572" s="73"/>
      <x:c r="H572" s="73"/>
      <x:c r="I572" s="75"/>
      <x:c r="J572" s="73"/>
      <x:c r="K572" s="73"/>
      <x:c r="L572" s="76"/>
      <x:c r="M572" s="73"/>
      <x:c r="N572" s="73"/>
      <x:c r="O572" s="73"/>
      <x:c r="P572" s="73"/>
      <x:c r="Q572" s="76"/>
      <x:c r="R572" s="73"/>
      <x:c r="S572" s="73"/>
      <x:c r="T572" s="73"/>
      <x:c r="U572" s="73"/>
      <x:c r="V572" s="73"/>
      <x:c r="W572" s="73"/>
      <x:c r="X572" s="73"/>
      <x:c r="Y572" s="73"/>
      <x:c r="Z572" s="73"/>
      <x:c r="AA572" s="73"/>
      <x:c r="AB572" s="76" t="str">
        <x:f>IF(A572="","",IF(OR(NOT(ISNUMBER(I572)),I572&lt;0,NOT(ISNUMBER(AP572)),AP572&lt;0,NOT(ISNUMBER(L572)),L572&lt;1,L572&gt;5,L572&lt;&gt;INT(L572),AND(J572&lt;&gt;"Public",J572&lt;&gt;"Partner",J572&lt;&gt;"Internal",J572&lt;&gt;"None"),AND(K572&lt;&gt;"High",K572&lt;&gt;"Medium",K572&lt;&gt;"Low",K572&lt;&gt;"None"),AND(W572&lt;&gt;"Hard-coded",W572&lt;&gt;"Configurable",W572&lt;&gt;"Policy-managed",W572&lt;&gt;"API/Library abstraction",W572&lt;&gt;"Automated"),AND(Z572&lt;&gt;"Y",Z572&lt;&gt;"N"),AND(AA572&lt;&gt;"Y",AA572&lt;&gt;"N")),"Incomplete",IF(Z572="Y",20,0)+L572*5+IF(AA572="Y",15,0)+IF(J572="Public",10,IF(J572="Partner",7,IF(J572="Internal",3,0)))+IF(W572="Hard-coded",10,IF(W572="Configurable",3,0))+IF(MAX(I572,AP572)&gt;=10,10,IF(MAX(I572,AP572)&gt;=5,7,IF(MAX(I572,AP572)&gt;=2,3,0)))+IF(K572="High",10,IF(K572="Medium",5,0))))</x:f>
      </x:c>
      <x:c r="AC572" s="73" t="str">
        <x:f>IF(A572="","",IF(NOT(ISNUMBER(AB572)),"Review inputs",IF(AB572&gt;=70,"P0 - Immediate",IF(AB572&gt;=50,"P1 - High",IF(AB572&gt;=30,"P2 - Medium",IF(AB572&gt;=15,"P3 - Low","P4 - Monitor"))))))</x:f>
      </x:c>
      <x:c r="AD572" s="73"/>
      <x:c r="AE572" s="73"/>
      <x:c r="AF572" s="73"/>
      <x:c r="AG572" s="77"/>
      <x:c r="AH572" s="73"/>
      <x:c r="AI572" s="91"/>
      <x:c r="AJ572" s="91"/>
      <x:c r="AK572" s="91"/>
      <x:c r="AL572" s="92"/>
      <x:c r="AM572" s="91"/>
      <x:c r="AN572" s="91"/>
      <x:c r="AO572" s="93"/>
      <x:c r="AP572" s="94"/>
      <x:c r="AQ572" s="91"/>
      <x:c r="AR572" s="91"/>
      <x:c r="AS572" s="91"/>
      <x:c r="AT572" s="91"/>
      <x:c r="AU572" s="91"/>
      <x:c r="AV572" s="91"/>
      <x:c r="AW572" s="91"/>
      <x:c r="AX572" s="91"/>
      <x:c r="AY572" s="91"/>
      <x:c r="AZ572" s="92"/>
      <x:c r="BA572" s="94"/>
      <x:c r="BB572" s="91"/>
      <x:c r="BC572" s="92"/>
      <x:c r="BD572" s="92"/>
      <x:c r="BE572" s="91"/>
      <x:c r="BF572" s="91"/>
      <x:c r="BG572" s="91"/>
      <x:c r="BH572" s="91"/>
      <x:c r="BI572" s="91"/>
      <x:c r="BJ572" s="91"/>
      <x:c r="BK572" s="91"/>
      <x:c r="BL572" s="91"/>
      <x:c r="BM572" s="73" t="str">
        <x:f>IF(A572="","",IF(AI572="Example","Example only",IF(AI572&lt;&gt;"Actual","Set record type",IF(COUNTIF($A$2:$A$1001,A572)&gt;1,"Duplicate record ID",IF(OR(D572="",E572="",AF572="",NOT(ISNUMBER(AG572)),AJ572="",AK572="",NOT(ISNUMBER(AL572)),AND(AM572&lt;&gt;"Observed",AM572&lt;&gt;"Corroborated",AM572&lt;&gt;"Declared"),OR(AN572="",AN572="Unknown"),OR(AQ572="",AQ572="Unknown"),OR(AR572="",AR572="Unknown",AR572="TBD"),OR(BC572="",NOT(ISNUMBER(BC572)))),"Evidence incomplete","Evidence recorded; review scope")))))</x:f>
      </x:c>
      <x:c r="BN572" s="73"/>
    </x:row>
    <x:row r="573" ht="34" customHeight="1">
      <x:c r="A573" s="73"/>
      <x:c r="B573" s="73"/>
      <x:c r="C573" s="73"/>
      <x:c r="D573" s="73"/>
      <x:c r="E573" s="73"/>
      <x:c r="F573" s="73"/>
      <x:c r="G573" s="73"/>
      <x:c r="H573" s="73"/>
      <x:c r="I573" s="75"/>
      <x:c r="J573" s="73"/>
      <x:c r="K573" s="73"/>
      <x:c r="L573" s="76"/>
      <x:c r="M573" s="73"/>
      <x:c r="N573" s="73"/>
      <x:c r="O573" s="73"/>
      <x:c r="P573" s="73"/>
      <x:c r="Q573" s="76"/>
      <x:c r="R573" s="73"/>
      <x:c r="S573" s="73"/>
      <x:c r="T573" s="73"/>
      <x:c r="U573" s="73"/>
      <x:c r="V573" s="73"/>
      <x:c r="W573" s="73"/>
      <x:c r="X573" s="73"/>
      <x:c r="Y573" s="73"/>
      <x:c r="Z573" s="73"/>
      <x:c r="AA573" s="73"/>
      <x:c r="AB573" s="76" t="str">
        <x:f>IF(A573="","",IF(OR(NOT(ISNUMBER(I573)),I573&lt;0,NOT(ISNUMBER(AP573)),AP573&lt;0,NOT(ISNUMBER(L573)),L573&lt;1,L573&gt;5,L573&lt;&gt;INT(L573),AND(J573&lt;&gt;"Public",J573&lt;&gt;"Partner",J573&lt;&gt;"Internal",J573&lt;&gt;"None"),AND(K573&lt;&gt;"High",K573&lt;&gt;"Medium",K573&lt;&gt;"Low",K573&lt;&gt;"None"),AND(W573&lt;&gt;"Hard-coded",W573&lt;&gt;"Configurable",W573&lt;&gt;"Policy-managed",W573&lt;&gt;"API/Library abstraction",W573&lt;&gt;"Automated"),AND(Z573&lt;&gt;"Y",Z573&lt;&gt;"N"),AND(AA573&lt;&gt;"Y",AA573&lt;&gt;"N")),"Incomplete",IF(Z573="Y",20,0)+L573*5+IF(AA573="Y",15,0)+IF(J573="Public",10,IF(J573="Partner",7,IF(J573="Internal",3,0)))+IF(W573="Hard-coded",10,IF(W573="Configurable",3,0))+IF(MAX(I573,AP573)&gt;=10,10,IF(MAX(I573,AP573)&gt;=5,7,IF(MAX(I573,AP573)&gt;=2,3,0)))+IF(K573="High",10,IF(K573="Medium",5,0))))</x:f>
      </x:c>
      <x:c r="AC573" s="73" t="str">
        <x:f>IF(A573="","",IF(NOT(ISNUMBER(AB573)),"Review inputs",IF(AB573&gt;=70,"P0 - Immediate",IF(AB573&gt;=50,"P1 - High",IF(AB573&gt;=30,"P2 - Medium",IF(AB573&gt;=15,"P3 - Low","P4 - Monitor"))))))</x:f>
      </x:c>
      <x:c r="AD573" s="73"/>
      <x:c r="AE573" s="73"/>
      <x:c r="AF573" s="73"/>
      <x:c r="AG573" s="77"/>
      <x:c r="AH573" s="73"/>
      <x:c r="AI573" s="91"/>
      <x:c r="AJ573" s="91"/>
      <x:c r="AK573" s="91"/>
      <x:c r="AL573" s="92"/>
      <x:c r="AM573" s="91"/>
      <x:c r="AN573" s="91"/>
      <x:c r="AO573" s="93"/>
      <x:c r="AP573" s="94"/>
      <x:c r="AQ573" s="91"/>
      <x:c r="AR573" s="91"/>
      <x:c r="AS573" s="91"/>
      <x:c r="AT573" s="91"/>
      <x:c r="AU573" s="91"/>
      <x:c r="AV573" s="91"/>
      <x:c r="AW573" s="91"/>
      <x:c r="AX573" s="91"/>
      <x:c r="AY573" s="91"/>
      <x:c r="AZ573" s="92"/>
      <x:c r="BA573" s="94"/>
      <x:c r="BB573" s="91"/>
      <x:c r="BC573" s="92"/>
      <x:c r="BD573" s="92"/>
      <x:c r="BE573" s="91"/>
      <x:c r="BF573" s="91"/>
      <x:c r="BG573" s="91"/>
      <x:c r="BH573" s="91"/>
      <x:c r="BI573" s="91"/>
      <x:c r="BJ573" s="91"/>
      <x:c r="BK573" s="91"/>
      <x:c r="BL573" s="91"/>
      <x:c r="BM573" s="73" t="str">
        <x:f>IF(A573="","",IF(AI573="Example","Example only",IF(AI573&lt;&gt;"Actual","Set record type",IF(COUNTIF($A$2:$A$1001,A573)&gt;1,"Duplicate record ID",IF(OR(D573="",E573="",AF573="",NOT(ISNUMBER(AG573)),AJ573="",AK573="",NOT(ISNUMBER(AL573)),AND(AM573&lt;&gt;"Observed",AM573&lt;&gt;"Corroborated",AM573&lt;&gt;"Declared"),OR(AN573="",AN573="Unknown"),OR(AQ573="",AQ573="Unknown"),OR(AR573="",AR573="Unknown",AR573="TBD"),OR(BC573="",NOT(ISNUMBER(BC573)))),"Evidence incomplete","Evidence recorded; review scope")))))</x:f>
      </x:c>
      <x:c r="BN573" s="73"/>
    </x:row>
    <x:row r="574" ht="34" customHeight="1">
      <x:c r="A574" s="73"/>
      <x:c r="B574" s="73"/>
      <x:c r="C574" s="73"/>
      <x:c r="D574" s="73"/>
      <x:c r="E574" s="73"/>
      <x:c r="F574" s="73"/>
      <x:c r="G574" s="73"/>
      <x:c r="H574" s="73"/>
      <x:c r="I574" s="75"/>
      <x:c r="J574" s="73"/>
      <x:c r="K574" s="73"/>
      <x:c r="L574" s="76"/>
      <x:c r="M574" s="73"/>
      <x:c r="N574" s="73"/>
      <x:c r="O574" s="73"/>
      <x:c r="P574" s="73"/>
      <x:c r="Q574" s="76"/>
      <x:c r="R574" s="73"/>
      <x:c r="S574" s="73"/>
      <x:c r="T574" s="73"/>
      <x:c r="U574" s="73"/>
      <x:c r="V574" s="73"/>
      <x:c r="W574" s="73"/>
      <x:c r="X574" s="73"/>
      <x:c r="Y574" s="73"/>
      <x:c r="Z574" s="73"/>
      <x:c r="AA574" s="73"/>
      <x:c r="AB574" s="76" t="str">
        <x:f>IF(A574="","",IF(OR(NOT(ISNUMBER(I574)),I574&lt;0,NOT(ISNUMBER(AP574)),AP574&lt;0,NOT(ISNUMBER(L574)),L574&lt;1,L574&gt;5,L574&lt;&gt;INT(L574),AND(J574&lt;&gt;"Public",J574&lt;&gt;"Partner",J574&lt;&gt;"Internal",J574&lt;&gt;"None"),AND(K574&lt;&gt;"High",K574&lt;&gt;"Medium",K574&lt;&gt;"Low",K574&lt;&gt;"None"),AND(W574&lt;&gt;"Hard-coded",W574&lt;&gt;"Configurable",W574&lt;&gt;"Policy-managed",W574&lt;&gt;"API/Library abstraction",W574&lt;&gt;"Automated"),AND(Z574&lt;&gt;"Y",Z574&lt;&gt;"N"),AND(AA574&lt;&gt;"Y",AA574&lt;&gt;"N")),"Incomplete",IF(Z574="Y",20,0)+L574*5+IF(AA574="Y",15,0)+IF(J574="Public",10,IF(J574="Partner",7,IF(J574="Internal",3,0)))+IF(W574="Hard-coded",10,IF(W574="Configurable",3,0))+IF(MAX(I574,AP574)&gt;=10,10,IF(MAX(I574,AP574)&gt;=5,7,IF(MAX(I574,AP574)&gt;=2,3,0)))+IF(K574="High",10,IF(K574="Medium",5,0))))</x:f>
      </x:c>
      <x:c r="AC574" s="73" t="str">
        <x:f>IF(A574="","",IF(NOT(ISNUMBER(AB574)),"Review inputs",IF(AB574&gt;=70,"P0 - Immediate",IF(AB574&gt;=50,"P1 - High",IF(AB574&gt;=30,"P2 - Medium",IF(AB574&gt;=15,"P3 - Low","P4 - Monitor"))))))</x:f>
      </x:c>
      <x:c r="AD574" s="73"/>
      <x:c r="AE574" s="73"/>
      <x:c r="AF574" s="73"/>
      <x:c r="AG574" s="77"/>
      <x:c r="AH574" s="73"/>
      <x:c r="AI574" s="91"/>
      <x:c r="AJ574" s="91"/>
      <x:c r="AK574" s="91"/>
      <x:c r="AL574" s="92"/>
      <x:c r="AM574" s="91"/>
      <x:c r="AN574" s="91"/>
      <x:c r="AO574" s="93"/>
      <x:c r="AP574" s="94"/>
      <x:c r="AQ574" s="91"/>
      <x:c r="AR574" s="91"/>
      <x:c r="AS574" s="91"/>
      <x:c r="AT574" s="91"/>
      <x:c r="AU574" s="91"/>
      <x:c r="AV574" s="91"/>
      <x:c r="AW574" s="91"/>
      <x:c r="AX574" s="91"/>
      <x:c r="AY574" s="91"/>
      <x:c r="AZ574" s="92"/>
      <x:c r="BA574" s="94"/>
      <x:c r="BB574" s="91"/>
      <x:c r="BC574" s="92"/>
      <x:c r="BD574" s="92"/>
      <x:c r="BE574" s="91"/>
      <x:c r="BF574" s="91"/>
      <x:c r="BG574" s="91"/>
      <x:c r="BH574" s="91"/>
      <x:c r="BI574" s="91"/>
      <x:c r="BJ574" s="91"/>
      <x:c r="BK574" s="91"/>
      <x:c r="BL574" s="91"/>
      <x:c r="BM574" s="73" t="str">
        <x:f>IF(A574="","",IF(AI574="Example","Example only",IF(AI574&lt;&gt;"Actual","Set record type",IF(COUNTIF($A$2:$A$1001,A574)&gt;1,"Duplicate record ID",IF(OR(D574="",E574="",AF574="",NOT(ISNUMBER(AG574)),AJ574="",AK574="",NOT(ISNUMBER(AL574)),AND(AM574&lt;&gt;"Observed",AM574&lt;&gt;"Corroborated",AM574&lt;&gt;"Declared"),OR(AN574="",AN574="Unknown"),OR(AQ574="",AQ574="Unknown"),OR(AR574="",AR574="Unknown",AR574="TBD"),OR(BC574="",NOT(ISNUMBER(BC574)))),"Evidence incomplete","Evidence recorded; review scope")))))</x:f>
      </x:c>
      <x:c r="BN574" s="73"/>
    </x:row>
    <x:row r="575" ht="34" customHeight="1">
      <x:c r="A575" s="73"/>
      <x:c r="B575" s="73"/>
      <x:c r="C575" s="73"/>
      <x:c r="D575" s="73"/>
      <x:c r="E575" s="73"/>
      <x:c r="F575" s="73"/>
      <x:c r="G575" s="73"/>
      <x:c r="H575" s="73"/>
      <x:c r="I575" s="75"/>
      <x:c r="J575" s="73"/>
      <x:c r="K575" s="73"/>
      <x:c r="L575" s="76"/>
      <x:c r="M575" s="73"/>
      <x:c r="N575" s="73"/>
      <x:c r="O575" s="73"/>
      <x:c r="P575" s="73"/>
      <x:c r="Q575" s="76"/>
      <x:c r="R575" s="73"/>
      <x:c r="S575" s="73"/>
      <x:c r="T575" s="73"/>
      <x:c r="U575" s="73"/>
      <x:c r="V575" s="73"/>
      <x:c r="W575" s="73"/>
      <x:c r="X575" s="73"/>
      <x:c r="Y575" s="73"/>
      <x:c r="Z575" s="73"/>
      <x:c r="AA575" s="73"/>
      <x:c r="AB575" s="76" t="str">
        <x:f>IF(A575="","",IF(OR(NOT(ISNUMBER(I575)),I575&lt;0,NOT(ISNUMBER(AP575)),AP575&lt;0,NOT(ISNUMBER(L575)),L575&lt;1,L575&gt;5,L575&lt;&gt;INT(L575),AND(J575&lt;&gt;"Public",J575&lt;&gt;"Partner",J575&lt;&gt;"Internal",J575&lt;&gt;"None"),AND(K575&lt;&gt;"High",K575&lt;&gt;"Medium",K575&lt;&gt;"Low",K575&lt;&gt;"None"),AND(W575&lt;&gt;"Hard-coded",W575&lt;&gt;"Configurable",W575&lt;&gt;"Policy-managed",W575&lt;&gt;"API/Library abstraction",W575&lt;&gt;"Automated"),AND(Z575&lt;&gt;"Y",Z575&lt;&gt;"N"),AND(AA575&lt;&gt;"Y",AA575&lt;&gt;"N")),"Incomplete",IF(Z575="Y",20,0)+L575*5+IF(AA575="Y",15,0)+IF(J575="Public",10,IF(J575="Partner",7,IF(J575="Internal",3,0)))+IF(W575="Hard-coded",10,IF(W575="Configurable",3,0))+IF(MAX(I575,AP575)&gt;=10,10,IF(MAX(I575,AP575)&gt;=5,7,IF(MAX(I575,AP575)&gt;=2,3,0)))+IF(K575="High",10,IF(K575="Medium",5,0))))</x:f>
      </x:c>
      <x:c r="AC575" s="73" t="str">
        <x:f>IF(A575="","",IF(NOT(ISNUMBER(AB575)),"Review inputs",IF(AB575&gt;=70,"P0 - Immediate",IF(AB575&gt;=50,"P1 - High",IF(AB575&gt;=30,"P2 - Medium",IF(AB575&gt;=15,"P3 - Low","P4 - Monitor"))))))</x:f>
      </x:c>
      <x:c r="AD575" s="73"/>
      <x:c r="AE575" s="73"/>
      <x:c r="AF575" s="73"/>
      <x:c r="AG575" s="77"/>
      <x:c r="AH575" s="73"/>
      <x:c r="AI575" s="91"/>
      <x:c r="AJ575" s="91"/>
      <x:c r="AK575" s="91"/>
      <x:c r="AL575" s="92"/>
      <x:c r="AM575" s="91"/>
      <x:c r="AN575" s="91"/>
      <x:c r="AO575" s="93"/>
      <x:c r="AP575" s="94"/>
      <x:c r="AQ575" s="91"/>
      <x:c r="AR575" s="91"/>
      <x:c r="AS575" s="91"/>
      <x:c r="AT575" s="91"/>
      <x:c r="AU575" s="91"/>
      <x:c r="AV575" s="91"/>
      <x:c r="AW575" s="91"/>
      <x:c r="AX575" s="91"/>
      <x:c r="AY575" s="91"/>
      <x:c r="AZ575" s="92"/>
      <x:c r="BA575" s="94"/>
      <x:c r="BB575" s="91"/>
      <x:c r="BC575" s="92"/>
      <x:c r="BD575" s="92"/>
      <x:c r="BE575" s="91"/>
      <x:c r="BF575" s="91"/>
      <x:c r="BG575" s="91"/>
      <x:c r="BH575" s="91"/>
      <x:c r="BI575" s="91"/>
      <x:c r="BJ575" s="91"/>
      <x:c r="BK575" s="91"/>
      <x:c r="BL575" s="91"/>
      <x:c r="BM575" s="73" t="str">
        <x:f>IF(A575="","",IF(AI575="Example","Example only",IF(AI575&lt;&gt;"Actual","Set record type",IF(COUNTIF($A$2:$A$1001,A575)&gt;1,"Duplicate record ID",IF(OR(D575="",E575="",AF575="",NOT(ISNUMBER(AG575)),AJ575="",AK575="",NOT(ISNUMBER(AL575)),AND(AM575&lt;&gt;"Observed",AM575&lt;&gt;"Corroborated",AM575&lt;&gt;"Declared"),OR(AN575="",AN575="Unknown"),OR(AQ575="",AQ575="Unknown"),OR(AR575="",AR575="Unknown",AR575="TBD"),OR(BC575="",NOT(ISNUMBER(BC575)))),"Evidence incomplete","Evidence recorded; review scope")))))</x:f>
      </x:c>
      <x:c r="BN575" s="73"/>
    </x:row>
    <x:row r="576" ht="34" customHeight="1">
      <x:c r="A576" s="73"/>
      <x:c r="B576" s="73"/>
      <x:c r="C576" s="73"/>
      <x:c r="D576" s="73"/>
      <x:c r="E576" s="73"/>
      <x:c r="F576" s="73"/>
      <x:c r="G576" s="73"/>
      <x:c r="H576" s="73"/>
      <x:c r="I576" s="75"/>
      <x:c r="J576" s="73"/>
      <x:c r="K576" s="73"/>
      <x:c r="L576" s="76"/>
      <x:c r="M576" s="73"/>
      <x:c r="N576" s="73"/>
      <x:c r="O576" s="73"/>
      <x:c r="P576" s="73"/>
      <x:c r="Q576" s="76"/>
      <x:c r="R576" s="73"/>
      <x:c r="S576" s="73"/>
      <x:c r="T576" s="73"/>
      <x:c r="U576" s="73"/>
      <x:c r="V576" s="73"/>
      <x:c r="W576" s="73"/>
      <x:c r="X576" s="73"/>
      <x:c r="Y576" s="73"/>
      <x:c r="Z576" s="73"/>
      <x:c r="AA576" s="73"/>
      <x:c r="AB576" s="76" t="str">
        <x:f>IF(A576="","",IF(OR(NOT(ISNUMBER(I576)),I576&lt;0,NOT(ISNUMBER(AP576)),AP576&lt;0,NOT(ISNUMBER(L576)),L576&lt;1,L576&gt;5,L576&lt;&gt;INT(L576),AND(J576&lt;&gt;"Public",J576&lt;&gt;"Partner",J576&lt;&gt;"Internal",J576&lt;&gt;"None"),AND(K576&lt;&gt;"High",K576&lt;&gt;"Medium",K576&lt;&gt;"Low",K576&lt;&gt;"None"),AND(W576&lt;&gt;"Hard-coded",W576&lt;&gt;"Configurable",W576&lt;&gt;"Policy-managed",W576&lt;&gt;"API/Library abstraction",W576&lt;&gt;"Automated"),AND(Z576&lt;&gt;"Y",Z576&lt;&gt;"N"),AND(AA576&lt;&gt;"Y",AA576&lt;&gt;"N")),"Incomplete",IF(Z576="Y",20,0)+L576*5+IF(AA576="Y",15,0)+IF(J576="Public",10,IF(J576="Partner",7,IF(J576="Internal",3,0)))+IF(W576="Hard-coded",10,IF(W576="Configurable",3,0))+IF(MAX(I576,AP576)&gt;=10,10,IF(MAX(I576,AP576)&gt;=5,7,IF(MAX(I576,AP576)&gt;=2,3,0)))+IF(K576="High",10,IF(K576="Medium",5,0))))</x:f>
      </x:c>
      <x:c r="AC576" s="73" t="str">
        <x:f>IF(A576="","",IF(NOT(ISNUMBER(AB576)),"Review inputs",IF(AB576&gt;=70,"P0 - Immediate",IF(AB576&gt;=50,"P1 - High",IF(AB576&gt;=30,"P2 - Medium",IF(AB576&gt;=15,"P3 - Low","P4 - Monitor"))))))</x:f>
      </x:c>
      <x:c r="AD576" s="73"/>
      <x:c r="AE576" s="73"/>
      <x:c r="AF576" s="73"/>
      <x:c r="AG576" s="77"/>
      <x:c r="AH576" s="73"/>
      <x:c r="AI576" s="91"/>
      <x:c r="AJ576" s="91"/>
      <x:c r="AK576" s="91"/>
      <x:c r="AL576" s="92"/>
      <x:c r="AM576" s="91"/>
      <x:c r="AN576" s="91"/>
      <x:c r="AO576" s="93"/>
      <x:c r="AP576" s="94"/>
      <x:c r="AQ576" s="91"/>
      <x:c r="AR576" s="91"/>
      <x:c r="AS576" s="91"/>
      <x:c r="AT576" s="91"/>
      <x:c r="AU576" s="91"/>
      <x:c r="AV576" s="91"/>
      <x:c r="AW576" s="91"/>
      <x:c r="AX576" s="91"/>
      <x:c r="AY576" s="91"/>
      <x:c r="AZ576" s="92"/>
      <x:c r="BA576" s="94"/>
      <x:c r="BB576" s="91"/>
      <x:c r="BC576" s="92"/>
      <x:c r="BD576" s="92"/>
      <x:c r="BE576" s="91"/>
      <x:c r="BF576" s="91"/>
      <x:c r="BG576" s="91"/>
      <x:c r="BH576" s="91"/>
      <x:c r="BI576" s="91"/>
      <x:c r="BJ576" s="91"/>
      <x:c r="BK576" s="91"/>
      <x:c r="BL576" s="91"/>
      <x:c r="BM576" s="73" t="str">
        <x:f>IF(A576="","",IF(AI576="Example","Example only",IF(AI576&lt;&gt;"Actual","Set record type",IF(COUNTIF($A$2:$A$1001,A576)&gt;1,"Duplicate record ID",IF(OR(D576="",E576="",AF576="",NOT(ISNUMBER(AG576)),AJ576="",AK576="",NOT(ISNUMBER(AL576)),AND(AM576&lt;&gt;"Observed",AM576&lt;&gt;"Corroborated",AM576&lt;&gt;"Declared"),OR(AN576="",AN576="Unknown"),OR(AQ576="",AQ576="Unknown"),OR(AR576="",AR576="Unknown",AR576="TBD"),OR(BC576="",NOT(ISNUMBER(BC576)))),"Evidence incomplete","Evidence recorded; review scope")))))</x:f>
      </x:c>
      <x:c r="BN576" s="73"/>
    </x:row>
    <x:row r="577" ht="34" customHeight="1">
      <x:c r="A577" s="73"/>
      <x:c r="B577" s="73"/>
      <x:c r="C577" s="73"/>
      <x:c r="D577" s="73"/>
      <x:c r="E577" s="73"/>
      <x:c r="F577" s="73"/>
      <x:c r="G577" s="73"/>
      <x:c r="H577" s="73"/>
      <x:c r="I577" s="75"/>
      <x:c r="J577" s="73"/>
      <x:c r="K577" s="73"/>
      <x:c r="L577" s="76"/>
      <x:c r="M577" s="73"/>
      <x:c r="N577" s="73"/>
      <x:c r="O577" s="73"/>
      <x:c r="P577" s="73"/>
      <x:c r="Q577" s="76"/>
      <x:c r="R577" s="73"/>
      <x:c r="S577" s="73"/>
      <x:c r="T577" s="73"/>
      <x:c r="U577" s="73"/>
      <x:c r="V577" s="73"/>
      <x:c r="W577" s="73"/>
      <x:c r="X577" s="73"/>
      <x:c r="Y577" s="73"/>
      <x:c r="Z577" s="73"/>
      <x:c r="AA577" s="73"/>
      <x:c r="AB577" s="76" t="str">
        <x:f>IF(A577="","",IF(OR(NOT(ISNUMBER(I577)),I577&lt;0,NOT(ISNUMBER(AP577)),AP577&lt;0,NOT(ISNUMBER(L577)),L577&lt;1,L577&gt;5,L577&lt;&gt;INT(L577),AND(J577&lt;&gt;"Public",J577&lt;&gt;"Partner",J577&lt;&gt;"Internal",J577&lt;&gt;"None"),AND(K577&lt;&gt;"High",K577&lt;&gt;"Medium",K577&lt;&gt;"Low",K577&lt;&gt;"None"),AND(W577&lt;&gt;"Hard-coded",W577&lt;&gt;"Configurable",W577&lt;&gt;"Policy-managed",W577&lt;&gt;"API/Library abstraction",W577&lt;&gt;"Automated"),AND(Z577&lt;&gt;"Y",Z577&lt;&gt;"N"),AND(AA577&lt;&gt;"Y",AA577&lt;&gt;"N")),"Incomplete",IF(Z577="Y",20,0)+L577*5+IF(AA577="Y",15,0)+IF(J577="Public",10,IF(J577="Partner",7,IF(J577="Internal",3,0)))+IF(W577="Hard-coded",10,IF(W577="Configurable",3,0))+IF(MAX(I577,AP577)&gt;=10,10,IF(MAX(I577,AP577)&gt;=5,7,IF(MAX(I577,AP577)&gt;=2,3,0)))+IF(K577="High",10,IF(K577="Medium",5,0))))</x:f>
      </x:c>
      <x:c r="AC577" s="73" t="str">
        <x:f>IF(A577="","",IF(NOT(ISNUMBER(AB577)),"Review inputs",IF(AB577&gt;=70,"P0 - Immediate",IF(AB577&gt;=50,"P1 - High",IF(AB577&gt;=30,"P2 - Medium",IF(AB577&gt;=15,"P3 - Low","P4 - Monitor"))))))</x:f>
      </x:c>
      <x:c r="AD577" s="73"/>
      <x:c r="AE577" s="73"/>
      <x:c r="AF577" s="73"/>
      <x:c r="AG577" s="77"/>
      <x:c r="AH577" s="73"/>
      <x:c r="AI577" s="91"/>
      <x:c r="AJ577" s="91"/>
      <x:c r="AK577" s="91"/>
      <x:c r="AL577" s="92"/>
      <x:c r="AM577" s="91"/>
      <x:c r="AN577" s="91"/>
      <x:c r="AO577" s="93"/>
      <x:c r="AP577" s="94"/>
      <x:c r="AQ577" s="91"/>
      <x:c r="AR577" s="91"/>
      <x:c r="AS577" s="91"/>
      <x:c r="AT577" s="91"/>
      <x:c r="AU577" s="91"/>
      <x:c r="AV577" s="91"/>
      <x:c r="AW577" s="91"/>
      <x:c r="AX577" s="91"/>
      <x:c r="AY577" s="91"/>
      <x:c r="AZ577" s="92"/>
      <x:c r="BA577" s="94"/>
      <x:c r="BB577" s="91"/>
      <x:c r="BC577" s="92"/>
      <x:c r="BD577" s="92"/>
      <x:c r="BE577" s="91"/>
      <x:c r="BF577" s="91"/>
      <x:c r="BG577" s="91"/>
      <x:c r="BH577" s="91"/>
      <x:c r="BI577" s="91"/>
      <x:c r="BJ577" s="91"/>
      <x:c r="BK577" s="91"/>
      <x:c r="BL577" s="91"/>
      <x:c r="BM577" s="73" t="str">
        <x:f>IF(A577="","",IF(AI577="Example","Example only",IF(AI577&lt;&gt;"Actual","Set record type",IF(COUNTIF($A$2:$A$1001,A577)&gt;1,"Duplicate record ID",IF(OR(D577="",E577="",AF577="",NOT(ISNUMBER(AG577)),AJ577="",AK577="",NOT(ISNUMBER(AL577)),AND(AM577&lt;&gt;"Observed",AM577&lt;&gt;"Corroborated",AM577&lt;&gt;"Declared"),OR(AN577="",AN577="Unknown"),OR(AQ577="",AQ577="Unknown"),OR(AR577="",AR577="Unknown",AR577="TBD"),OR(BC577="",NOT(ISNUMBER(BC577)))),"Evidence incomplete","Evidence recorded; review scope")))))</x:f>
      </x:c>
      <x:c r="BN577" s="73"/>
    </x:row>
    <x:row r="578" ht="34" customHeight="1">
      <x:c r="A578" s="73"/>
      <x:c r="B578" s="73"/>
      <x:c r="C578" s="73"/>
      <x:c r="D578" s="73"/>
      <x:c r="E578" s="73"/>
      <x:c r="F578" s="73"/>
      <x:c r="G578" s="73"/>
      <x:c r="H578" s="73"/>
      <x:c r="I578" s="75"/>
      <x:c r="J578" s="73"/>
      <x:c r="K578" s="73"/>
      <x:c r="L578" s="76"/>
      <x:c r="M578" s="73"/>
      <x:c r="N578" s="73"/>
      <x:c r="O578" s="73"/>
      <x:c r="P578" s="73"/>
      <x:c r="Q578" s="76"/>
      <x:c r="R578" s="73"/>
      <x:c r="S578" s="73"/>
      <x:c r="T578" s="73"/>
      <x:c r="U578" s="73"/>
      <x:c r="V578" s="73"/>
      <x:c r="W578" s="73"/>
      <x:c r="X578" s="73"/>
      <x:c r="Y578" s="73"/>
      <x:c r="Z578" s="73"/>
      <x:c r="AA578" s="73"/>
      <x:c r="AB578" s="76" t="str">
        <x:f>IF(A578="","",IF(OR(NOT(ISNUMBER(I578)),I578&lt;0,NOT(ISNUMBER(AP578)),AP578&lt;0,NOT(ISNUMBER(L578)),L578&lt;1,L578&gt;5,L578&lt;&gt;INT(L578),AND(J578&lt;&gt;"Public",J578&lt;&gt;"Partner",J578&lt;&gt;"Internal",J578&lt;&gt;"None"),AND(K578&lt;&gt;"High",K578&lt;&gt;"Medium",K578&lt;&gt;"Low",K578&lt;&gt;"None"),AND(W578&lt;&gt;"Hard-coded",W578&lt;&gt;"Configurable",W578&lt;&gt;"Policy-managed",W578&lt;&gt;"API/Library abstraction",W578&lt;&gt;"Automated"),AND(Z578&lt;&gt;"Y",Z578&lt;&gt;"N"),AND(AA578&lt;&gt;"Y",AA578&lt;&gt;"N")),"Incomplete",IF(Z578="Y",20,0)+L578*5+IF(AA578="Y",15,0)+IF(J578="Public",10,IF(J578="Partner",7,IF(J578="Internal",3,0)))+IF(W578="Hard-coded",10,IF(W578="Configurable",3,0))+IF(MAX(I578,AP578)&gt;=10,10,IF(MAX(I578,AP578)&gt;=5,7,IF(MAX(I578,AP578)&gt;=2,3,0)))+IF(K578="High",10,IF(K578="Medium",5,0))))</x:f>
      </x:c>
      <x:c r="AC578" s="73" t="str">
        <x:f>IF(A578="","",IF(NOT(ISNUMBER(AB578)),"Review inputs",IF(AB578&gt;=70,"P0 - Immediate",IF(AB578&gt;=50,"P1 - High",IF(AB578&gt;=30,"P2 - Medium",IF(AB578&gt;=15,"P3 - Low","P4 - Monitor"))))))</x:f>
      </x:c>
      <x:c r="AD578" s="73"/>
      <x:c r="AE578" s="73"/>
      <x:c r="AF578" s="73"/>
      <x:c r="AG578" s="77"/>
      <x:c r="AH578" s="73"/>
      <x:c r="AI578" s="91"/>
      <x:c r="AJ578" s="91"/>
      <x:c r="AK578" s="91"/>
      <x:c r="AL578" s="92"/>
      <x:c r="AM578" s="91"/>
      <x:c r="AN578" s="91"/>
      <x:c r="AO578" s="93"/>
      <x:c r="AP578" s="94"/>
      <x:c r="AQ578" s="91"/>
      <x:c r="AR578" s="91"/>
      <x:c r="AS578" s="91"/>
      <x:c r="AT578" s="91"/>
      <x:c r="AU578" s="91"/>
      <x:c r="AV578" s="91"/>
      <x:c r="AW578" s="91"/>
      <x:c r="AX578" s="91"/>
      <x:c r="AY578" s="91"/>
      <x:c r="AZ578" s="92"/>
      <x:c r="BA578" s="94"/>
      <x:c r="BB578" s="91"/>
      <x:c r="BC578" s="92"/>
      <x:c r="BD578" s="92"/>
      <x:c r="BE578" s="91"/>
      <x:c r="BF578" s="91"/>
      <x:c r="BG578" s="91"/>
      <x:c r="BH578" s="91"/>
      <x:c r="BI578" s="91"/>
      <x:c r="BJ578" s="91"/>
      <x:c r="BK578" s="91"/>
      <x:c r="BL578" s="91"/>
      <x:c r="BM578" s="73" t="str">
        <x:f>IF(A578="","",IF(AI578="Example","Example only",IF(AI578&lt;&gt;"Actual","Set record type",IF(COUNTIF($A$2:$A$1001,A578)&gt;1,"Duplicate record ID",IF(OR(D578="",E578="",AF578="",NOT(ISNUMBER(AG578)),AJ578="",AK578="",NOT(ISNUMBER(AL578)),AND(AM578&lt;&gt;"Observed",AM578&lt;&gt;"Corroborated",AM578&lt;&gt;"Declared"),OR(AN578="",AN578="Unknown"),OR(AQ578="",AQ578="Unknown"),OR(AR578="",AR578="Unknown",AR578="TBD"),OR(BC578="",NOT(ISNUMBER(BC578)))),"Evidence incomplete","Evidence recorded; review scope")))))</x:f>
      </x:c>
      <x:c r="BN578" s="73"/>
    </x:row>
    <x:row r="579" ht="34" customHeight="1">
      <x:c r="A579" s="73"/>
      <x:c r="B579" s="73"/>
      <x:c r="C579" s="73"/>
      <x:c r="D579" s="73"/>
      <x:c r="E579" s="73"/>
      <x:c r="F579" s="73"/>
      <x:c r="G579" s="73"/>
      <x:c r="H579" s="73"/>
      <x:c r="I579" s="75"/>
      <x:c r="J579" s="73"/>
      <x:c r="K579" s="73"/>
      <x:c r="L579" s="76"/>
      <x:c r="M579" s="73"/>
      <x:c r="N579" s="73"/>
      <x:c r="O579" s="73"/>
      <x:c r="P579" s="73"/>
      <x:c r="Q579" s="76"/>
      <x:c r="R579" s="73"/>
      <x:c r="S579" s="73"/>
      <x:c r="T579" s="73"/>
      <x:c r="U579" s="73"/>
      <x:c r="V579" s="73"/>
      <x:c r="W579" s="73"/>
      <x:c r="X579" s="73"/>
      <x:c r="Y579" s="73"/>
      <x:c r="Z579" s="73"/>
      <x:c r="AA579" s="73"/>
      <x:c r="AB579" s="76" t="str">
        <x:f>IF(A579="","",IF(OR(NOT(ISNUMBER(I579)),I579&lt;0,NOT(ISNUMBER(AP579)),AP579&lt;0,NOT(ISNUMBER(L579)),L579&lt;1,L579&gt;5,L579&lt;&gt;INT(L579),AND(J579&lt;&gt;"Public",J579&lt;&gt;"Partner",J579&lt;&gt;"Internal",J579&lt;&gt;"None"),AND(K579&lt;&gt;"High",K579&lt;&gt;"Medium",K579&lt;&gt;"Low",K579&lt;&gt;"None"),AND(W579&lt;&gt;"Hard-coded",W579&lt;&gt;"Configurable",W579&lt;&gt;"Policy-managed",W579&lt;&gt;"API/Library abstraction",W579&lt;&gt;"Automated"),AND(Z579&lt;&gt;"Y",Z579&lt;&gt;"N"),AND(AA579&lt;&gt;"Y",AA579&lt;&gt;"N")),"Incomplete",IF(Z579="Y",20,0)+L579*5+IF(AA579="Y",15,0)+IF(J579="Public",10,IF(J579="Partner",7,IF(J579="Internal",3,0)))+IF(W579="Hard-coded",10,IF(W579="Configurable",3,0))+IF(MAX(I579,AP579)&gt;=10,10,IF(MAX(I579,AP579)&gt;=5,7,IF(MAX(I579,AP579)&gt;=2,3,0)))+IF(K579="High",10,IF(K579="Medium",5,0))))</x:f>
      </x:c>
      <x:c r="AC579" s="73" t="str">
        <x:f>IF(A579="","",IF(NOT(ISNUMBER(AB579)),"Review inputs",IF(AB579&gt;=70,"P0 - Immediate",IF(AB579&gt;=50,"P1 - High",IF(AB579&gt;=30,"P2 - Medium",IF(AB579&gt;=15,"P3 - Low","P4 - Monitor"))))))</x:f>
      </x:c>
      <x:c r="AD579" s="73"/>
      <x:c r="AE579" s="73"/>
      <x:c r="AF579" s="73"/>
      <x:c r="AG579" s="77"/>
      <x:c r="AH579" s="73"/>
      <x:c r="AI579" s="91"/>
      <x:c r="AJ579" s="91"/>
      <x:c r="AK579" s="91"/>
      <x:c r="AL579" s="92"/>
      <x:c r="AM579" s="91"/>
      <x:c r="AN579" s="91"/>
      <x:c r="AO579" s="93"/>
      <x:c r="AP579" s="94"/>
      <x:c r="AQ579" s="91"/>
      <x:c r="AR579" s="91"/>
      <x:c r="AS579" s="91"/>
      <x:c r="AT579" s="91"/>
      <x:c r="AU579" s="91"/>
      <x:c r="AV579" s="91"/>
      <x:c r="AW579" s="91"/>
      <x:c r="AX579" s="91"/>
      <x:c r="AY579" s="91"/>
      <x:c r="AZ579" s="92"/>
      <x:c r="BA579" s="94"/>
      <x:c r="BB579" s="91"/>
      <x:c r="BC579" s="92"/>
      <x:c r="BD579" s="92"/>
      <x:c r="BE579" s="91"/>
      <x:c r="BF579" s="91"/>
      <x:c r="BG579" s="91"/>
      <x:c r="BH579" s="91"/>
      <x:c r="BI579" s="91"/>
      <x:c r="BJ579" s="91"/>
      <x:c r="BK579" s="91"/>
      <x:c r="BL579" s="91"/>
      <x:c r="BM579" s="73" t="str">
        <x:f>IF(A579="","",IF(AI579="Example","Example only",IF(AI579&lt;&gt;"Actual","Set record type",IF(COUNTIF($A$2:$A$1001,A579)&gt;1,"Duplicate record ID",IF(OR(D579="",E579="",AF579="",NOT(ISNUMBER(AG579)),AJ579="",AK579="",NOT(ISNUMBER(AL579)),AND(AM579&lt;&gt;"Observed",AM579&lt;&gt;"Corroborated",AM579&lt;&gt;"Declared"),OR(AN579="",AN579="Unknown"),OR(AQ579="",AQ579="Unknown"),OR(AR579="",AR579="Unknown",AR579="TBD"),OR(BC579="",NOT(ISNUMBER(BC579)))),"Evidence incomplete","Evidence recorded; review scope")))))</x:f>
      </x:c>
      <x:c r="BN579" s="73"/>
    </x:row>
    <x:row r="580" ht="34" customHeight="1">
      <x:c r="A580" s="73"/>
      <x:c r="B580" s="73"/>
      <x:c r="C580" s="73"/>
      <x:c r="D580" s="73"/>
      <x:c r="E580" s="73"/>
      <x:c r="F580" s="73"/>
      <x:c r="G580" s="73"/>
      <x:c r="H580" s="73"/>
      <x:c r="I580" s="75"/>
      <x:c r="J580" s="73"/>
      <x:c r="K580" s="73"/>
      <x:c r="L580" s="76"/>
      <x:c r="M580" s="73"/>
      <x:c r="N580" s="73"/>
      <x:c r="O580" s="73"/>
      <x:c r="P580" s="73"/>
      <x:c r="Q580" s="76"/>
      <x:c r="R580" s="73"/>
      <x:c r="S580" s="73"/>
      <x:c r="T580" s="73"/>
      <x:c r="U580" s="73"/>
      <x:c r="V580" s="73"/>
      <x:c r="W580" s="73"/>
      <x:c r="X580" s="73"/>
      <x:c r="Y580" s="73"/>
      <x:c r="Z580" s="73"/>
      <x:c r="AA580" s="73"/>
      <x:c r="AB580" s="76" t="str">
        <x:f>IF(A580="","",IF(OR(NOT(ISNUMBER(I580)),I580&lt;0,NOT(ISNUMBER(AP580)),AP580&lt;0,NOT(ISNUMBER(L580)),L580&lt;1,L580&gt;5,L580&lt;&gt;INT(L580),AND(J580&lt;&gt;"Public",J580&lt;&gt;"Partner",J580&lt;&gt;"Internal",J580&lt;&gt;"None"),AND(K580&lt;&gt;"High",K580&lt;&gt;"Medium",K580&lt;&gt;"Low",K580&lt;&gt;"None"),AND(W580&lt;&gt;"Hard-coded",W580&lt;&gt;"Configurable",W580&lt;&gt;"Policy-managed",W580&lt;&gt;"API/Library abstraction",W580&lt;&gt;"Automated"),AND(Z580&lt;&gt;"Y",Z580&lt;&gt;"N"),AND(AA580&lt;&gt;"Y",AA580&lt;&gt;"N")),"Incomplete",IF(Z580="Y",20,0)+L580*5+IF(AA580="Y",15,0)+IF(J580="Public",10,IF(J580="Partner",7,IF(J580="Internal",3,0)))+IF(W580="Hard-coded",10,IF(W580="Configurable",3,0))+IF(MAX(I580,AP580)&gt;=10,10,IF(MAX(I580,AP580)&gt;=5,7,IF(MAX(I580,AP580)&gt;=2,3,0)))+IF(K580="High",10,IF(K580="Medium",5,0))))</x:f>
      </x:c>
      <x:c r="AC580" s="73" t="str">
        <x:f>IF(A580="","",IF(NOT(ISNUMBER(AB580)),"Review inputs",IF(AB580&gt;=70,"P0 - Immediate",IF(AB580&gt;=50,"P1 - High",IF(AB580&gt;=30,"P2 - Medium",IF(AB580&gt;=15,"P3 - Low","P4 - Monitor"))))))</x:f>
      </x:c>
      <x:c r="AD580" s="73"/>
      <x:c r="AE580" s="73"/>
      <x:c r="AF580" s="73"/>
      <x:c r="AG580" s="77"/>
      <x:c r="AH580" s="73"/>
      <x:c r="AI580" s="91"/>
      <x:c r="AJ580" s="91"/>
      <x:c r="AK580" s="91"/>
      <x:c r="AL580" s="92"/>
      <x:c r="AM580" s="91"/>
      <x:c r="AN580" s="91"/>
      <x:c r="AO580" s="93"/>
      <x:c r="AP580" s="94"/>
      <x:c r="AQ580" s="91"/>
      <x:c r="AR580" s="91"/>
      <x:c r="AS580" s="91"/>
      <x:c r="AT580" s="91"/>
      <x:c r="AU580" s="91"/>
      <x:c r="AV580" s="91"/>
      <x:c r="AW580" s="91"/>
      <x:c r="AX580" s="91"/>
      <x:c r="AY580" s="91"/>
      <x:c r="AZ580" s="92"/>
      <x:c r="BA580" s="94"/>
      <x:c r="BB580" s="91"/>
      <x:c r="BC580" s="92"/>
      <x:c r="BD580" s="92"/>
      <x:c r="BE580" s="91"/>
      <x:c r="BF580" s="91"/>
      <x:c r="BG580" s="91"/>
      <x:c r="BH580" s="91"/>
      <x:c r="BI580" s="91"/>
      <x:c r="BJ580" s="91"/>
      <x:c r="BK580" s="91"/>
      <x:c r="BL580" s="91"/>
      <x:c r="BM580" s="73" t="str">
        <x:f>IF(A580="","",IF(AI580="Example","Example only",IF(AI580&lt;&gt;"Actual","Set record type",IF(COUNTIF($A$2:$A$1001,A580)&gt;1,"Duplicate record ID",IF(OR(D580="",E580="",AF580="",NOT(ISNUMBER(AG580)),AJ580="",AK580="",NOT(ISNUMBER(AL580)),AND(AM580&lt;&gt;"Observed",AM580&lt;&gt;"Corroborated",AM580&lt;&gt;"Declared"),OR(AN580="",AN580="Unknown"),OR(AQ580="",AQ580="Unknown"),OR(AR580="",AR580="Unknown",AR580="TBD"),OR(BC580="",NOT(ISNUMBER(BC580)))),"Evidence incomplete","Evidence recorded; review scope")))))</x:f>
      </x:c>
      <x:c r="BN580" s="73"/>
    </x:row>
    <x:row r="581" ht="34" customHeight="1">
      <x:c r="A581" s="73"/>
      <x:c r="B581" s="73"/>
      <x:c r="C581" s="73"/>
      <x:c r="D581" s="73"/>
      <x:c r="E581" s="73"/>
      <x:c r="F581" s="73"/>
      <x:c r="G581" s="73"/>
      <x:c r="H581" s="73"/>
      <x:c r="I581" s="75"/>
      <x:c r="J581" s="73"/>
      <x:c r="K581" s="73"/>
      <x:c r="L581" s="76"/>
      <x:c r="M581" s="73"/>
      <x:c r="N581" s="73"/>
      <x:c r="O581" s="73"/>
      <x:c r="P581" s="73"/>
      <x:c r="Q581" s="76"/>
      <x:c r="R581" s="73"/>
      <x:c r="S581" s="73"/>
      <x:c r="T581" s="73"/>
      <x:c r="U581" s="73"/>
      <x:c r="V581" s="73"/>
      <x:c r="W581" s="73"/>
      <x:c r="X581" s="73"/>
      <x:c r="Y581" s="73"/>
      <x:c r="Z581" s="73"/>
      <x:c r="AA581" s="73"/>
      <x:c r="AB581" s="76" t="str">
        <x:f>IF(A581="","",IF(OR(NOT(ISNUMBER(I581)),I581&lt;0,NOT(ISNUMBER(AP581)),AP581&lt;0,NOT(ISNUMBER(L581)),L581&lt;1,L581&gt;5,L581&lt;&gt;INT(L581),AND(J581&lt;&gt;"Public",J581&lt;&gt;"Partner",J581&lt;&gt;"Internal",J581&lt;&gt;"None"),AND(K581&lt;&gt;"High",K581&lt;&gt;"Medium",K581&lt;&gt;"Low",K581&lt;&gt;"None"),AND(W581&lt;&gt;"Hard-coded",W581&lt;&gt;"Configurable",W581&lt;&gt;"Policy-managed",W581&lt;&gt;"API/Library abstraction",W581&lt;&gt;"Automated"),AND(Z581&lt;&gt;"Y",Z581&lt;&gt;"N"),AND(AA581&lt;&gt;"Y",AA581&lt;&gt;"N")),"Incomplete",IF(Z581="Y",20,0)+L581*5+IF(AA581="Y",15,0)+IF(J581="Public",10,IF(J581="Partner",7,IF(J581="Internal",3,0)))+IF(W581="Hard-coded",10,IF(W581="Configurable",3,0))+IF(MAX(I581,AP581)&gt;=10,10,IF(MAX(I581,AP581)&gt;=5,7,IF(MAX(I581,AP581)&gt;=2,3,0)))+IF(K581="High",10,IF(K581="Medium",5,0))))</x:f>
      </x:c>
      <x:c r="AC581" s="73" t="str">
        <x:f>IF(A581="","",IF(NOT(ISNUMBER(AB581)),"Review inputs",IF(AB581&gt;=70,"P0 - Immediate",IF(AB581&gt;=50,"P1 - High",IF(AB581&gt;=30,"P2 - Medium",IF(AB581&gt;=15,"P3 - Low","P4 - Monitor"))))))</x:f>
      </x:c>
      <x:c r="AD581" s="73"/>
      <x:c r="AE581" s="73"/>
      <x:c r="AF581" s="73"/>
      <x:c r="AG581" s="77"/>
      <x:c r="AH581" s="73"/>
      <x:c r="AI581" s="91"/>
      <x:c r="AJ581" s="91"/>
      <x:c r="AK581" s="91"/>
      <x:c r="AL581" s="92"/>
      <x:c r="AM581" s="91"/>
      <x:c r="AN581" s="91"/>
      <x:c r="AO581" s="93"/>
      <x:c r="AP581" s="94"/>
      <x:c r="AQ581" s="91"/>
      <x:c r="AR581" s="91"/>
      <x:c r="AS581" s="91"/>
      <x:c r="AT581" s="91"/>
      <x:c r="AU581" s="91"/>
      <x:c r="AV581" s="91"/>
      <x:c r="AW581" s="91"/>
      <x:c r="AX581" s="91"/>
      <x:c r="AY581" s="91"/>
      <x:c r="AZ581" s="92"/>
      <x:c r="BA581" s="94"/>
      <x:c r="BB581" s="91"/>
      <x:c r="BC581" s="92"/>
      <x:c r="BD581" s="92"/>
      <x:c r="BE581" s="91"/>
      <x:c r="BF581" s="91"/>
      <x:c r="BG581" s="91"/>
      <x:c r="BH581" s="91"/>
      <x:c r="BI581" s="91"/>
      <x:c r="BJ581" s="91"/>
      <x:c r="BK581" s="91"/>
      <x:c r="BL581" s="91"/>
      <x:c r="BM581" s="73" t="str">
        <x:f>IF(A581="","",IF(AI581="Example","Example only",IF(AI581&lt;&gt;"Actual","Set record type",IF(COUNTIF($A$2:$A$1001,A581)&gt;1,"Duplicate record ID",IF(OR(D581="",E581="",AF581="",NOT(ISNUMBER(AG581)),AJ581="",AK581="",NOT(ISNUMBER(AL581)),AND(AM581&lt;&gt;"Observed",AM581&lt;&gt;"Corroborated",AM581&lt;&gt;"Declared"),OR(AN581="",AN581="Unknown"),OR(AQ581="",AQ581="Unknown"),OR(AR581="",AR581="Unknown",AR581="TBD"),OR(BC581="",NOT(ISNUMBER(BC581)))),"Evidence incomplete","Evidence recorded; review scope")))))</x:f>
      </x:c>
      <x:c r="BN581" s="73"/>
    </x:row>
    <x:row r="582" ht="34" customHeight="1">
      <x:c r="A582" s="73"/>
      <x:c r="B582" s="73"/>
      <x:c r="C582" s="73"/>
      <x:c r="D582" s="73"/>
      <x:c r="E582" s="73"/>
      <x:c r="F582" s="73"/>
      <x:c r="G582" s="73"/>
      <x:c r="H582" s="73"/>
      <x:c r="I582" s="75"/>
      <x:c r="J582" s="73"/>
      <x:c r="K582" s="73"/>
      <x:c r="L582" s="76"/>
      <x:c r="M582" s="73"/>
      <x:c r="N582" s="73"/>
      <x:c r="O582" s="73"/>
      <x:c r="P582" s="73"/>
      <x:c r="Q582" s="76"/>
      <x:c r="R582" s="73"/>
      <x:c r="S582" s="73"/>
      <x:c r="T582" s="73"/>
      <x:c r="U582" s="73"/>
      <x:c r="V582" s="73"/>
      <x:c r="W582" s="73"/>
      <x:c r="X582" s="73"/>
      <x:c r="Y582" s="73"/>
      <x:c r="Z582" s="73"/>
      <x:c r="AA582" s="73"/>
      <x:c r="AB582" s="76" t="str">
        <x:f>IF(A582="","",IF(OR(NOT(ISNUMBER(I582)),I582&lt;0,NOT(ISNUMBER(AP582)),AP582&lt;0,NOT(ISNUMBER(L582)),L582&lt;1,L582&gt;5,L582&lt;&gt;INT(L582),AND(J582&lt;&gt;"Public",J582&lt;&gt;"Partner",J582&lt;&gt;"Internal",J582&lt;&gt;"None"),AND(K582&lt;&gt;"High",K582&lt;&gt;"Medium",K582&lt;&gt;"Low",K582&lt;&gt;"None"),AND(W582&lt;&gt;"Hard-coded",W582&lt;&gt;"Configurable",W582&lt;&gt;"Policy-managed",W582&lt;&gt;"API/Library abstraction",W582&lt;&gt;"Automated"),AND(Z582&lt;&gt;"Y",Z582&lt;&gt;"N"),AND(AA582&lt;&gt;"Y",AA582&lt;&gt;"N")),"Incomplete",IF(Z582="Y",20,0)+L582*5+IF(AA582="Y",15,0)+IF(J582="Public",10,IF(J582="Partner",7,IF(J582="Internal",3,0)))+IF(W582="Hard-coded",10,IF(W582="Configurable",3,0))+IF(MAX(I582,AP582)&gt;=10,10,IF(MAX(I582,AP582)&gt;=5,7,IF(MAX(I582,AP582)&gt;=2,3,0)))+IF(K582="High",10,IF(K582="Medium",5,0))))</x:f>
      </x:c>
      <x:c r="AC582" s="73" t="str">
        <x:f>IF(A582="","",IF(NOT(ISNUMBER(AB582)),"Review inputs",IF(AB582&gt;=70,"P0 - Immediate",IF(AB582&gt;=50,"P1 - High",IF(AB582&gt;=30,"P2 - Medium",IF(AB582&gt;=15,"P3 - Low","P4 - Monitor"))))))</x:f>
      </x:c>
      <x:c r="AD582" s="73"/>
      <x:c r="AE582" s="73"/>
      <x:c r="AF582" s="73"/>
      <x:c r="AG582" s="77"/>
      <x:c r="AH582" s="73"/>
      <x:c r="AI582" s="91"/>
      <x:c r="AJ582" s="91"/>
      <x:c r="AK582" s="91"/>
      <x:c r="AL582" s="92"/>
      <x:c r="AM582" s="91"/>
      <x:c r="AN582" s="91"/>
      <x:c r="AO582" s="93"/>
      <x:c r="AP582" s="94"/>
      <x:c r="AQ582" s="91"/>
      <x:c r="AR582" s="91"/>
      <x:c r="AS582" s="91"/>
      <x:c r="AT582" s="91"/>
      <x:c r="AU582" s="91"/>
      <x:c r="AV582" s="91"/>
      <x:c r="AW582" s="91"/>
      <x:c r="AX582" s="91"/>
      <x:c r="AY582" s="91"/>
      <x:c r="AZ582" s="92"/>
      <x:c r="BA582" s="94"/>
      <x:c r="BB582" s="91"/>
      <x:c r="BC582" s="92"/>
      <x:c r="BD582" s="92"/>
      <x:c r="BE582" s="91"/>
      <x:c r="BF582" s="91"/>
      <x:c r="BG582" s="91"/>
      <x:c r="BH582" s="91"/>
      <x:c r="BI582" s="91"/>
      <x:c r="BJ582" s="91"/>
      <x:c r="BK582" s="91"/>
      <x:c r="BL582" s="91"/>
      <x:c r="BM582" s="73" t="str">
        <x:f>IF(A582="","",IF(AI582="Example","Example only",IF(AI582&lt;&gt;"Actual","Set record type",IF(COUNTIF($A$2:$A$1001,A582)&gt;1,"Duplicate record ID",IF(OR(D582="",E582="",AF582="",NOT(ISNUMBER(AG582)),AJ582="",AK582="",NOT(ISNUMBER(AL582)),AND(AM582&lt;&gt;"Observed",AM582&lt;&gt;"Corroborated",AM582&lt;&gt;"Declared"),OR(AN582="",AN582="Unknown"),OR(AQ582="",AQ582="Unknown"),OR(AR582="",AR582="Unknown",AR582="TBD"),OR(BC582="",NOT(ISNUMBER(BC582)))),"Evidence incomplete","Evidence recorded; review scope")))))</x:f>
      </x:c>
      <x:c r="BN582" s="73"/>
    </x:row>
    <x:row r="583" ht="34" customHeight="1">
      <x:c r="A583" s="73"/>
      <x:c r="B583" s="73"/>
      <x:c r="C583" s="73"/>
      <x:c r="D583" s="73"/>
      <x:c r="E583" s="73"/>
      <x:c r="F583" s="73"/>
      <x:c r="G583" s="73"/>
      <x:c r="H583" s="73"/>
      <x:c r="I583" s="75"/>
      <x:c r="J583" s="73"/>
      <x:c r="K583" s="73"/>
      <x:c r="L583" s="76"/>
      <x:c r="M583" s="73"/>
      <x:c r="N583" s="73"/>
      <x:c r="O583" s="73"/>
      <x:c r="P583" s="73"/>
      <x:c r="Q583" s="76"/>
      <x:c r="R583" s="73"/>
      <x:c r="S583" s="73"/>
      <x:c r="T583" s="73"/>
      <x:c r="U583" s="73"/>
      <x:c r="V583" s="73"/>
      <x:c r="W583" s="73"/>
      <x:c r="X583" s="73"/>
      <x:c r="Y583" s="73"/>
      <x:c r="Z583" s="73"/>
      <x:c r="AA583" s="73"/>
      <x:c r="AB583" s="76" t="str">
        <x:f>IF(A583="","",IF(OR(NOT(ISNUMBER(I583)),I583&lt;0,NOT(ISNUMBER(AP583)),AP583&lt;0,NOT(ISNUMBER(L583)),L583&lt;1,L583&gt;5,L583&lt;&gt;INT(L583),AND(J583&lt;&gt;"Public",J583&lt;&gt;"Partner",J583&lt;&gt;"Internal",J583&lt;&gt;"None"),AND(K583&lt;&gt;"High",K583&lt;&gt;"Medium",K583&lt;&gt;"Low",K583&lt;&gt;"None"),AND(W583&lt;&gt;"Hard-coded",W583&lt;&gt;"Configurable",W583&lt;&gt;"Policy-managed",W583&lt;&gt;"API/Library abstraction",W583&lt;&gt;"Automated"),AND(Z583&lt;&gt;"Y",Z583&lt;&gt;"N"),AND(AA583&lt;&gt;"Y",AA583&lt;&gt;"N")),"Incomplete",IF(Z583="Y",20,0)+L583*5+IF(AA583="Y",15,0)+IF(J583="Public",10,IF(J583="Partner",7,IF(J583="Internal",3,0)))+IF(W583="Hard-coded",10,IF(W583="Configurable",3,0))+IF(MAX(I583,AP583)&gt;=10,10,IF(MAX(I583,AP583)&gt;=5,7,IF(MAX(I583,AP583)&gt;=2,3,0)))+IF(K583="High",10,IF(K583="Medium",5,0))))</x:f>
      </x:c>
      <x:c r="AC583" s="73" t="str">
        <x:f>IF(A583="","",IF(NOT(ISNUMBER(AB583)),"Review inputs",IF(AB583&gt;=70,"P0 - Immediate",IF(AB583&gt;=50,"P1 - High",IF(AB583&gt;=30,"P2 - Medium",IF(AB583&gt;=15,"P3 - Low","P4 - Monitor"))))))</x:f>
      </x:c>
      <x:c r="AD583" s="73"/>
      <x:c r="AE583" s="73"/>
      <x:c r="AF583" s="73"/>
      <x:c r="AG583" s="77"/>
      <x:c r="AH583" s="73"/>
      <x:c r="AI583" s="91"/>
      <x:c r="AJ583" s="91"/>
      <x:c r="AK583" s="91"/>
      <x:c r="AL583" s="92"/>
      <x:c r="AM583" s="91"/>
      <x:c r="AN583" s="91"/>
      <x:c r="AO583" s="93"/>
      <x:c r="AP583" s="94"/>
      <x:c r="AQ583" s="91"/>
      <x:c r="AR583" s="91"/>
      <x:c r="AS583" s="91"/>
      <x:c r="AT583" s="91"/>
      <x:c r="AU583" s="91"/>
      <x:c r="AV583" s="91"/>
      <x:c r="AW583" s="91"/>
      <x:c r="AX583" s="91"/>
      <x:c r="AY583" s="91"/>
      <x:c r="AZ583" s="92"/>
      <x:c r="BA583" s="94"/>
      <x:c r="BB583" s="91"/>
      <x:c r="BC583" s="92"/>
      <x:c r="BD583" s="92"/>
      <x:c r="BE583" s="91"/>
      <x:c r="BF583" s="91"/>
      <x:c r="BG583" s="91"/>
      <x:c r="BH583" s="91"/>
      <x:c r="BI583" s="91"/>
      <x:c r="BJ583" s="91"/>
      <x:c r="BK583" s="91"/>
      <x:c r="BL583" s="91"/>
      <x:c r="BM583" s="73" t="str">
        <x:f>IF(A583="","",IF(AI583="Example","Example only",IF(AI583&lt;&gt;"Actual","Set record type",IF(COUNTIF($A$2:$A$1001,A583)&gt;1,"Duplicate record ID",IF(OR(D583="",E583="",AF583="",NOT(ISNUMBER(AG583)),AJ583="",AK583="",NOT(ISNUMBER(AL583)),AND(AM583&lt;&gt;"Observed",AM583&lt;&gt;"Corroborated",AM583&lt;&gt;"Declared"),OR(AN583="",AN583="Unknown"),OR(AQ583="",AQ583="Unknown"),OR(AR583="",AR583="Unknown",AR583="TBD"),OR(BC583="",NOT(ISNUMBER(BC583)))),"Evidence incomplete","Evidence recorded; review scope")))))</x:f>
      </x:c>
      <x:c r="BN583" s="73"/>
    </x:row>
    <x:row r="584" ht="34" customHeight="1">
      <x:c r="A584" s="73"/>
      <x:c r="B584" s="73"/>
      <x:c r="C584" s="73"/>
      <x:c r="D584" s="73"/>
      <x:c r="E584" s="73"/>
      <x:c r="F584" s="73"/>
      <x:c r="G584" s="73"/>
      <x:c r="H584" s="73"/>
      <x:c r="I584" s="75"/>
      <x:c r="J584" s="73"/>
      <x:c r="K584" s="73"/>
      <x:c r="L584" s="76"/>
      <x:c r="M584" s="73"/>
      <x:c r="N584" s="73"/>
      <x:c r="O584" s="73"/>
      <x:c r="P584" s="73"/>
      <x:c r="Q584" s="76"/>
      <x:c r="R584" s="73"/>
      <x:c r="S584" s="73"/>
      <x:c r="T584" s="73"/>
      <x:c r="U584" s="73"/>
      <x:c r="V584" s="73"/>
      <x:c r="W584" s="73"/>
      <x:c r="X584" s="73"/>
      <x:c r="Y584" s="73"/>
      <x:c r="Z584" s="73"/>
      <x:c r="AA584" s="73"/>
      <x:c r="AB584" s="76" t="str">
        <x:f>IF(A584="","",IF(OR(NOT(ISNUMBER(I584)),I584&lt;0,NOT(ISNUMBER(AP584)),AP584&lt;0,NOT(ISNUMBER(L584)),L584&lt;1,L584&gt;5,L584&lt;&gt;INT(L584),AND(J584&lt;&gt;"Public",J584&lt;&gt;"Partner",J584&lt;&gt;"Internal",J584&lt;&gt;"None"),AND(K584&lt;&gt;"High",K584&lt;&gt;"Medium",K584&lt;&gt;"Low",K584&lt;&gt;"None"),AND(W584&lt;&gt;"Hard-coded",W584&lt;&gt;"Configurable",W584&lt;&gt;"Policy-managed",W584&lt;&gt;"API/Library abstraction",W584&lt;&gt;"Automated"),AND(Z584&lt;&gt;"Y",Z584&lt;&gt;"N"),AND(AA584&lt;&gt;"Y",AA584&lt;&gt;"N")),"Incomplete",IF(Z584="Y",20,0)+L584*5+IF(AA584="Y",15,0)+IF(J584="Public",10,IF(J584="Partner",7,IF(J584="Internal",3,0)))+IF(W584="Hard-coded",10,IF(W584="Configurable",3,0))+IF(MAX(I584,AP584)&gt;=10,10,IF(MAX(I584,AP584)&gt;=5,7,IF(MAX(I584,AP584)&gt;=2,3,0)))+IF(K584="High",10,IF(K584="Medium",5,0))))</x:f>
      </x:c>
      <x:c r="AC584" s="73" t="str">
        <x:f>IF(A584="","",IF(NOT(ISNUMBER(AB584)),"Review inputs",IF(AB584&gt;=70,"P0 - Immediate",IF(AB584&gt;=50,"P1 - High",IF(AB584&gt;=30,"P2 - Medium",IF(AB584&gt;=15,"P3 - Low","P4 - Monitor"))))))</x:f>
      </x:c>
      <x:c r="AD584" s="73"/>
      <x:c r="AE584" s="73"/>
      <x:c r="AF584" s="73"/>
      <x:c r="AG584" s="77"/>
      <x:c r="AH584" s="73"/>
      <x:c r="AI584" s="91"/>
      <x:c r="AJ584" s="91"/>
      <x:c r="AK584" s="91"/>
      <x:c r="AL584" s="92"/>
      <x:c r="AM584" s="91"/>
      <x:c r="AN584" s="91"/>
      <x:c r="AO584" s="93"/>
      <x:c r="AP584" s="94"/>
      <x:c r="AQ584" s="91"/>
      <x:c r="AR584" s="91"/>
      <x:c r="AS584" s="91"/>
      <x:c r="AT584" s="91"/>
      <x:c r="AU584" s="91"/>
      <x:c r="AV584" s="91"/>
      <x:c r="AW584" s="91"/>
      <x:c r="AX584" s="91"/>
      <x:c r="AY584" s="91"/>
      <x:c r="AZ584" s="92"/>
      <x:c r="BA584" s="94"/>
      <x:c r="BB584" s="91"/>
      <x:c r="BC584" s="92"/>
      <x:c r="BD584" s="92"/>
      <x:c r="BE584" s="91"/>
      <x:c r="BF584" s="91"/>
      <x:c r="BG584" s="91"/>
      <x:c r="BH584" s="91"/>
      <x:c r="BI584" s="91"/>
      <x:c r="BJ584" s="91"/>
      <x:c r="BK584" s="91"/>
      <x:c r="BL584" s="91"/>
      <x:c r="BM584" s="73" t="str">
        <x:f>IF(A584="","",IF(AI584="Example","Example only",IF(AI584&lt;&gt;"Actual","Set record type",IF(COUNTIF($A$2:$A$1001,A584)&gt;1,"Duplicate record ID",IF(OR(D584="",E584="",AF584="",NOT(ISNUMBER(AG584)),AJ584="",AK584="",NOT(ISNUMBER(AL584)),AND(AM584&lt;&gt;"Observed",AM584&lt;&gt;"Corroborated",AM584&lt;&gt;"Declared"),OR(AN584="",AN584="Unknown"),OR(AQ584="",AQ584="Unknown"),OR(AR584="",AR584="Unknown",AR584="TBD"),OR(BC584="",NOT(ISNUMBER(BC584)))),"Evidence incomplete","Evidence recorded; review scope")))))</x:f>
      </x:c>
      <x:c r="BN584" s="73"/>
    </x:row>
    <x:row r="585" ht="34" customHeight="1">
      <x:c r="A585" s="73"/>
      <x:c r="B585" s="73"/>
      <x:c r="C585" s="73"/>
      <x:c r="D585" s="73"/>
      <x:c r="E585" s="73"/>
      <x:c r="F585" s="73"/>
      <x:c r="G585" s="73"/>
      <x:c r="H585" s="73"/>
      <x:c r="I585" s="75"/>
      <x:c r="J585" s="73"/>
      <x:c r="K585" s="73"/>
      <x:c r="L585" s="76"/>
      <x:c r="M585" s="73"/>
      <x:c r="N585" s="73"/>
      <x:c r="O585" s="73"/>
      <x:c r="P585" s="73"/>
      <x:c r="Q585" s="76"/>
      <x:c r="R585" s="73"/>
      <x:c r="S585" s="73"/>
      <x:c r="T585" s="73"/>
      <x:c r="U585" s="73"/>
      <x:c r="V585" s="73"/>
      <x:c r="W585" s="73"/>
      <x:c r="X585" s="73"/>
      <x:c r="Y585" s="73"/>
      <x:c r="Z585" s="73"/>
      <x:c r="AA585" s="73"/>
      <x:c r="AB585" s="76" t="str">
        <x:f>IF(A585="","",IF(OR(NOT(ISNUMBER(I585)),I585&lt;0,NOT(ISNUMBER(AP585)),AP585&lt;0,NOT(ISNUMBER(L585)),L585&lt;1,L585&gt;5,L585&lt;&gt;INT(L585),AND(J585&lt;&gt;"Public",J585&lt;&gt;"Partner",J585&lt;&gt;"Internal",J585&lt;&gt;"None"),AND(K585&lt;&gt;"High",K585&lt;&gt;"Medium",K585&lt;&gt;"Low",K585&lt;&gt;"None"),AND(W585&lt;&gt;"Hard-coded",W585&lt;&gt;"Configurable",W585&lt;&gt;"Policy-managed",W585&lt;&gt;"API/Library abstraction",W585&lt;&gt;"Automated"),AND(Z585&lt;&gt;"Y",Z585&lt;&gt;"N"),AND(AA585&lt;&gt;"Y",AA585&lt;&gt;"N")),"Incomplete",IF(Z585="Y",20,0)+L585*5+IF(AA585="Y",15,0)+IF(J585="Public",10,IF(J585="Partner",7,IF(J585="Internal",3,0)))+IF(W585="Hard-coded",10,IF(W585="Configurable",3,0))+IF(MAX(I585,AP585)&gt;=10,10,IF(MAX(I585,AP585)&gt;=5,7,IF(MAX(I585,AP585)&gt;=2,3,0)))+IF(K585="High",10,IF(K585="Medium",5,0))))</x:f>
      </x:c>
      <x:c r="AC585" s="73" t="str">
        <x:f>IF(A585="","",IF(NOT(ISNUMBER(AB585)),"Review inputs",IF(AB585&gt;=70,"P0 - Immediate",IF(AB585&gt;=50,"P1 - High",IF(AB585&gt;=30,"P2 - Medium",IF(AB585&gt;=15,"P3 - Low","P4 - Monitor"))))))</x:f>
      </x:c>
      <x:c r="AD585" s="73"/>
      <x:c r="AE585" s="73"/>
      <x:c r="AF585" s="73"/>
      <x:c r="AG585" s="77"/>
      <x:c r="AH585" s="73"/>
      <x:c r="AI585" s="91"/>
      <x:c r="AJ585" s="91"/>
      <x:c r="AK585" s="91"/>
      <x:c r="AL585" s="92"/>
      <x:c r="AM585" s="91"/>
      <x:c r="AN585" s="91"/>
      <x:c r="AO585" s="93"/>
      <x:c r="AP585" s="94"/>
      <x:c r="AQ585" s="91"/>
      <x:c r="AR585" s="91"/>
      <x:c r="AS585" s="91"/>
      <x:c r="AT585" s="91"/>
      <x:c r="AU585" s="91"/>
      <x:c r="AV585" s="91"/>
      <x:c r="AW585" s="91"/>
      <x:c r="AX585" s="91"/>
      <x:c r="AY585" s="91"/>
      <x:c r="AZ585" s="92"/>
      <x:c r="BA585" s="94"/>
      <x:c r="BB585" s="91"/>
      <x:c r="BC585" s="92"/>
      <x:c r="BD585" s="92"/>
      <x:c r="BE585" s="91"/>
      <x:c r="BF585" s="91"/>
      <x:c r="BG585" s="91"/>
      <x:c r="BH585" s="91"/>
      <x:c r="BI585" s="91"/>
      <x:c r="BJ585" s="91"/>
      <x:c r="BK585" s="91"/>
      <x:c r="BL585" s="91"/>
      <x:c r="BM585" s="73" t="str">
        <x:f>IF(A585="","",IF(AI585="Example","Example only",IF(AI585&lt;&gt;"Actual","Set record type",IF(COUNTIF($A$2:$A$1001,A585)&gt;1,"Duplicate record ID",IF(OR(D585="",E585="",AF585="",NOT(ISNUMBER(AG585)),AJ585="",AK585="",NOT(ISNUMBER(AL585)),AND(AM585&lt;&gt;"Observed",AM585&lt;&gt;"Corroborated",AM585&lt;&gt;"Declared"),OR(AN585="",AN585="Unknown"),OR(AQ585="",AQ585="Unknown"),OR(AR585="",AR585="Unknown",AR585="TBD"),OR(BC585="",NOT(ISNUMBER(BC585)))),"Evidence incomplete","Evidence recorded; review scope")))))</x:f>
      </x:c>
      <x:c r="BN585" s="73"/>
    </x:row>
    <x:row r="586" ht="34" customHeight="1">
      <x:c r="A586" s="73"/>
      <x:c r="B586" s="73"/>
      <x:c r="C586" s="73"/>
      <x:c r="D586" s="73"/>
      <x:c r="E586" s="73"/>
      <x:c r="F586" s="73"/>
      <x:c r="G586" s="73"/>
      <x:c r="H586" s="73"/>
      <x:c r="I586" s="75"/>
      <x:c r="J586" s="73"/>
      <x:c r="K586" s="73"/>
      <x:c r="L586" s="76"/>
      <x:c r="M586" s="73"/>
      <x:c r="N586" s="73"/>
      <x:c r="O586" s="73"/>
      <x:c r="P586" s="73"/>
      <x:c r="Q586" s="76"/>
      <x:c r="R586" s="73"/>
      <x:c r="S586" s="73"/>
      <x:c r="T586" s="73"/>
      <x:c r="U586" s="73"/>
      <x:c r="V586" s="73"/>
      <x:c r="W586" s="73"/>
      <x:c r="X586" s="73"/>
      <x:c r="Y586" s="73"/>
      <x:c r="Z586" s="73"/>
      <x:c r="AA586" s="73"/>
      <x:c r="AB586" s="76" t="str">
        <x:f>IF(A586="","",IF(OR(NOT(ISNUMBER(I586)),I586&lt;0,NOT(ISNUMBER(AP586)),AP586&lt;0,NOT(ISNUMBER(L586)),L586&lt;1,L586&gt;5,L586&lt;&gt;INT(L586),AND(J586&lt;&gt;"Public",J586&lt;&gt;"Partner",J586&lt;&gt;"Internal",J586&lt;&gt;"None"),AND(K586&lt;&gt;"High",K586&lt;&gt;"Medium",K586&lt;&gt;"Low",K586&lt;&gt;"None"),AND(W586&lt;&gt;"Hard-coded",W586&lt;&gt;"Configurable",W586&lt;&gt;"Policy-managed",W586&lt;&gt;"API/Library abstraction",W586&lt;&gt;"Automated"),AND(Z586&lt;&gt;"Y",Z586&lt;&gt;"N"),AND(AA586&lt;&gt;"Y",AA586&lt;&gt;"N")),"Incomplete",IF(Z586="Y",20,0)+L586*5+IF(AA586="Y",15,0)+IF(J586="Public",10,IF(J586="Partner",7,IF(J586="Internal",3,0)))+IF(W586="Hard-coded",10,IF(W586="Configurable",3,0))+IF(MAX(I586,AP586)&gt;=10,10,IF(MAX(I586,AP586)&gt;=5,7,IF(MAX(I586,AP586)&gt;=2,3,0)))+IF(K586="High",10,IF(K586="Medium",5,0))))</x:f>
      </x:c>
      <x:c r="AC586" s="73" t="str">
        <x:f>IF(A586="","",IF(NOT(ISNUMBER(AB586)),"Review inputs",IF(AB586&gt;=70,"P0 - Immediate",IF(AB586&gt;=50,"P1 - High",IF(AB586&gt;=30,"P2 - Medium",IF(AB586&gt;=15,"P3 - Low","P4 - Monitor"))))))</x:f>
      </x:c>
      <x:c r="AD586" s="73"/>
      <x:c r="AE586" s="73"/>
      <x:c r="AF586" s="73"/>
      <x:c r="AG586" s="77"/>
      <x:c r="AH586" s="73"/>
      <x:c r="AI586" s="91"/>
      <x:c r="AJ586" s="91"/>
      <x:c r="AK586" s="91"/>
      <x:c r="AL586" s="92"/>
      <x:c r="AM586" s="91"/>
      <x:c r="AN586" s="91"/>
      <x:c r="AO586" s="93"/>
      <x:c r="AP586" s="94"/>
      <x:c r="AQ586" s="91"/>
      <x:c r="AR586" s="91"/>
      <x:c r="AS586" s="91"/>
      <x:c r="AT586" s="91"/>
      <x:c r="AU586" s="91"/>
      <x:c r="AV586" s="91"/>
      <x:c r="AW586" s="91"/>
      <x:c r="AX586" s="91"/>
      <x:c r="AY586" s="91"/>
      <x:c r="AZ586" s="92"/>
      <x:c r="BA586" s="94"/>
      <x:c r="BB586" s="91"/>
      <x:c r="BC586" s="92"/>
      <x:c r="BD586" s="92"/>
      <x:c r="BE586" s="91"/>
      <x:c r="BF586" s="91"/>
      <x:c r="BG586" s="91"/>
      <x:c r="BH586" s="91"/>
      <x:c r="BI586" s="91"/>
      <x:c r="BJ586" s="91"/>
      <x:c r="BK586" s="91"/>
      <x:c r="BL586" s="91"/>
      <x:c r="BM586" s="73" t="str">
        <x:f>IF(A586="","",IF(AI586="Example","Example only",IF(AI586&lt;&gt;"Actual","Set record type",IF(COUNTIF($A$2:$A$1001,A586)&gt;1,"Duplicate record ID",IF(OR(D586="",E586="",AF586="",NOT(ISNUMBER(AG586)),AJ586="",AK586="",NOT(ISNUMBER(AL586)),AND(AM586&lt;&gt;"Observed",AM586&lt;&gt;"Corroborated",AM586&lt;&gt;"Declared"),OR(AN586="",AN586="Unknown"),OR(AQ586="",AQ586="Unknown"),OR(AR586="",AR586="Unknown",AR586="TBD"),OR(BC586="",NOT(ISNUMBER(BC586)))),"Evidence incomplete","Evidence recorded; review scope")))))</x:f>
      </x:c>
      <x:c r="BN586" s="73"/>
    </x:row>
    <x:row r="587" ht="34" customHeight="1">
      <x:c r="A587" s="73"/>
      <x:c r="B587" s="73"/>
      <x:c r="C587" s="73"/>
      <x:c r="D587" s="73"/>
      <x:c r="E587" s="73"/>
      <x:c r="F587" s="73"/>
      <x:c r="G587" s="73"/>
      <x:c r="H587" s="73"/>
      <x:c r="I587" s="75"/>
      <x:c r="J587" s="73"/>
      <x:c r="K587" s="73"/>
      <x:c r="L587" s="76"/>
      <x:c r="M587" s="73"/>
      <x:c r="N587" s="73"/>
      <x:c r="O587" s="73"/>
      <x:c r="P587" s="73"/>
      <x:c r="Q587" s="76"/>
      <x:c r="R587" s="73"/>
      <x:c r="S587" s="73"/>
      <x:c r="T587" s="73"/>
      <x:c r="U587" s="73"/>
      <x:c r="V587" s="73"/>
      <x:c r="W587" s="73"/>
      <x:c r="X587" s="73"/>
      <x:c r="Y587" s="73"/>
      <x:c r="Z587" s="73"/>
      <x:c r="AA587" s="73"/>
      <x:c r="AB587" s="76" t="str">
        <x:f>IF(A587="","",IF(OR(NOT(ISNUMBER(I587)),I587&lt;0,NOT(ISNUMBER(AP587)),AP587&lt;0,NOT(ISNUMBER(L587)),L587&lt;1,L587&gt;5,L587&lt;&gt;INT(L587),AND(J587&lt;&gt;"Public",J587&lt;&gt;"Partner",J587&lt;&gt;"Internal",J587&lt;&gt;"None"),AND(K587&lt;&gt;"High",K587&lt;&gt;"Medium",K587&lt;&gt;"Low",K587&lt;&gt;"None"),AND(W587&lt;&gt;"Hard-coded",W587&lt;&gt;"Configurable",W587&lt;&gt;"Policy-managed",W587&lt;&gt;"API/Library abstraction",W587&lt;&gt;"Automated"),AND(Z587&lt;&gt;"Y",Z587&lt;&gt;"N"),AND(AA587&lt;&gt;"Y",AA587&lt;&gt;"N")),"Incomplete",IF(Z587="Y",20,0)+L587*5+IF(AA587="Y",15,0)+IF(J587="Public",10,IF(J587="Partner",7,IF(J587="Internal",3,0)))+IF(W587="Hard-coded",10,IF(W587="Configurable",3,0))+IF(MAX(I587,AP587)&gt;=10,10,IF(MAX(I587,AP587)&gt;=5,7,IF(MAX(I587,AP587)&gt;=2,3,0)))+IF(K587="High",10,IF(K587="Medium",5,0))))</x:f>
      </x:c>
      <x:c r="AC587" s="73" t="str">
        <x:f>IF(A587="","",IF(NOT(ISNUMBER(AB587)),"Review inputs",IF(AB587&gt;=70,"P0 - Immediate",IF(AB587&gt;=50,"P1 - High",IF(AB587&gt;=30,"P2 - Medium",IF(AB587&gt;=15,"P3 - Low","P4 - Monitor"))))))</x:f>
      </x:c>
      <x:c r="AD587" s="73"/>
      <x:c r="AE587" s="73"/>
      <x:c r="AF587" s="73"/>
      <x:c r="AG587" s="77"/>
      <x:c r="AH587" s="73"/>
      <x:c r="AI587" s="91"/>
      <x:c r="AJ587" s="91"/>
      <x:c r="AK587" s="91"/>
      <x:c r="AL587" s="92"/>
      <x:c r="AM587" s="91"/>
      <x:c r="AN587" s="91"/>
      <x:c r="AO587" s="93"/>
      <x:c r="AP587" s="94"/>
      <x:c r="AQ587" s="91"/>
      <x:c r="AR587" s="91"/>
      <x:c r="AS587" s="91"/>
      <x:c r="AT587" s="91"/>
      <x:c r="AU587" s="91"/>
      <x:c r="AV587" s="91"/>
      <x:c r="AW587" s="91"/>
      <x:c r="AX587" s="91"/>
      <x:c r="AY587" s="91"/>
      <x:c r="AZ587" s="92"/>
      <x:c r="BA587" s="94"/>
      <x:c r="BB587" s="91"/>
      <x:c r="BC587" s="92"/>
      <x:c r="BD587" s="92"/>
      <x:c r="BE587" s="91"/>
      <x:c r="BF587" s="91"/>
      <x:c r="BG587" s="91"/>
      <x:c r="BH587" s="91"/>
      <x:c r="BI587" s="91"/>
      <x:c r="BJ587" s="91"/>
      <x:c r="BK587" s="91"/>
      <x:c r="BL587" s="91"/>
      <x:c r="BM587" s="73" t="str">
        <x:f>IF(A587="","",IF(AI587="Example","Example only",IF(AI587&lt;&gt;"Actual","Set record type",IF(COUNTIF($A$2:$A$1001,A587)&gt;1,"Duplicate record ID",IF(OR(D587="",E587="",AF587="",NOT(ISNUMBER(AG587)),AJ587="",AK587="",NOT(ISNUMBER(AL587)),AND(AM587&lt;&gt;"Observed",AM587&lt;&gt;"Corroborated",AM587&lt;&gt;"Declared"),OR(AN587="",AN587="Unknown"),OR(AQ587="",AQ587="Unknown"),OR(AR587="",AR587="Unknown",AR587="TBD"),OR(BC587="",NOT(ISNUMBER(BC587)))),"Evidence incomplete","Evidence recorded; review scope")))))</x:f>
      </x:c>
      <x:c r="BN587" s="73"/>
    </x:row>
    <x:row r="588" ht="34" customHeight="1">
      <x:c r="A588" s="73"/>
      <x:c r="B588" s="73"/>
      <x:c r="C588" s="73"/>
      <x:c r="D588" s="73"/>
      <x:c r="E588" s="73"/>
      <x:c r="F588" s="73"/>
      <x:c r="G588" s="73"/>
      <x:c r="H588" s="73"/>
      <x:c r="I588" s="75"/>
      <x:c r="J588" s="73"/>
      <x:c r="K588" s="73"/>
      <x:c r="L588" s="76"/>
      <x:c r="M588" s="73"/>
      <x:c r="N588" s="73"/>
      <x:c r="O588" s="73"/>
      <x:c r="P588" s="73"/>
      <x:c r="Q588" s="76"/>
      <x:c r="R588" s="73"/>
      <x:c r="S588" s="73"/>
      <x:c r="T588" s="73"/>
      <x:c r="U588" s="73"/>
      <x:c r="V588" s="73"/>
      <x:c r="W588" s="73"/>
      <x:c r="X588" s="73"/>
      <x:c r="Y588" s="73"/>
      <x:c r="Z588" s="73"/>
      <x:c r="AA588" s="73"/>
      <x:c r="AB588" s="76" t="str">
        <x:f>IF(A588="","",IF(OR(NOT(ISNUMBER(I588)),I588&lt;0,NOT(ISNUMBER(AP588)),AP588&lt;0,NOT(ISNUMBER(L588)),L588&lt;1,L588&gt;5,L588&lt;&gt;INT(L588),AND(J588&lt;&gt;"Public",J588&lt;&gt;"Partner",J588&lt;&gt;"Internal",J588&lt;&gt;"None"),AND(K588&lt;&gt;"High",K588&lt;&gt;"Medium",K588&lt;&gt;"Low",K588&lt;&gt;"None"),AND(W588&lt;&gt;"Hard-coded",W588&lt;&gt;"Configurable",W588&lt;&gt;"Policy-managed",W588&lt;&gt;"API/Library abstraction",W588&lt;&gt;"Automated"),AND(Z588&lt;&gt;"Y",Z588&lt;&gt;"N"),AND(AA588&lt;&gt;"Y",AA588&lt;&gt;"N")),"Incomplete",IF(Z588="Y",20,0)+L588*5+IF(AA588="Y",15,0)+IF(J588="Public",10,IF(J588="Partner",7,IF(J588="Internal",3,0)))+IF(W588="Hard-coded",10,IF(W588="Configurable",3,0))+IF(MAX(I588,AP588)&gt;=10,10,IF(MAX(I588,AP588)&gt;=5,7,IF(MAX(I588,AP588)&gt;=2,3,0)))+IF(K588="High",10,IF(K588="Medium",5,0))))</x:f>
      </x:c>
      <x:c r="AC588" s="73" t="str">
        <x:f>IF(A588="","",IF(NOT(ISNUMBER(AB588)),"Review inputs",IF(AB588&gt;=70,"P0 - Immediate",IF(AB588&gt;=50,"P1 - High",IF(AB588&gt;=30,"P2 - Medium",IF(AB588&gt;=15,"P3 - Low","P4 - Monitor"))))))</x:f>
      </x:c>
      <x:c r="AD588" s="73"/>
      <x:c r="AE588" s="73"/>
      <x:c r="AF588" s="73"/>
      <x:c r="AG588" s="77"/>
      <x:c r="AH588" s="73"/>
      <x:c r="AI588" s="91"/>
      <x:c r="AJ588" s="91"/>
      <x:c r="AK588" s="91"/>
      <x:c r="AL588" s="92"/>
      <x:c r="AM588" s="91"/>
      <x:c r="AN588" s="91"/>
      <x:c r="AO588" s="93"/>
      <x:c r="AP588" s="94"/>
      <x:c r="AQ588" s="91"/>
      <x:c r="AR588" s="91"/>
      <x:c r="AS588" s="91"/>
      <x:c r="AT588" s="91"/>
      <x:c r="AU588" s="91"/>
      <x:c r="AV588" s="91"/>
      <x:c r="AW588" s="91"/>
      <x:c r="AX588" s="91"/>
      <x:c r="AY588" s="91"/>
      <x:c r="AZ588" s="92"/>
      <x:c r="BA588" s="94"/>
      <x:c r="BB588" s="91"/>
      <x:c r="BC588" s="92"/>
      <x:c r="BD588" s="92"/>
      <x:c r="BE588" s="91"/>
      <x:c r="BF588" s="91"/>
      <x:c r="BG588" s="91"/>
      <x:c r="BH588" s="91"/>
      <x:c r="BI588" s="91"/>
      <x:c r="BJ588" s="91"/>
      <x:c r="BK588" s="91"/>
      <x:c r="BL588" s="91"/>
      <x:c r="BM588" s="73" t="str">
        <x:f>IF(A588="","",IF(AI588="Example","Example only",IF(AI588&lt;&gt;"Actual","Set record type",IF(COUNTIF($A$2:$A$1001,A588)&gt;1,"Duplicate record ID",IF(OR(D588="",E588="",AF588="",NOT(ISNUMBER(AG588)),AJ588="",AK588="",NOT(ISNUMBER(AL588)),AND(AM588&lt;&gt;"Observed",AM588&lt;&gt;"Corroborated",AM588&lt;&gt;"Declared"),OR(AN588="",AN588="Unknown"),OR(AQ588="",AQ588="Unknown"),OR(AR588="",AR588="Unknown",AR588="TBD"),OR(BC588="",NOT(ISNUMBER(BC588)))),"Evidence incomplete","Evidence recorded; review scope")))))</x:f>
      </x:c>
      <x:c r="BN588" s="73"/>
    </x:row>
    <x:row r="589" ht="34" customHeight="1">
      <x:c r="A589" s="73"/>
      <x:c r="B589" s="73"/>
      <x:c r="C589" s="73"/>
      <x:c r="D589" s="73"/>
      <x:c r="E589" s="73"/>
      <x:c r="F589" s="73"/>
      <x:c r="G589" s="73"/>
      <x:c r="H589" s="73"/>
      <x:c r="I589" s="75"/>
      <x:c r="J589" s="73"/>
      <x:c r="K589" s="73"/>
      <x:c r="L589" s="76"/>
      <x:c r="M589" s="73"/>
      <x:c r="N589" s="73"/>
      <x:c r="O589" s="73"/>
      <x:c r="P589" s="73"/>
      <x:c r="Q589" s="76"/>
      <x:c r="R589" s="73"/>
      <x:c r="S589" s="73"/>
      <x:c r="T589" s="73"/>
      <x:c r="U589" s="73"/>
      <x:c r="V589" s="73"/>
      <x:c r="W589" s="73"/>
      <x:c r="X589" s="73"/>
      <x:c r="Y589" s="73"/>
      <x:c r="Z589" s="73"/>
      <x:c r="AA589" s="73"/>
      <x:c r="AB589" s="76" t="str">
        <x:f>IF(A589="","",IF(OR(NOT(ISNUMBER(I589)),I589&lt;0,NOT(ISNUMBER(AP589)),AP589&lt;0,NOT(ISNUMBER(L589)),L589&lt;1,L589&gt;5,L589&lt;&gt;INT(L589),AND(J589&lt;&gt;"Public",J589&lt;&gt;"Partner",J589&lt;&gt;"Internal",J589&lt;&gt;"None"),AND(K589&lt;&gt;"High",K589&lt;&gt;"Medium",K589&lt;&gt;"Low",K589&lt;&gt;"None"),AND(W589&lt;&gt;"Hard-coded",W589&lt;&gt;"Configurable",W589&lt;&gt;"Policy-managed",W589&lt;&gt;"API/Library abstraction",W589&lt;&gt;"Automated"),AND(Z589&lt;&gt;"Y",Z589&lt;&gt;"N"),AND(AA589&lt;&gt;"Y",AA589&lt;&gt;"N")),"Incomplete",IF(Z589="Y",20,0)+L589*5+IF(AA589="Y",15,0)+IF(J589="Public",10,IF(J589="Partner",7,IF(J589="Internal",3,0)))+IF(W589="Hard-coded",10,IF(W589="Configurable",3,0))+IF(MAX(I589,AP589)&gt;=10,10,IF(MAX(I589,AP589)&gt;=5,7,IF(MAX(I589,AP589)&gt;=2,3,0)))+IF(K589="High",10,IF(K589="Medium",5,0))))</x:f>
      </x:c>
      <x:c r="AC589" s="73" t="str">
        <x:f>IF(A589="","",IF(NOT(ISNUMBER(AB589)),"Review inputs",IF(AB589&gt;=70,"P0 - Immediate",IF(AB589&gt;=50,"P1 - High",IF(AB589&gt;=30,"P2 - Medium",IF(AB589&gt;=15,"P3 - Low","P4 - Monitor"))))))</x:f>
      </x:c>
      <x:c r="AD589" s="73"/>
      <x:c r="AE589" s="73"/>
      <x:c r="AF589" s="73"/>
      <x:c r="AG589" s="77"/>
      <x:c r="AH589" s="73"/>
      <x:c r="AI589" s="91"/>
      <x:c r="AJ589" s="91"/>
      <x:c r="AK589" s="91"/>
      <x:c r="AL589" s="92"/>
      <x:c r="AM589" s="91"/>
      <x:c r="AN589" s="91"/>
      <x:c r="AO589" s="93"/>
      <x:c r="AP589" s="94"/>
      <x:c r="AQ589" s="91"/>
      <x:c r="AR589" s="91"/>
      <x:c r="AS589" s="91"/>
      <x:c r="AT589" s="91"/>
      <x:c r="AU589" s="91"/>
      <x:c r="AV589" s="91"/>
      <x:c r="AW589" s="91"/>
      <x:c r="AX589" s="91"/>
      <x:c r="AY589" s="91"/>
      <x:c r="AZ589" s="92"/>
      <x:c r="BA589" s="94"/>
      <x:c r="BB589" s="91"/>
      <x:c r="BC589" s="92"/>
      <x:c r="BD589" s="92"/>
      <x:c r="BE589" s="91"/>
      <x:c r="BF589" s="91"/>
      <x:c r="BG589" s="91"/>
      <x:c r="BH589" s="91"/>
      <x:c r="BI589" s="91"/>
      <x:c r="BJ589" s="91"/>
      <x:c r="BK589" s="91"/>
      <x:c r="BL589" s="91"/>
      <x:c r="BM589" s="73" t="str">
        <x:f>IF(A589="","",IF(AI589="Example","Example only",IF(AI589&lt;&gt;"Actual","Set record type",IF(COUNTIF($A$2:$A$1001,A589)&gt;1,"Duplicate record ID",IF(OR(D589="",E589="",AF589="",NOT(ISNUMBER(AG589)),AJ589="",AK589="",NOT(ISNUMBER(AL589)),AND(AM589&lt;&gt;"Observed",AM589&lt;&gt;"Corroborated",AM589&lt;&gt;"Declared"),OR(AN589="",AN589="Unknown"),OR(AQ589="",AQ589="Unknown"),OR(AR589="",AR589="Unknown",AR589="TBD"),OR(BC589="",NOT(ISNUMBER(BC589)))),"Evidence incomplete","Evidence recorded; review scope")))))</x:f>
      </x:c>
      <x:c r="BN589" s="73"/>
    </x:row>
    <x:row r="590" ht="34" customHeight="1">
      <x:c r="A590" s="73"/>
      <x:c r="B590" s="73"/>
      <x:c r="C590" s="73"/>
      <x:c r="D590" s="73"/>
      <x:c r="E590" s="73"/>
      <x:c r="F590" s="73"/>
      <x:c r="G590" s="73"/>
      <x:c r="H590" s="73"/>
      <x:c r="I590" s="75"/>
      <x:c r="J590" s="73"/>
      <x:c r="K590" s="73"/>
      <x:c r="L590" s="76"/>
      <x:c r="M590" s="73"/>
      <x:c r="N590" s="73"/>
      <x:c r="O590" s="73"/>
      <x:c r="P590" s="73"/>
      <x:c r="Q590" s="76"/>
      <x:c r="R590" s="73"/>
      <x:c r="S590" s="73"/>
      <x:c r="T590" s="73"/>
      <x:c r="U590" s="73"/>
      <x:c r="V590" s="73"/>
      <x:c r="W590" s="73"/>
      <x:c r="X590" s="73"/>
      <x:c r="Y590" s="73"/>
      <x:c r="Z590" s="73"/>
      <x:c r="AA590" s="73"/>
      <x:c r="AB590" s="76" t="str">
        <x:f>IF(A590="","",IF(OR(NOT(ISNUMBER(I590)),I590&lt;0,NOT(ISNUMBER(AP590)),AP590&lt;0,NOT(ISNUMBER(L590)),L590&lt;1,L590&gt;5,L590&lt;&gt;INT(L590),AND(J590&lt;&gt;"Public",J590&lt;&gt;"Partner",J590&lt;&gt;"Internal",J590&lt;&gt;"None"),AND(K590&lt;&gt;"High",K590&lt;&gt;"Medium",K590&lt;&gt;"Low",K590&lt;&gt;"None"),AND(W590&lt;&gt;"Hard-coded",W590&lt;&gt;"Configurable",W590&lt;&gt;"Policy-managed",W590&lt;&gt;"API/Library abstraction",W590&lt;&gt;"Automated"),AND(Z590&lt;&gt;"Y",Z590&lt;&gt;"N"),AND(AA590&lt;&gt;"Y",AA590&lt;&gt;"N")),"Incomplete",IF(Z590="Y",20,0)+L590*5+IF(AA590="Y",15,0)+IF(J590="Public",10,IF(J590="Partner",7,IF(J590="Internal",3,0)))+IF(W590="Hard-coded",10,IF(W590="Configurable",3,0))+IF(MAX(I590,AP590)&gt;=10,10,IF(MAX(I590,AP590)&gt;=5,7,IF(MAX(I590,AP590)&gt;=2,3,0)))+IF(K590="High",10,IF(K590="Medium",5,0))))</x:f>
      </x:c>
      <x:c r="AC590" s="73" t="str">
        <x:f>IF(A590="","",IF(NOT(ISNUMBER(AB590)),"Review inputs",IF(AB590&gt;=70,"P0 - Immediate",IF(AB590&gt;=50,"P1 - High",IF(AB590&gt;=30,"P2 - Medium",IF(AB590&gt;=15,"P3 - Low","P4 - Monitor"))))))</x:f>
      </x:c>
      <x:c r="AD590" s="73"/>
      <x:c r="AE590" s="73"/>
      <x:c r="AF590" s="73"/>
      <x:c r="AG590" s="77"/>
      <x:c r="AH590" s="73"/>
      <x:c r="AI590" s="91"/>
      <x:c r="AJ590" s="91"/>
      <x:c r="AK590" s="91"/>
      <x:c r="AL590" s="92"/>
      <x:c r="AM590" s="91"/>
      <x:c r="AN590" s="91"/>
      <x:c r="AO590" s="93"/>
      <x:c r="AP590" s="94"/>
      <x:c r="AQ590" s="91"/>
      <x:c r="AR590" s="91"/>
      <x:c r="AS590" s="91"/>
      <x:c r="AT590" s="91"/>
      <x:c r="AU590" s="91"/>
      <x:c r="AV590" s="91"/>
      <x:c r="AW590" s="91"/>
      <x:c r="AX590" s="91"/>
      <x:c r="AY590" s="91"/>
      <x:c r="AZ590" s="92"/>
      <x:c r="BA590" s="94"/>
      <x:c r="BB590" s="91"/>
      <x:c r="BC590" s="92"/>
      <x:c r="BD590" s="92"/>
      <x:c r="BE590" s="91"/>
      <x:c r="BF590" s="91"/>
      <x:c r="BG590" s="91"/>
      <x:c r="BH590" s="91"/>
      <x:c r="BI590" s="91"/>
      <x:c r="BJ590" s="91"/>
      <x:c r="BK590" s="91"/>
      <x:c r="BL590" s="91"/>
      <x:c r="BM590" s="73" t="str">
        <x:f>IF(A590="","",IF(AI590="Example","Example only",IF(AI590&lt;&gt;"Actual","Set record type",IF(COUNTIF($A$2:$A$1001,A590)&gt;1,"Duplicate record ID",IF(OR(D590="",E590="",AF590="",NOT(ISNUMBER(AG590)),AJ590="",AK590="",NOT(ISNUMBER(AL590)),AND(AM590&lt;&gt;"Observed",AM590&lt;&gt;"Corroborated",AM590&lt;&gt;"Declared"),OR(AN590="",AN590="Unknown"),OR(AQ590="",AQ590="Unknown"),OR(AR590="",AR590="Unknown",AR590="TBD"),OR(BC590="",NOT(ISNUMBER(BC590)))),"Evidence incomplete","Evidence recorded; review scope")))))</x:f>
      </x:c>
      <x:c r="BN590" s="73"/>
    </x:row>
    <x:row r="591" ht="34" customHeight="1">
      <x:c r="A591" s="73"/>
      <x:c r="B591" s="73"/>
      <x:c r="C591" s="73"/>
      <x:c r="D591" s="73"/>
      <x:c r="E591" s="73"/>
      <x:c r="F591" s="73"/>
      <x:c r="G591" s="73"/>
      <x:c r="H591" s="73"/>
      <x:c r="I591" s="75"/>
      <x:c r="J591" s="73"/>
      <x:c r="K591" s="73"/>
      <x:c r="L591" s="76"/>
      <x:c r="M591" s="73"/>
      <x:c r="N591" s="73"/>
      <x:c r="O591" s="73"/>
      <x:c r="P591" s="73"/>
      <x:c r="Q591" s="76"/>
      <x:c r="R591" s="73"/>
      <x:c r="S591" s="73"/>
      <x:c r="T591" s="73"/>
      <x:c r="U591" s="73"/>
      <x:c r="V591" s="73"/>
      <x:c r="W591" s="73"/>
      <x:c r="X591" s="73"/>
      <x:c r="Y591" s="73"/>
      <x:c r="Z591" s="73"/>
      <x:c r="AA591" s="73"/>
      <x:c r="AB591" s="76" t="str">
        <x:f>IF(A591="","",IF(OR(NOT(ISNUMBER(I591)),I591&lt;0,NOT(ISNUMBER(AP591)),AP591&lt;0,NOT(ISNUMBER(L591)),L591&lt;1,L591&gt;5,L591&lt;&gt;INT(L591),AND(J591&lt;&gt;"Public",J591&lt;&gt;"Partner",J591&lt;&gt;"Internal",J591&lt;&gt;"None"),AND(K591&lt;&gt;"High",K591&lt;&gt;"Medium",K591&lt;&gt;"Low",K591&lt;&gt;"None"),AND(W591&lt;&gt;"Hard-coded",W591&lt;&gt;"Configurable",W591&lt;&gt;"Policy-managed",W591&lt;&gt;"API/Library abstraction",W591&lt;&gt;"Automated"),AND(Z591&lt;&gt;"Y",Z591&lt;&gt;"N"),AND(AA591&lt;&gt;"Y",AA591&lt;&gt;"N")),"Incomplete",IF(Z591="Y",20,0)+L591*5+IF(AA591="Y",15,0)+IF(J591="Public",10,IF(J591="Partner",7,IF(J591="Internal",3,0)))+IF(W591="Hard-coded",10,IF(W591="Configurable",3,0))+IF(MAX(I591,AP591)&gt;=10,10,IF(MAX(I591,AP591)&gt;=5,7,IF(MAX(I591,AP591)&gt;=2,3,0)))+IF(K591="High",10,IF(K591="Medium",5,0))))</x:f>
      </x:c>
      <x:c r="AC591" s="73" t="str">
        <x:f>IF(A591="","",IF(NOT(ISNUMBER(AB591)),"Review inputs",IF(AB591&gt;=70,"P0 - Immediate",IF(AB591&gt;=50,"P1 - High",IF(AB591&gt;=30,"P2 - Medium",IF(AB591&gt;=15,"P3 - Low","P4 - Monitor"))))))</x:f>
      </x:c>
      <x:c r="AD591" s="73"/>
      <x:c r="AE591" s="73"/>
      <x:c r="AF591" s="73"/>
      <x:c r="AG591" s="77"/>
      <x:c r="AH591" s="73"/>
      <x:c r="AI591" s="91"/>
      <x:c r="AJ591" s="91"/>
      <x:c r="AK591" s="91"/>
      <x:c r="AL591" s="92"/>
      <x:c r="AM591" s="91"/>
      <x:c r="AN591" s="91"/>
      <x:c r="AO591" s="93"/>
      <x:c r="AP591" s="94"/>
      <x:c r="AQ591" s="91"/>
      <x:c r="AR591" s="91"/>
      <x:c r="AS591" s="91"/>
      <x:c r="AT591" s="91"/>
      <x:c r="AU591" s="91"/>
      <x:c r="AV591" s="91"/>
      <x:c r="AW591" s="91"/>
      <x:c r="AX591" s="91"/>
      <x:c r="AY591" s="91"/>
      <x:c r="AZ591" s="92"/>
      <x:c r="BA591" s="94"/>
      <x:c r="BB591" s="91"/>
      <x:c r="BC591" s="92"/>
      <x:c r="BD591" s="92"/>
      <x:c r="BE591" s="91"/>
      <x:c r="BF591" s="91"/>
      <x:c r="BG591" s="91"/>
      <x:c r="BH591" s="91"/>
      <x:c r="BI591" s="91"/>
      <x:c r="BJ591" s="91"/>
      <x:c r="BK591" s="91"/>
      <x:c r="BL591" s="91"/>
      <x:c r="BM591" s="73" t="str">
        <x:f>IF(A591="","",IF(AI591="Example","Example only",IF(AI591&lt;&gt;"Actual","Set record type",IF(COUNTIF($A$2:$A$1001,A591)&gt;1,"Duplicate record ID",IF(OR(D591="",E591="",AF591="",NOT(ISNUMBER(AG591)),AJ591="",AK591="",NOT(ISNUMBER(AL591)),AND(AM591&lt;&gt;"Observed",AM591&lt;&gt;"Corroborated",AM591&lt;&gt;"Declared"),OR(AN591="",AN591="Unknown"),OR(AQ591="",AQ591="Unknown"),OR(AR591="",AR591="Unknown",AR591="TBD"),OR(BC591="",NOT(ISNUMBER(BC591)))),"Evidence incomplete","Evidence recorded; review scope")))))</x:f>
      </x:c>
      <x:c r="BN591" s="73"/>
    </x:row>
    <x:row r="592" ht="34" customHeight="1">
      <x:c r="A592" s="73"/>
      <x:c r="B592" s="73"/>
      <x:c r="C592" s="73"/>
      <x:c r="D592" s="73"/>
      <x:c r="E592" s="73"/>
      <x:c r="F592" s="73"/>
      <x:c r="G592" s="73"/>
      <x:c r="H592" s="73"/>
      <x:c r="I592" s="75"/>
      <x:c r="J592" s="73"/>
      <x:c r="K592" s="73"/>
      <x:c r="L592" s="76"/>
      <x:c r="M592" s="73"/>
      <x:c r="N592" s="73"/>
      <x:c r="O592" s="73"/>
      <x:c r="P592" s="73"/>
      <x:c r="Q592" s="76"/>
      <x:c r="R592" s="73"/>
      <x:c r="S592" s="73"/>
      <x:c r="T592" s="73"/>
      <x:c r="U592" s="73"/>
      <x:c r="V592" s="73"/>
      <x:c r="W592" s="73"/>
      <x:c r="X592" s="73"/>
      <x:c r="Y592" s="73"/>
      <x:c r="Z592" s="73"/>
      <x:c r="AA592" s="73"/>
      <x:c r="AB592" s="76" t="str">
        <x:f>IF(A592="","",IF(OR(NOT(ISNUMBER(I592)),I592&lt;0,NOT(ISNUMBER(AP592)),AP592&lt;0,NOT(ISNUMBER(L592)),L592&lt;1,L592&gt;5,L592&lt;&gt;INT(L592),AND(J592&lt;&gt;"Public",J592&lt;&gt;"Partner",J592&lt;&gt;"Internal",J592&lt;&gt;"None"),AND(K592&lt;&gt;"High",K592&lt;&gt;"Medium",K592&lt;&gt;"Low",K592&lt;&gt;"None"),AND(W592&lt;&gt;"Hard-coded",W592&lt;&gt;"Configurable",W592&lt;&gt;"Policy-managed",W592&lt;&gt;"API/Library abstraction",W592&lt;&gt;"Automated"),AND(Z592&lt;&gt;"Y",Z592&lt;&gt;"N"),AND(AA592&lt;&gt;"Y",AA592&lt;&gt;"N")),"Incomplete",IF(Z592="Y",20,0)+L592*5+IF(AA592="Y",15,0)+IF(J592="Public",10,IF(J592="Partner",7,IF(J592="Internal",3,0)))+IF(W592="Hard-coded",10,IF(W592="Configurable",3,0))+IF(MAX(I592,AP592)&gt;=10,10,IF(MAX(I592,AP592)&gt;=5,7,IF(MAX(I592,AP592)&gt;=2,3,0)))+IF(K592="High",10,IF(K592="Medium",5,0))))</x:f>
      </x:c>
      <x:c r="AC592" s="73" t="str">
        <x:f>IF(A592="","",IF(NOT(ISNUMBER(AB592)),"Review inputs",IF(AB592&gt;=70,"P0 - Immediate",IF(AB592&gt;=50,"P1 - High",IF(AB592&gt;=30,"P2 - Medium",IF(AB592&gt;=15,"P3 - Low","P4 - Monitor"))))))</x:f>
      </x:c>
      <x:c r="AD592" s="73"/>
      <x:c r="AE592" s="73"/>
      <x:c r="AF592" s="73"/>
      <x:c r="AG592" s="77"/>
      <x:c r="AH592" s="73"/>
      <x:c r="AI592" s="91"/>
      <x:c r="AJ592" s="91"/>
      <x:c r="AK592" s="91"/>
      <x:c r="AL592" s="92"/>
      <x:c r="AM592" s="91"/>
      <x:c r="AN592" s="91"/>
      <x:c r="AO592" s="93"/>
      <x:c r="AP592" s="94"/>
      <x:c r="AQ592" s="91"/>
      <x:c r="AR592" s="91"/>
      <x:c r="AS592" s="91"/>
      <x:c r="AT592" s="91"/>
      <x:c r="AU592" s="91"/>
      <x:c r="AV592" s="91"/>
      <x:c r="AW592" s="91"/>
      <x:c r="AX592" s="91"/>
      <x:c r="AY592" s="91"/>
      <x:c r="AZ592" s="92"/>
      <x:c r="BA592" s="94"/>
      <x:c r="BB592" s="91"/>
      <x:c r="BC592" s="92"/>
      <x:c r="BD592" s="92"/>
      <x:c r="BE592" s="91"/>
      <x:c r="BF592" s="91"/>
      <x:c r="BG592" s="91"/>
      <x:c r="BH592" s="91"/>
      <x:c r="BI592" s="91"/>
      <x:c r="BJ592" s="91"/>
      <x:c r="BK592" s="91"/>
      <x:c r="BL592" s="91"/>
      <x:c r="BM592" s="73" t="str">
        <x:f>IF(A592="","",IF(AI592="Example","Example only",IF(AI592&lt;&gt;"Actual","Set record type",IF(COUNTIF($A$2:$A$1001,A592)&gt;1,"Duplicate record ID",IF(OR(D592="",E592="",AF592="",NOT(ISNUMBER(AG592)),AJ592="",AK592="",NOT(ISNUMBER(AL592)),AND(AM592&lt;&gt;"Observed",AM592&lt;&gt;"Corroborated",AM592&lt;&gt;"Declared"),OR(AN592="",AN592="Unknown"),OR(AQ592="",AQ592="Unknown"),OR(AR592="",AR592="Unknown",AR592="TBD"),OR(BC592="",NOT(ISNUMBER(BC592)))),"Evidence incomplete","Evidence recorded; review scope")))))</x:f>
      </x:c>
      <x:c r="BN592" s="73"/>
    </x:row>
    <x:row r="593" ht="34" customHeight="1">
      <x:c r="A593" s="73"/>
      <x:c r="B593" s="73"/>
      <x:c r="C593" s="73"/>
      <x:c r="D593" s="73"/>
      <x:c r="E593" s="73"/>
      <x:c r="F593" s="73"/>
      <x:c r="G593" s="73"/>
      <x:c r="H593" s="73"/>
      <x:c r="I593" s="75"/>
      <x:c r="J593" s="73"/>
      <x:c r="K593" s="73"/>
      <x:c r="L593" s="76"/>
      <x:c r="M593" s="73"/>
      <x:c r="N593" s="73"/>
      <x:c r="O593" s="73"/>
      <x:c r="P593" s="73"/>
      <x:c r="Q593" s="76"/>
      <x:c r="R593" s="73"/>
      <x:c r="S593" s="73"/>
      <x:c r="T593" s="73"/>
      <x:c r="U593" s="73"/>
      <x:c r="V593" s="73"/>
      <x:c r="W593" s="73"/>
      <x:c r="X593" s="73"/>
      <x:c r="Y593" s="73"/>
      <x:c r="Z593" s="73"/>
      <x:c r="AA593" s="73"/>
      <x:c r="AB593" s="76" t="str">
        <x:f>IF(A593="","",IF(OR(NOT(ISNUMBER(I593)),I593&lt;0,NOT(ISNUMBER(AP593)),AP593&lt;0,NOT(ISNUMBER(L593)),L593&lt;1,L593&gt;5,L593&lt;&gt;INT(L593),AND(J593&lt;&gt;"Public",J593&lt;&gt;"Partner",J593&lt;&gt;"Internal",J593&lt;&gt;"None"),AND(K593&lt;&gt;"High",K593&lt;&gt;"Medium",K593&lt;&gt;"Low",K593&lt;&gt;"None"),AND(W593&lt;&gt;"Hard-coded",W593&lt;&gt;"Configurable",W593&lt;&gt;"Policy-managed",W593&lt;&gt;"API/Library abstraction",W593&lt;&gt;"Automated"),AND(Z593&lt;&gt;"Y",Z593&lt;&gt;"N"),AND(AA593&lt;&gt;"Y",AA593&lt;&gt;"N")),"Incomplete",IF(Z593="Y",20,0)+L593*5+IF(AA593="Y",15,0)+IF(J593="Public",10,IF(J593="Partner",7,IF(J593="Internal",3,0)))+IF(W593="Hard-coded",10,IF(W593="Configurable",3,0))+IF(MAX(I593,AP593)&gt;=10,10,IF(MAX(I593,AP593)&gt;=5,7,IF(MAX(I593,AP593)&gt;=2,3,0)))+IF(K593="High",10,IF(K593="Medium",5,0))))</x:f>
      </x:c>
      <x:c r="AC593" s="73" t="str">
        <x:f>IF(A593="","",IF(NOT(ISNUMBER(AB593)),"Review inputs",IF(AB593&gt;=70,"P0 - Immediate",IF(AB593&gt;=50,"P1 - High",IF(AB593&gt;=30,"P2 - Medium",IF(AB593&gt;=15,"P3 - Low","P4 - Monitor"))))))</x:f>
      </x:c>
      <x:c r="AD593" s="73"/>
      <x:c r="AE593" s="73"/>
      <x:c r="AF593" s="73"/>
      <x:c r="AG593" s="77"/>
      <x:c r="AH593" s="73"/>
      <x:c r="AI593" s="91"/>
      <x:c r="AJ593" s="91"/>
      <x:c r="AK593" s="91"/>
      <x:c r="AL593" s="92"/>
      <x:c r="AM593" s="91"/>
      <x:c r="AN593" s="91"/>
      <x:c r="AO593" s="93"/>
      <x:c r="AP593" s="94"/>
      <x:c r="AQ593" s="91"/>
      <x:c r="AR593" s="91"/>
      <x:c r="AS593" s="91"/>
      <x:c r="AT593" s="91"/>
      <x:c r="AU593" s="91"/>
      <x:c r="AV593" s="91"/>
      <x:c r="AW593" s="91"/>
      <x:c r="AX593" s="91"/>
      <x:c r="AY593" s="91"/>
      <x:c r="AZ593" s="92"/>
      <x:c r="BA593" s="94"/>
      <x:c r="BB593" s="91"/>
      <x:c r="BC593" s="92"/>
      <x:c r="BD593" s="92"/>
      <x:c r="BE593" s="91"/>
      <x:c r="BF593" s="91"/>
      <x:c r="BG593" s="91"/>
      <x:c r="BH593" s="91"/>
      <x:c r="BI593" s="91"/>
      <x:c r="BJ593" s="91"/>
      <x:c r="BK593" s="91"/>
      <x:c r="BL593" s="91"/>
      <x:c r="BM593" s="73" t="str">
        <x:f>IF(A593="","",IF(AI593="Example","Example only",IF(AI593&lt;&gt;"Actual","Set record type",IF(COUNTIF($A$2:$A$1001,A593)&gt;1,"Duplicate record ID",IF(OR(D593="",E593="",AF593="",NOT(ISNUMBER(AG593)),AJ593="",AK593="",NOT(ISNUMBER(AL593)),AND(AM593&lt;&gt;"Observed",AM593&lt;&gt;"Corroborated",AM593&lt;&gt;"Declared"),OR(AN593="",AN593="Unknown"),OR(AQ593="",AQ593="Unknown"),OR(AR593="",AR593="Unknown",AR593="TBD"),OR(BC593="",NOT(ISNUMBER(BC593)))),"Evidence incomplete","Evidence recorded; review scope")))))</x:f>
      </x:c>
      <x:c r="BN593" s="73"/>
    </x:row>
    <x:row r="594" ht="34" customHeight="1">
      <x:c r="A594" s="73"/>
      <x:c r="B594" s="73"/>
      <x:c r="C594" s="73"/>
      <x:c r="D594" s="73"/>
      <x:c r="E594" s="73"/>
      <x:c r="F594" s="73"/>
      <x:c r="G594" s="73"/>
      <x:c r="H594" s="73"/>
      <x:c r="I594" s="75"/>
      <x:c r="J594" s="73"/>
      <x:c r="K594" s="73"/>
      <x:c r="L594" s="76"/>
      <x:c r="M594" s="73"/>
      <x:c r="N594" s="73"/>
      <x:c r="O594" s="73"/>
      <x:c r="P594" s="73"/>
      <x:c r="Q594" s="76"/>
      <x:c r="R594" s="73"/>
      <x:c r="S594" s="73"/>
      <x:c r="T594" s="73"/>
      <x:c r="U594" s="73"/>
      <x:c r="V594" s="73"/>
      <x:c r="W594" s="73"/>
      <x:c r="X594" s="73"/>
      <x:c r="Y594" s="73"/>
      <x:c r="Z594" s="73"/>
      <x:c r="AA594" s="73"/>
      <x:c r="AB594" s="76" t="str">
        <x:f>IF(A594="","",IF(OR(NOT(ISNUMBER(I594)),I594&lt;0,NOT(ISNUMBER(AP594)),AP594&lt;0,NOT(ISNUMBER(L594)),L594&lt;1,L594&gt;5,L594&lt;&gt;INT(L594),AND(J594&lt;&gt;"Public",J594&lt;&gt;"Partner",J594&lt;&gt;"Internal",J594&lt;&gt;"None"),AND(K594&lt;&gt;"High",K594&lt;&gt;"Medium",K594&lt;&gt;"Low",K594&lt;&gt;"None"),AND(W594&lt;&gt;"Hard-coded",W594&lt;&gt;"Configurable",W594&lt;&gt;"Policy-managed",W594&lt;&gt;"API/Library abstraction",W594&lt;&gt;"Automated"),AND(Z594&lt;&gt;"Y",Z594&lt;&gt;"N"),AND(AA594&lt;&gt;"Y",AA594&lt;&gt;"N")),"Incomplete",IF(Z594="Y",20,0)+L594*5+IF(AA594="Y",15,0)+IF(J594="Public",10,IF(J594="Partner",7,IF(J594="Internal",3,0)))+IF(W594="Hard-coded",10,IF(W594="Configurable",3,0))+IF(MAX(I594,AP594)&gt;=10,10,IF(MAX(I594,AP594)&gt;=5,7,IF(MAX(I594,AP594)&gt;=2,3,0)))+IF(K594="High",10,IF(K594="Medium",5,0))))</x:f>
      </x:c>
      <x:c r="AC594" s="73" t="str">
        <x:f>IF(A594="","",IF(NOT(ISNUMBER(AB594)),"Review inputs",IF(AB594&gt;=70,"P0 - Immediate",IF(AB594&gt;=50,"P1 - High",IF(AB594&gt;=30,"P2 - Medium",IF(AB594&gt;=15,"P3 - Low","P4 - Monitor"))))))</x:f>
      </x:c>
      <x:c r="AD594" s="73"/>
      <x:c r="AE594" s="73"/>
      <x:c r="AF594" s="73"/>
      <x:c r="AG594" s="77"/>
      <x:c r="AH594" s="73"/>
      <x:c r="AI594" s="91"/>
      <x:c r="AJ594" s="91"/>
      <x:c r="AK594" s="91"/>
      <x:c r="AL594" s="92"/>
      <x:c r="AM594" s="91"/>
      <x:c r="AN594" s="91"/>
      <x:c r="AO594" s="93"/>
      <x:c r="AP594" s="94"/>
      <x:c r="AQ594" s="91"/>
      <x:c r="AR594" s="91"/>
      <x:c r="AS594" s="91"/>
      <x:c r="AT594" s="91"/>
      <x:c r="AU594" s="91"/>
      <x:c r="AV594" s="91"/>
      <x:c r="AW594" s="91"/>
      <x:c r="AX594" s="91"/>
      <x:c r="AY594" s="91"/>
      <x:c r="AZ594" s="92"/>
      <x:c r="BA594" s="94"/>
      <x:c r="BB594" s="91"/>
      <x:c r="BC594" s="92"/>
      <x:c r="BD594" s="92"/>
      <x:c r="BE594" s="91"/>
      <x:c r="BF594" s="91"/>
      <x:c r="BG594" s="91"/>
      <x:c r="BH594" s="91"/>
      <x:c r="BI594" s="91"/>
      <x:c r="BJ594" s="91"/>
      <x:c r="BK594" s="91"/>
      <x:c r="BL594" s="91"/>
      <x:c r="BM594" s="73" t="str">
        <x:f>IF(A594="","",IF(AI594="Example","Example only",IF(AI594&lt;&gt;"Actual","Set record type",IF(COUNTIF($A$2:$A$1001,A594)&gt;1,"Duplicate record ID",IF(OR(D594="",E594="",AF594="",NOT(ISNUMBER(AG594)),AJ594="",AK594="",NOT(ISNUMBER(AL594)),AND(AM594&lt;&gt;"Observed",AM594&lt;&gt;"Corroborated",AM594&lt;&gt;"Declared"),OR(AN594="",AN594="Unknown"),OR(AQ594="",AQ594="Unknown"),OR(AR594="",AR594="Unknown",AR594="TBD"),OR(BC594="",NOT(ISNUMBER(BC594)))),"Evidence incomplete","Evidence recorded; review scope")))))</x:f>
      </x:c>
      <x:c r="BN594" s="73"/>
    </x:row>
    <x:row r="595" ht="34" customHeight="1">
      <x:c r="A595" s="73"/>
      <x:c r="B595" s="73"/>
      <x:c r="C595" s="73"/>
      <x:c r="D595" s="73"/>
      <x:c r="E595" s="73"/>
      <x:c r="F595" s="73"/>
      <x:c r="G595" s="73"/>
      <x:c r="H595" s="73"/>
      <x:c r="I595" s="75"/>
      <x:c r="J595" s="73"/>
      <x:c r="K595" s="73"/>
      <x:c r="L595" s="76"/>
      <x:c r="M595" s="73"/>
      <x:c r="N595" s="73"/>
      <x:c r="O595" s="73"/>
      <x:c r="P595" s="73"/>
      <x:c r="Q595" s="76"/>
      <x:c r="R595" s="73"/>
      <x:c r="S595" s="73"/>
      <x:c r="T595" s="73"/>
      <x:c r="U595" s="73"/>
      <x:c r="V595" s="73"/>
      <x:c r="W595" s="73"/>
      <x:c r="X595" s="73"/>
      <x:c r="Y595" s="73"/>
      <x:c r="Z595" s="73"/>
      <x:c r="AA595" s="73"/>
      <x:c r="AB595" s="76" t="str">
        <x:f>IF(A595="","",IF(OR(NOT(ISNUMBER(I595)),I595&lt;0,NOT(ISNUMBER(AP595)),AP595&lt;0,NOT(ISNUMBER(L595)),L595&lt;1,L595&gt;5,L595&lt;&gt;INT(L595),AND(J595&lt;&gt;"Public",J595&lt;&gt;"Partner",J595&lt;&gt;"Internal",J595&lt;&gt;"None"),AND(K595&lt;&gt;"High",K595&lt;&gt;"Medium",K595&lt;&gt;"Low",K595&lt;&gt;"None"),AND(W595&lt;&gt;"Hard-coded",W595&lt;&gt;"Configurable",W595&lt;&gt;"Policy-managed",W595&lt;&gt;"API/Library abstraction",W595&lt;&gt;"Automated"),AND(Z595&lt;&gt;"Y",Z595&lt;&gt;"N"),AND(AA595&lt;&gt;"Y",AA595&lt;&gt;"N")),"Incomplete",IF(Z595="Y",20,0)+L595*5+IF(AA595="Y",15,0)+IF(J595="Public",10,IF(J595="Partner",7,IF(J595="Internal",3,0)))+IF(W595="Hard-coded",10,IF(W595="Configurable",3,0))+IF(MAX(I595,AP595)&gt;=10,10,IF(MAX(I595,AP595)&gt;=5,7,IF(MAX(I595,AP595)&gt;=2,3,0)))+IF(K595="High",10,IF(K595="Medium",5,0))))</x:f>
      </x:c>
      <x:c r="AC595" s="73" t="str">
        <x:f>IF(A595="","",IF(NOT(ISNUMBER(AB595)),"Review inputs",IF(AB595&gt;=70,"P0 - Immediate",IF(AB595&gt;=50,"P1 - High",IF(AB595&gt;=30,"P2 - Medium",IF(AB595&gt;=15,"P3 - Low","P4 - Monitor"))))))</x:f>
      </x:c>
      <x:c r="AD595" s="73"/>
      <x:c r="AE595" s="73"/>
      <x:c r="AF595" s="73"/>
      <x:c r="AG595" s="77"/>
      <x:c r="AH595" s="73"/>
      <x:c r="AI595" s="91"/>
      <x:c r="AJ595" s="91"/>
      <x:c r="AK595" s="91"/>
      <x:c r="AL595" s="92"/>
      <x:c r="AM595" s="91"/>
      <x:c r="AN595" s="91"/>
      <x:c r="AO595" s="93"/>
      <x:c r="AP595" s="94"/>
      <x:c r="AQ595" s="91"/>
      <x:c r="AR595" s="91"/>
      <x:c r="AS595" s="91"/>
      <x:c r="AT595" s="91"/>
      <x:c r="AU595" s="91"/>
      <x:c r="AV595" s="91"/>
      <x:c r="AW595" s="91"/>
      <x:c r="AX595" s="91"/>
      <x:c r="AY595" s="91"/>
      <x:c r="AZ595" s="92"/>
      <x:c r="BA595" s="94"/>
      <x:c r="BB595" s="91"/>
      <x:c r="BC595" s="92"/>
      <x:c r="BD595" s="92"/>
      <x:c r="BE595" s="91"/>
      <x:c r="BF595" s="91"/>
      <x:c r="BG595" s="91"/>
      <x:c r="BH595" s="91"/>
      <x:c r="BI595" s="91"/>
      <x:c r="BJ595" s="91"/>
      <x:c r="BK595" s="91"/>
      <x:c r="BL595" s="91"/>
      <x:c r="BM595" s="73" t="str">
        <x:f>IF(A595="","",IF(AI595="Example","Example only",IF(AI595&lt;&gt;"Actual","Set record type",IF(COUNTIF($A$2:$A$1001,A595)&gt;1,"Duplicate record ID",IF(OR(D595="",E595="",AF595="",NOT(ISNUMBER(AG595)),AJ595="",AK595="",NOT(ISNUMBER(AL595)),AND(AM595&lt;&gt;"Observed",AM595&lt;&gt;"Corroborated",AM595&lt;&gt;"Declared"),OR(AN595="",AN595="Unknown"),OR(AQ595="",AQ595="Unknown"),OR(AR595="",AR595="Unknown",AR595="TBD"),OR(BC595="",NOT(ISNUMBER(BC595)))),"Evidence incomplete","Evidence recorded; review scope")))))</x:f>
      </x:c>
      <x:c r="BN595" s="73"/>
    </x:row>
    <x:row r="596" ht="34" customHeight="1">
      <x:c r="A596" s="73"/>
      <x:c r="B596" s="73"/>
      <x:c r="C596" s="73"/>
      <x:c r="D596" s="73"/>
      <x:c r="E596" s="73"/>
      <x:c r="F596" s="73"/>
      <x:c r="G596" s="73"/>
      <x:c r="H596" s="73"/>
      <x:c r="I596" s="75"/>
      <x:c r="J596" s="73"/>
      <x:c r="K596" s="73"/>
      <x:c r="L596" s="76"/>
      <x:c r="M596" s="73"/>
      <x:c r="N596" s="73"/>
      <x:c r="O596" s="73"/>
      <x:c r="P596" s="73"/>
      <x:c r="Q596" s="76"/>
      <x:c r="R596" s="73"/>
      <x:c r="S596" s="73"/>
      <x:c r="T596" s="73"/>
      <x:c r="U596" s="73"/>
      <x:c r="V596" s="73"/>
      <x:c r="W596" s="73"/>
      <x:c r="X596" s="73"/>
      <x:c r="Y596" s="73"/>
      <x:c r="Z596" s="73"/>
      <x:c r="AA596" s="73"/>
      <x:c r="AB596" s="76" t="str">
        <x:f>IF(A596="","",IF(OR(NOT(ISNUMBER(I596)),I596&lt;0,NOT(ISNUMBER(AP596)),AP596&lt;0,NOT(ISNUMBER(L596)),L596&lt;1,L596&gt;5,L596&lt;&gt;INT(L596),AND(J596&lt;&gt;"Public",J596&lt;&gt;"Partner",J596&lt;&gt;"Internal",J596&lt;&gt;"None"),AND(K596&lt;&gt;"High",K596&lt;&gt;"Medium",K596&lt;&gt;"Low",K596&lt;&gt;"None"),AND(W596&lt;&gt;"Hard-coded",W596&lt;&gt;"Configurable",W596&lt;&gt;"Policy-managed",W596&lt;&gt;"API/Library abstraction",W596&lt;&gt;"Automated"),AND(Z596&lt;&gt;"Y",Z596&lt;&gt;"N"),AND(AA596&lt;&gt;"Y",AA596&lt;&gt;"N")),"Incomplete",IF(Z596="Y",20,0)+L596*5+IF(AA596="Y",15,0)+IF(J596="Public",10,IF(J596="Partner",7,IF(J596="Internal",3,0)))+IF(W596="Hard-coded",10,IF(W596="Configurable",3,0))+IF(MAX(I596,AP596)&gt;=10,10,IF(MAX(I596,AP596)&gt;=5,7,IF(MAX(I596,AP596)&gt;=2,3,0)))+IF(K596="High",10,IF(K596="Medium",5,0))))</x:f>
      </x:c>
      <x:c r="AC596" s="73" t="str">
        <x:f>IF(A596="","",IF(NOT(ISNUMBER(AB596)),"Review inputs",IF(AB596&gt;=70,"P0 - Immediate",IF(AB596&gt;=50,"P1 - High",IF(AB596&gt;=30,"P2 - Medium",IF(AB596&gt;=15,"P3 - Low","P4 - Monitor"))))))</x:f>
      </x:c>
      <x:c r="AD596" s="73"/>
      <x:c r="AE596" s="73"/>
      <x:c r="AF596" s="73"/>
      <x:c r="AG596" s="77"/>
      <x:c r="AH596" s="73"/>
      <x:c r="AI596" s="91"/>
      <x:c r="AJ596" s="91"/>
      <x:c r="AK596" s="91"/>
      <x:c r="AL596" s="92"/>
      <x:c r="AM596" s="91"/>
      <x:c r="AN596" s="91"/>
      <x:c r="AO596" s="93"/>
      <x:c r="AP596" s="94"/>
      <x:c r="AQ596" s="91"/>
      <x:c r="AR596" s="91"/>
      <x:c r="AS596" s="91"/>
      <x:c r="AT596" s="91"/>
      <x:c r="AU596" s="91"/>
      <x:c r="AV596" s="91"/>
      <x:c r="AW596" s="91"/>
      <x:c r="AX596" s="91"/>
      <x:c r="AY596" s="91"/>
      <x:c r="AZ596" s="92"/>
      <x:c r="BA596" s="94"/>
      <x:c r="BB596" s="91"/>
      <x:c r="BC596" s="92"/>
      <x:c r="BD596" s="92"/>
      <x:c r="BE596" s="91"/>
      <x:c r="BF596" s="91"/>
      <x:c r="BG596" s="91"/>
      <x:c r="BH596" s="91"/>
      <x:c r="BI596" s="91"/>
      <x:c r="BJ596" s="91"/>
      <x:c r="BK596" s="91"/>
      <x:c r="BL596" s="91"/>
      <x:c r="BM596" s="73" t="str">
        <x:f>IF(A596="","",IF(AI596="Example","Example only",IF(AI596&lt;&gt;"Actual","Set record type",IF(COUNTIF($A$2:$A$1001,A596)&gt;1,"Duplicate record ID",IF(OR(D596="",E596="",AF596="",NOT(ISNUMBER(AG596)),AJ596="",AK596="",NOT(ISNUMBER(AL596)),AND(AM596&lt;&gt;"Observed",AM596&lt;&gt;"Corroborated",AM596&lt;&gt;"Declared"),OR(AN596="",AN596="Unknown"),OR(AQ596="",AQ596="Unknown"),OR(AR596="",AR596="Unknown",AR596="TBD"),OR(BC596="",NOT(ISNUMBER(BC596)))),"Evidence incomplete","Evidence recorded; review scope")))))</x:f>
      </x:c>
      <x:c r="BN596" s="73"/>
    </x:row>
    <x:row r="597" ht="34" customHeight="1">
      <x:c r="A597" s="73"/>
      <x:c r="B597" s="73"/>
      <x:c r="C597" s="73"/>
      <x:c r="D597" s="73"/>
      <x:c r="E597" s="73"/>
      <x:c r="F597" s="73"/>
      <x:c r="G597" s="73"/>
      <x:c r="H597" s="73"/>
      <x:c r="I597" s="75"/>
      <x:c r="J597" s="73"/>
      <x:c r="K597" s="73"/>
      <x:c r="L597" s="76"/>
      <x:c r="M597" s="73"/>
      <x:c r="N597" s="73"/>
      <x:c r="O597" s="73"/>
      <x:c r="P597" s="73"/>
      <x:c r="Q597" s="76"/>
      <x:c r="R597" s="73"/>
      <x:c r="S597" s="73"/>
      <x:c r="T597" s="73"/>
      <x:c r="U597" s="73"/>
      <x:c r="V597" s="73"/>
      <x:c r="W597" s="73"/>
      <x:c r="X597" s="73"/>
      <x:c r="Y597" s="73"/>
      <x:c r="Z597" s="73"/>
      <x:c r="AA597" s="73"/>
      <x:c r="AB597" s="76" t="str">
        <x:f>IF(A597="","",IF(OR(NOT(ISNUMBER(I597)),I597&lt;0,NOT(ISNUMBER(AP597)),AP597&lt;0,NOT(ISNUMBER(L597)),L597&lt;1,L597&gt;5,L597&lt;&gt;INT(L597),AND(J597&lt;&gt;"Public",J597&lt;&gt;"Partner",J597&lt;&gt;"Internal",J597&lt;&gt;"None"),AND(K597&lt;&gt;"High",K597&lt;&gt;"Medium",K597&lt;&gt;"Low",K597&lt;&gt;"None"),AND(W597&lt;&gt;"Hard-coded",W597&lt;&gt;"Configurable",W597&lt;&gt;"Policy-managed",W597&lt;&gt;"API/Library abstraction",W597&lt;&gt;"Automated"),AND(Z597&lt;&gt;"Y",Z597&lt;&gt;"N"),AND(AA597&lt;&gt;"Y",AA597&lt;&gt;"N")),"Incomplete",IF(Z597="Y",20,0)+L597*5+IF(AA597="Y",15,0)+IF(J597="Public",10,IF(J597="Partner",7,IF(J597="Internal",3,0)))+IF(W597="Hard-coded",10,IF(W597="Configurable",3,0))+IF(MAX(I597,AP597)&gt;=10,10,IF(MAX(I597,AP597)&gt;=5,7,IF(MAX(I597,AP597)&gt;=2,3,0)))+IF(K597="High",10,IF(K597="Medium",5,0))))</x:f>
      </x:c>
      <x:c r="AC597" s="73" t="str">
        <x:f>IF(A597="","",IF(NOT(ISNUMBER(AB597)),"Review inputs",IF(AB597&gt;=70,"P0 - Immediate",IF(AB597&gt;=50,"P1 - High",IF(AB597&gt;=30,"P2 - Medium",IF(AB597&gt;=15,"P3 - Low","P4 - Monitor"))))))</x:f>
      </x:c>
      <x:c r="AD597" s="73"/>
      <x:c r="AE597" s="73"/>
      <x:c r="AF597" s="73"/>
      <x:c r="AG597" s="77"/>
      <x:c r="AH597" s="73"/>
      <x:c r="AI597" s="91"/>
      <x:c r="AJ597" s="91"/>
      <x:c r="AK597" s="91"/>
      <x:c r="AL597" s="92"/>
      <x:c r="AM597" s="91"/>
      <x:c r="AN597" s="91"/>
      <x:c r="AO597" s="93"/>
      <x:c r="AP597" s="94"/>
      <x:c r="AQ597" s="91"/>
      <x:c r="AR597" s="91"/>
      <x:c r="AS597" s="91"/>
      <x:c r="AT597" s="91"/>
      <x:c r="AU597" s="91"/>
      <x:c r="AV597" s="91"/>
      <x:c r="AW597" s="91"/>
      <x:c r="AX597" s="91"/>
      <x:c r="AY597" s="91"/>
      <x:c r="AZ597" s="92"/>
      <x:c r="BA597" s="94"/>
      <x:c r="BB597" s="91"/>
      <x:c r="BC597" s="92"/>
      <x:c r="BD597" s="92"/>
      <x:c r="BE597" s="91"/>
      <x:c r="BF597" s="91"/>
      <x:c r="BG597" s="91"/>
      <x:c r="BH597" s="91"/>
      <x:c r="BI597" s="91"/>
      <x:c r="BJ597" s="91"/>
      <x:c r="BK597" s="91"/>
      <x:c r="BL597" s="91"/>
      <x:c r="BM597" s="73" t="str">
        <x:f>IF(A597="","",IF(AI597="Example","Example only",IF(AI597&lt;&gt;"Actual","Set record type",IF(COUNTIF($A$2:$A$1001,A597)&gt;1,"Duplicate record ID",IF(OR(D597="",E597="",AF597="",NOT(ISNUMBER(AG597)),AJ597="",AK597="",NOT(ISNUMBER(AL597)),AND(AM597&lt;&gt;"Observed",AM597&lt;&gt;"Corroborated",AM597&lt;&gt;"Declared"),OR(AN597="",AN597="Unknown"),OR(AQ597="",AQ597="Unknown"),OR(AR597="",AR597="Unknown",AR597="TBD"),OR(BC597="",NOT(ISNUMBER(BC597)))),"Evidence incomplete","Evidence recorded; review scope")))))</x:f>
      </x:c>
      <x:c r="BN597" s="73"/>
    </x:row>
    <x:row r="598" ht="34" customHeight="1">
      <x:c r="A598" s="73"/>
      <x:c r="B598" s="73"/>
      <x:c r="C598" s="73"/>
      <x:c r="D598" s="73"/>
      <x:c r="E598" s="73"/>
      <x:c r="F598" s="73"/>
      <x:c r="G598" s="73"/>
      <x:c r="H598" s="73"/>
      <x:c r="I598" s="75"/>
      <x:c r="J598" s="73"/>
      <x:c r="K598" s="73"/>
      <x:c r="L598" s="76"/>
      <x:c r="M598" s="73"/>
      <x:c r="N598" s="73"/>
      <x:c r="O598" s="73"/>
      <x:c r="P598" s="73"/>
      <x:c r="Q598" s="76"/>
      <x:c r="R598" s="73"/>
      <x:c r="S598" s="73"/>
      <x:c r="T598" s="73"/>
      <x:c r="U598" s="73"/>
      <x:c r="V598" s="73"/>
      <x:c r="W598" s="73"/>
      <x:c r="X598" s="73"/>
      <x:c r="Y598" s="73"/>
      <x:c r="Z598" s="73"/>
      <x:c r="AA598" s="73"/>
      <x:c r="AB598" s="76" t="str">
        <x:f>IF(A598="","",IF(OR(NOT(ISNUMBER(I598)),I598&lt;0,NOT(ISNUMBER(AP598)),AP598&lt;0,NOT(ISNUMBER(L598)),L598&lt;1,L598&gt;5,L598&lt;&gt;INT(L598),AND(J598&lt;&gt;"Public",J598&lt;&gt;"Partner",J598&lt;&gt;"Internal",J598&lt;&gt;"None"),AND(K598&lt;&gt;"High",K598&lt;&gt;"Medium",K598&lt;&gt;"Low",K598&lt;&gt;"None"),AND(W598&lt;&gt;"Hard-coded",W598&lt;&gt;"Configurable",W598&lt;&gt;"Policy-managed",W598&lt;&gt;"API/Library abstraction",W598&lt;&gt;"Automated"),AND(Z598&lt;&gt;"Y",Z598&lt;&gt;"N"),AND(AA598&lt;&gt;"Y",AA598&lt;&gt;"N")),"Incomplete",IF(Z598="Y",20,0)+L598*5+IF(AA598="Y",15,0)+IF(J598="Public",10,IF(J598="Partner",7,IF(J598="Internal",3,0)))+IF(W598="Hard-coded",10,IF(W598="Configurable",3,0))+IF(MAX(I598,AP598)&gt;=10,10,IF(MAX(I598,AP598)&gt;=5,7,IF(MAX(I598,AP598)&gt;=2,3,0)))+IF(K598="High",10,IF(K598="Medium",5,0))))</x:f>
      </x:c>
      <x:c r="AC598" s="73" t="str">
        <x:f>IF(A598="","",IF(NOT(ISNUMBER(AB598)),"Review inputs",IF(AB598&gt;=70,"P0 - Immediate",IF(AB598&gt;=50,"P1 - High",IF(AB598&gt;=30,"P2 - Medium",IF(AB598&gt;=15,"P3 - Low","P4 - Monitor"))))))</x:f>
      </x:c>
      <x:c r="AD598" s="73"/>
      <x:c r="AE598" s="73"/>
      <x:c r="AF598" s="73"/>
      <x:c r="AG598" s="77"/>
      <x:c r="AH598" s="73"/>
      <x:c r="AI598" s="91"/>
      <x:c r="AJ598" s="91"/>
      <x:c r="AK598" s="91"/>
      <x:c r="AL598" s="92"/>
      <x:c r="AM598" s="91"/>
      <x:c r="AN598" s="91"/>
      <x:c r="AO598" s="93"/>
      <x:c r="AP598" s="94"/>
      <x:c r="AQ598" s="91"/>
      <x:c r="AR598" s="91"/>
      <x:c r="AS598" s="91"/>
      <x:c r="AT598" s="91"/>
      <x:c r="AU598" s="91"/>
      <x:c r="AV598" s="91"/>
      <x:c r="AW598" s="91"/>
      <x:c r="AX598" s="91"/>
      <x:c r="AY598" s="91"/>
      <x:c r="AZ598" s="92"/>
      <x:c r="BA598" s="94"/>
      <x:c r="BB598" s="91"/>
      <x:c r="BC598" s="92"/>
      <x:c r="BD598" s="92"/>
      <x:c r="BE598" s="91"/>
      <x:c r="BF598" s="91"/>
      <x:c r="BG598" s="91"/>
      <x:c r="BH598" s="91"/>
      <x:c r="BI598" s="91"/>
      <x:c r="BJ598" s="91"/>
      <x:c r="BK598" s="91"/>
      <x:c r="BL598" s="91"/>
      <x:c r="BM598" s="73" t="str">
        <x:f>IF(A598="","",IF(AI598="Example","Example only",IF(AI598&lt;&gt;"Actual","Set record type",IF(COUNTIF($A$2:$A$1001,A598)&gt;1,"Duplicate record ID",IF(OR(D598="",E598="",AF598="",NOT(ISNUMBER(AG598)),AJ598="",AK598="",NOT(ISNUMBER(AL598)),AND(AM598&lt;&gt;"Observed",AM598&lt;&gt;"Corroborated",AM598&lt;&gt;"Declared"),OR(AN598="",AN598="Unknown"),OR(AQ598="",AQ598="Unknown"),OR(AR598="",AR598="Unknown",AR598="TBD"),OR(BC598="",NOT(ISNUMBER(BC598)))),"Evidence incomplete","Evidence recorded; review scope")))))</x:f>
      </x:c>
      <x:c r="BN598" s="73"/>
    </x:row>
    <x:row r="599" ht="34" customHeight="1">
      <x:c r="A599" s="73"/>
      <x:c r="B599" s="73"/>
      <x:c r="C599" s="73"/>
      <x:c r="D599" s="73"/>
      <x:c r="E599" s="73"/>
      <x:c r="F599" s="73"/>
      <x:c r="G599" s="73"/>
      <x:c r="H599" s="73"/>
      <x:c r="I599" s="75"/>
      <x:c r="J599" s="73"/>
      <x:c r="K599" s="73"/>
      <x:c r="L599" s="76"/>
      <x:c r="M599" s="73"/>
      <x:c r="N599" s="73"/>
      <x:c r="O599" s="73"/>
      <x:c r="P599" s="73"/>
      <x:c r="Q599" s="76"/>
      <x:c r="R599" s="73"/>
      <x:c r="S599" s="73"/>
      <x:c r="T599" s="73"/>
      <x:c r="U599" s="73"/>
      <x:c r="V599" s="73"/>
      <x:c r="W599" s="73"/>
      <x:c r="X599" s="73"/>
      <x:c r="Y599" s="73"/>
      <x:c r="Z599" s="73"/>
      <x:c r="AA599" s="73"/>
      <x:c r="AB599" s="76" t="str">
        <x:f>IF(A599="","",IF(OR(NOT(ISNUMBER(I599)),I599&lt;0,NOT(ISNUMBER(AP599)),AP599&lt;0,NOT(ISNUMBER(L599)),L599&lt;1,L599&gt;5,L599&lt;&gt;INT(L599),AND(J599&lt;&gt;"Public",J599&lt;&gt;"Partner",J599&lt;&gt;"Internal",J599&lt;&gt;"None"),AND(K599&lt;&gt;"High",K599&lt;&gt;"Medium",K599&lt;&gt;"Low",K599&lt;&gt;"None"),AND(W599&lt;&gt;"Hard-coded",W599&lt;&gt;"Configurable",W599&lt;&gt;"Policy-managed",W599&lt;&gt;"API/Library abstraction",W599&lt;&gt;"Automated"),AND(Z599&lt;&gt;"Y",Z599&lt;&gt;"N"),AND(AA599&lt;&gt;"Y",AA599&lt;&gt;"N")),"Incomplete",IF(Z599="Y",20,0)+L599*5+IF(AA599="Y",15,0)+IF(J599="Public",10,IF(J599="Partner",7,IF(J599="Internal",3,0)))+IF(W599="Hard-coded",10,IF(W599="Configurable",3,0))+IF(MAX(I599,AP599)&gt;=10,10,IF(MAX(I599,AP599)&gt;=5,7,IF(MAX(I599,AP599)&gt;=2,3,0)))+IF(K599="High",10,IF(K599="Medium",5,0))))</x:f>
      </x:c>
      <x:c r="AC599" s="73" t="str">
        <x:f>IF(A599="","",IF(NOT(ISNUMBER(AB599)),"Review inputs",IF(AB599&gt;=70,"P0 - Immediate",IF(AB599&gt;=50,"P1 - High",IF(AB599&gt;=30,"P2 - Medium",IF(AB599&gt;=15,"P3 - Low","P4 - Monitor"))))))</x:f>
      </x:c>
      <x:c r="AD599" s="73"/>
      <x:c r="AE599" s="73"/>
      <x:c r="AF599" s="73"/>
      <x:c r="AG599" s="77"/>
      <x:c r="AH599" s="73"/>
      <x:c r="AI599" s="91"/>
      <x:c r="AJ599" s="91"/>
      <x:c r="AK599" s="91"/>
      <x:c r="AL599" s="92"/>
      <x:c r="AM599" s="91"/>
      <x:c r="AN599" s="91"/>
      <x:c r="AO599" s="93"/>
      <x:c r="AP599" s="94"/>
      <x:c r="AQ599" s="91"/>
      <x:c r="AR599" s="91"/>
      <x:c r="AS599" s="91"/>
      <x:c r="AT599" s="91"/>
      <x:c r="AU599" s="91"/>
      <x:c r="AV599" s="91"/>
      <x:c r="AW599" s="91"/>
      <x:c r="AX599" s="91"/>
      <x:c r="AY599" s="91"/>
      <x:c r="AZ599" s="92"/>
      <x:c r="BA599" s="94"/>
      <x:c r="BB599" s="91"/>
      <x:c r="BC599" s="92"/>
      <x:c r="BD599" s="92"/>
      <x:c r="BE599" s="91"/>
      <x:c r="BF599" s="91"/>
      <x:c r="BG599" s="91"/>
      <x:c r="BH599" s="91"/>
      <x:c r="BI599" s="91"/>
      <x:c r="BJ599" s="91"/>
      <x:c r="BK599" s="91"/>
      <x:c r="BL599" s="91"/>
      <x:c r="BM599" s="73" t="str">
        <x:f>IF(A599="","",IF(AI599="Example","Example only",IF(AI599&lt;&gt;"Actual","Set record type",IF(COUNTIF($A$2:$A$1001,A599)&gt;1,"Duplicate record ID",IF(OR(D599="",E599="",AF599="",NOT(ISNUMBER(AG599)),AJ599="",AK599="",NOT(ISNUMBER(AL599)),AND(AM599&lt;&gt;"Observed",AM599&lt;&gt;"Corroborated",AM599&lt;&gt;"Declared"),OR(AN599="",AN599="Unknown"),OR(AQ599="",AQ599="Unknown"),OR(AR599="",AR599="Unknown",AR599="TBD"),OR(BC599="",NOT(ISNUMBER(BC599)))),"Evidence incomplete","Evidence recorded; review scope")))))</x:f>
      </x:c>
      <x:c r="BN599" s="73"/>
    </x:row>
    <x:row r="600" ht="34" customHeight="1">
      <x:c r="A600" s="73"/>
      <x:c r="B600" s="73"/>
      <x:c r="C600" s="73"/>
      <x:c r="D600" s="73"/>
      <x:c r="E600" s="73"/>
      <x:c r="F600" s="73"/>
      <x:c r="G600" s="73"/>
      <x:c r="H600" s="73"/>
      <x:c r="I600" s="75"/>
      <x:c r="J600" s="73"/>
      <x:c r="K600" s="73"/>
      <x:c r="L600" s="76"/>
      <x:c r="M600" s="73"/>
      <x:c r="N600" s="73"/>
      <x:c r="O600" s="73"/>
      <x:c r="P600" s="73"/>
      <x:c r="Q600" s="76"/>
      <x:c r="R600" s="73"/>
      <x:c r="S600" s="73"/>
      <x:c r="T600" s="73"/>
      <x:c r="U600" s="73"/>
      <x:c r="V600" s="73"/>
      <x:c r="W600" s="73"/>
      <x:c r="X600" s="73"/>
      <x:c r="Y600" s="73"/>
      <x:c r="Z600" s="73"/>
      <x:c r="AA600" s="73"/>
      <x:c r="AB600" s="76" t="str">
        <x:f>IF(A600="","",IF(OR(NOT(ISNUMBER(I600)),I600&lt;0,NOT(ISNUMBER(AP600)),AP600&lt;0,NOT(ISNUMBER(L600)),L600&lt;1,L600&gt;5,L600&lt;&gt;INT(L600),AND(J600&lt;&gt;"Public",J600&lt;&gt;"Partner",J600&lt;&gt;"Internal",J600&lt;&gt;"None"),AND(K600&lt;&gt;"High",K600&lt;&gt;"Medium",K600&lt;&gt;"Low",K600&lt;&gt;"None"),AND(W600&lt;&gt;"Hard-coded",W600&lt;&gt;"Configurable",W600&lt;&gt;"Policy-managed",W600&lt;&gt;"API/Library abstraction",W600&lt;&gt;"Automated"),AND(Z600&lt;&gt;"Y",Z600&lt;&gt;"N"),AND(AA600&lt;&gt;"Y",AA600&lt;&gt;"N")),"Incomplete",IF(Z600="Y",20,0)+L600*5+IF(AA600="Y",15,0)+IF(J600="Public",10,IF(J600="Partner",7,IF(J600="Internal",3,0)))+IF(W600="Hard-coded",10,IF(W600="Configurable",3,0))+IF(MAX(I600,AP600)&gt;=10,10,IF(MAX(I600,AP600)&gt;=5,7,IF(MAX(I600,AP600)&gt;=2,3,0)))+IF(K600="High",10,IF(K600="Medium",5,0))))</x:f>
      </x:c>
      <x:c r="AC600" s="73" t="str">
        <x:f>IF(A600="","",IF(NOT(ISNUMBER(AB600)),"Review inputs",IF(AB600&gt;=70,"P0 - Immediate",IF(AB600&gt;=50,"P1 - High",IF(AB600&gt;=30,"P2 - Medium",IF(AB600&gt;=15,"P3 - Low","P4 - Monitor"))))))</x:f>
      </x:c>
      <x:c r="AD600" s="73"/>
      <x:c r="AE600" s="73"/>
      <x:c r="AF600" s="73"/>
      <x:c r="AG600" s="77"/>
      <x:c r="AH600" s="73"/>
      <x:c r="AI600" s="91"/>
      <x:c r="AJ600" s="91"/>
      <x:c r="AK600" s="91"/>
      <x:c r="AL600" s="92"/>
      <x:c r="AM600" s="91"/>
      <x:c r="AN600" s="91"/>
      <x:c r="AO600" s="93"/>
      <x:c r="AP600" s="94"/>
      <x:c r="AQ600" s="91"/>
      <x:c r="AR600" s="91"/>
      <x:c r="AS600" s="91"/>
      <x:c r="AT600" s="91"/>
      <x:c r="AU600" s="91"/>
      <x:c r="AV600" s="91"/>
      <x:c r="AW600" s="91"/>
      <x:c r="AX600" s="91"/>
      <x:c r="AY600" s="91"/>
      <x:c r="AZ600" s="92"/>
      <x:c r="BA600" s="94"/>
      <x:c r="BB600" s="91"/>
      <x:c r="BC600" s="92"/>
      <x:c r="BD600" s="92"/>
      <x:c r="BE600" s="91"/>
      <x:c r="BF600" s="91"/>
      <x:c r="BG600" s="91"/>
      <x:c r="BH600" s="91"/>
      <x:c r="BI600" s="91"/>
      <x:c r="BJ600" s="91"/>
      <x:c r="BK600" s="91"/>
      <x:c r="BL600" s="91"/>
      <x:c r="BM600" s="73" t="str">
        <x:f>IF(A600="","",IF(AI600="Example","Example only",IF(AI600&lt;&gt;"Actual","Set record type",IF(COUNTIF($A$2:$A$1001,A600)&gt;1,"Duplicate record ID",IF(OR(D600="",E600="",AF600="",NOT(ISNUMBER(AG600)),AJ600="",AK600="",NOT(ISNUMBER(AL600)),AND(AM600&lt;&gt;"Observed",AM600&lt;&gt;"Corroborated",AM600&lt;&gt;"Declared"),OR(AN600="",AN600="Unknown"),OR(AQ600="",AQ600="Unknown"),OR(AR600="",AR600="Unknown",AR600="TBD"),OR(BC600="",NOT(ISNUMBER(BC600)))),"Evidence incomplete","Evidence recorded; review scope")))))</x:f>
      </x:c>
      <x:c r="BN600" s="73"/>
    </x:row>
    <x:row r="601" ht="34" customHeight="1">
      <x:c r="A601" s="73"/>
      <x:c r="B601" s="73"/>
      <x:c r="C601" s="73"/>
      <x:c r="D601" s="73"/>
      <x:c r="E601" s="73"/>
      <x:c r="F601" s="73"/>
      <x:c r="G601" s="73"/>
      <x:c r="H601" s="73"/>
      <x:c r="I601" s="75"/>
      <x:c r="J601" s="73"/>
      <x:c r="K601" s="73"/>
      <x:c r="L601" s="76"/>
      <x:c r="M601" s="73"/>
      <x:c r="N601" s="73"/>
      <x:c r="O601" s="73"/>
      <x:c r="P601" s="73"/>
      <x:c r="Q601" s="76"/>
      <x:c r="R601" s="73"/>
      <x:c r="S601" s="73"/>
      <x:c r="T601" s="73"/>
      <x:c r="U601" s="73"/>
      <x:c r="V601" s="73"/>
      <x:c r="W601" s="73"/>
      <x:c r="X601" s="73"/>
      <x:c r="Y601" s="73"/>
      <x:c r="Z601" s="73"/>
      <x:c r="AA601" s="73"/>
      <x:c r="AB601" s="76" t="str">
        <x:f>IF(A601="","",IF(OR(NOT(ISNUMBER(I601)),I601&lt;0,NOT(ISNUMBER(AP601)),AP601&lt;0,NOT(ISNUMBER(L601)),L601&lt;1,L601&gt;5,L601&lt;&gt;INT(L601),AND(J601&lt;&gt;"Public",J601&lt;&gt;"Partner",J601&lt;&gt;"Internal",J601&lt;&gt;"None"),AND(K601&lt;&gt;"High",K601&lt;&gt;"Medium",K601&lt;&gt;"Low",K601&lt;&gt;"None"),AND(W601&lt;&gt;"Hard-coded",W601&lt;&gt;"Configurable",W601&lt;&gt;"Policy-managed",W601&lt;&gt;"API/Library abstraction",W601&lt;&gt;"Automated"),AND(Z601&lt;&gt;"Y",Z601&lt;&gt;"N"),AND(AA601&lt;&gt;"Y",AA601&lt;&gt;"N")),"Incomplete",IF(Z601="Y",20,0)+L601*5+IF(AA601="Y",15,0)+IF(J601="Public",10,IF(J601="Partner",7,IF(J601="Internal",3,0)))+IF(W601="Hard-coded",10,IF(W601="Configurable",3,0))+IF(MAX(I601,AP601)&gt;=10,10,IF(MAX(I601,AP601)&gt;=5,7,IF(MAX(I601,AP601)&gt;=2,3,0)))+IF(K601="High",10,IF(K601="Medium",5,0))))</x:f>
      </x:c>
      <x:c r="AC601" s="73" t="str">
        <x:f>IF(A601="","",IF(NOT(ISNUMBER(AB601)),"Review inputs",IF(AB601&gt;=70,"P0 - Immediate",IF(AB601&gt;=50,"P1 - High",IF(AB601&gt;=30,"P2 - Medium",IF(AB601&gt;=15,"P3 - Low","P4 - Monitor"))))))</x:f>
      </x:c>
      <x:c r="AD601" s="73"/>
      <x:c r="AE601" s="73"/>
      <x:c r="AF601" s="73"/>
      <x:c r="AG601" s="77"/>
      <x:c r="AH601" s="73"/>
      <x:c r="AI601" s="91"/>
      <x:c r="AJ601" s="91"/>
      <x:c r="AK601" s="91"/>
      <x:c r="AL601" s="92"/>
      <x:c r="AM601" s="91"/>
      <x:c r="AN601" s="91"/>
      <x:c r="AO601" s="93"/>
      <x:c r="AP601" s="94"/>
      <x:c r="AQ601" s="91"/>
      <x:c r="AR601" s="91"/>
      <x:c r="AS601" s="91"/>
      <x:c r="AT601" s="91"/>
      <x:c r="AU601" s="91"/>
      <x:c r="AV601" s="91"/>
      <x:c r="AW601" s="91"/>
      <x:c r="AX601" s="91"/>
      <x:c r="AY601" s="91"/>
      <x:c r="AZ601" s="92"/>
      <x:c r="BA601" s="94"/>
      <x:c r="BB601" s="91"/>
      <x:c r="BC601" s="92"/>
      <x:c r="BD601" s="92"/>
      <x:c r="BE601" s="91"/>
      <x:c r="BF601" s="91"/>
      <x:c r="BG601" s="91"/>
      <x:c r="BH601" s="91"/>
      <x:c r="BI601" s="91"/>
      <x:c r="BJ601" s="91"/>
      <x:c r="BK601" s="91"/>
      <x:c r="BL601" s="91"/>
      <x:c r="BM601" s="73" t="str">
        <x:f>IF(A601="","",IF(AI601="Example","Example only",IF(AI601&lt;&gt;"Actual","Set record type",IF(COUNTIF($A$2:$A$1001,A601)&gt;1,"Duplicate record ID",IF(OR(D601="",E601="",AF601="",NOT(ISNUMBER(AG601)),AJ601="",AK601="",NOT(ISNUMBER(AL601)),AND(AM601&lt;&gt;"Observed",AM601&lt;&gt;"Corroborated",AM601&lt;&gt;"Declared"),OR(AN601="",AN601="Unknown"),OR(AQ601="",AQ601="Unknown"),OR(AR601="",AR601="Unknown",AR601="TBD"),OR(BC601="",NOT(ISNUMBER(BC601)))),"Evidence incomplete","Evidence recorded; review scope")))))</x:f>
      </x:c>
      <x:c r="BN601" s="73"/>
    </x:row>
    <x:row r="602" ht="34" customHeight="1">
      <x:c r="A602" s="73"/>
      <x:c r="B602" s="73"/>
      <x:c r="C602" s="73"/>
      <x:c r="D602" s="73"/>
      <x:c r="E602" s="73"/>
      <x:c r="F602" s="73"/>
      <x:c r="G602" s="73"/>
      <x:c r="H602" s="73"/>
      <x:c r="I602" s="75"/>
      <x:c r="J602" s="73"/>
      <x:c r="K602" s="73"/>
      <x:c r="L602" s="76"/>
      <x:c r="M602" s="73"/>
      <x:c r="N602" s="73"/>
      <x:c r="O602" s="73"/>
      <x:c r="P602" s="73"/>
      <x:c r="Q602" s="76"/>
      <x:c r="R602" s="73"/>
      <x:c r="S602" s="73"/>
      <x:c r="T602" s="73"/>
      <x:c r="U602" s="73"/>
      <x:c r="V602" s="73"/>
      <x:c r="W602" s="73"/>
      <x:c r="X602" s="73"/>
      <x:c r="Y602" s="73"/>
      <x:c r="Z602" s="73"/>
      <x:c r="AA602" s="73"/>
      <x:c r="AB602" s="76" t="str">
        <x:f>IF(A602="","",IF(OR(NOT(ISNUMBER(I602)),I602&lt;0,NOT(ISNUMBER(AP602)),AP602&lt;0,NOT(ISNUMBER(L602)),L602&lt;1,L602&gt;5,L602&lt;&gt;INT(L602),AND(J602&lt;&gt;"Public",J602&lt;&gt;"Partner",J602&lt;&gt;"Internal",J602&lt;&gt;"None"),AND(K602&lt;&gt;"High",K602&lt;&gt;"Medium",K602&lt;&gt;"Low",K602&lt;&gt;"None"),AND(W602&lt;&gt;"Hard-coded",W602&lt;&gt;"Configurable",W602&lt;&gt;"Policy-managed",W602&lt;&gt;"API/Library abstraction",W602&lt;&gt;"Automated"),AND(Z602&lt;&gt;"Y",Z602&lt;&gt;"N"),AND(AA602&lt;&gt;"Y",AA602&lt;&gt;"N")),"Incomplete",IF(Z602="Y",20,0)+L602*5+IF(AA602="Y",15,0)+IF(J602="Public",10,IF(J602="Partner",7,IF(J602="Internal",3,0)))+IF(W602="Hard-coded",10,IF(W602="Configurable",3,0))+IF(MAX(I602,AP602)&gt;=10,10,IF(MAX(I602,AP602)&gt;=5,7,IF(MAX(I602,AP602)&gt;=2,3,0)))+IF(K602="High",10,IF(K602="Medium",5,0))))</x:f>
      </x:c>
      <x:c r="AC602" s="73" t="str">
        <x:f>IF(A602="","",IF(NOT(ISNUMBER(AB602)),"Review inputs",IF(AB602&gt;=70,"P0 - Immediate",IF(AB602&gt;=50,"P1 - High",IF(AB602&gt;=30,"P2 - Medium",IF(AB602&gt;=15,"P3 - Low","P4 - Monitor"))))))</x:f>
      </x:c>
      <x:c r="AD602" s="73"/>
      <x:c r="AE602" s="73"/>
      <x:c r="AF602" s="73"/>
      <x:c r="AG602" s="77"/>
      <x:c r="AH602" s="73"/>
      <x:c r="AI602" s="91"/>
      <x:c r="AJ602" s="91"/>
      <x:c r="AK602" s="91"/>
      <x:c r="AL602" s="92"/>
      <x:c r="AM602" s="91"/>
      <x:c r="AN602" s="91"/>
      <x:c r="AO602" s="93"/>
      <x:c r="AP602" s="94"/>
      <x:c r="AQ602" s="91"/>
      <x:c r="AR602" s="91"/>
      <x:c r="AS602" s="91"/>
      <x:c r="AT602" s="91"/>
      <x:c r="AU602" s="91"/>
      <x:c r="AV602" s="91"/>
      <x:c r="AW602" s="91"/>
      <x:c r="AX602" s="91"/>
      <x:c r="AY602" s="91"/>
      <x:c r="AZ602" s="92"/>
      <x:c r="BA602" s="94"/>
      <x:c r="BB602" s="91"/>
      <x:c r="BC602" s="92"/>
      <x:c r="BD602" s="92"/>
      <x:c r="BE602" s="91"/>
      <x:c r="BF602" s="91"/>
      <x:c r="BG602" s="91"/>
      <x:c r="BH602" s="91"/>
      <x:c r="BI602" s="91"/>
      <x:c r="BJ602" s="91"/>
      <x:c r="BK602" s="91"/>
      <x:c r="BL602" s="91"/>
      <x:c r="BM602" s="73" t="str">
        <x:f>IF(A602="","",IF(AI602="Example","Example only",IF(AI602&lt;&gt;"Actual","Set record type",IF(COUNTIF($A$2:$A$1001,A602)&gt;1,"Duplicate record ID",IF(OR(D602="",E602="",AF602="",NOT(ISNUMBER(AG602)),AJ602="",AK602="",NOT(ISNUMBER(AL602)),AND(AM602&lt;&gt;"Observed",AM602&lt;&gt;"Corroborated",AM602&lt;&gt;"Declared"),OR(AN602="",AN602="Unknown"),OR(AQ602="",AQ602="Unknown"),OR(AR602="",AR602="Unknown",AR602="TBD"),OR(BC602="",NOT(ISNUMBER(BC602)))),"Evidence incomplete","Evidence recorded; review scope")))))</x:f>
      </x:c>
      <x:c r="BN602" s="73"/>
    </x:row>
    <x:row r="603" ht="34" customHeight="1">
      <x:c r="A603" s="73"/>
      <x:c r="B603" s="73"/>
      <x:c r="C603" s="73"/>
      <x:c r="D603" s="73"/>
      <x:c r="E603" s="73"/>
      <x:c r="F603" s="73"/>
      <x:c r="G603" s="73"/>
      <x:c r="H603" s="73"/>
      <x:c r="I603" s="75"/>
      <x:c r="J603" s="73"/>
      <x:c r="K603" s="73"/>
      <x:c r="L603" s="76"/>
      <x:c r="M603" s="73"/>
      <x:c r="N603" s="73"/>
      <x:c r="O603" s="73"/>
      <x:c r="P603" s="73"/>
      <x:c r="Q603" s="76"/>
      <x:c r="R603" s="73"/>
      <x:c r="S603" s="73"/>
      <x:c r="T603" s="73"/>
      <x:c r="U603" s="73"/>
      <x:c r="V603" s="73"/>
      <x:c r="W603" s="73"/>
      <x:c r="X603" s="73"/>
      <x:c r="Y603" s="73"/>
      <x:c r="Z603" s="73"/>
      <x:c r="AA603" s="73"/>
      <x:c r="AB603" s="76" t="str">
        <x:f>IF(A603="","",IF(OR(NOT(ISNUMBER(I603)),I603&lt;0,NOT(ISNUMBER(AP603)),AP603&lt;0,NOT(ISNUMBER(L603)),L603&lt;1,L603&gt;5,L603&lt;&gt;INT(L603),AND(J603&lt;&gt;"Public",J603&lt;&gt;"Partner",J603&lt;&gt;"Internal",J603&lt;&gt;"None"),AND(K603&lt;&gt;"High",K603&lt;&gt;"Medium",K603&lt;&gt;"Low",K603&lt;&gt;"None"),AND(W603&lt;&gt;"Hard-coded",W603&lt;&gt;"Configurable",W603&lt;&gt;"Policy-managed",W603&lt;&gt;"API/Library abstraction",W603&lt;&gt;"Automated"),AND(Z603&lt;&gt;"Y",Z603&lt;&gt;"N"),AND(AA603&lt;&gt;"Y",AA603&lt;&gt;"N")),"Incomplete",IF(Z603="Y",20,0)+L603*5+IF(AA603="Y",15,0)+IF(J603="Public",10,IF(J603="Partner",7,IF(J603="Internal",3,0)))+IF(W603="Hard-coded",10,IF(W603="Configurable",3,0))+IF(MAX(I603,AP603)&gt;=10,10,IF(MAX(I603,AP603)&gt;=5,7,IF(MAX(I603,AP603)&gt;=2,3,0)))+IF(K603="High",10,IF(K603="Medium",5,0))))</x:f>
      </x:c>
      <x:c r="AC603" s="73" t="str">
        <x:f>IF(A603="","",IF(NOT(ISNUMBER(AB603)),"Review inputs",IF(AB603&gt;=70,"P0 - Immediate",IF(AB603&gt;=50,"P1 - High",IF(AB603&gt;=30,"P2 - Medium",IF(AB603&gt;=15,"P3 - Low","P4 - Monitor"))))))</x:f>
      </x:c>
      <x:c r="AD603" s="73"/>
      <x:c r="AE603" s="73"/>
      <x:c r="AF603" s="73"/>
      <x:c r="AG603" s="77"/>
      <x:c r="AH603" s="73"/>
      <x:c r="AI603" s="91"/>
      <x:c r="AJ603" s="91"/>
      <x:c r="AK603" s="91"/>
      <x:c r="AL603" s="92"/>
      <x:c r="AM603" s="91"/>
      <x:c r="AN603" s="91"/>
      <x:c r="AO603" s="93"/>
      <x:c r="AP603" s="94"/>
      <x:c r="AQ603" s="91"/>
      <x:c r="AR603" s="91"/>
      <x:c r="AS603" s="91"/>
      <x:c r="AT603" s="91"/>
      <x:c r="AU603" s="91"/>
      <x:c r="AV603" s="91"/>
      <x:c r="AW603" s="91"/>
      <x:c r="AX603" s="91"/>
      <x:c r="AY603" s="91"/>
      <x:c r="AZ603" s="92"/>
      <x:c r="BA603" s="94"/>
      <x:c r="BB603" s="91"/>
      <x:c r="BC603" s="92"/>
      <x:c r="BD603" s="92"/>
      <x:c r="BE603" s="91"/>
      <x:c r="BF603" s="91"/>
      <x:c r="BG603" s="91"/>
      <x:c r="BH603" s="91"/>
      <x:c r="BI603" s="91"/>
      <x:c r="BJ603" s="91"/>
      <x:c r="BK603" s="91"/>
      <x:c r="BL603" s="91"/>
      <x:c r="BM603" s="73" t="str">
        <x:f>IF(A603="","",IF(AI603="Example","Example only",IF(AI603&lt;&gt;"Actual","Set record type",IF(COUNTIF($A$2:$A$1001,A603)&gt;1,"Duplicate record ID",IF(OR(D603="",E603="",AF603="",NOT(ISNUMBER(AG603)),AJ603="",AK603="",NOT(ISNUMBER(AL603)),AND(AM603&lt;&gt;"Observed",AM603&lt;&gt;"Corroborated",AM603&lt;&gt;"Declared"),OR(AN603="",AN603="Unknown"),OR(AQ603="",AQ603="Unknown"),OR(AR603="",AR603="Unknown",AR603="TBD"),OR(BC603="",NOT(ISNUMBER(BC603)))),"Evidence incomplete","Evidence recorded; review scope")))))</x:f>
      </x:c>
      <x:c r="BN603" s="73"/>
    </x:row>
    <x:row r="604" ht="34" customHeight="1">
      <x:c r="A604" s="73"/>
      <x:c r="B604" s="73"/>
      <x:c r="C604" s="73"/>
      <x:c r="D604" s="73"/>
      <x:c r="E604" s="73"/>
      <x:c r="F604" s="73"/>
      <x:c r="G604" s="73"/>
      <x:c r="H604" s="73"/>
      <x:c r="I604" s="75"/>
      <x:c r="J604" s="73"/>
      <x:c r="K604" s="73"/>
      <x:c r="L604" s="76"/>
      <x:c r="M604" s="73"/>
      <x:c r="N604" s="73"/>
      <x:c r="O604" s="73"/>
      <x:c r="P604" s="73"/>
      <x:c r="Q604" s="76"/>
      <x:c r="R604" s="73"/>
      <x:c r="S604" s="73"/>
      <x:c r="T604" s="73"/>
      <x:c r="U604" s="73"/>
      <x:c r="V604" s="73"/>
      <x:c r="W604" s="73"/>
      <x:c r="X604" s="73"/>
      <x:c r="Y604" s="73"/>
      <x:c r="Z604" s="73"/>
      <x:c r="AA604" s="73"/>
      <x:c r="AB604" s="76" t="str">
        <x:f>IF(A604="","",IF(OR(NOT(ISNUMBER(I604)),I604&lt;0,NOT(ISNUMBER(AP604)),AP604&lt;0,NOT(ISNUMBER(L604)),L604&lt;1,L604&gt;5,L604&lt;&gt;INT(L604),AND(J604&lt;&gt;"Public",J604&lt;&gt;"Partner",J604&lt;&gt;"Internal",J604&lt;&gt;"None"),AND(K604&lt;&gt;"High",K604&lt;&gt;"Medium",K604&lt;&gt;"Low",K604&lt;&gt;"None"),AND(W604&lt;&gt;"Hard-coded",W604&lt;&gt;"Configurable",W604&lt;&gt;"Policy-managed",W604&lt;&gt;"API/Library abstraction",W604&lt;&gt;"Automated"),AND(Z604&lt;&gt;"Y",Z604&lt;&gt;"N"),AND(AA604&lt;&gt;"Y",AA604&lt;&gt;"N")),"Incomplete",IF(Z604="Y",20,0)+L604*5+IF(AA604="Y",15,0)+IF(J604="Public",10,IF(J604="Partner",7,IF(J604="Internal",3,0)))+IF(W604="Hard-coded",10,IF(W604="Configurable",3,0))+IF(MAX(I604,AP604)&gt;=10,10,IF(MAX(I604,AP604)&gt;=5,7,IF(MAX(I604,AP604)&gt;=2,3,0)))+IF(K604="High",10,IF(K604="Medium",5,0))))</x:f>
      </x:c>
      <x:c r="AC604" s="73" t="str">
        <x:f>IF(A604="","",IF(NOT(ISNUMBER(AB604)),"Review inputs",IF(AB604&gt;=70,"P0 - Immediate",IF(AB604&gt;=50,"P1 - High",IF(AB604&gt;=30,"P2 - Medium",IF(AB604&gt;=15,"P3 - Low","P4 - Monitor"))))))</x:f>
      </x:c>
      <x:c r="AD604" s="73"/>
      <x:c r="AE604" s="73"/>
      <x:c r="AF604" s="73"/>
      <x:c r="AG604" s="77"/>
      <x:c r="AH604" s="73"/>
      <x:c r="AI604" s="91"/>
      <x:c r="AJ604" s="91"/>
      <x:c r="AK604" s="91"/>
      <x:c r="AL604" s="92"/>
      <x:c r="AM604" s="91"/>
      <x:c r="AN604" s="91"/>
      <x:c r="AO604" s="93"/>
      <x:c r="AP604" s="94"/>
      <x:c r="AQ604" s="91"/>
      <x:c r="AR604" s="91"/>
      <x:c r="AS604" s="91"/>
      <x:c r="AT604" s="91"/>
      <x:c r="AU604" s="91"/>
      <x:c r="AV604" s="91"/>
      <x:c r="AW604" s="91"/>
      <x:c r="AX604" s="91"/>
      <x:c r="AY604" s="91"/>
      <x:c r="AZ604" s="92"/>
      <x:c r="BA604" s="94"/>
      <x:c r="BB604" s="91"/>
      <x:c r="BC604" s="92"/>
      <x:c r="BD604" s="92"/>
      <x:c r="BE604" s="91"/>
      <x:c r="BF604" s="91"/>
      <x:c r="BG604" s="91"/>
      <x:c r="BH604" s="91"/>
      <x:c r="BI604" s="91"/>
      <x:c r="BJ604" s="91"/>
      <x:c r="BK604" s="91"/>
      <x:c r="BL604" s="91"/>
      <x:c r="BM604" s="73" t="str">
        <x:f>IF(A604="","",IF(AI604="Example","Example only",IF(AI604&lt;&gt;"Actual","Set record type",IF(COUNTIF($A$2:$A$1001,A604)&gt;1,"Duplicate record ID",IF(OR(D604="",E604="",AF604="",NOT(ISNUMBER(AG604)),AJ604="",AK604="",NOT(ISNUMBER(AL604)),AND(AM604&lt;&gt;"Observed",AM604&lt;&gt;"Corroborated",AM604&lt;&gt;"Declared"),OR(AN604="",AN604="Unknown"),OR(AQ604="",AQ604="Unknown"),OR(AR604="",AR604="Unknown",AR604="TBD"),OR(BC604="",NOT(ISNUMBER(BC604)))),"Evidence incomplete","Evidence recorded; review scope")))))</x:f>
      </x:c>
      <x:c r="BN604" s="73"/>
    </x:row>
    <x:row r="605" ht="34" customHeight="1">
      <x:c r="A605" s="73"/>
      <x:c r="B605" s="73"/>
      <x:c r="C605" s="73"/>
      <x:c r="D605" s="73"/>
      <x:c r="E605" s="73"/>
      <x:c r="F605" s="73"/>
      <x:c r="G605" s="73"/>
      <x:c r="H605" s="73"/>
      <x:c r="I605" s="75"/>
      <x:c r="J605" s="73"/>
      <x:c r="K605" s="73"/>
      <x:c r="L605" s="76"/>
      <x:c r="M605" s="73"/>
      <x:c r="N605" s="73"/>
      <x:c r="O605" s="73"/>
      <x:c r="P605" s="73"/>
      <x:c r="Q605" s="76"/>
      <x:c r="R605" s="73"/>
      <x:c r="S605" s="73"/>
      <x:c r="T605" s="73"/>
      <x:c r="U605" s="73"/>
      <x:c r="V605" s="73"/>
      <x:c r="W605" s="73"/>
      <x:c r="X605" s="73"/>
      <x:c r="Y605" s="73"/>
      <x:c r="Z605" s="73"/>
      <x:c r="AA605" s="73"/>
      <x:c r="AB605" s="76" t="str">
        <x:f>IF(A605="","",IF(OR(NOT(ISNUMBER(I605)),I605&lt;0,NOT(ISNUMBER(AP605)),AP605&lt;0,NOT(ISNUMBER(L605)),L605&lt;1,L605&gt;5,L605&lt;&gt;INT(L605),AND(J605&lt;&gt;"Public",J605&lt;&gt;"Partner",J605&lt;&gt;"Internal",J605&lt;&gt;"None"),AND(K605&lt;&gt;"High",K605&lt;&gt;"Medium",K605&lt;&gt;"Low",K605&lt;&gt;"None"),AND(W605&lt;&gt;"Hard-coded",W605&lt;&gt;"Configurable",W605&lt;&gt;"Policy-managed",W605&lt;&gt;"API/Library abstraction",W605&lt;&gt;"Automated"),AND(Z605&lt;&gt;"Y",Z605&lt;&gt;"N"),AND(AA605&lt;&gt;"Y",AA605&lt;&gt;"N")),"Incomplete",IF(Z605="Y",20,0)+L605*5+IF(AA605="Y",15,0)+IF(J605="Public",10,IF(J605="Partner",7,IF(J605="Internal",3,0)))+IF(W605="Hard-coded",10,IF(W605="Configurable",3,0))+IF(MAX(I605,AP605)&gt;=10,10,IF(MAX(I605,AP605)&gt;=5,7,IF(MAX(I605,AP605)&gt;=2,3,0)))+IF(K605="High",10,IF(K605="Medium",5,0))))</x:f>
      </x:c>
      <x:c r="AC605" s="73" t="str">
        <x:f>IF(A605="","",IF(NOT(ISNUMBER(AB605)),"Review inputs",IF(AB605&gt;=70,"P0 - Immediate",IF(AB605&gt;=50,"P1 - High",IF(AB605&gt;=30,"P2 - Medium",IF(AB605&gt;=15,"P3 - Low","P4 - Monitor"))))))</x:f>
      </x:c>
      <x:c r="AD605" s="73"/>
      <x:c r="AE605" s="73"/>
      <x:c r="AF605" s="73"/>
      <x:c r="AG605" s="77"/>
      <x:c r="AH605" s="73"/>
      <x:c r="AI605" s="91"/>
      <x:c r="AJ605" s="91"/>
      <x:c r="AK605" s="91"/>
      <x:c r="AL605" s="92"/>
      <x:c r="AM605" s="91"/>
      <x:c r="AN605" s="91"/>
      <x:c r="AO605" s="93"/>
      <x:c r="AP605" s="94"/>
      <x:c r="AQ605" s="91"/>
      <x:c r="AR605" s="91"/>
      <x:c r="AS605" s="91"/>
      <x:c r="AT605" s="91"/>
      <x:c r="AU605" s="91"/>
      <x:c r="AV605" s="91"/>
      <x:c r="AW605" s="91"/>
      <x:c r="AX605" s="91"/>
      <x:c r="AY605" s="91"/>
      <x:c r="AZ605" s="92"/>
      <x:c r="BA605" s="94"/>
      <x:c r="BB605" s="91"/>
      <x:c r="BC605" s="92"/>
      <x:c r="BD605" s="92"/>
      <x:c r="BE605" s="91"/>
      <x:c r="BF605" s="91"/>
      <x:c r="BG605" s="91"/>
      <x:c r="BH605" s="91"/>
      <x:c r="BI605" s="91"/>
      <x:c r="BJ605" s="91"/>
      <x:c r="BK605" s="91"/>
      <x:c r="BL605" s="91"/>
      <x:c r="BM605" s="73" t="str">
        <x:f>IF(A605="","",IF(AI605="Example","Example only",IF(AI605&lt;&gt;"Actual","Set record type",IF(COUNTIF($A$2:$A$1001,A605)&gt;1,"Duplicate record ID",IF(OR(D605="",E605="",AF605="",NOT(ISNUMBER(AG605)),AJ605="",AK605="",NOT(ISNUMBER(AL605)),AND(AM605&lt;&gt;"Observed",AM605&lt;&gt;"Corroborated",AM605&lt;&gt;"Declared"),OR(AN605="",AN605="Unknown"),OR(AQ605="",AQ605="Unknown"),OR(AR605="",AR605="Unknown",AR605="TBD"),OR(BC605="",NOT(ISNUMBER(BC605)))),"Evidence incomplete","Evidence recorded; review scope")))))</x:f>
      </x:c>
      <x:c r="BN605" s="73"/>
    </x:row>
    <x:row r="606" ht="34" customHeight="1">
      <x:c r="A606" s="73"/>
      <x:c r="B606" s="73"/>
      <x:c r="C606" s="73"/>
      <x:c r="D606" s="73"/>
      <x:c r="E606" s="73"/>
      <x:c r="F606" s="73"/>
      <x:c r="G606" s="73"/>
      <x:c r="H606" s="73"/>
      <x:c r="I606" s="75"/>
      <x:c r="J606" s="73"/>
      <x:c r="K606" s="73"/>
      <x:c r="L606" s="76"/>
      <x:c r="M606" s="73"/>
      <x:c r="N606" s="73"/>
      <x:c r="O606" s="73"/>
      <x:c r="P606" s="73"/>
      <x:c r="Q606" s="76"/>
      <x:c r="R606" s="73"/>
      <x:c r="S606" s="73"/>
      <x:c r="T606" s="73"/>
      <x:c r="U606" s="73"/>
      <x:c r="V606" s="73"/>
      <x:c r="W606" s="73"/>
      <x:c r="X606" s="73"/>
      <x:c r="Y606" s="73"/>
      <x:c r="Z606" s="73"/>
      <x:c r="AA606" s="73"/>
      <x:c r="AB606" s="76" t="str">
        <x:f>IF(A606="","",IF(OR(NOT(ISNUMBER(I606)),I606&lt;0,NOT(ISNUMBER(AP606)),AP606&lt;0,NOT(ISNUMBER(L606)),L606&lt;1,L606&gt;5,L606&lt;&gt;INT(L606),AND(J606&lt;&gt;"Public",J606&lt;&gt;"Partner",J606&lt;&gt;"Internal",J606&lt;&gt;"None"),AND(K606&lt;&gt;"High",K606&lt;&gt;"Medium",K606&lt;&gt;"Low",K606&lt;&gt;"None"),AND(W606&lt;&gt;"Hard-coded",W606&lt;&gt;"Configurable",W606&lt;&gt;"Policy-managed",W606&lt;&gt;"API/Library abstraction",W606&lt;&gt;"Automated"),AND(Z606&lt;&gt;"Y",Z606&lt;&gt;"N"),AND(AA606&lt;&gt;"Y",AA606&lt;&gt;"N")),"Incomplete",IF(Z606="Y",20,0)+L606*5+IF(AA606="Y",15,0)+IF(J606="Public",10,IF(J606="Partner",7,IF(J606="Internal",3,0)))+IF(W606="Hard-coded",10,IF(W606="Configurable",3,0))+IF(MAX(I606,AP606)&gt;=10,10,IF(MAX(I606,AP606)&gt;=5,7,IF(MAX(I606,AP606)&gt;=2,3,0)))+IF(K606="High",10,IF(K606="Medium",5,0))))</x:f>
      </x:c>
      <x:c r="AC606" s="73" t="str">
        <x:f>IF(A606="","",IF(NOT(ISNUMBER(AB606)),"Review inputs",IF(AB606&gt;=70,"P0 - Immediate",IF(AB606&gt;=50,"P1 - High",IF(AB606&gt;=30,"P2 - Medium",IF(AB606&gt;=15,"P3 - Low","P4 - Monitor"))))))</x:f>
      </x:c>
      <x:c r="AD606" s="73"/>
      <x:c r="AE606" s="73"/>
      <x:c r="AF606" s="73"/>
      <x:c r="AG606" s="77"/>
      <x:c r="AH606" s="73"/>
      <x:c r="AI606" s="91"/>
      <x:c r="AJ606" s="91"/>
      <x:c r="AK606" s="91"/>
      <x:c r="AL606" s="92"/>
      <x:c r="AM606" s="91"/>
      <x:c r="AN606" s="91"/>
      <x:c r="AO606" s="93"/>
      <x:c r="AP606" s="94"/>
      <x:c r="AQ606" s="91"/>
      <x:c r="AR606" s="91"/>
      <x:c r="AS606" s="91"/>
      <x:c r="AT606" s="91"/>
      <x:c r="AU606" s="91"/>
      <x:c r="AV606" s="91"/>
      <x:c r="AW606" s="91"/>
      <x:c r="AX606" s="91"/>
      <x:c r="AY606" s="91"/>
      <x:c r="AZ606" s="92"/>
      <x:c r="BA606" s="94"/>
      <x:c r="BB606" s="91"/>
      <x:c r="BC606" s="92"/>
      <x:c r="BD606" s="92"/>
      <x:c r="BE606" s="91"/>
      <x:c r="BF606" s="91"/>
      <x:c r="BG606" s="91"/>
      <x:c r="BH606" s="91"/>
      <x:c r="BI606" s="91"/>
      <x:c r="BJ606" s="91"/>
      <x:c r="BK606" s="91"/>
      <x:c r="BL606" s="91"/>
      <x:c r="BM606" s="73" t="str">
        <x:f>IF(A606="","",IF(AI606="Example","Example only",IF(AI606&lt;&gt;"Actual","Set record type",IF(COUNTIF($A$2:$A$1001,A606)&gt;1,"Duplicate record ID",IF(OR(D606="",E606="",AF606="",NOT(ISNUMBER(AG606)),AJ606="",AK606="",NOT(ISNUMBER(AL606)),AND(AM606&lt;&gt;"Observed",AM606&lt;&gt;"Corroborated",AM606&lt;&gt;"Declared"),OR(AN606="",AN606="Unknown"),OR(AQ606="",AQ606="Unknown"),OR(AR606="",AR606="Unknown",AR606="TBD"),OR(BC606="",NOT(ISNUMBER(BC606)))),"Evidence incomplete","Evidence recorded; review scope")))))</x:f>
      </x:c>
      <x:c r="BN606" s="73"/>
    </x:row>
    <x:row r="607" ht="34" customHeight="1">
      <x:c r="A607" s="73"/>
      <x:c r="B607" s="73"/>
      <x:c r="C607" s="73"/>
      <x:c r="D607" s="73"/>
      <x:c r="E607" s="73"/>
      <x:c r="F607" s="73"/>
      <x:c r="G607" s="73"/>
      <x:c r="H607" s="73"/>
      <x:c r="I607" s="75"/>
      <x:c r="J607" s="73"/>
      <x:c r="K607" s="73"/>
      <x:c r="L607" s="76"/>
      <x:c r="M607" s="73"/>
      <x:c r="N607" s="73"/>
      <x:c r="O607" s="73"/>
      <x:c r="P607" s="73"/>
      <x:c r="Q607" s="76"/>
      <x:c r="R607" s="73"/>
      <x:c r="S607" s="73"/>
      <x:c r="T607" s="73"/>
      <x:c r="U607" s="73"/>
      <x:c r="V607" s="73"/>
      <x:c r="W607" s="73"/>
      <x:c r="X607" s="73"/>
      <x:c r="Y607" s="73"/>
      <x:c r="Z607" s="73"/>
      <x:c r="AA607" s="73"/>
      <x:c r="AB607" s="76" t="str">
        <x:f>IF(A607="","",IF(OR(NOT(ISNUMBER(I607)),I607&lt;0,NOT(ISNUMBER(AP607)),AP607&lt;0,NOT(ISNUMBER(L607)),L607&lt;1,L607&gt;5,L607&lt;&gt;INT(L607),AND(J607&lt;&gt;"Public",J607&lt;&gt;"Partner",J607&lt;&gt;"Internal",J607&lt;&gt;"None"),AND(K607&lt;&gt;"High",K607&lt;&gt;"Medium",K607&lt;&gt;"Low",K607&lt;&gt;"None"),AND(W607&lt;&gt;"Hard-coded",W607&lt;&gt;"Configurable",W607&lt;&gt;"Policy-managed",W607&lt;&gt;"API/Library abstraction",W607&lt;&gt;"Automated"),AND(Z607&lt;&gt;"Y",Z607&lt;&gt;"N"),AND(AA607&lt;&gt;"Y",AA607&lt;&gt;"N")),"Incomplete",IF(Z607="Y",20,0)+L607*5+IF(AA607="Y",15,0)+IF(J607="Public",10,IF(J607="Partner",7,IF(J607="Internal",3,0)))+IF(W607="Hard-coded",10,IF(W607="Configurable",3,0))+IF(MAX(I607,AP607)&gt;=10,10,IF(MAX(I607,AP607)&gt;=5,7,IF(MAX(I607,AP607)&gt;=2,3,0)))+IF(K607="High",10,IF(K607="Medium",5,0))))</x:f>
      </x:c>
      <x:c r="AC607" s="73" t="str">
        <x:f>IF(A607="","",IF(NOT(ISNUMBER(AB607)),"Review inputs",IF(AB607&gt;=70,"P0 - Immediate",IF(AB607&gt;=50,"P1 - High",IF(AB607&gt;=30,"P2 - Medium",IF(AB607&gt;=15,"P3 - Low","P4 - Monitor"))))))</x:f>
      </x:c>
      <x:c r="AD607" s="73"/>
      <x:c r="AE607" s="73"/>
      <x:c r="AF607" s="73"/>
      <x:c r="AG607" s="77"/>
      <x:c r="AH607" s="73"/>
      <x:c r="AI607" s="91"/>
      <x:c r="AJ607" s="91"/>
      <x:c r="AK607" s="91"/>
      <x:c r="AL607" s="92"/>
      <x:c r="AM607" s="91"/>
      <x:c r="AN607" s="91"/>
      <x:c r="AO607" s="93"/>
      <x:c r="AP607" s="94"/>
      <x:c r="AQ607" s="91"/>
      <x:c r="AR607" s="91"/>
      <x:c r="AS607" s="91"/>
      <x:c r="AT607" s="91"/>
      <x:c r="AU607" s="91"/>
      <x:c r="AV607" s="91"/>
      <x:c r="AW607" s="91"/>
      <x:c r="AX607" s="91"/>
      <x:c r="AY607" s="91"/>
      <x:c r="AZ607" s="92"/>
      <x:c r="BA607" s="94"/>
      <x:c r="BB607" s="91"/>
      <x:c r="BC607" s="92"/>
      <x:c r="BD607" s="92"/>
      <x:c r="BE607" s="91"/>
      <x:c r="BF607" s="91"/>
      <x:c r="BG607" s="91"/>
      <x:c r="BH607" s="91"/>
      <x:c r="BI607" s="91"/>
      <x:c r="BJ607" s="91"/>
      <x:c r="BK607" s="91"/>
      <x:c r="BL607" s="91"/>
      <x:c r="BM607" s="73" t="str">
        <x:f>IF(A607="","",IF(AI607="Example","Example only",IF(AI607&lt;&gt;"Actual","Set record type",IF(COUNTIF($A$2:$A$1001,A607)&gt;1,"Duplicate record ID",IF(OR(D607="",E607="",AF607="",NOT(ISNUMBER(AG607)),AJ607="",AK607="",NOT(ISNUMBER(AL607)),AND(AM607&lt;&gt;"Observed",AM607&lt;&gt;"Corroborated",AM607&lt;&gt;"Declared"),OR(AN607="",AN607="Unknown"),OR(AQ607="",AQ607="Unknown"),OR(AR607="",AR607="Unknown",AR607="TBD"),OR(BC607="",NOT(ISNUMBER(BC607)))),"Evidence incomplete","Evidence recorded; review scope")))))</x:f>
      </x:c>
      <x:c r="BN607" s="73"/>
    </x:row>
    <x:row r="608" ht="34" customHeight="1">
      <x:c r="A608" s="73"/>
      <x:c r="B608" s="73"/>
      <x:c r="C608" s="73"/>
      <x:c r="D608" s="73"/>
      <x:c r="E608" s="73"/>
      <x:c r="F608" s="73"/>
      <x:c r="G608" s="73"/>
      <x:c r="H608" s="73"/>
      <x:c r="I608" s="75"/>
      <x:c r="J608" s="73"/>
      <x:c r="K608" s="73"/>
      <x:c r="L608" s="76"/>
      <x:c r="M608" s="73"/>
      <x:c r="N608" s="73"/>
      <x:c r="O608" s="73"/>
      <x:c r="P608" s="73"/>
      <x:c r="Q608" s="76"/>
      <x:c r="R608" s="73"/>
      <x:c r="S608" s="73"/>
      <x:c r="T608" s="73"/>
      <x:c r="U608" s="73"/>
      <x:c r="V608" s="73"/>
      <x:c r="W608" s="73"/>
      <x:c r="X608" s="73"/>
      <x:c r="Y608" s="73"/>
      <x:c r="Z608" s="73"/>
      <x:c r="AA608" s="73"/>
      <x:c r="AB608" s="76" t="str">
        <x:f>IF(A608="","",IF(OR(NOT(ISNUMBER(I608)),I608&lt;0,NOT(ISNUMBER(AP608)),AP608&lt;0,NOT(ISNUMBER(L608)),L608&lt;1,L608&gt;5,L608&lt;&gt;INT(L608),AND(J608&lt;&gt;"Public",J608&lt;&gt;"Partner",J608&lt;&gt;"Internal",J608&lt;&gt;"None"),AND(K608&lt;&gt;"High",K608&lt;&gt;"Medium",K608&lt;&gt;"Low",K608&lt;&gt;"None"),AND(W608&lt;&gt;"Hard-coded",W608&lt;&gt;"Configurable",W608&lt;&gt;"Policy-managed",W608&lt;&gt;"API/Library abstraction",W608&lt;&gt;"Automated"),AND(Z608&lt;&gt;"Y",Z608&lt;&gt;"N"),AND(AA608&lt;&gt;"Y",AA608&lt;&gt;"N")),"Incomplete",IF(Z608="Y",20,0)+L608*5+IF(AA608="Y",15,0)+IF(J608="Public",10,IF(J608="Partner",7,IF(J608="Internal",3,0)))+IF(W608="Hard-coded",10,IF(W608="Configurable",3,0))+IF(MAX(I608,AP608)&gt;=10,10,IF(MAX(I608,AP608)&gt;=5,7,IF(MAX(I608,AP608)&gt;=2,3,0)))+IF(K608="High",10,IF(K608="Medium",5,0))))</x:f>
      </x:c>
      <x:c r="AC608" s="73" t="str">
        <x:f>IF(A608="","",IF(NOT(ISNUMBER(AB608)),"Review inputs",IF(AB608&gt;=70,"P0 - Immediate",IF(AB608&gt;=50,"P1 - High",IF(AB608&gt;=30,"P2 - Medium",IF(AB608&gt;=15,"P3 - Low","P4 - Monitor"))))))</x:f>
      </x:c>
      <x:c r="AD608" s="73"/>
      <x:c r="AE608" s="73"/>
      <x:c r="AF608" s="73"/>
      <x:c r="AG608" s="77"/>
      <x:c r="AH608" s="73"/>
      <x:c r="AI608" s="91"/>
      <x:c r="AJ608" s="91"/>
      <x:c r="AK608" s="91"/>
      <x:c r="AL608" s="92"/>
      <x:c r="AM608" s="91"/>
      <x:c r="AN608" s="91"/>
      <x:c r="AO608" s="93"/>
      <x:c r="AP608" s="94"/>
      <x:c r="AQ608" s="91"/>
      <x:c r="AR608" s="91"/>
      <x:c r="AS608" s="91"/>
      <x:c r="AT608" s="91"/>
      <x:c r="AU608" s="91"/>
      <x:c r="AV608" s="91"/>
      <x:c r="AW608" s="91"/>
      <x:c r="AX608" s="91"/>
      <x:c r="AY608" s="91"/>
      <x:c r="AZ608" s="92"/>
      <x:c r="BA608" s="94"/>
      <x:c r="BB608" s="91"/>
      <x:c r="BC608" s="92"/>
      <x:c r="BD608" s="92"/>
      <x:c r="BE608" s="91"/>
      <x:c r="BF608" s="91"/>
      <x:c r="BG608" s="91"/>
      <x:c r="BH608" s="91"/>
      <x:c r="BI608" s="91"/>
      <x:c r="BJ608" s="91"/>
      <x:c r="BK608" s="91"/>
      <x:c r="BL608" s="91"/>
      <x:c r="BM608" s="73" t="str">
        <x:f>IF(A608="","",IF(AI608="Example","Example only",IF(AI608&lt;&gt;"Actual","Set record type",IF(COUNTIF($A$2:$A$1001,A608)&gt;1,"Duplicate record ID",IF(OR(D608="",E608="",AF608="",NOT(ISNUMBER(AG608)),AJ608="",AK608="",NOT(ISNUMBER(AL608)),AND(AM608&lt;&gt;"Observed",AM608&lt;&gt;"Corroborated",AM608&lt;&gt;"Declared"),OR(AN608="",AN608="Unknown"),OR(AQ608="",AQ608="Unknown"),OR(AR608="",AR608="Unknown",AR608="TBD"),OR(BC608="",NOT(ISNUMBER(BC608)))),"Evidence incomplete","Evidence recorded; review scope")))))</x:f>
      </x:c>
      <x:c r="BN608" s="73"/>
    </x:row>
    <x:row r="609" ht="34" customHeight="1">
      <x:c r="A609" s="73"/>
      <x:c r="B609" s="73"/>
      <x:c r="C609" s="73"/>
      <x:c r="D609" s="73"/>
      <x:c r="E609" s="73"/>
      <x:c r="F609" s="73"/>
      <x:c r="G609" s="73"/>
      <x:c r="H609" s="73"/>
      <x:c r="I609" s="75"/>
      <x:c r="J609" s="73"/>
      <x:c r="K609" s="73"/>
      <x:c r="L609" s="76"/>
      <x:c r="M609" s="73"/>
      <x:c r="N609" s="73"/>
      <x:c r="O609" s="73"/>
      <x:c r="P609" s="73"/>
      <x:c r="Q609" s="76"/>
      <x:c r="R609" s="73"/>
      <x:c r="S609" s="73"/>
      <x:c r="T609" s="73"/>
      <x:c r="U609" s="73"/>
      <x:c r="V609" s="73"/>
      <x:c r="W609" s="73"/>
      <x:c r="X609" s="73"/>
      <x:c r="Y609" s="73"/>
      <x:c r="Z609" s="73"/>
      <x:c r="AA609" s="73"/>
      <x:c r="AB609" s="76" t="str">
        <x:f>IF(A609="","",IF(OR(NOT(ISNUMBER(I609)),I609&lt;0,NOT(ISNUMBER(AP609)),AP609&lt;0,NOT(ISNUMBER(L609)),L609&lt;1,L609&gt;5,L609&lt;&gt;INT(L609),AND(J609&lt;&gt;"Public",J609&lt;&gt;"Partner",J609&lt;&gt;"Internal",J609&lt;&gt;"None"),AND(K609&lt;&gt;"High",K609&lt;&gt;"Medium",K609&lt;&gt;"Low",K609&lt;&gt;"None"),AND(W609&lt;&gt;"Hard-coded",W609&lt;&gt;"Configurable",W609&lt;&gt;"Policy-managed",W609&lt;&gt;"API/Library abstraction",W609&lt;&gt;"Automated"),AND(Z609&lt;&gt;"Y",Z609&lt;&gt;"N"),AND(AA609&lt;&gt;"Y",AA609&lt;&gt;"N")),"Incomplete",IF(Z609="Y",20,0)+L609*5+IF(AA609="Y",15,0)+IF(J609="Public",10,IF(J609="Partner",7,IF(J609="Internal",3,0)))+IF(W609="Hard-coded",10,IF(W609="Configurable",3,0))+IF(MAX(I609,AP609)&gt;=10,10,IF(MAX(I609,AP609)&gt;=5,7,IF(MAX(I609,AP609)&gt;=2,3,0)))+IF(K609="High",10,IF(K609="Medium",5,0))))</x:f>
      </x:c>
      <x:c r="AC609" s="73" t="str">
        <x:f>IF(A609="","",IF(NOT(ISNUMBER(AB609)),"Review inputs",IF(AB609&gt;=70,"P0 - Immediate",IF(AB609&gt;=50,"P1 - High",IF(AB609&gt;=30,"P2 - Medium",IF(AB609&gt;=15,"P3 - Low","P4 - Monitor"))))))</x:f>
      </x:c>
      <x:c r="AD609" s="73"/>
      <x:c r="AE609" s="73"/>
      <x:c r="AF609" s="73"/>
      <x:c r="AG609" s="77"/>
      <x:c r="AH609" s="73"/>
      <x:c r="AI609" s="91"/>
      <x:c r="AJ609" s="91"/>
      <x:c r="AK609" s="91"/>
      <x:c r="AL609" s="92"/>
      <x:c r="AM609" s="91"/>
      <x:c r="AN609" s="91"/>
      <x:c r="AO609" s="93"/>
      <x:c r="AP609" s="94"/>
      <x:c r="AQ609" s="91"/>
      <x:c r="AR609" s="91"/>
      <x:c r="AS609" s="91"/>
      <x:c r="AT609" s="91"/>
      <x:c r="AU609" s="91"/>
      <x:c r="AV609" s="91"/>
      <x:c r="AW609" s="91"/>
      <x:c r="AX609" s="91"/>
      <x:c r="AY609" s="91"/>
      <x:c r="AZ609" s="92"/>
      <x:c r="BA609" s="94"/>
      <x:c r="BB609" s="91"/>
      <x:c r="BC609" s="92"/>
      <x:c r="BD609" s="92"/>
      <x:c r="BE609" s="91"/>
      <x:c r="BF609" s="91"/>
      <x:c r="BG609" s="91"/>
      <x:c r="BH609" s="91"/>
      <x:c r="BI609" s="91"/>
      <x:c r="BJ609" s="91"/>
      <x:c r="BK609" s="91"/>
      <x:c r="BL609" s="91"/>
      <x:c r="BM609" s="73" t="str">
        <x:f>IF(A609="","",IF(AI609="Example","Example only",IF(AI609&lt;&gt;"Actual","Set record type",IF(COUNTIF($A$2:$A$1001,A609)&gt;1,"Duplicate record ID",IF(OR(D609="",E609="",AF609="",NOT(ISNUMBER(AG609)),AJ609="",AK609="",NOT(ISNUMBER(AL609)),AND(AM609&lt;&gt;"Observed",AM609&lt;&gt;"Corroborated",AM609&lt;&gt;"Declared"),OR(AN609="",AN609="Unknown"),OR(AQ609="",AQ609="Unknown"),OR(AR609="",AR609="Unknown",AR609="TBD"),OR(BC609="",NOT(ISNUMBER(BC609)))),"Evidence incomplete","Evidence recorded; review scope")))))</x:f>
      </x:c>
      <x:c r="BN609" s="73"/>
    </x:row>
    <x:row r="610" ht="34" customHeight="1">
      <x:c r="A610" s="73"/>
      <x:c r="B610" s="73"/>
      <x:c r="C610" s="73"/>
      <x:c r="D610" s="73"/>
      <x:c r="E610" s="73"/>
      <x:c r="F610" s="73"/>
      <x:c r="G610" s="73"/>
      <x:c r="H610" s="73"/>
      <x:c r="I610" s="75"/>
      <x:c r="J610" s="73"/>
      <x:c r="K610" s="73"/>
      <x:c r="L610" s="76"/>
      <x:c r="M610" s="73"/>
      <x:c r="N610" s="73"/>
      <x:c r="O610" s="73"/>
      <x:c r="P610" s="73"/>
      <x:c r="Q610" s="76"/>
      <x:c r="R610" s="73"/>
      <x:c r="S610" s="73"/>
      <x:c r="T610" s="73"/>
      <x:c r="U610" s="73"/>
      <x:c r="V610" s="73"/>
      <x:c r="W610" s="73"/>
      <x:c r="X610" s="73"/>
      <x:c r="Y610" s="73"/>
      <x:c r="Z610" s="73"/>
      <x:c r="AA610" s="73"/>
      <x:c r="AB610" s="76" t="str">
        <x:f>IF(A610="","",IF(OR(NOT(ISNUMBER(I610)),I610&lt;0,NOT(ISNUMBER(AP610)),AP610&lt;0,NOT(ISNUMBER(L610)),L610&lt;1,L610&gt;5,L610&lt;&gt;INT(L610),AND(J610&lt;&gt;"Public",J610&lt;&gt;"Partner",J610&lt;&gt;"Internal",J610&lt;&gt;"None"),AND(K610&lt;&gt;"High",K610&lt;&gt;"Medium",K610&lt;&gt;"Low",K610&lt;&gt;"None"),AND(W610&lt;&gt;"Hard-coded",W610&lt;&gt;"Configurable",W610&lt;&gt;"Policy-managed",W610&lt;&gt;"API/Library abstraction",W610&lt;&gt;"Automated"),AND(Z610&lt;&gt;"Y",Z610&lt;&gt;"N"),AND(AA610&lt;&gt;"Y",AA610&lt;&gt;"N")),"Incomplete",IF(Z610="Y",20,0)+L610*5+IF(AA610="Y",15,0)+IF(J610="Public",10,IF(J610="Partner",7,IF(J610="Internal",3,0)))+IF(W610="Hard-coded",10,IF(W610="Configurable",3,0))+IF(MAX(I610,AP610)&gt;=10,10,IF(MAX(I610,AP610)&gt;=5,7,IF(MAX(I610,AP610)&gt;=2,3,0)))+IF(K610="High",10,IF(K610="Medium",5,0))))</x:f>
      </x:c>
      <x:c r="AC610" s="73" t="str">
        <x:f>IF(A610="","",IF(NOT(ISNUMBER(AB610)),"Review inputs",IF(AB610&gt;=70,"P0 - Immediate",IF(AB610&gt;=50,"P1 - High",IF(AB610&gt;=30,"P2 - Medium",IF(AB610&gt;=15,"P3 - Low","P4 - Monitor"))))))</x:f>
      </x:c>
      <x:c r="AD610" s="73"/>
      <x:c r="AE610" s="73"/>
      <x:c r="AF610" s="73"/>
      <x:c r="AG610" s="77"/>
      <x:c r="AH610" s="73"/>
      <x:c r="AI610" s="91"/>
      <x:c r="AJ610" s="91"/>
      <x:c r="AK610" s="91"/>
      <x:c r="AL610" s="92"/>
      <x:c r="AM610" s="91"/>
      <x:c r="AN610" s="91"/>
      <x:c r="AO610" s="93"/>
      <x:c r="AP610" s="94"/>
      <x:c r="AQ610" s="91"/>
      <x:c r="AR610" s="91"/>
      <x:c r="AS610" s="91"/>
      <x:c r="AT610" s="91"/>
      <x:c r="AU610" s="91"/>
      <x:c r="AV610" s="91"/>
      <x:c r="AW610" s="91"/>
      <x:c r="AX610" s="91"/>
      <x:c r="AY610" s="91"/>
      <x:c r="AZ610" s="92"/>
      <x:c r="BA610" s="94"/>
      <x:c r="BB610" s="91"/>
      <x:c r="BC610" s="92"/>
      <x:c r="BD610" s="92"/>
      <x:c r="BE610" s="91"/>
      <x:c r="BF610" s="91"/>
      <x:c r="BG610" s="91"/>
      <x:c r="BH610" s="91"/>
      <x:c r="BI610" s="91"/>
      <x:c r="BJ610" s="91"/>
      <x:c r="BK610" s="91"/>
      <x:c r="BL610" s="91"/>
      <x:c r="BM610" s="73" t="str">
        <x:f>IF(A610="","",IF(AI610="Example","Example only",IF(AI610&lt;&gt;"Actual","Set record type",IF(COUNTIF($A$2:$A$1001,A610)&gt;1,"Duplicate record ID",IF(OR(D610="",E610="",AF610="",NOT(ISNUMBER(AG610)),AJ610="",AK610="",NOT(ISNUMBER(AL610)),AND(AM610&lt;&gt;"Observed",AM610&lt;&gt;"Corroborated",AM610&lt;&gt;"Declared"),OR(AN610="",AN610="Unknown"),OR(AQ610="",AQ610="Unknown"),OR(AR610="",AR610="Unknown",AR610="TBD"),OR(BC610="",NOT(ISNUMBER(BC610)))),"Evidence incomplete","Evidence recorded; review scope")))))</x:f>
      </x:c>
      <x:c r="BN610" s="73"/>
    </x:row>
    <x:row r="611" ht="34" customHeight="1">
      <x:c r="A611" s="73"/>
      <x:c r="B611" s="73"/>
      <x:c r="C611" s="73"/>
      <x:c r="D611" s="73"/>
      <x:c r="E611" s="73"/>
      <x:c r="F611" s="73"/>
      <x:c r="G611" s="73"/>
      <x:c r="H611" s="73"/>
      <x:c r="I611" s="75"/>
      <x:c r="J611" s="73"/>
      <x:c r="K611" s="73"/>
      <x:c r="L611" s="76"/>
      <x:c r="M611" s="73"/>
      <x:c r="N611" s="73"/>
      <x:c r="O611" s="73"/>
      <x:c r="P611" s="73"/>
      <x:c r="Q611" s="76"/>
      <x:c r="R611" s="73"/>
      <x:c r="S611" s="73"/>
      <x:c r="T611" s="73"/>
      <x:c r="U611" s="73"/>
      <x:c r="V611" s="73"/>
      <x:c r="W611" s="73"/>
      <x:c r="X611" s="73"/>
      <x:c r="Y611" s="73"/>
      <x:c r="Z611" s="73"/>
      <x:c r="AA611" s="73"/>
      <x:c r="AB611" s="76" t="str">
        <x:f>IF(A611="","",IF(OR(NOT(ISNUMBER(I611)),I611&lt;0,NOT(ISNUMBER(AP611)),AP611&lt;0,NOT(ISNUMBER(L611)),L611&lt;1,L611&gt;5,L611&lt;&gt;INT(L611),AND(J611&lt;&gt;"Public",J611&lt;&gt;"Partner",J611&lt;&gt;"Internal",J611&lt;&gt;"None"),AND(K611&lt;&gt;"High",K611&lt;&gt;"Medium",K611&lt;&gt;"Low",K611&lt;&gt;"None"),AND(W611&lt;&gt;"Hard-coded",W611&lt;&gt;"Configurable",W611&lt;&gt;"Policy-managed",W611&lt;&gt;"API/Library abstraction",W611&lt;&gt;"Automated"),AND(Z611&lt;&gt;"Y",Z611&lt;&gt;"N"),AND(AA611&lt;&gt;"Y",AA611&lt;&gt;"N")),"Incomplete",IF(Z611="Y",20,0)+L611*5+IF(AA611="Y",15,0)+IF(J611="Public",10,IF(J611="Partner",7,IF(J611="Internal",3,0)))+IF(W611="Hard-coded",10,IF(W611="Configurable",3,0))+IF(MAX(I611,AP611)&gt;=10,10,IF(MAX(I611,AP611)&gt;=5,7,IF(MAX(I611,AP611)&gt;=2,3,0)))+IF(K611="High",10,IF(K611="Medium",5,0))))</x:f>
      </x:c>
      <x:c r="AC611" s="73" t="str">
        <x:f>IF(A611="","",IF(NOT(ISNUMBER(AB611)),"Review inputs",IF(AB611&gt;=70,"P0 - Immediate",IF(AB611&gt;=50,"P1 - High",IF(AB611&gt;=30,"P2 - Medium",IF(AB611&gt;=15,"P3 - Low","P4 - Monitor"))))))</x:f>
      </x:c>
      <x:c r="AD611" s="73"/>
      <x:c r="AE611" s="73"/>
      <x:c r="AF611" s="73"/>
      <x:c r="AG611" s="77"/>
      <x:c r="AH611" s="73"/>
      <x:c r="AI611" s="91"/>
      <x:c r="AJ611" s="91"/>
      <x:c r="AK611" s="91"/>
      <x:c r="AL611" s="92"/>
      <x:c r="AM611" s="91"/>
      <x:c r="AN611" s="91"/>
      <x:c r="AO611" s="93"/>
      <x:c r="AP611" s="94"/>
      <x:c r="AQ611" s="91"/>
      <x:c r="AR611" s="91"/>
      <x:c r="AS611" s="91"/>
      <x:c r="AT611" s="91"/>
      <x:c r="AU611" s="91"/>
      <x:c r="AV611" s="91"/>
      <x:c r="AW611" s="91"/>
      <x:c r="AX611" s="91"/>
      <x:c r="AY611" s="91"/>
      <x:c r="AZ611" s="92"/>
      <x:c r="BA611" s="94"/>
      <x:c r="BB611" s="91"/>
      <x:c r="BC611" s="92"/>
      <x:c r="BD611" s="92"/>
      <x:c r="BE611" s="91"/>
      <x:c r="BF611" s="91"/>
      <x:c r="BG611" s="91"/>
      <x:c r="BH611" s="91"/>
      <x:c r="BI611" s="91"/>
      <x:c r="BJ611" s="91"/>
      <x:c r="BK611" s="91"/>
      <x:c r="BL611" s="91"/>
      <x:c r="BM611" s="73" t="str">
        <x:f>IF(A611="","",IF(AI611="Example","Example only",IF(AI611&lt;&gt;"Actual","Set record type",IF(COUNTIF($A$2:$A$1001,A611)&gt;1,"Duplicate record ID",IF(OR(D611="",E611="",AF611="",NOT(ISNUMBER(AG611)),AJ611="",AK611="",NOT(ISNUMBER(AL611)),AND(AM611&lt;&gt;"Observed",AM611&lt;&gt;"Corroborated",AM611&lt;&gt;"Declared"),OR(AN611="",AN611="Unknown"),OR(AQ611="",AQ611="Unknown"),OR(AR611="",AR611="Unknown",AR611="TBD"),OR(BC611="",NOT(ISNUMBER(BC611)))),"Evidence incomplete","Evidence recorded; review scope")))))</x:f>
      </x:c>
      <x:c r="BN611" s="73"/>
    </x:row>
    <x:row r="612" ht="34" customHeight="1">
      <x:c r="A612" s="73"/>
      <x:c r="B612" s="73"/>
      <x:c r="C612" s="73"/>
      <x:c r="D612" s="73"/>
      <x:c r="E612" s="73"/>
      <x:c r="F612" s="73"/>
      <x:c r="G612" s="73"/>
      <x:c r="H612" s="73"/>
      <x:c r="I612" s="75"/>
      <x:c r="J612" s="73"/>
      <x:c r="K612" s="73"/>
      <x:c r="L612" s="76"/>
      <x:c r="M612" s="73"/>
      <x:c r="N612" s="73"/>
      <x:c r="O612" s="73"/>
      <x:c r="P612" s="73"/>
      <x:c r="Q612" s="76"/>
      <x:c r="R612" s="73"/>
      <x:c r="S612" s="73"/>
      <x:c r="T612" s="73"/>
      <x:c r="U612" s="73"/>
      <x:c r="V612" s="73"/>
      <x:c r="W612" s="73"/>
      <x:c r="X612" s="73"/>
      <x:c r="Y612" s="73"/>
      <x:c r="Z612" s="73"/>
      <x:c r="AA612" s="73"/>
      <x:c r="AB612" s="76" t="str">
        <x:f>IF(A612="","",IF(OR(NOT(ISNUMBER(I612)),I612&lt;0,NOT(ISNUMBER(AP612)),AP612&lt;0,NOT(ISNUMBER(L612)),L612&lt;1,L612&gt;5,L612&lt;&gt;INT(L612),AND(J612&lt;&gt;"Public",J612&lt;&gt;"Partner",J612&lt;&gt;"Internal",J612&lt;&gt;"None"),AND(K612&lt;&gt;"High",K612&lt;&gt;"Medium",K612&lt;&gt;"Low",K612&lt;&gt;"None"),AND(W612&lt;&gt;"Hard-coded",W612&lt;&gt;"Configurable",W612&lt;&gt;"Policy-managed",W612&lt;&gt;"API/Library abstraction",W612&lt;&gt;"Automated"),AND(Z612&lt;&gt;"Y",Z612&lt;&gt;"N"),AND(AA612&lt;&gt;"Y",AA612&lt;&gt;"N")),"Incomplete",IF(Z612="Y",20,0)+L612*5+IF(AA612="Y",15,0)+IF(J612="Public",10,IF(J612="Partner",7,IF(J612="Internal",3,0)))+IF(W612="Hard-coded",10,IF(W612="Configurable",3,0))+IF(MAX(I612,AP612)&gt;=10,10,IF(MAX(I612,AP612)&gt;=5,7,IF(MAX(I612,AP612)&gt;=2,3,0)))+IF(K612="High",10,IF(K612="Medium",5,0))))</x:f>
      </x:c>
      <x:c r="AC612" s="73" t="str">
        <x:f>IF(A612="","",IF(NOT(ISNUMBER(AB612)),"Review inputs",IF(AB612&gt;=70,"P0 - Immediate",IF(AB612&gt;=50,"P1 - High",IF(AB612&gt;=30,"P2 - Medium",IF(AB612&gt;=15,"P3 - Low","P4 - Monitor"))))))</x:f>
      </x:c>
      <x:c r="AD612" s="73"/>
      <x:c r="AE612" s="73"/>
      <x:c r="AF612" s="73"/>
      <x:c r="AG612" s="77"/>
      <x:c r="AH612" s="73"/>
      <x:c r="AI612" s="91"/>
      <x:c r="AJ612" s="91"/>
      <x:c r="AK612" s="91"/>
      <x:c r="AL612" s="92"/>
      <x:c r="AM612" s="91"/>
      <x:c r="AN612" s="91"/>
      <x:c r="AO612" s="93"/>
      <x:c r="AP612" s="94"/>
      <x:c r="AQ612" s="91"/>
      <x:c r="AR612" s="91"/>
      <x:c r="AS612" s="91"/>
      <x:c r="AT612" s="91"/>
      <x:c r="AU612" s="91"/>
      <x:c r="AV612" s="91"/>
      <x:c r="AW612" s="91"/>
      <x:c r="AX612" s="91"/>
      <x:c r="AY612" s="91"/>
      <x:c r="AZ612" s="92"/>
      <x:c r="BA612" s="94"/>
      <x:c r="BB612" s="91"/>
      <x:c r="BC612" s="92"/>
      <x:c r="BD612" s="92"/>
      <x:c r="BE612" s="91"/>
      <x:c r="BF612" s="91"/>
      <x:c r="BG612" s="91"/>
      <x:c r="BH612" s="91"/>
      <x:c r="BI612" s="91"/>
      <x:c r="BJ612" s="91"/>
      <x:c r="BK612" s="91"/>
      <x:c r="BL612" s="91"/>
      <x:c r="BM612" s="73" t="str">
        <x:f>IF(A612="","",IF(AI612="Example","Example only",IF(AI612&lt;&gt;"Actual","Set record type",IF(COUNTIF($A$2:$A$1001,A612)&gt;1,"Duplicate record ID",IF(OR(D612="",E612="",AF612="",NOT(ISNUMBER(AG612)),AJ612="",AK612="",NOT(ISNUMBER(AL612)),AND(AM612&lt;&gt;"Observed",AM612&lt;&gt;"Corroborated",AM612&lt;&gt;"Declared"),OR(AN612="",AN612="Unknown"),OR(AQ612="",AQ612="Unknown"),OR(AR612="",AR612="Unknown",AR612="TBD"),OR(BC612="",NOT(ISNUMBER(BC612)))),"Evidence incomplete","Evidence recorded; review scope")))))</x:f>
      </x:c>
      <x:c r="BN612" s="73"/>
    </x:row>
    <x:row r="613" ht="34" customHeight="1">
      <x:c r="A613" s="73"/>
      <x:c r="B613" s="73"/>
      <x:c r="C613" s="73"/>
      <x:c r="D613" s="73"/>
      <x:c r="E613" s="73"/>
      <x:c r="F613" s="73"/>
      <x:c r="G613" s="73"/>
      <x:c r="H613" s="73"/>
      <x:c r="I613" s="75"/>
      <x:c r="J613" s="73"/>
      <x:c r="K613" s="73"/>
      <x:c r="L613" s="76"/>
      <x:c r="M613" s="73"/>
      <x:c r="N613" s="73"/>
      <x:c r="O613" s="73"/>
      <x:c r="P613" s="73"/>
      <x:c r="Q613" s="76"/>
      <x:c r="R613" s="73"/>
      <x:c r="S613" s="73"/>
      <x:c r="T613" s="73"/>
      <x:c r="U613" s="73"/>
      <x:c r="V613" s="73"/>
      <x:c r="W613" s="73"/>
      <x:c r="X613" s="73"/>
      <x:c r="Y613" s="73"/>
      <x:c r="Z613" s="73"/>
      <x:c r="AA613" s="73"/>
      <x:c r="AB613" s="76" t="str">
        <x:f>IF(A613="","",IF(OR(NOT(ISNUMBER(I613)),I613&lt;0,NOT(ISNUMBER(AP613)),AP613&lt;0,NOT(ISNUMBER(L613)),L613&lt;1,L613&gt;5,L613&lt;&gt;INT(L613),AND(J613&lt;&gt;"Public",J613&lt;&gt;"Partner",J613&lt;&gt;"Internal",J613&lt;&gt;"None"),AND(K613&lt;&gt;"High",K613&lt;&gt;"Medium",K613&lt;&gt;"Low",K613&lt;&gt;"None"),AND(W613&lt;&gt;"Hard-coded",W613&lt;&gt;"Configurable",W613&lt;&gt;"Policy-managed",W613&lt;&gt;"API/Library abstraction",W613&lt;&gt;"Automated"),AND(Z613&lt;&gt;"Y",Z613&lt;&gt;"N"),AND(AA613&lt;&gt;"Y",AA613&lt;&gt;"N")),"Incomplete",IF(Z613="Y",20,0)+L613*5+IF(AA613="Y",15,0)+IF(J613="Public",10,IF(J613="Partner",7,IF(J613="Internal",3,0)))+IF(W613="Hard-coded",10,IF(W613="Configurable",3,0))+IF(MAX(I613,AP613)&gt;=10,10,IF(MAX(I613,AP613)&gt;=5,7,IF(MAX(I613,AP613)&gt;=2,3,0)))+IF(K613="High",10,IF(K613="Medium",5,0))))</x:f>
      </x:c>
      <x:c r="AC613" s="73" t="str">
        <x:f>IF(A613="","",IF(NOT(ISNUMBER(AB613)),"Review inputs",IF(AB613&gt;=70,"P0 - Immediate",IF(AB613&gt;=50,"P1 - High",IF(AB613&gt;=30,"P2 - Medium",IF(AB613&gt;=15,"P3 - Low","P4 - Monitor"))))))</x:f>
      </x:c>
      <x:c r="AD613" s="73"/>
      <x:c r="AE613" s="73"/>
      <x:c r="AF613" s="73"/>
      <x:c r="AG613" s="77"/>
      <x:c r="AH613" s="73"/>
      <x:c r="AI613" s="91"/>
      <x:c r="AJ613" s="91"/>
      <x:c r="AK613" s="91"/>
      <x:c r="AL613" s="92"/>
      <x:c r="AM613" s="91"/>
      <x:c r="AN613" s="91"/>
      <x:c r="AO613" s="93"/>
      <x:c r="AP613" s="94"/>
      <x:c r="AQ613" s="91"/>
      <x:c r="AR613" s="91"/>
      <x:c r="AS613" s="91"/>
      <x:c r="AT613" s="91"/>
      <x:c r="AU613" s="91"/>
      <x:c r="AV613" s="91"/>
      <x:c r="AW613" s="91"/>
      <x:c r="AX613" s="91"/>
      <x:c r="AY613" s="91"/>
      <x:c r="AZ613" s="92"/>
      <x:c r="BA613" s="94"/>
      <x:c r="BB613" s="91"/>
      <x:c r="BC613" s="92"/>
      <x:c r="BD613" s="92"/>
      <x:c r="BE613" s="91"/>
      <x:c r="BF613" s="91"/>
      <x:c r="BG613" s="91"/>
      <x:c r="BH613" s="91"/>
      <x:c r="BI613" s="91"/>
      <x:c r="BJ613" s="91"/>
      <x:c r="BK613" s="91"/>
      <x:c r="BL613" s="91"/>
      <x:c r="BM613" s="73" t="str">
        <x:f>IF(A613="","",IF(AI613="Example","Example only",IF(AI613&lt;&gt;"Actual","Set record type",IF(COUNTIF($A$2:$A$1001,A613)&gt;1,"Duplicate record ID",IF(OR(D613="",E613="",AF613="",NOT(ISNUMBER(AG613)),AJ613="",AK613="",NOT(ISNUMBER(AL613)),AND(AM613&lt;&gt;"Observed",AM613&lt;&gt;"Corroborated",AM613&lt;&gt;"Declared"),OR(AN613="",AN613="Unknown"),OR(AQ613="",AQ613="Unknown"),OR(AR613="",AR613="Unknown",AR613="TBD"),OR(BC613="",NOT(ISNUMBER(BC613)))),"Evidence incomplete","Evidence recorded; review scope")))))</x:f>
      </x:c>
      <x:c r="BN613" s="73"/>
    </x:row>
    <x:row r="614" ht="34" customHeight="1">
      <x:c r="A614" s="73"/>
      <x:c r="B614" s="73"/>
      <x:c r="C614" s="73"/>
      <x:c r="D614" s="73"/>
      <x:c r="E614" s="73"/>
      <x:c r="F614" s="73"/>
      <x:c r="G614" s="73"/>
      <x:c r="H614" s="73"/>
      <x:c r="I614" s="75"/>
      <x:c r="J614" s="73"/>
      <x:c r="K614" s="73"/>
      <x:c r="L614" s="76"/>
      <x:c r="M614" s="73"/>
      <x:c r="N614" s="73"/>
      <x:c r="O614" s="73"/>
      <x:c r="P614" s="73"/>
      <x:c r="Q614" s="76"/>
      <x:c r="R614" s="73"/>
      <x:c r="S614" s="73"/>
      <x:c r="T614" s="73"/>
      <x:c r="U614" s="73"/>
      <x:c r="V614" s="73"/>
      <x:c r="W614" s="73"/>
      <x:c r="X614" s="73"/>
      <x:c r="Y614" s="73"/>
      <x:c r="Z614" s="73"/>
      <x:c r="AA614" s="73"/>
      <x:c r="AB614" s="76" t="str">
        <x:f>IF(A614="","",IF(OR(NOT(ISNUMBER(I614)),I614&lt;0,NOT(ISNUMBER(AP614)),AP614&lt;0,NOT(ISNUMBER(L614)),L614&lt;1,L614&gt;5,L614&lt;&gt;INT(L614),AND(J614&lt;&gt;"Public",J614&lt;&gt;"Partner",J614&lt;&gt;"Internal",J614&lt;&gt;"None"),AND(K614&lt;&gt;"High",K614&lt;&gt;"Medium",K614&lt;&gt;"Low",K614&lt;&gt;"None"),AND(W614&lt;&gt;"Hard-coded",W614&lt;&gt;"Configurable",W614&lt;&gt;"Policy-managed",W614&lt;&gt;"API/Library abstraction",W614&lt;&gt;"Automated"),AND(Z614&lt;&gt;"Y",Z614&lt;&gt;"N"),AND(AA614&lt;&gt;"Y",AA614&lt;&gt;"N")),"Incomplete",IF(Z614="Y",20,0)+L614*5+IF(AA614="Y",15,0)+IF(J614="Public",10,IF(J614="Partner",7,IF(J614="Internal",3,0)))+IF(W614="Hard-coded",10,IF(W614="Configurable",3,0))+IF(MAX(I614,AP614)&gt;=10,10,IF(MAX(I614,AP614)&gt;=5,7,IF(MAX(I614,AP614)&gt;=2,3,0)))+IF(K614="High",10,IF(K614="Medium",5,0))))</x:f>
      </x:c>
      <x:c r="AC614" s="73" t="str">
        <x:f>IF(A614="","",IF(NOT(ISNUMBER(AB614)),"Review inputs",IF(AB614&gt;=70,"P0 - Immediate",IF(AB614&gt;=50,"P1 - High",IF(AB614&gt;=30,"P2 - Medium",IF(AB614&gt;=15,"P3 - Low","P4 - Monitor"))))))</x:f>
      </x:c>
      <x:c r="AD614" s="73"/>
      <x:c r="AE614" s="73"/>
      <x:c r="AF614" s="73"/>
      <x:c r="AG614" s="77"/>
      <x:c r="AH614" s="73"/>
      <x:c r="AI614" s="91"/>
      <x:c r="AJ614" s="91"/>
      <x:c r="AK614" s="91"/>
      <x:c r="AL614" s="92"/>
      <x:c r="AM614" s="91"/>
      <x:c r="AN614" s="91"/>
      <x:c r="AO614" s="93"/>
      <x:c r="AP614" s="94"/>
      <x:c r="AQ614" s="91"/>
      <x:c r="AR614" s="91"/>
      <x:c r="AS614" s="91"/>
      <x:c r="AT614" s="91"/>
      <x:c r="AU614" s="91"/>
      <x:c r="AV614" s="91"/>
      <x:c r="AW614" s="91"/>
      <x:c r="AX614" s="91"/>
      <x:c r="AY614" s="91"/>
      <x:c r="AZ614" s="92"/>
      <x:c r="BA614" s="94"/>
      <x:c r="BB614" s="91"/>
      <x:c r="BC614" s="92"/>
      <x:c r="BD614" s="92"/>
      <x:c r="BE614" s="91"/>
      <x:c r="BF614" s="91"/>
      <x:c r="BG614" s="91"/>
      <x:c r="BH614" s="91"/>
      <x:c r="BI614" s="91"/>
      <x:c r="BJ614" s="91"/>
      <x:c r="BK614" s="91"/>
      <x:c r="BL614" s="91"/>
      <x:c r="BM614" s="73" t="str">
        <x:f>IF(A614="","",IF(AI614="Example","Example only",IF(AI614&lt;&gt;"Actual","Set record type",IF(COUNTIF($A$2:$A$1001,A614)&gt;1,"Duplicate record ID",IF(OR(D614="",E614="",AF614="",NOT(ISNUMBER(AG614)),AJ614="",AK614="",NOT(ISNUMBER(AL614)),AND(AM614&lt;&gt;"Observed",AM614&lt;&gt;"Corroborated",AM614&lt;&gt;"Declared"),OR(AN614="",AN614="Unknown"),OR(AQ614="",AQ614="Unknown"),OR(AR614="",AR614="Unknown",AR614="TBD"),OR(BC614="",NOT(ISNUMBER(BC614)))),"Evidence incomplete","Evidence recorded; review scope")))))</x:f>
      </x:c>
      <x:c r="BN614" s="73"/>
    </x:row>
    <x:row r="615" ht="34" customHeight="1">
      <x:c r="A615" s="73"/>
      <x:c r="B615" s="73"/>
      <x:c r="C615" s="73"/>
      <x:c r="D615" s="73"/>
      <x:c r="E615" s="73"/>
      <x:c r="F615" s="73"/>
      <x:c r="G615" s="73"/>
      <x:c r="H615" s="73"/>
      <x:c r="I615" s="75"/>
      <x:c r="J615" s="73"/>
      <x:c r="K615" s="73"/>
      <x:c r="L615" s="76"/>
      <x:c r="M615" s="73"/>
      <x:c r="N615" s="73"/>
      <x:c r="O615" s="73"/>
      <x:c r="P615" s="73"/>
      <x:c r="Q615" s="76"/>
      <x:c r="R615" s="73"/>
      <x:c r="S615" s="73"/>
      <x:c r="T615" s="73"/>
      <x:c r="U615" s="73"/>
      <x:c r="V615" s="73"/>
      <x:c r="W615" s="73"/>
      <x:c r="X615" s="73"/>
      <x:c r="Y615" s="73"/>
      <x:c r="Z615" s="73"/>
      <x:c r="AA615" s="73"/>
      <x:c r="AB615" s="76" t="str">
        <x:f>IF(A615="","",IF(OR(NOT(ISNUMBER(I615)),I615&lt;0,NOT(ISNUMBER(AP615)),AP615&lt;0,NOT(ISNUMBER(L615)),L615&lt;1,L615&gt;5,L615&lt;&gt;INT(L615),AND(J615&lt;&gt;"Public",J615&lt;&gt;"Partner",J615&lt;&gt;"Internal",J615&lt;&gt;"None"),AND(K615&lt;&gt;"High",K615&lt;&gt;"Medium",K615&lt;&gt;"Low",K615&lt;&gt;"None"),AND(W615&lt;&gt;"Hard-coded",W615&lt;&gt;"Configurable",W615&lt;&gt;"Policy-managed",W615&lt;&gt;"API/Library abstraction",W615&lt;&gt;"Automated"),AND(Z615&lt;&gt;"Y",Z615&lt;&gt;"N"),AND(AA615&lt;&gt;"Y",AA615&lt;&gt;"N")),"Incomplete",IF(Z615="Y",20,0)+L615*5+IF(AA615="Y",15,0)+IF(J615="Public",10,IF(J615="Partner",7,IF(J615="Internal",3,0)))+IF(W615="Hard-coded",10,IF(W615="Configurable",3,0))+IF(MAX(I615,AP615)&gt;=10,10,IF(MAX(I615,AP615)&gt;=5,7,IF(MAX(I615,AP615)&gt;=2,3,0)))+IF(K615="High",10,IF(K615="Medium",5,0))))</x:f>
      </x:c>
      <x:c r="AC615" s="73" t="str">
        <x:f>IF(A615="","",IF(NOT(ISNUMBER(AB615)),"Review inputs",IF(AB615&gt;=70,"P0 - Immediate",IF(AB615&gt;=50,"P1 - High",IF(AB615&gt;=30,"P2 - Medium",IF(AB615&gt;=15,"P3 - Low","P4 - Monitor"))))))</x:f>
      </x:c>
      <x:c r="AD615" s="73"/>
      <x:c r="AE615" s="73"/>
      <x:c r="AF615" s="73"/>
      <x:c r="AG615" s="77"/>
      <x:c r="AH615" s="73"/>
      <x:c r="AI615" s="91"/>
      <x:c r="AJ615" s="91"/>
      <x:c r="AK615" s="91"/>
      <x:c r="AL615" s="92"/>
      <x:c r="AM615" s="91"/>
      <x:c r="AN615" s="91"/>
      <x:c r="AO615" s="93"/>
      <x:c r="AP615" s="94"/>
      <x:c r="AQ615" s="91"/>
      <x:c r="AR615" s="91"/>
      <x:c r="AS615" s="91"/>
      <x:c r="AT615" s="91"/>
      <x:c r="AU615" s="91"/>
      <x:c r="AV615" s="91"/>
      <x:c r="AW615" s="91"/>
      <x:c r="AX615" s="91"/>
      <x:c r="AY615" s="91"/>
      <x:c r="AZ615" s="92"/>
      <x:c r="BA615" s="94"/>
      <x:c r="BB615" s="91"/>
      <x:c r="BC615" s="92"/>
      <x:c r="BD615" s="92"/>
      <x:c r="BE615" s="91"/>
      <x:c r="BF615" s="91"/>
      <x:c r="BG615" s="91"/>
      <x:c r="BH615" s="91"/>
      <x:c r="BI615" s="91"/>
      <x:c r="BJ615" s="91"/>
      <x:c r="BK615" s="91"/>
      <x:c r="BL615" s="91"/>
      <x:c r="BM615" s="73" t="str">
        <x:f>IF(A615="","",IF(AI615="Example","Example only",IF(AI615&lt;&gt;"Actual","Set record type",IF(COUNTIF($A$2:$A$1001,A615)&gt;1,"Duplicate record ID",IF(OR(D615="",E615="",AF615="",NOT(ISNUMBER(AG615)),AJ615="",AK615="",NOT(ISNUMBER(AL615)),AND(AM615&lt;&gt;"Observed",AM615&lt;&gt;"Corroborated",AM615&lt;&gt;"Declared"),OR(AN615="",AN615="Unknown"),OR(AQ615="",AQ615="Unknown"),OR(AR615="",AR615="Unknown",AR615="TBD"),OR(BC615="",NOT(ISNUMBER(BC615)))),"Evidence incomplete","Evidence recorded; review scope")))))</x:f>
      </x:c>
      <x:c r="BN615" s="73"/>
    </x:row>
    <x:row r="616" ht="34" customHeight="1">
      <x:c r="A616" s="73"/>
      <x:c r="B616" s="73"/>
      <x:c r="C616" s="73"/>
      <x:c r="D616" s="73"/>
      <x:c r="E616" s="73"/>
      <x:c r="F616" s="73"/>
      <x:c r="G616" s="73"/>
      <x:c r="H616" s="73"/>
      <x:c r="I616" s="75"/>
      <x:c r="J616" s="73"/>
      <x:c r="K616" s="73"/>
      <x:c r="L616" s="76"/>
      <x:c r="M616" s="73"/>
      <x:c r="N616" s="73"/>
      <x:c r="O616" s="73"/>
      <x:c r="P616" s="73"/>
      <x:c r="Q616" s="76"/>
      <x:c r="R616" s="73"/>
      <x:c r="S616" s="73"/>
      <x:c r="T616" s="73"/>
      <x:c r="U616" s="73"/>
      <x:c r="V616" s="73"/>
      <x:c r="W616" s="73"/>
      <x:c r="X616" s="73"/>
      <x:c r="Y616" s="73"/>
      <x:c r="Z616" s="73"/>
      <x:c r="AA616" s="73"/>
      <x:c r="AB616" s="76" t="str">
        <x:f>IF(A616="","",IF(OR(NOT(ISNUMBER(I616)),I616&lt;0,NOT(ISNUMBER(AP616)),AP616&lt;0,NOT(ISNUMBER(L616)),L616&lt;1,L616&gt;5,L616&lt;&gt;INT(L616),AND(J616&lt;&gt;"Public",J616&lt;&gt;"Partner",J616&lt;&gt;"Internal",J616&lt;&gt;"None"),AND(K616&lt;&gt;"High",K616&lt;&gt;"Medium",K616&lt;&gt;"Low",K616&lt;&gt;"None"),AND(W616&lt;&gt;"Hard-coded",W616&lt;&gt;"Configurable",W616&lt;&gt;"Policy-managed",W616&lt;&gt;"API/Library abstraction",W616&lt;&gt;"Automated"),AND(Z616&lt;&gt;"Y",Z616&lt;&gt;"N"),AND(AA616&lt;&gt;"Y",AA616&lt;&gt;"N")),"Incomplete",IF(Z616="Y",20,0)+L616*5+IF(AA616="Y",15,0)+IF(J616="Public",10,IF(J616="Partner",7,IF(J616="Internal",3,0)))+IF(W616="Hard-coded",10,IF(W616="Configurable",3,0))+IF(MAX(I616,AP616)&gt;=10,10,IF(MAX(I616,AP616)&gt;=5,7,IF(MAX(I616,AP616)&gt;=2,3,0)))+IF(K616="High",10,IF(K616="Medium",5,0))))</x:f>
      </x:c>
      <x:c r="AC616" s="73" t="str">
        <x:f>IF(A616="","",IF(NOT(ISNUMBER(AB616)),"Review inputs",IF(AB616&gt;=70,"P0 - Immediate",IF(AB616&gt;=50,"P1 - High",IF(AB616&gt;=30,"P2 - Medium",IF(AB616&gt;=15,"P3 - Low","P4 - Monitor"))))))</x:f>
      </x:c>
      <x:c r="AD616" s="73"/>
      <x:c r="AE616" s="73"/>
      <x:c r="AF616" s="73"/>
      <x:c r="AG616" s="77"/>
      <x:c r="AH616" s="73"/>
      <x:c r="AI616" s="91"/>
      <x:c r="AJ616" s="91"/>
      <x:c r="AK616" s="91"/>
      <x:c r="AL616" s="92"/>
      <x:c r="AM616" s="91"/>
      <x:c r="AN616" s="91"/>
      <x:c r="AO616" s="93"/>
      <x:c r="AP616" s="94"/>
      <x:c r="AQ616" s="91"/>
      <x:c r="AR616" s="91"/>
      <x:c r="AS616" s="91"/>
      <x:c r="AT616" s="91"/>
      <x:c r="AU616" s="91"/>
      <x:c r="AV616" s="91"/>
      <x:c r="AW616" s="91"/>
      <x:c r="AX616" s="91"/>
      <x:c r="AY616" s="91"/>
      <x:c r="AZ616" s="92"/>
      <x:c r="BA616" s="94"/>
      <x:c r="BB616" s="91"/>
      <x:c r="BC616" s="92"/>
      <x:c r="BD616" s="92"/>
      <x:c r="BE616" s="91"/>
      <x:c r="BF616" s="91"/>
      <x:c r="BG616" s="91"/>
      <x:c r="BH616" s="91"/>
      <x:c r="BI616" s="91"/>
      <x:c r="BJ616" s="91"/>
      <x:c r="BK616" s="91"/>
      <x:c r="BL616" s="91"/>
      <x:c r="BM616" s="73" t="str">
        <x:f>IF(A616="","",IF(AI616="Example","Example only",IF(AI616&lt;&gt;"Actual","Set record type",IF(COUNTIF($A$2:$A$1001,A616)&gt;1,"Duplicate record ID",IF(OR(D616="",E616="",AF616="",NOT(ISNUMBER(AG616)),AJ616="",AK616="",NOT(ISNUMBER(AL616)),AND(AM616&lt;&gt;"Observed",AM616&lt;&gt;"Corroborated",AM616&lt;&gt;"Declared"),OR(AN616="",AN616="Unknown"),OR(AQ616="",AQ616="Unknown"),OR(AR616="",AR616="Unknown",AR616="TBD"),OR(BC616="",NOT(ISNUMBER(BC616)))),"Evidence incomplete","Evidence recorded; review scope")))))</x:f>
      </x:c>
      <x:c r="BN616" s="73"/>
    </x:row>
    <x:row r="617" ht="34" customHeight="1">
      <x:c r="A617" s="73"/>
      <x:c r="B617" s="73"/>
      <x:c r="C617" s="73"/>
      <x:c r="D617" s="73"/>
      <x:c r="E617" s="73"/>
      <x:c r="F617" s="73"/>
      <x:c r="G617" s="73"/>
      <x:c r="H617" s="73"/>
      <x:c r="I617" s="75"/>
      <x:c r="J617" s="73"/>
      <x:c r="K617" s="73"/>
      <x:c r="L617" s="76"/>
      <x:c r="M617" s="73"/>
      <x:c r="N617" s="73"/>
      <x:c r="O617" s="73"/>
      <x:c r="P617" s="73"/>
      <x:c r="Q617" s="76"/>
      <x:c r="R617" s="73"/>
      <x:c r="S617" s="73"/>
      <x:c r="T617" s="73"/>
      <x:c r="U617" s="73"/>
      <x:c r="V617" s="73"/>
      <x:c r="W617" s="73"/>
      <x:c r="X617" s="73"/>
      <x:c r="Y617" s="73"/>
      <x:c r="Z617" s="73"/>
      <x:c r="AA617" s="73"/>
      <x:c r="AB617" s="76" t="str">
        <x:f>IF(A617="","",IF(OR(NOT(ISNUMBER(I617)),I617&lt;0,NOT(ISNUMBER(AP617)),AP617&lt;0,NOT(ISNUMBER(L617)),L617&lt;1,L617&gt;5,L617&lt;&gt;INT(L617),AND(J617&lt;&gt;"Public",J617&lt;&gt;"Partner",J617&lt;&gt;"Internal",J617&lt;&gt;"None"),AND(K617&lt;&gt;"High",K617&lt;&gt;"Medium",K617&lt;&gt;"Low",K617&lt;&gt;"None"),AND(W617&lt;&gt;"Hard-coded",W617&lt;&gt;"Configurable",W617&lt;&gt;"Policy-managed",W617&lt;&gt;"API/Library abstraction",W617&lt;&gt;"Automated"),AND(Z617&lt;&gt;"Y",Z617&lt;&gt;"N"),AND(AA617&lt;&gt;"Y",AA617&lt;&gt;"N")),"Incomplete",IF(Z617="Y",20,0)+L617*5+IF(AA617="Y",15,0)+IF(J617="Public",10,IF(J617="Partner",7,IF(J617="Internal",3,0)))+IF(W617="Hard-coded",10,IF(W617="Configurable",3,0))+IF(MAX(I617,AP617)&gt;=10,10,IF(MAX(I617,AP617)&gt;=5,7,IF(MAX(I617,AP617)&gt;=2,3,0)))+IF(K617="High",10,IF(K617="Medium",5,0))))</x:f>
      </x:c>
      <x:c r="AC617" s="73" t="str">
        <x:f>IF(A617="","",IF(NOT(ISNUMBER(AB617)),"Review inputs",IF(AB617&gt;=70,"P0 - Immediate",IF(AB617&gt;=50,"P1 - High",IF(AB617&gt;=30,"P2 - Medium",IF(AB617&gt;=15,"P3 - Low","P4 - Monitor"))))))</x:f>
      </x:c>
      <x:c r="AD617" s="73"/>
      <x:c r="AE617" s="73"/>
      <x:c r="AF617" s="73"/>
      <x:c r="AG617" s="77"/>
      <x:c r="AH617" s="73"/>
      <x:c r="AI617" s="91"/>
      <x:c r="AJ617" s="91"/>
      <x:c r="AK617" s="91"/>
      <x:c r="AL617" s="92"/>
      <x:c r="AM617" s="91"/>
      <x:c r="AN617" s="91"/>
      <x:c r="AO617" s="93"/>
      <x:c r="AP617" s="94"/>
      <x:c r="AQ617" s="91"/>
      <x:c r="AR617" s="91"/>
      <x:c r="AS617" s="91"/>
      <x:c r="AT617" s="91"/>
      <x:c r="AU617" s="91"/>
      <x:c r="AV617" s="91"/>
      <x:c r="AW617" s="91"/>
      <x:c r="AX617" s="91"/>
      <x:c r="AY617" s="91"/>
      <x:c r="AZ617" s="92"/>
      <x:c r="BA617" s="94"/>
      <x:c r="BB617" s="91"/>
      <x:c r="BC617" s="92"/>
      <x:c r="BD617" s="92"/>
      <x:c r="BE617" s="91"/>
      <x:c r="BF617" s="91"/>
      <x:c r="BG617" s="91"/>
      <x:c r="BH617" s="91"/>
      <x:c r="BI617" s="91"/>
      <x:c r="BJ617" s="91"/>
      <x:c r="BK617" s="91"/>
      <x:c r="BL617" s="91"/>
      <x:c r="BM617" s="73" t="str">
        <x:f>IF(A617="","",IF(AI617="Example","Example only",IF(AI617&lt;&gt;"Actual","Set record type",IF(COUNTIF($A$2:$A$1001,A617)&gt;1,"Duplicate record ID",IF(OR(D617="",E617="",AF617="",NOT(ISNUMBER(AG617)),AJ617="",AK617="",NOT(ISNUMBER(AL617)),AND(AM617&lt;&gt;"Observed",AM617&lt;&gt;"Corroborated",AM617&lt;&gt;"Declared"),OR(AN617="",AN617="Unknown"),OR(AQ617="",AQ617="Unknown"),OR(AR617="",AR617="Unknown",AR617="TBD"),OR(BC617="",NOT(ISNUMBER(BC617)))),"Evidence incomplete","Evidence recorded; review scope")))))</x:f>
      </x:c>
      <x:c r="BN617" s="73"/>
    </x:row>
    <x:row r="618" ht="34" customHeight="1">
      <x:c r="A618" s="73"/>
      <x:c r="B618" s="73"/>
      <x:c r="C618" s="73"/>
      <x:c r="D618" s="73"/>
      <x:c r="E618" s="73"/>
      <x:c r="F618" s="73"/>
      <x:c r="G618" s="73"/>
      <x:c r="H618" s="73"/>
      <x:c r="I618" s="75"/>
      <x:c r="J618" s="73"/>
      <x:c r="K618" s="73"/>
      <x:c r="L618" s="76"/>
      <x:c r="M618" s="73"/>
      <x:c r="N618" s="73"/>
      <x:c r="O618" s="73"/>
      <x:c r="P618" s="73"/>
      <x:c r="Q618" s="76"/>
      <x:c r="R618" s="73"/>
      <x:c r="S618" s="73"/>
      <x:c r="T618" s="73"/>
      <x:c r="U618" s="73"/>
      <x:c r="V618" s="73"/>
      <x:c r="W618" s="73"/>
      <x:c r="X618" s="73"/>
      <x:c r="Y618" s="73"/>
      <x:c r="Z618" s="73"/>
      <x:c r="AA618" s="73"/>
      <x:c r="AB618" s="76" t="str">
        <x:f>IF(A618="","",IF(OR(NOT(ISNUMBER(I618)),I618&lt;0,NOT(ISNUMBER(AP618)),AP618&lt;0,NOT(ISNUMBER(L618)),L618&lt;1,L618&gt;5,L618&lt;&gt;INT(L618),AND(J618&lt;&gt;"Public",J618&lt;&gt;"Partner",J618&lt;&gt;"Internal",J618&lt;&gt;"None"),AND(K618&lt;&gt;"High",K618&lt;&gt;"Medium",K618&lt;&gt;"Low",K618&lt;&gt;"None"),AND(W618&lt;&gt;"Hard-coded",W618&lt;&gt;"Configurable",W618&lt;&gt;"Policy-managed",W618&lt;&gt;"API/Library abstraction",W618&lt;&gt;"Automated"),AND(Z618&lt;&gt;"Y",Z618&lt;&gt;"N"),AND(AA618&lt;&gt;"Y",AA618&lt;&gt;"N")),"Incomplete",IF(Z618="Y",20,0)+L618*5+IF(AA618="Y",15,0)+IF(J618="Public",10,IF(J618="Partner",7,IF(J618="Internal",3,0)))+IF(W618="Hard-coded",10,IF(W618="Configurable",3,0))+IF(MAX(I618,AP618)&gt;=10,10,IF(MAX(I618,AP618)&gt;=5,7,IF(MAX(I618,AP618)&gt;=2,3,0)))+IF(K618="High",10,IF(K618="Medium",5,0))))</x:f>
      </x:c>
      <x:c r="AC618" s="73" t="str">
        <x:f>IF(A618="","",IF(NOT(ISNUMBER(AB618)),"Review inputs",IF(AB618&gt;=70,"P0 - Immediate",IF(AB618&gt;=50,"P1 - High",IF(AB618&gt;=30,"P2 - Medium",IF(AB618&gt;=15,"P3 - Low","P4 - Monitor"))))))</x:f>
      </x:c>
      <x:c r="AD618" s="73"/>
      <x:c r="AE618" s="73"/>
      <x:c r="AF618" s="73"/>
      <x:c r="AG618" s="77"/>
      <x:c r="AH618" s="73"/>
      <x:c r="AI618" s="91"/>
      <x:c r="AJ618" s="91"/>
      <x:c r="AK618" s="91"/>
      <x:c r="AL618" s="92"/>
      <x:c r="AM618" s="91"/>
      <x:c r="AN618" s="91"/>
      <x:c r="AO618" s="93"/>
      <x:c r="AP618" s="94"/>
      <x:c r="AQ618" s="91"/>
      <x:c r="AR618" s="91"/>
      <x:c r="AS618" s="91"/>
      <x:c r="AT618" s="91"/>
      <x:c r="AU618" s="91"/>
      <x:c r="AV618" s="91"/>
      <x:c r="AW618" s="91"/>
      <x:c r="AX618" s="91"/>
      <x:c r="AY618" s="91"/>
      <x:c r="AZ618" s="92"/>
      <x:c r="BA618" s="94"/>
      <x:c r="BB618" s="91"/>
      <x:c r="BC618" s="92"/>
      <x:c r="BD618" s="92"/>
      <x:c r="BE618" s="91"/>
      <x:c r="BF618" s="91"/>
      <x:c r="BG618" s="91"/>
      <x:c r="BH618" s="91"/>
      <x:c r="BI618" s="91"/>
      <x:c r="BJ618" s="91"/>
      <x:c r="BK618" s="91"/>
      <x:c r="BL618" s="91"/>
      <x:c r="BM618" s="73" t="str">
        <x:f>IF(A618="","",IF(AI618="Example","Example only",IF(AI618&lt;&gt;"Actual","Set record type",IF(COUNTIF($A$2:$A$1001,A618)&gt;1,"Duplicate record ID",IF(OR(D618="",E618="",AF618="",NOT(ISNUMBER(AG618)),AJ618="",AK618="",NOT(ISNUMBER(AL618)),AND(AM618&lt;&gt;"Observed",AM618&lt;&gt;"Corroborated",AM618&lt;&gt;"Declared"),OR(AN618="",AN618="Unknown"),OR(AQ618="",AQ618="Unknown"),OR(AR618="",AR618="Unknown",AR618="TBD"),OR(BC618="",NOT(ISNUMBER(BC618)))),"Evidence incomplete","Evidence recorded; review scope")))))</x:f>
      </x:c>
      <x:c r="BN618" s="73"/>
    </x:row>
    <x:row r="619" ht="34" customHeight="1">
      <x:c r="A619" s="73"/>
      <x:c r="B619" s="73"/>
      <x:c r="C619" s="73"/>
      <x:c r="D619" s="73"/>
      <x:c r="E619" s="73"/>
      <x:c r="F619" s="73"/>
      <x:c r="G619" s="73"/>
      <x:c r="H619" s="73"/>
      <x:c r="I619" s="75"/>
      <x:c r="J619" s="73"/>
      <x:c r="K619" s="73"/>
      <x:c r="L619" s="76"/>
      <x:c r="M619" s="73"/>
      <x:c r="N619" s="73"/>
      <x:c r="O619" s="73"/>
      <x:c r="P619" s="73"/>
      <x:c r="Q619" s="76"/>
      <x:c r="R619" s="73"/>
      <x:c r="S619" s="73"/>
      <x:c r="T619" s="73"/>
      <x:c r="U619" s="73"/>
      <x:c r="V619" s="73"/>
      <x:c r="W619" s="73"/>
      <x:c r="X619" s="73"/>
      <x:c r="Y619" s="73"/>
      <x:c r="Z619" s="73"/>
      <x:c r="AA619" s="73"/>
      <x:c r="AB619" s="76" t="str">
        <x:f>IF(A619="","",IF(OR(NOT(ISNUMBER(I619)),I619&lt;0,NOT(ISNUMBER(AP619)),AP619&lt;0,NOT(ISNUMBER(L619)),L619&lt;1,L619&gt;5,L619&lt;&gt;INT(L619),AND(J619&lt;&gt;"Public",J619&lt;&gt;"Partner",J619&lt;&gt;"Internal",J619&lt;&gt;"None"),AND(K619&lt;&gt;"High",K619&lt;&gt;"Medium",K619&lt;&gt;"Low",K619&lt;&gt;"None"),AND(W619&lt;&gt;"Hard-coded",W619&lt;&gt;"Configurable",W619&lt;&gt;"Policy-managed",W619&lt;&gt;"API/Library abstraction",W619&lt;&gt;"Automated"),AND(Z619&lt;&gt;"Y",Z619&lt;&gt;"N"),AND(AA619&lt;&gt;"Y",AA619&lt;&gt;"N")),"Incomplete",IF(Z619="Y",20,0)+L619*5+IF(AA619="Y",15,0)+IF(J619="Public",10,IF(J619="Partner",7,IF(J619="Internal",3,0)))+IF(W619="Hard-coded",10,IF(W619="Configurable",3,0))+IF(MAX(I619,AP619)&gt;=10,10,IF(MAX(I619,AP619)&gt;=5,7,IF(MAX(I619,AP619)&gt;=2,3,0)))+IF(K619="High",10,IF(K619="Medium",5,0))))</x:f>
      </x:c>
      <x:c r="AC619" s="73" t="str">
        <x:f>IF(A619="","",IF(NOT(ISNUMBER(AB619)),"Review inputs",IF(AB619&gt;=70,"P0 - Immediate",IF(AB619&gt;=50,"P1 - High",IF(AB619&gt;=30,"P2 - Medium",IF(AB619&gt;=15,"P3 - Low","P4 - Monitor"))))))</x:f>
      </x:c>
      <x:c r="AD619" s="73"/>
      <x:c r="AE619" s="73"/>
      <x:c r="AF619" s="73"/>
      <x:c r="AG619" s="77"/>
      <x:c r="AH619" s="73"/>
      <x:c r="AI619" s="91"/>
      <x:c r="AJ619" s="91"/>
      <x:c r="AK619" s="91"/>
      <x:c r="AL619" s="92"/>
      <x:c r="AM619" s="91"/>
      <x:c r="AN619" s="91"/>
      <x:c r="AO619" s="93"/>
      <x:c r="AP619" s="94"/>
      <x:c r="AQ619" s="91"/>
      <x:c r="AR619" s="91"/>
      <x:c r="AS619" s="91"/>
      <x:c r="AT619" s="91"/>
      <x:c r="AU619" s="91"/>
      <x:c r="AV619" s="91"/>
      <x:c r="AW619" s="91"/>
      <x:c r="AX619" s="91"/>
      <x:c r="AY619" s="91"/>
      <x:c r="AZ619" s="92"/>
      <x:c r="BA619" s="94"/>
      <x:c r="BB619" s="91"/>
      <x:c r="BC619" s="92"/>
      <x:c r="BD619" s="92"/>
      <x:c r="BE619" s="91"/>
      <x:c r="BF619" s="91"/>
      <x:c r="BG619" s="91"/>
      <x:c r="BH619" s="91"/>
      <x:c r="BI619" s="91"/>
      <x:c r="BJ619" s="91"/>
      <x:c r="BK619" s="91"/>
      <x:c r="BL619" s="91"/>
      <x:c r="BM619" s="73" t="str">
        <x:f>IF(A619="","",IF(AI619="Example","Example only",IF(AI619&lt;&gt;"Actual","Set record type",IF(COUNTIF($A$2:$A$1001,A619)&gt;1,"Duplicate record ID",IF(OR(D619="",E619="",AF619="",NOT(ISNUMBER(AG619)),AJ619="",AK619="",NOT(ISNUMBER(AL619)),AND(AM619&lt;&gt;"Observed",AM619&lt;&gt;"Corroborated",AM619&lt;&gt;"Declared"),OR(AN619="",AN619="Unknown"),OR(AQ619="",AQ619="Unknown"),OR(AR619="",AR619="Unknown",AR619="TBD"),OR(BC619="",NOT(ISNUMBER(BC619)))),"Evidence incomplete","Evidence recorded; review scope")))))</x:f>
      </x:c>
      <x:c r="BN619" s="73"/>
    </x:row>
    <x:row r="620" ht="34" customHeight="1">
      <x:c r="A620" s="73"/>
      <x:c r="B620" s="73"/>
      <x:c r="C620" s="73"/>
      <x:c r="D620" s="73"/>
      <x:c r="E620" s="73"/>
      <x:c r="F620" s="73"/>
      <x:c r="G620" s="73"/>
      <x:c r="H620" s="73"/>
      <x:c r="I620" s="75"/>
      <x:c r="J620" s="73"/>
      <x:c r="K620" s="73"/>
      <x:c r="L620" s="76"/>
      <x:c r="M620" s="73"/>
      <x:c r="N620" s="73"/>
      <x:c r="O620" s="73"/>
      <x:c r="P620" s="73"/>
      <x:c r="Q620" s="76"/>
      <x:c r="R620" s="73"/>
      <x:c r="S620" s="73"/>
      <x:c r="T620" s="73"/>
      <x:c r="U620" s="73"/>
      <x:c r="V620" s="73"/>
      <x:c r="W620" s="73"/>
      <x:c r="X620" s="73"/>
      <x:c r="Y620" s="73"/>
      <x:c r="Z620" s="73"/>
      <x:c r="AA620" s="73"/>
      <x:c r="AB620" s="76" t="str">
        <x:f>IF(A620="","",IF(OR(NOT(ISNUMBER(I620)),I620&lt;0,NOT(ISNUMBER(AP620)),AP620&lt;0,NOT(ISNUMBER(L620)),L620&lt;1,L620&gt;5,L620&lt;&gt;INT(L620),AND(J620&lt;&gt;"Public",J620&lt;&gt;"Partner",J620&lt;&gt;"Internal",J620&lt;&gt;"None"),AND(K620&lt;&gt;"High",K620&lt;&gt;"Medium",K620&lt;&gt;"Low",K620&lt;&gt;"None"),AND(W620&lt;&gt;"Hard-coded",W620&lt;&gt;"Configurable",W620&lt;&gt;"Policy-managed",W620&lt;&gt;"API/Library abstraction",W620&lt;&gt;"Automated"),AND(Z620&lt;&gt;"Y",Z620&lt;&gt;"N"),AND(AA620&lt;&gt;"Y",AA620&lt;&gt;"N")),"Incomplete",IF(Z620="Y",20,0)+L620*5+IF(AA620="Y",15,0)+IF(J620="Public",10,IF(J620="Partner",7,IF(J620="Internal",3,0)))+IF(W620="Hard-coded",10,IF(W620="Configurable",3,0))+IF(MAX(I620,AP620)&gt;=10,10,IF(MAX(I620,AP620)&gt;=5,7,IF(MAX(I620,AP620)&gt;=2,3,0)))+IF(K620="High",10,IF(K620="Medium",5,0))))</x:f>
      </x:c>
      <x:c r="AC620" s="73" t="str">
        <x:f>IF(A620="","",IF(NOT(ISNUMBER(AB620)),"Review inputs",IF(AB620&gt;=70,"P0 - Immediate",IF(AB620&gt;=50,"P1 - High",IF(AB620&gt;=30,"P2 - Medium",IF(AB620&gt;=15,"P3 - Low","P4 - Monitor"))))))</x:f>
      </x:c>
      <x:c r="AD620" s="73"/>
      <x:c r="AE620" s="73"/>
      <x:c r="AF620" s="73"/>
      <x:c r="AG620" s="77"/>
      <x:c r="AH620" s="73"/>
      <x:c r="AI620" s="91"/>
      <x:c r="AJ620" s="91"/>
      <x:c r="AK620" s="91"/>
      <x:c r="AL620" s="92"/>
      <x:c r="AM620" s="91"/>
      <x:c r="AN620" s="91"/>
      <x:c r="AO620" s="93"/>
      <x:c r="AP620" s="94"/>
      <x:c r="AQ620" s="91"/>
      <x:c r="AR620" s="91"/>
      <x:c r="AS620" s="91"/>
      <x:c r="AT620" s="91"/>
      <x:c r="AU620" s="91"/>
      <x:c r="AV620" s="91"/>
      <x:c r="AW620" s="91"/>
      <x:c r="AX620" s="91"/>
      <x:c r="AY620" s="91"/>
      <x:c r="AZ620" s="92"/>
      <x:c r="BA620" s="94"/>
      <x:c r="BB620" s="91"/>
      <x:c r="BC620" s="92"/>
      <x:c r="BD620" s="92"/>
      <x:c r="BE620" s="91"/>
      <x:c r="BF620" s="91"/>
      <x:c r="BG620" s="91"/>
      <x:c r="BH620" s="91"/>
      <x:c r="BI620" s="91"/>
      <x:c r="BJ620" s="91"/>
      <x:c r="BK620" s="91"/>
      <x:c r="BL620" s="91"/>
      <x:c r="BM620" s="73" t="str">
        <x:f>IF(A620="","",IF(AI620="Example","Example only",IF(AI620&lt;&gt;"Actual","Set record type",IF(COUNTIF($A$2:$A$1001,A620)&gt;1,"Duplicate record ID",IF(OR(D620="",E620="",AF620="",NOT(ISNUMBER(AG620)),AJ620="",AK620="",NOT(ISNUMBER(AL620)),AND(AM620&lt;&gt;"Observed",AM620&lt;&gt;"Corroborated",AM620&lt;&gt;"Declared"),OR(AN620="",AN620="Unknown"),OR(AQ620="",AQ620="Unknown"),OR(AR620="",AR620="Unknown",AR620="TBD"),OR(BC620="",NOT(ISNUMBER(BC620)))),"Evidence incomplete","Evidence recorded; review scope")))))</x:f>
      </x:c>
      <x:c r="BN620" s="73"/>
    </x:row>
    <x:row r="621" ht="34" customHeight="1">
      <x:c r="A621" s="73"/>
      <x:c r="B621" s="73"/>
      <x:c r="C621" s="73"/>
      <x:c r="D621" s="73"/>
      <x:c r="E621" s="73"/>
      <x:c r="F621" s="73"/>
      <x:c r="G621" s="73"/>
      <x:c r="H621" s="73"/>
      <x:c r="I621" s="75"/>
      <x:c r="J621" s="73"/>
      <x:c r="K621" s="73"/>
      <x:c r="L621" s="76"/>
      <x:c r="M621" s="73"/>
      <x:c r="N621" s="73"/>
      <x:c r="O621" s="73"/>
      <x:c r="P621" s="73"/>
      <x:c r="Q621" s="76"/>
      <x:c r="R621" s="73"/>
      <x:c r="S621" s="73"/>
      <x:c r="T621" s="73"/>
      <x:c r="U621" s="73"/>
      <x:c r="V621" s="73"/>
      <x:c r="W621" s="73"/>
      <x:c r="X621" s="73"/>
      <x:c r="Y621" s="73"/>
      <x:c r="Z621" s="73"/>
      <x:c r="AA621" s="73"/>
      <x:c r="AB621" s="76" t="str">
        <x:f>IF(A621="","",IF(OR(NOT(ISNUMBER(I621)),I621&lt;0,NOT(ISNUMBER(AP621)),AP621&lt;0,NOT(ISNUMBER(L621)),L621&lt;1,L621&gt;5,L621&lt;&gt;INT(L621),AND(J621&lt;&gt;"Public",J621&lt;&gt;"Partner",J621&lt;&gt;"Internal",J621&lt;&gt;"None"),AND(K621&lt;&gt;"High",K621&lt;&gt;"Medium",K621&lt;&gt;"Low",K621&lt;&gt;"None"),AND(W621&lt;&gt;"Hard-coded",W621&lt;&gt;"Configurable",W621&lt;&gt;"Policy-managed",W621&lt;&gt;"API/Library abstraction",W621&lt;&gt;"Automated"),AND(Z621&lt;&gt;"Y",Z621&lt;&gt;"N"),AND(AA621&lt;&gt;"Y",AA621&lt;&gt;"N")),"Incomplete",IF(Z621="Y",20,0)+L621*5+IF(AA621="Y",15,0)+IF(J621="Public",10,IF(J621="Partner",7,IF(J621="Internal",3,0)))+IF(W621="Hard-coded",10,IF(W621="Configurable",3,0))+IF(MAX(I621,AP621)&gt;=10,10,IF(MAX(I621,AP621)&gt;=5,7,IF(MAX(I621,AP621)&gt;=2,3,0)))+IF(K621="High",10,IF(K621="Medium",5,0))))</x:f>
      </x:c>
      <x:c r="AC621" s="73" t="str">
        <x:f>IF(A621="","",IF(NOT(ISNUMBER(AB621)),"Review inputs",IF(AB621&gt;=70,"P0 - Immediate",IF(AB621&gt;=50,"P1 - High",IF(AB621&gt;=30,"P2 - Medium",IF(AB621&gt;=15,"P3 - Low","P4 - Monitor"))))))</x:f>
      </x:c>
      <x:c r="AD621" s="73"/>
      <x:c r="AE621" s="73"/>
      <x:c r="AF621" s="73"/>
      <x:c r="AG621" s="77"/>
      <x:c r="AH621" s="73"/>
      <x:c r="AI621" s="91"/>
      <x:c r="AJ621" s="91"/>
      <x:c r="AK621" s="91"/>
      <x:c r="AL621" s="92"/>
      <x:c r="AM621" s="91"/>
      <x:c r="AN621" s="91"/>
      <x:c r="AO621" s="93"/>
      <x:c r="AP621" s="94"/>
      <x:c r="AQ621" s="91"/>
      <x:c r="AR621" s="91"/>
      <x:c r="AS621" s="91"/>
      <x:c r="AT621" s="91"/>
      <x:c r="AU621" s="91"/>
      <x:c r="AV621" s="91"/>
      <x:c r="AW621" s="91"/>
      <x:c r="AX621" s="91"/>
      <x:c r="AY621" s="91"/>
      <x:c r="AZ621" s="92"/>
      <x:c r="BA621" s="94"/>
      <x:c r="BB621" s="91"/>
      <x:c r="BC621" s="92"/>
      <x:c r="BD621" s="92"/>
      <x:c r="BE621" s="91"/>
      <x:c r="BF621" s="91"/>
      <x:c r="BG621" s="91"/>
      <x:c r="BH621" s="91"/>
      <x:c r="BI621" s="91"/>
      <x:c r="BJ621" s="91"/>
      <x:c r="BK621" s="91"/>
      <x:c r="BL621" s="91"/>
      <x:c r="BM621" s="73" t="str">
        <x:f>IF(A621="","",IF(AI621="Example","Example only",IF(AI621&lt;&gt;"Actual","Set record type",IF(COUNTIF($A$2:$A$1001,A621)&gt;1,"Duplicate record ID",IF(OR(D621="",E621="",AF621="",NOT(ISNUMBER(AG621)),AJ621="",AK621="",NOT(ISNUMBER(AL621)),AND(AM621&lt;&gt;"Observed",AM621&lt;&gt;"Corroborated",AM621&lt;&gt;"Declared"),OR(AN621="",AN621="Unknown"),OR(AQ621="",AQ621="Unknown"),OR(AR621="",AR621="Unknown",AR621="TBD"),OR(BC621="",NOT(ISNUMBER(BC621)))),"Evidence incomplete","Evidence recorded; review scope")))))</x:f>
      </x:c>
      <x:c r="BN621" s="73"/>
    </x:row>
    <x:row r="622" ht="34" customHeight="1">
      <x:c r="A622" s="73"/>
      <x:c r="B622" s="73"/>
      <x:c r="C622" s="73"/>
      <x:c r="D622" s="73"/>
      <x:c r="E622" s="73"/>
      <x:c r="F622" s="73"/>
      <x:c r="G622" s="73"/>
      <x:c r="H622" s="73"/>
      <x:c r="I622" s="75"/>
      <x:c r="J622" s="73"/>
      <x:c r="K622" s="73"/>
      <x:c r="L622" s="76"/>
      <x:c r="M622" s="73"/>
      <x:c r="N622" s="73"/>
      <x:c r="O622" s="73"/>
      <x:c r="P622" s="73"/>
      <x:c r="Q622" s="76"/>
      <x:c r="R622" s="73"/>
      <x:c r="S622" s="73"/>
      <x:c r="T622" s="73"/>
      <x:c r="U622" s="73"/>
      <x:c r="V622" s="73"/>
      <x:c r="W622" s="73"/>
      <x:c r="X622" s="73"/>
      <x:c r="Y622" s="73"/>
      <x:c r="Z622" s="73"/>
      <x:c r="AA622" s="73"/>
      <x:c r="AB622" s="76" t="str">
        <x:f>IF(A622="","",IF(OR(NOT(ISNUMBER(I622)),I622&lt;0,NOT(ISNUMBER(AP622)),AP622&lt;0,NOT(ISNUMBER(L622)),L622&lt;1,L622&gt;5,L622&lt;&gt;INT(L622),AND(J622&lt;&gt;"Public",J622&lt;&gt;"Partner",J622&lt;&gt;"Internal",J622&lt;&gt;"None"),AND(K622&lt;&gt;"High",K622&lt;&gt;"Medium",K622&lt;&gt;"Low",K622&lt;&gt;"None"),AND(W622&lt;&gt;"Hard-coded",W622&lt;&gt;"Configurable",W622&lt;&gt;"Policy-managed",W622&lt;&gt;"API/Library abstraction",W622&lt;&gt;"Automated"),AND(Z622&lt;&gt;"Y",Z622&lt;&gt;"N"),AND(AA622&lt;&gt;"Y",AA622&lt;&gt;"N")),"Incomplete",IF(Z622="Y",20,0)+L622*5+IF(AA622="Y",15,0)+IF(J622="Public",10,IF(J622="Partner",7,IF(J622="Internal",3,0)))+IF(W622="Hard-coded",10,IF(W622="Configurable",3,0))+IF(MAX(I622,AP622)&gt;=10,10,IF(MAX(I622,AP622)&gt;=5,7,IF(MAX(I622,AP622)&gt;=2,3,0)))+IF(K622="High",10,IF(K622="Medium",5,0))))</x:f>
      </x:c>
      <x:c r="AC622" s="73" t="str">
        <x:f>IF(A622="","",IF(NOT(ISNUMBER(AB622)),"Review inputs",IF(AB622&gt;=70,"P0 - Immediate",IF(AB622&gt;=50,"P1 - High",IF(AB622&gt;=30,"P2 - Medium",IF(AB622&gt;=15,"P3 - Low","P4 - Monitor"))))))</x:f>
      </x:c>
      <x:c r="AD622" s="73"/>
      <x:c r="AE622" s="73"/>
      <x:c r="AF622" s="73"/>
      <x:c r="AG622" s="77"/>
      <x:c r="AH622" s="73"/>
      <x:c r="AI622" s="91"/>
      <x:c r="AJ622" s="91"/>
      <x:c r="AK622" s="91"/>
      <x:c r="AL622" s="92"/>
      <x:c r="AM622" s="91"/>
      <x:c r="AN622" s="91"/>
      <x:c r="AO622" s="93"/>
      <x:c r="AP622" s="94"/>
      <x:c r="AQ622" s="91"/>
      <x:c r="AR622" s="91"/>
      <x:c r="AS622" s="91"/>
      <x:c r="AT622" s="91"/>
      <x:c r="AU622" s="91"/>
      <x:c r="AV622" s="91"/>
      <x:c r="AW622" s="91"/>
      <x:c r="AX622" s="91"/>
      <x:c r="AY622" s="91"/>
      <x:c r="AZ622" s="92"/>
      <x:c r="BA622" s="94"/>
      <x:c r="BB622" s="91"/>
      <x:c r="BC622" s="92"/>
      <x:c r="BD622" s="92"/>
      <x:c r="BE622" s="91"/>
      <x:c r="BF622" s="91"/>
      <x:c r="BG622" s="91"/>
      <x:c r="BH622" s="91"/>
      <x:c r="BI622" s="91"/>
      <x:c r="BJ622" s="91"/>
      <x:c r="BK622" s="91"/>
      <x:c r="BL622" s="91"/>
      <x:c r="BM622" s="73" t="str">
        <x:f>IF(A622="","",IF(AI622="Example","Example only",IF(AI622&lt;&gt;"Actual","Set record type",IF(COUNTIF($A$2:$A$1001,A622)&gt;1,"Duplicate record ID",IF(OR(D622="",E622="",AF622="",NOT(ISNUMBER(AG622)),AJ622="",AK622="",NOT(ISNUMBER(AL622)),AND(AM622&lt;&gt;"Observed",AM622&lt;&gt;"Corroborated",AM622&lt;&gt;"Declared"),OR(AN622="",AN622="Unknown"),OR(AQ622="",AQ622="Unknown"),OR(AR622="",AR622="Unknown",AR622="TBD"),OR(BC622="",NOT(ISNUMBER(BC622)))),"Evidence incomplete","Evidence recorded; review scope")))))</x:f>
      </x:c>
      <x:c r="BN622" s="73"/>
    </x:row>
    <x:row r="623" ht="34" customHeight="1">
      <x:c r="A623" s="73"/>
      <x:c r="B623" s="73"/>
      <x:c r="C623" s="73"/>
      <x:c r="D623" s="73"/>
      <x:c r="E623" s="73"/>
      <x:c r="F623" s="73"/>
      <x:c r="G623" s="73"/>
      <x:c r="H623" s="73"/>
      <x:c r="I623" s="75"/>
      <x:c r="J623" s="73"/>
      <x:c r="K623" s="73"/>
      <x:c r="L623" s="76"/>
      <x:c r="M623" s="73"/>
      <x:c r="N623" s="73"/>
      <x:c r="O623" s="73"/>
      <x:c r="P623" s="73"/>
      <x:c r="Q623" s="76"/>
      <x:c r="R623" s="73"/>
      <x:c r="S623" s="73"/>
      <x:c r="T623" s="73"/>
      <x:c r="U623" s="73"/>
      <x:c r="V623" s="73"/>
      <x:c r="W623" s="73"/>
      <x:c r="X623" s="73"/>
      <x:c r="Y623" s="73"/>
      <x:c r="Z623" s="73"/>
      <x:c r="AA623" s="73"/>
      <x:c r="AB623" s="76" t="str">
        <x:f>IF(A623="","",IF(OR(NOT(ISNUMBER(I623)),I623&lt;0,NOT(ISNUMBER(AP623)),AP623&lt;0,NOT(ISNUMBER(L623)),L623&lt;1,L623&gt;5,L623&lt;&gt;INT(L623),AND(J623&lt;&gt;"Public",J623&lt;&gt;"Partner",J623&lt;&gt;"Internal",J623&lt;&gt;"None"),AND(K623&lt;&gt;"High",K623&lt;&gt;"Medium",K623&lt;&gt;"Low",K623&lt;&gt;"None"),AND(W623&lt;&gt;"Hard-coded",W623&lt;&gt;"Configurable",W623&lt;&gt;"Policy-managed",W623&lt;&gt;"API/Library abstraction",W623&lt;&gt;"Automated"),AND(Z623&lt;&gt;"Y",Z623&lt;&gt;"N"),AND(AA623&lt;&gt;"Y",AA623&lt;&gt;"N")),"Incomplete",IF(Z623="Y",20,0)+L623*5+IF(AA623="Y",15,0)+IF(J623="Public",10,IF(J623="Partner",7,IF(J623="Internal",3,0)))+IF(W623="Hard-coded",10,IF(W623="Configurable",3,0))+IF(MAX(I623,AP623)&gt;=10,10,IF(MAX(I623,AP623)&gt;=5,7,IF(MAX(I623,AP623)&gt;=2,3,0)))+IF(K623="High",10,IF(K623="Medium",5,0))))</x:f>
      </x:c>
      <x:c r="AC623" s="73" t="str">
        <x:f>IF(A623="","",IF(NOT(ISNUMBER(AB623)),"Review inputs",IF(AB623&gt;=70,"P0 - Immediate",IF(AB623&gt;=50,"P1 - High",IF(AB623&gt;=30,"P2 - Medium",IF(AB623&gt;=15,"P3 - Low","P4 - Monitor"))))))</x:f>
      </x:c>
      <x:c r="AD623" s="73"/>
      <x:c r="AE623" s="73"/>
      <x:c r="AF623" s="73"/>
      <x:c r="AG623" s="77"/>
      <x:c r="AH623" s="73"/>
      <x:c r="AI623" s="91"/>
      <x:c r="AJ623" s="91"/>
      <x:c r="AK623" s="91"/>
      <x:c r="AL623" s="92"/>
      <x:c r="AM623" s="91"/>
      <x:c r="AN623" s="91"/>
      <x:c r="AO623" s="93"/>
      <x:c r="AP623" s="94"/>
      <x:c r="AQ623" s="91"/>
      <x:c r="AR623" s="91"/>
      <x:c r="AS623" s="91"/>
      <x:c r="AT623" s="91"/>
      <x:c r="AU623" s="91"/>
      <x:c r="AV623" s="91"/>
      <x:c r="AW623" s="91"/>
      <x:c r="AX623" s="91"/>
      <x:c r="AY623" s="91"/>
      <x:c r="AZ623" s="92"/>
      <x:c r="BA623" s="94"/>
      <x:c r="BB623" s="91"/>
      <x:c r="BC623" s="92"/>
      <x:c r="BD623" s="92"/>
      <x:c r="BE623" s="91"/>
      <x:c r="BF623" s="91"/>
      <x:c r="BG623" s="91"/>
      <x:c r="BH623" s="91"/>
      <x:c r="BI623" s="91"/>
      <x:c r="BJ623" s="91"/>
      <x:c r="BK623" s="91"/>
      <x:c r="BL623" s="91"/>
      <x:c r="BM623" s="73" t="str">
        <x:f>IF(A623="","",IF(AI623="Example","Example only",IF(AI623&lt;&gt;"Actual","Set record type",IF(COUNTIF($A$2:$A$1001,A623)&gt;1,"Duplicate record ID",IF(OR(D623="",E623="",AF623="",NOT(ISNUMBER(AG623)),AJ623="",AK623="",NOT(ISNUMBER(AL623)),AND(AM623&lt;&gt;"Observed",AM623&lt;&gt;"Corroborated",AM623&lt;&gt;"Declared"),OR(AN623="",AN623="Unknown"),OR(AQ623="",AQ623="Unknown"),OR(AR623="",AR623="Unknown",AR623="TBD"),OR(BC623="",NOT(ISNUMBER(BC623)))),"Evidence incomplete","Evidence recorded; review scope")))))</x:f>
      </x:c>
      <x:c r="BN623" s="73"/>
    </x:row>
    <x:row r="624" ht="34" customHeight="1">
      <x:c r="A624" s="73"/>
      <x:c r="B624" s="73"/>
      <x:c r="C624" s="73"/>
      <x:c r="D624" s="73"/>
      <x:c r="E624" s="73"/>
      <x:c r="F624" s="73"/>
      <x:c r="G624" s="73"/>
      <x:c r="H624" s="73"/>
      <x:c r="I624" s="75"/>
      <x:c r="J624" s="73"/>
      <x:c r="K624" s="73"/>
      <x:c r="L624" s="76"/>
      <x:c r="M624" s="73"/>
      <x:c r="N624" s="73"/>
      <x:c r="O624" s="73"/>
      <x:c r="P624" s="73"/>
      <x:c r="Q624" s="76"/>
      <x:c r="R624" s="73"/>
      <x:c r="S624" s="73"/>
      <x:c r="T624" s="73"/>
      <x:c r="U624" s="73"/>
      <x:c r="V624" s="73"/>
      <x:c r="W624" s="73"/>
      <x:c r="X624" s="73"/>
      <x:c r="Y624" s="73"/>
      <x:c r="Z624" s="73"/>
      <x:c r="AA624" s="73"/>
      <x:c r="AB624" s="76" t="str">
        <x:f>IF(A624="","",IF(OR(NOT(ISNUMBER(I624)),I624&lt;0,NOT(ISNUMBER(AP624)),AP624&lt;0,NOT(ISNUMBER(L624)),L624&lt;1,L624&gt;5,L624&lt;&gt;INT(L624),AND(J624&lt;&gt;"Public",J624&lt;&gt;"Partner",J624&lt;&gt;"Internal",J624&lt;&gt;"None"),AND(K624&lt;&gt;"High",K624&lt;&gt;"Medium",K624&lt;&gt;"Low",K624&lt;&gt;"None"),AND(W624&lt;&gt;"Hard-coded",W624&lt;&gt;"Configurable",W624&lt;&gt;"Policy-managed",W624&lt;&gt;"API/Library abstraction",W624&lt;&gt;"Automated"),AND(Z624&lt;&gt;"Y",Z624&lt;&gt;"N"),AND(AA624&lt;&gt;"Y",AA624&lt;&gt;"N")),"Incomplete",IF(Z624="Y",20,0)+L624*5+IF(AA624="Y",15,0)+IF(J624="Public",10,IF(J624="Partner",7,IF(J624="Internal",3,0)))+IF(W624="Hard-coded",10,IF(W624="Configurable",3,0))+IF(MAX(I624,AP624)&gt;=10,10,IF(MAX(I624,AP624)&gt;=5,7,IF(MAX(I624,AP624)&gt;=2,3,0)))+IF(K624="High",10,IF(K624="Medium",5,0))))</x:f>
      </x:c>
      <x:c r="AC624" s="73" t="str">
        <x:f>IF(A624="","",IF(NOT(ISNUMBER(AB624)),"Review inputs",IF(AB624&gt;=70,"P0 - Immediate",IF(AB624&gt;=50,"P1 - High",IF(AB624&gt;=30,"P2 - Medium",IF(AB624&gt;=15,"P3 - Low","P4 - Monitor"))))))</x:f>
      </x:c>
      <x:c r="AD624" s="73"/>
      <x:c r="AE624" s="73"/>
      <x:c r="AF624" s="73"/>
      <x:c r="AG624" s="77"/>
      <x:c r="AH624" s="73"/>
      <x:c r="AI624" s="91"/>
      <x:c r="AJ624" s="91"/>
      <x:c r="AK624" s="91"/>
      <x:c r="AL624" s="92"/>
      <x:c r="AM624" s="91"/>
      <x:c r="AN624" s="91"/>
      <x:c r="AO624" s="93"/>
      <x:c r="AP624" s="94"/>
      <x:c r="AQ624" s="91"/>
      <x:c r="AR624" s="91"/>
      <x:c r="AS624" s="91"/>
      <x:c r="AT624" s="91"/>
      <x:c r="AU624" s="91"/>
      <x:c r="AV624" s="91"/>
      <x:c r="AW624" s="91"/>
      <x:c r="AX624" s="91"/>
      <x:c r="AY624" s="91"/>
      <x:c r="AZ624" s="92"/>
      <x:c r="BA624" s="94"/>
      <x:c r="BB624" s="91"/>
      <x:c r="BC624" s="92"/>
      <x:c r="BD624" s="92"/>
      <x:c r="BE624" s="91"/>
      <x:c r="BF624" s="91"/>
      <x:c r="BG624" s="91"/>
      <x:c r="BH624" s="91"/>
      <x:c r="BI624" s="91"/>
      <x:c r="BJ624" s="91"/>
      <x:c r="BK624" s="91"/>
      <x:c r="BL624" s="91"/>
      <x:c r="BM624" s="73" t="str">
        <x:f>IF(A624="","",IF(AI624="Example","Example only",IF(AI624&lt;&gt;"Actual","Set record type",IF(COUNTIF($A$2:$A$1001,A624)&gt;1,"Duplicate record ID",IF(OR(D624="",E624="",AF624="",NOT(ISNUMBER(AG624)),AJ624="",AK624="",NOT(ISNUMBER(AL624)),AND(AM624&lt;&gt;"Observed",AM624&lt;&gt;"Corroborated",AM624&lt;&gt;"Declared"),OR(AN624="",AN624="Unknown"),OR(AQ624="",AQ624="Unknown"),OR(AR624="",AR624="Unknown",AR624="TBD"),OR(BC624="",NOT(ISNUMBER(BC624)))),"Evidence incomplete","Evidence recorded; review scope")))))</x:f>
      </x:c>
      <x:c r="BN624" s="73"/>
    </x:row>
    <x:row r="625" ht="34" customHeight="1">
      <x:c r="A625" s="73"/>
      <x:c r="B625" s="73"/>
      <x:c r="C625" s="73"/>
      <x:c r="D625" s="73"/>
      <x:c r="E625" s="73"/>
      <x:c r="F625" s="73"/>
      <x:c r="G625" s="73"/>
      <x:c r="H625" s="73"/>
      <x:c r="I625" s="75"/>
      <x:c r="J625" s="73"/>
      <x:c r="K625" s="73"/>
      <x:c r="L625" s="76"/>
      <x:c r="M625" s="73"/>
      <x:c r="N625" s="73"/>
      <x:c r="O625" s="73"/>
      <x:c r="P625" s="73"/>
      <x:c r="Q625" s="76"/>
      <x:c r="R625" s="73"/>
      <x:c r="S625" s="73"/>
      <x:c r="T625" s="73"/>
      <x:c r="U625" s="73"/>
      <x:c r="V625" s="73"/>
      <x:c r="W625" s="73"/>
      <x:c r="X625" s="73"/>
      <x:c r="Y625" s="73"/>
      <x:c r="Z625" s="73"/>
      <x:c r="AA625" s="73"/>
      <x:c r="AB625" s="76" t="str">
        <x:f>IF(A625="","",IF(OR(NOT(ISNUMBER(I625)),I625&lt;0,NOT(ISNUMBER(AP625)),AP625&lt;0,NOT(ISNUMBER(L625)),L625&lt;1,L625&gt;5,L625&lt;&gt;INT(L625),AND(J625&lt;&gt;"Public",J625&lt;&gt;"Partner",J625&lt;&gt;"Internal",J625&lt;&gt;"None"),AND(K625&lt;&gt;"High",K625&lt;&gt;"Medium",K625&lt;&gt;"Low",K625&lt;&gt;"None"),AND(W625&lt;&gt;"Hard-coded",W625&lt;&gt;"Configurable",W625&lt;&gt;"Policy-managed",W625&lt;&gt;"API/Library abstraction",W625&lt;&gt;"Automated"),AND(Z625&lt;&gt;"Y",Z625&lt;&gt;"N"),AND(AA625&lt;&gt;"Y",AA625&lt;&gt;"N")),"Incomplete",IF(Z625="Y",20,0)+L625*5+IF(AA625="Y",15,0)+IF(J625="Public",10,IF(J625="Partner",7,IF(J625="Internal",3,0)))+IF(W625="Hard-coded",10,IF(W625="Configurable",3,0))+IF(MAX(I625,AP625)&gt;=10,10,IF(MAX(I625,AP625)&gt;=5,7,IF(MAX(I625,AP625)&gt;=2,3,0)))+IF(K625="High",10,IF(K625="Medium",5,0))))</x:f>
      </x:c>
      <x:c r="AC625" s="73" t="str">
        <x:f>IF(A625="","",IF(NOT(ISNUMBER(AB625)),"Review inputs",IF(AB625&gt;=70,"P0 - Immediate",IF(AB625&gt;=50,"P1 - High",IF(AB625&gt;=30,"P2 - Medium",IF(AB625&gt;=15,"P3 - Low","P4 - Monitor"))))))</x:f>
      </x:c>
      <x:c r="AD625" s="73"/>
      <x:c r="AE625" s="73"/>
      <x:c r="AF625" s="73"/>
      <x:c r="AG625" s="77"/>
      <x:c r="AH625" s="73"/>
      <x:c r="AI625" s="91"/>
      <x:c r="AJ625" s="91"/>
      <x:c r="AK625" s="91"/>
      <x:c r="AL625" s="92"/>
      <x:c r="AM625" s="91"/>
      <x:c r="AN625" s="91"/>
      <x:c r="AO625" s="93"/>
      <x:c r="AP625" s="94"/>
      <x:c r="AQ625" s="91"/>
      <x:c r="AR625" s="91"/>
      <x:c r="AS625" s="91"/>
      <x:c r="AT625" s="91"/>
      <x:c r="AU625" s="91"/>
      <x:c r="AV625" s="91"/>
      <x:c r="AW625" s="91"/>
      <x:c r="AX625" s="91"/>
      <x:c r="AY625" s="91"/>
      <x:c r="AZ625" s="92"/>
      <x:c r="BA625" s="94"/>
      <x:c r="BB625" s="91"/>
      <x:c r="BC625" s="92"/>
      <x:c r="BD625" s="92"/>
      <x:c r="BE625" s="91"/>
      <x:c r="BF625" s="91"/>
      <x:c r="BG625" s="91"/>
      <x:c r="BH625" s="91"/>
      <x:c r="BI625" s="91"/>
      <x:c r="BJ625" s="91"/>
      <x:c r="BK625" s="91"/>
      <x:c r="BL625" s="91"/>
      <x:c r="BM625" s="73" t="str">
        <x:f>IF(A625="","",IF(AI625="Example","Example only",IF(AI625&lt;&gt;"Actual","Set record type",IF(COUNTIF($A$2:$A$1001,A625)&gt;1,"Duplicate record ID",IF(OR(D625="",E625="",AF625="",NOT(ISNUMBER(AG625)),AJ625="",AK625="",NOT(ISNUMBER(AL625)),AND(AM625&lt;&gt;"Observed",AM625&lt;&gt;"Corroborated",AM625&lt;&gt;"Declared"),OR(AN625="",AN625="Unknown"),OR(AQ625="",AQ625="Unknown"),OR(AR625="",AR625="Unknown",AR625="TBD"),OR(BC625="",NOT(ISNUMBER(BC625)))),"Evidence incomplete","Evidence recorded; review scope")))))</x:f>
      </x:c>
      <x:c r="BN625" s="73"/>
    </x:row>
    <x:row r="626" ht="34" customHeight="1">
      <x:c r="A626" s="73"/>
      <x:c r="B626" s="73"/>
      <x:c r="C626" s="73"/>
      <x:c r="D626" s="73"/>
      <x:c r="E626" s="73"/>
      <x:c r="F626" s="73"/>
      <x:c r="G626" s="73"/>
      <x:c r="H626" s="73"/>
      <x:c r="I626" s="75"/>
      <x:c r="J626" s="73"/>
      <x:c r="K626" s="73"/>
      <x:c r="L626" s="76"/>
      <x:c r="M626" s="73"/>
      <x:c r="N626" s="73"/>
      <x:c r="O626" s="73"/>
      <x:c r="P626" s="73"/>
      <x:c r="Q626" s="76"/>
      <x:c r="R626" s="73"/>
      <x:c r="S626" s="73"/>
      <x:c r="T626" s="73"/>
      <x:c r="U626" s="73"/>
      <x:c r="V626" s="73"/>
      <x:c r="W626" s="73"/>
      <x:c r="X626" s="73"/>
      <x:c r="Y626" s="73"/>
      <x:c r="Z626" s="73"/>
      <x:c r="AA626" s="73"/>
      <x:c r="AB626" s="76" t="str">
        <x:f>IF(A626="","",IF(OR(NOT(ISNUMBER(I626)),I626&lt;0,NOT(ISNUMBER(AP626)),AP626&lt;0,NOT(ISNUMBER(L626)),L626&lt;1,L626&gt;5,L626&lt;&gt;INT(L626),AND(J626&lt;&gt;"Public",J626&lt;&gt;"Partner",J626&lt;&gt;"Internal",J626&lt;&gt;"None"),AND(K626&lt;&gt;"High",K626&lt;&gt;"Medium",K626&lt;&gt;"Low",K626&lt;&gt;"None"),AND(W626&lt;&gt;"Hard-coded",W626&lt;&gt;"Configurable",W626&lt;&gt;"Policy-managed",W626&lt;&gt;"API/Library abstraction",W626&lt;&gt;"Automated"),AND(Z626&lt;&gt;"Y",Z626&lt;&gt;"N"),AND(AA626&lt;&gt;"Y",AA626&lt;&gt;"N")),"Incomplete",IF(Z626="Y",20,0)+L626*5+IF(AA626="Y",15,0)+IF(J626="Public",10,IF(J626="Partner",7,IF(J626="Internal",3,0)))+IF(W626="Hard-coded",10,IF(W626="Configurable",3,0))+IF(MAX(I626,AP626)&gt;=10,10,IF(MAX(I626,AP626)&gt;=5,7,IF(MAX(I626,AP626)&gt;=2,3,0)))+IF(K626="High",10,IF(K626="Medium",5,0))))</x:f>
      </x:c>
      <x:c r="AC626" s="73" t="str">
        <x:f>IF(A626="","",IF(NOT(ISNUMBER(AB626)),"Review inputs",IF(AB626&gt;=70,"P0 - Immediate",IF(AB626&gt;=50,"P1 - High",IF(AB626&gt;=30,"P2 - Medium",IF(AB626&gt;=15,"P3 - Low","P4 - Monitor"))))))</x:f>
      </x:c>
      <x:c r="AD626" s="73"/>
      <x:c r="AE626" s="73"/>
      <x:c r="AF626" s="73"/>
      <x:c r="AG626" s="77"/>
      <x:c r="AH626" s="73"/>
      <x:c r="AI626" s="91"/>
      <x:c r="AJ626" s="91"/>
      <x:c r="AK626" s="91"/>
      <x:c r="AL626" s="92"/>
      <x:c r="AM626" s="91"/>
      <x:c r="AN626" s="91"/>
      <x:c r="AO626" s="93"/>
      <x:c r="AP626" s="94"/>
      <x:c r="AQ626" s="91"/>
      <x:c r="AR626" s="91"/>
      <x:c r="AS626" s="91"/>
      <x:c r="AT626" s="91"/>
      <x:c r="AU626" s="91"/>
      <x:c r="AV626" s="91"/>
      <x:c r="AW626" s="91"/>
      <x:c r="AX626" s="91"/>
      <x:c r="AY626" s="91"/>
      <x:c r="AZ626" s="92"/>
      <x:c r="BA626" s="94"/>
      <x:c r="BB626" s="91"/>
      <x:c r="BC626" s="92"/>
      <x:c r="BD626" s="92"/>
      <x:c r="BE626" s="91"/>
      <x:c r="BF626" s="91"/>
      <x:c r="BG626" s="91"/>
      <x:c r="BH626" s="91"/>
      <x:c r="BI626" s="91"/>
      <x:c r="BJ626" s="91"/>
      <x:c r="BK626" s="91"/>
      <x:c r="BL626" s="91"/>
      <x:c r="BM626" s="73" t="str">
        <x:f>IF(A626="","",IF(AI626="Example","Example only",IF(AI626&lt;&gt;"Actual","Set record type",IF(COUNTIF($A$2:$A$1001,A626)&gt;1,"Duplicate record ID",IF(OR(D626="",E626="",AF626="",NOT(ISNUMBER(AG626)),AJ626="",AK626="",NOT(ISNUMBER(AL626)),AND(AM626&lt;&gt;"Observed",AM626&lt;&gt;"Corroborated",AM626&lt;&gt;"Declared"),OR(AN626="",AN626="Unknown"),OR(AQ626="",AQ626="Unknown"),OR(AR626="",AR626="Unknown",AR626="TBD"),OR(BC626="",NOT(ISNUMBER(BC626)))),"Evidence incomplete","Evidence recorded; review scope")))))</x:f>
      </x:c>
      <x:c r="BN626" s="73"/>
    </x:row>
    <x:row r="627" ht="34" customHeight="1">
      <x:c r="A627" s="73"/>
      <x:c r="B627" s="73"/>
      <x:c r="C627" s="73"/>
      <x:c r="D627" s="73"/>
      <x:c r="E627" s="73"/>
      <x:c r="F627" s="73"/>
      <x:c r="G627" s="73"/>
      <x:c r="H627" s="73"/>
      <x:c r="I627" s="75"/>
      <x:c r="J627" s="73"/>
      <x:c r="K627" s="73"/>
      <x:c r="L627" s="76"/>
      <x:c r="M627" s="73"/>
      <x:c r="N627" s="73"/>
      <x:c r="O627" s="73"/>
      <x:c r="P627" s="73"/>
      <x:c r="Q627" s="76"/>
      <x:c r="R627" s="73"/>
      <x:c r="S627" s="73"/>
      <x:c r="T627" s="73"/>
      <x:c r="U627" s="73"/>
      <x:c r="V627" s="73"/>
      <x:c r="W627" s="73"/>
      <x:c r="X627" s="73"/>
      <x:c r="Y627" s="73"/>
      <x:c r="Z627" s="73"/>
      <x:c r="AA627" s="73"/>
      <x:c r="AB627" s="76" t="str">
        <x:f>IF(A627="","",IF(OR(NOT(ISNUMBER(I627)),I627&lt;0,NOT(ISNUMBER(AP627)),AP627&lt;0,NOT(ISNUMBER(L627)),L627&lt;1,L627&gt;5,L627&lt;&gt;INT(L627),AND(J627&lt;&gt;"Public",J627&lt;&gt;"Partner",J627&lt;&gt;"Internal",J627&lt;&gt;"None"),AND(K627&lt;&gt;"High",K627&lt;&gt;"Medium",K627&lt;&gt;"Low",K627&lt;&gt;"None"),AND(W627&lt;&gt;"Hard-coded",W627&lt;&gt;"Configurable",W627&lt;&gt;"Policy-managed",W627&lt;&gt;"API/Library abstraction",W627&lt;&gt;"Automated"),AND(Z627&lt;&gt;"Y",Z627&lt;&gt;"N"),AND(AA627&lt;&gt;"Y",AA627&lt;&gt;"N")),"Incomplete",IF(Z627="Y",20,0)+L627*5+IF(AA627="Y",15,0)+IF(J627="Public",10,IF(J627="Partner",7,IF(J627="Internal",3,0)))+IF(W627="Hard-coded",10,IF(W627="Configurable",3,0))+IF(MAX(I627,AP627)&gt;=10,10,IF(MAX(I627,AP627)&gt;=5,7,IF(MAX(I627,AP627)&gt;=2,3,0)))+IF(K627="High",10,IF(K627="Medium",5,0))))</x:f>
      </x:c>
      <x:c r="AC627" s="73" t="str">
        <x:f>IF(A627="","",IF(NOT(ISNUMBER(AB627)),"Review inputs",IF(AB627&gt;=70,"P0 - Immediate",IF(AB627&gt;=50,"P1 - High",IF(AB627&gt;=30,"P2 - Medium",IF(AB627&gt;=15,"P3 - Low","P4 - Monitor"))))))</x:f>
      </x:c>
      <x:c r="AD627" s="73"/>
      <x:c r="AE627" s="73"/>
      <x:c r="AF627" s="73"/>
      <x:c r="AG627" s="77"/>
      <x:c r="AH627" s="73"/>
      <x:c r="AI627" s="91"/>
      <x:c r="AJ627" s="91"/>
      <x:c r="AK627" s="91"/>
      <x:c r="AL627" s="92"/>
      <x:c r="AM627" s="91"/>
      <x:c r="AN627" s="91"/>
      <x:c r="AO627" s="93"/>
      <x:c r="AP627" s="94"/>
      <x:c r="AQ627" s="91"/>
      <x:c r="AR627" s="91"/>
      <x:c r="AS627" s="91"/>
      <x:c r="AT627" s="91"/>
      <x:c r="AU627" s="91"/>
      <x:c r="AV627" s="91"/>
      <x:c r="AW627" s="91"/>
      <x:c r="AX627" s="91"/>
      <x:c r="AY627" s="91"/>
      <x:c r="AZ627" s="92"/>
      <x:c r="BA627" s="94"/>
      <x:c r="BB627" s="91"/>
      <x:c r="BC627" s="92"/>
      <x:c r="BD627" s="92"/>
      <x:c r="BE627" s="91"/>
      <x:c r="BF627" s="91"/>
      <x:c r="BG627" s="91"/>
      <x:c r="BH627" s="91"/>
      <x:c r="BI627" s="91"/>
      <x:c r="BJ627" s="91"/>
      <x:c r="BK627" s="91"/>
      <x:c r="BL627" s="91"/>
      <x:c r="BM627" s="73" t="str">
        <x:f>IF(A627="","",IF(AI627="Example","Example only",IF(AI627&lt;&gt;"Actual","Set record type",IF(COUNTIF($A$2:$A$1001,A627)&gt;1,"Duplicate record ID",IF(OR(D627="",E627="",AF627="",NOT(ISNUMBER(AG627)),AJ627="",AK627="",NOT(ISNUMBER(AL627)),AND(AM627&lt;&gt;"Observed",AM627&lt;&gt;"Corroborated",AM627&lt;&gt;"Declared"),OR(AN627="",AN627="Unknown"),OR(AQ627="",AQ627="Unknown"),OR(AR627="",AR627="Unknown",AR627="TBD"),OR(BC627="",NOT(ISNUMBER(BC627)))),"Evidence incomplete","Evidence recorded; review scope")))))</x:f>
      </x:c>
      <x:c r="BN627" s="73"/>
    </x:row>
    <x:row r="628" ht="34" customHeight="1">
      <x:c r="A628" s="73"/>
      <x:c r="B628" s="73"/>
      <x:c r="C628" s="73"/>
      <x:c r="D628" s="73"/>
      <x:c r="E628" s="73"/>
      <x:c r="F628" s="73"/>
      <x:c r="G628" s="73"/>
      <x:c r="H628" s="73"/>
      <x:c r="I628" s="75"/>
      <x:c r="J628" s="73"/>
      <x:c r="K628" s="73"/>
      <x:c r="L628" s="76"/>
      <x:c r="M628" s="73"/>
      <x:c r="N628" s="73"/>
      <x:c r="O628" s="73"/>
      <x:c r="P628" s="73"/>
      <x:c r="Q628" s="76"/>
      <x:c r="R628" s="73"/>
      <x:c r="S628" s="73"/>
      <x:c r="T628" s="73"/>
      <x:c r="U628" s="73"/>
      <x:c r="V628" s="73"/>
      <x:c r="W628" s="73"/>
      <x:c r="X628" s="73"/>
      <x:c r="Y628" s="73"/>
      <x:c r="Z628" s="73"/>
      <x:c r="AA628" s="73"/>
      <x:c r="AB628" s="76" t="str">
        <x:f>IF(A628="","",IF(OR(NOT(ISNUMBER(I628)),I628&lt;0,NOT(ISNUMBER(AP628)),AP628&lt;0,NOT(ISNUMBER(L628)),L628&lt;1,L628&gt;5,L628&lt;&gt;INT(L628),AND(J628&lt;&gt;"Public",J628&lt;&gt;"Partner",J628&lt;&gt;"Internal",J628&lt;&gt;"None"),AND(K628&lt;&gt;"High",K628&lt;&gt;"Medium",K628&lt;&gt;"Low",K628&lt;&gt;"None"),AND(W628&lt;&gt;"Hard-coded",W628&lt;&gt;"Configurable",W628&lt;&gt;"Policy-managed",W628&lt;&gt;"API/Library abstraction",W628&lt;&gt;"Automated"),AND(Z628&lt;&gt;"Y",Z628&lt;&gt;"N"),AND(AA628&lt;&gt;"Y",AA628&lt;&gt;"N")),"Incomplete",IF(Z628="Y",20,0)+L628*5+IF(AA628="Y",15,0)+IF(J628="Public",10,IF(J628="Partner",7,IF(J628="Internal",3,0)))+IF(W628="Hard-coded",10,IF(W628="Configurable",3,0))+IF(MAX(I628,AP628)&gt;=10,10,IF(MAX(I628,AP628)&gt;=5,7,IF(MAX(I628,AP628)&gt;=2,3,0)))+IF(K628="High",10,IF(K628="Medium",5,0))))</x:f>
      </x:c>
      <x:c r="AC628" s="73" t="str">
        <x:f>IF(A628="","",IF(NOT(ISNUMBER(AB628)),"Review inputs",IF(AB628&gt;=70,"P0 - Immediate",IF(AB628&gt;=50,"P1 - High",IF(AB628&gt;=30,"P2 - Medium",IF(AB628&gt;=15,"P3 - Low","P4 - Monitor"))))))</x:f>
      </x:c>
      <x:c r="AD628" s="73"/>
      <x:c r="AE628" s="73"/>
      <x:c r="AF628" s="73"/>
      <x:c r="AG628" s="77"/>
      <x:c r="AH628" s="73"/>
      <x:c r="AI628" s="91"/>
      <x:c r="AJ628" s="91"/>
      <x:c r="AK628" s="91"/>
      <x:c r="AL628" s="92"/>
      <x:c r="AM628" s="91"/>
      <x:c r="AN628" s="91"/>
      <x:c r="AO628" s="93"/>
      <x:c r="AP628" s="94"/>
      <x:c r="AQ628" s="91"/>
      <x:c r="AR628" s="91"/>
      <x:c r="AS628" s="91"/>
      <x:c r="AT628" s="91"/>
      <x:c r="AU628" s="91"/>
      <x:c r="AV628" s="91"/>
      <x:c r="AW628" s="91"/>
      <x:c r="AX628" s="91"/>
      <x:c r="AY628" s="91"/>
      <x:c r="AZ628" s="92"/>
      <x:c r="BA628" s="94"/>
      <x:c r="BB628" s="91"/>
      <x:c r="BC628" s="92"/>
      <x:c r="BD628" s="92"/>
      <x:c r="BE628" s="91"/>
      <x:c r="BF628" s="91"/>
      <x:c r="BG628" s="91"/>
      <x:c r="BH628" s="91"/>
      <x:c r="BI628" s="91"/>
      <x:c r="BJ628" s="91"/>
      <x:c r="BK628" s="91"/>
      <x:c r="BL628" s="91"/>
      <x:c r="BM628" s="73" t="str">
        <x:f>IF(A628="","",IF(AI628="Example","Example only",IF(AI628&lt;&gt;"Actual","Set record type",IF(COUNTIF($A$2:$A$1001,A628)&gt;1,"Duplicate record ID",IF(OR(D628="",E628="",AF628="",NOT(ISNUMBER(AG628)),AJ628="",AK628="",NOT(ISNUMBER(AL628)),AND(AM628&lt;&gt;"Observed",AM628&lt;&gt;"Corroborated",AM628&lt;&gt;"Declared"),OR(AN628="",AN628="Unknown"),OR(AQ628="",AQ628="Unknown"),OR(AR628="",AR628="Unknown",AR628="TBD"),OR(BC628="",NOT(ISNUMBER(BC628)))),"Evidence incomplete","Evidence recorded; review scope")))))</x:f>
      </x:c>
      <x:c r="BN628" s="73"/>
    </x:row>
    <x:row r="629" ht="34" customHeight="1">
      <x:c r="A629" s="73"/>
      <x:c r="B629" s="73"/>
      <x:c r="C629" s="73"/>
      <x:c r="D629" s="73"/>
      <x:c r="E629" s="73"/>
      <x:c r="F629" s="73"/>
      <x:c r="G629" s="73"/>
      <x:c r="H629" s="73"/>
      <x:c r="I629" s="75"/>
      <x:c r="J629" s="73"/>
      <x:c r="K629" s="73"/>
      <x:c r="L629" s="76"/>
      <x:c r="M629" s="73"/>
      <x:c r="N629" s="73"/>
      <x:c r="O629" s="73"/>
      <x:c r="P629" s="73"/>
      <x:c r="Q629" s="76"/>
      <x:c r="R629" s="73"/>
      <x:c r="S629" s="73"/>
      <x:c r="T629" s="73"/>
      <x:c r="U629" s="73"/>
      <x:c r="V629" s="73"/>
      <x:c r="W629" s="73"/>
      <x:c r="X629" s="73"/>
      <x:c r="Y629" s="73"/>
      <x:c r="Z629" s="73"/>
      <x:c r="AA629" s="73"/>
      <x:c r="AB629" s="76" t="str">
        <x:f>IF(A629="","",IF(OR(NOT(ISNUMBER(I629)),I629&lt;0,NOT(ISNUMBER(AP629)),AP629&lt;0,NOT(ISNUMBER(L629)),L629&lt;1,L629&gt;5,L629&lt;&gt;INT(L629),AND(J629&lt;&gt;"Public",J629&lt;&gt;"Partner",J629&lt;&gt;"Internal",J629&lt;&gt;"None"),AND(K629&lt;&gt;"High",K629&lt;&gt;"Medium",K629&lt;&gt;"Low",K629&lt;&gt;"None"),AND(W629&lt;&gt;"Hard-coded",W629&lt;&gt;"Configurable",W629&lt;&gt;"Policy-managed",W629&lt;&gt;"API/Library abstraction",W629&lt;&gt;"Automated"),AND(Z629&lt;&gt;"Y",Z629&lt;&gt;"N"),AND(AA629&lt;&gt;"Y",AA629&lt;&gt;"N")),"Incomplete",IF(Z629="Y",20,0)+L629*5+IF(AA629="Y",15,0)+IF(J629="Public",10,IF(J629="Partner",7,IF(J629="Internal",3,0)))+IF(W629="Hard-coded",10,IF(W629="Configurable",3,0))+IF(MAX(I629,AP629)&gt;=10,10,IF(MAX(I629,AP629)&gt;=5,7,IF(MAX(I629,AP629)&gt;=2,3,0)))+IF(K629="High",10,IF(K629="Medium",5,0))))</x:f>
      </x:c>
      <x:c r="AC629" s="73" t="str">
        <x:f>IF(A629="","",IF(NOT(ISNUMBER(AB629)),"Review inputs",IF(AB629&gt;=70,"P0 - Immediate",IF(AB629&gt;=50,"P1 - High",IF(AB629&gt;=30,"P2 - Medium",IF(AB629&gt;=15,"P3 - Low","P4 - Monitor"))))))</x:f>
      </x:c>
      <x:c r="AD629" s="73"/>
      <x:c r="AE629" s="73"/>
      <x:c r="AF629" s="73"/>
      <x:c r="AG629" s="77"/>
      <x:c r="AH629" s="73"/>
      <x:c r="AI629" s="91"/>
      <x:c r="AJ629" s="91"/>
      <x:c r="AK629" s="91"/>
      <x:c r="AL629" s="92"/>
      <x:c r="AM629" s="91"/>
      <x:c r="AN629" s="91"/>
      <x:c r="AO629" s="93"/>
      <x:c r="AP629" s="94"/>
      <x:c r="AQ629" s="91"/>
      <x:c r="AR629" s="91"/>
      <x:c r="AS629" s="91"/>
      <x:c r="AT629" s="91"/>
      <x:c r="AU629" s="91"/>
      <x:c r="AV629" s="91"/>
      <x:c r="AW629" s="91"/>
      <x:c r="AX629" s="91"/>
      <x:c r="AY629" s="91"/>
      <x:c r="AZ629" s="92"/>
      <x:c r="BA629" s="94"/>
      <x:c r="BB629" s="91"/>
      <x:c r="BC629" s="92"/>
      <x:c r="BD629" s="92"/>
      <x:c r="BE629" s="91"/>
      <x:c r="BF629" s="91"/>
      <x:c r="BG629" s="91"/>
      <x:c r="BH629" s="91"/>
      <x:c r="BI629" s="91"/>
      <x:c r="BJ629" s="91"/>
      <x:c r="BK629" s="91"/>
      <x:c r="BL629" s="91"/>
      <x:c r="BM629" s="73" t="str">
        <x:f>IF(A629="","",IF(AI629="Example","Example only",IF(AI629&lt;&gt;"Actual","Set record type",IF(COUNTIF($A$2:$A$1001,A629)&gt;1,"Duplicate record ID",IF(OR(D629="",E629="",AF629="",NOT(ISNUMBER(AG629)),AJ629="",AK629="",NOT(ISNUMBER(AL629)),AND(AM629&lt;&gt;"Observed",AM629&lt;&gt;"Corroborated",AM629&lt;&gt;"Declared"),OR(AN629="",AN629="Unknown"),OR(AQ629="",AQ629="Unknown"),OR(AR629="",AR629="Unknown",AR629="TBD"),OR(BC629="",NOT(ISNUMBER(BC629)))),"Evidence incomplete","Evidence recorded; review scope")))))</x:f>
      </x:c>
      <x:c r="BN629" s="73"/>
    </x:row>
    <x:row r="630" ht="34" customHeight="1">
      <x:c r="A630" s="73"/>
      <x:c r="B630" s="73"/>
      <x:c r="C630" s="73"/>
      <x:c r="D630" s="73"/>
      <x:c r="E630" s="73"/>
      <x:c r="F630" s="73"/>
      <x:c r="G630" s="73"/>
      <x:c r="H630" s="73"/>
      <x:c r="I630" s="75"/>
      <x:c r="J630" s="73"/>
      <x:c r="K630" s="73"/>
      <x:c r="L630" s="76"/>
      <x:c r="M630" s="73"/>
      <x:c r="N630" s="73"/>
      <x:c r="O630" s="73"/>
      <x:c r="P630" s="73"/>
      <x:c r="Q630" s="76"/>
      <x:c r="R630" s="73"/>
      <x:c r="S630" s="73"/>
      <x:c r="T630" s="73"/>
      <x:c r="U630" s="73"/>
      <x:c r="V630" s="73"/>
      <x:c r="W630" s="73"/>
      <x:c r="X630" s="73"/>
      <x:c r="Y630" s="73"/>
      <x:c r="Z630" s="73"/>
      <x:c r="AA630" s="73"/>
      <x:c r="AB630" s="76" t="str">
        <x:f>IF(A630="","",IF(OR(NOT(ISNUMBER(I630)),I630&lt;0,NOT(ISNUMBER(AP630)),AP630&lt;0,NOT(ISNUMBER(L630)),L630&lt;1,L630&gt;5,L630&lt;&gt;INT(L630),AND(J630&lt;&gt;"Public",J630&lt;&gt;"Partner",J630&lt;&gt;"Internal",J630&lt;&gt;"None"),AND(K630&lt;&gt;"High",K630&lt;&gt;"Medium",K630&lt;&gt;"Low",K630&lt;&gt;"None"),AND(W630&lt;&gt;"Hard-coded",W630&lt;&gt;"Configurable",W630&lt;&gt;"Policy-managed",W630&lt;&gt;"API/Library abstraction",W630&lt;&gt;"Automated"),AND(Z630&lt;&gt;"Y",Z630&lt;&gt;"N"),AND(AA630&lt;&gt;"Y",AA630&lt;&gt;"N")),"Incomplete",IF(Z630="Y",20,0)+L630*5+IF(AA630="Y",15,0)+IF(J630="Public",10,IF(J630="Partner",7,IF(J630="Internal",3,0)))+IF(W630="Hard-coded",10,IF(W630="Configurable",3,0))+IF(MAX(I630,AP630)&gt;=10,10,IF(MAX(I630,AP630)&gt;=5,7,IF(MAX(I630,AP630)&gt;=2,3,0)))+IF(K630="High",10,IF(K630="Medium",5,0))))</x:f>
      </x:c>
      <x:c r="AC630" s="73" t="str">
        <x:f>IF(A630="","",IF(NOT(ISNUMBER(AB630)),"Review inputs",IF(AB630&gt;=70,"P0 - Immediate",IF(AB630&gt;=50,"P1 - High",IF(AB630&gt;=30,"P2 - Medium",IF(AB630&gt;=15,"P3 - Low","P4 - Monitor"))))))</x:f>
      </x:c>
      <x:c r="AD630" s="73"/>
      <x:c r="AE630" s="73"/>
      <x:c r="AF630" s="73"/>
      <x:c r="AG630" s="77"/>
      <x:c r="AH630" s="73"/>
      <x:c r="AI630" s="91"/>
      <x:c r="AJ630" s="91"/>
      <x:c r="AK630" s="91"/>
      <x:c r="AL630" s="92"/>
      <x:c r="AM630" s="91"/>
      <x:c r="AN630" s="91"/>
      <x:c r="AO630" s="93"/>
      <x:c r="AP630" s="94"/>
      <x:c r="AQ630" s="91"/>
      <x:c r="AR630" s="91"/>
      <x:c r="AS630" s="91"/>
      <x:c r="AT630" s="91"/>
      <x:c r="AU630" s="91"/>
      <x:c r="AV630" s="91"/>
      <x:c r="AW630" s="91"/>
      <x:c r="AX630" s="91"/>
      <x:c r="AY630" s="91"/>
      <x:c r="AZ630" s="92"/>
      <x:c r="BA630" s="94"/>
      <x:c r="BB630" s="91"/>
      <x:c r="BC630" s="92"/>
      <x:c r="BD630" s="92"/>
      <x:c r="BE630" s="91"/>
      <x:c r="BF630" s="91"/>
      <x:c r="BG630" s="91"/>
      <x:c r="BH630" s="91"/>
      <x:c r="BI630" s="91"/>
      <x:c r="BJ630" s="91"/>
      <x:c r="BK630" s="91"/>
      <x:c r="BL630" s="91"/>
      <x:c r="BM630" s="73" t="str">
        <x:f>IF(A630="","",IF(AI630="Example","Example only",IF(AI630&lt;&gt;"Actual","Set record type",IF(COUNTIF($A$2:$A$1001,A630)&gt;1,"Duplicate record ID",IF(OR(D630="",E630="",AF630="",NOT(ISNUMBER(AG630)),AJ630="",AK630="",NOT(ISNUMBER(AL630)),AND(AM630&lt;&gt;"Observed",AM630&lt;&gt;"Corroborated",AM630&lt;&gt;"Declared"),OR(AN630="",AN630="Unknown"),OR(AQ630="",AQ630="Unknown"),OR(AR630="",AR630="Unknown",AR630="TBD"),OR(BC630="",NOT(ISNUMBER(BC630)))),"Evidence incomplete","Evidence recorded; review scope")))))</x:f>
      </x:c>
      <x:c r="BN630" s="73"/>
    </x:row>
    <x:row r="631" ht="34" customHeight="1">
      <x:c r="A631" s="73"/>
      <x:c r="B631" s="73"/>
      <x:c r="C631" s="73"/>
      <x:c r="D631" s="73"/>
      <x:c r="E631" s="73"/>
      <x:c r="F631" s="73"/>
      <x:c r="G631" s="73"/>
      <x:c r="H631" s="73"/>
      <x:c r="I631" s="75"/>
      <x:c r="J631" s="73"/>
      <x:c r="K631" s="73"/>
      <x:c r="L631" s="76"/>
      <x:c r="M631" s="73"/>
      <x:c r="N631" s="73"/>
      <x:c r="O631" s="73"/>
      <x:c r="P631" s="73"/>
      <x:c r="Q631" s="76"/>
      <x:c r="R631" s="73"/>
      <x:c r="S631" s="73"/>
      <x:c r="T631" s="73"/>
      <x:c r="U631" s="73"/>
      <x:c r="V631" s="73"/>
      <x:c r="W631" s="73"/>
      <x:c r="X631" s="73"/>
      <x:c r="Y631" s="73"/>
      <x:c r="Z631" s="73"/>
      <x:c r="AA631" s="73"/>
      <x:c r="AB631" s="76" t="str">
        <x:f>IF(A631="","",IF(OR(NOT(ISNUMBER(I631)),I631&lt;0,NOT(ISNUMBER(AP631)),AP631&lt;0,NOT(ISNUMBER(L631)),L631&lt;1,L631&gt;5,L631&lt;&gt;INT(L631),AND(J631&lt;&gt;"Public",J631&lt;&gt;"Partner",J631&lt;&gt;"Internal",J631&lt;&gt;"None"),AND(K631&lt;&gt;"High",K631&lt;&gt;"Medium",K631&lt;&gt;"Low",K631&lt;&gt;"None"),AND(W631&lt;&gt;"Hard-coded",W631&lt;&gt;"Configurable",W631&lt;&gt;"Policy-managed",W631&lt;&gt;"API/Library abstraction",W631&lt;&gt;"Automated"),AND(Z631&lt;&gt;"Y",Z631&lt;&gt;"N"),AND(AA631&lt;&gt;"Y",AA631&lt;&gt;"N")),"Incomplete",IF(Z631="Y",20,0)+L631*5+IF(AA631="Y",15,0)+IF(J631="Public",10,IF(J631="Partner",7,IF(J631="Internal",3,0)))+IF(W631="Hard-coded",10,IF(W631="Configurable",3,0))+IF(MAX(I631,AP631)&gt;=10,10,IF(MAX(I631,AP631)&gt;=5,7,IF(MAX(I631,AP631)&gt;=2,3,0)))+IF(K631="High",10,IF(K631="Medium",5,0))))</x:f>
      </x:c>
      <x:c r="AC631" s="73" t="str">
        <x:f>IF(A631="","",IF(NOT(ISNUMBER(AB631)),"Review inputs",IF(AB631&gt;=70,"P0 - Immediate",IF(AB631&gt;=50,"P1 - High",IF(AB631&gt;=30,"P2 - Medium",IF(AB631&gt;=15,"P3 - Low","P4 - Monitor"))))))</x:f>
      </x:c>
      <x:c r="AD631" s="73"/>
      <x:c r="AE631" s="73"/>
      <x:c r="AF631" s="73"/>
      <x:c r="AG631" s="77"/>
      <x:c r="AH631" s="73"/>
      <x:c r="AI631" s="91"/>
      <x:c r="AJ631" s="91"/>
      <x:c r="AK631" s="91"/>
      <x:c r="AL631" s="92"/>
      <x:c r="AM631" s="91"/>
      <x:c r="AN631" s="91"/>
      <x:c r="AO631" s="93"/>
      <x:c r="AP631" s="94"/>
      <x:c r="AQ631" s="91"/>
      <x:c r="AR631" s="91"/>
      <x:c r="AS631" s="91"/>
      <x:c r="AT631" s="91"/>
      <x:c r="AU631" s="91"/>
      <x:c r="AV631" s="91"/>
      <x:c r="AW631" s="91"/>
      <x:c r="AX631" s="91"/>
      <x:c r="AY631" s="91"/>
      <x:c r="AZ631" s="92"/>
      <x:c r="BA631" s="94"/>
      <x:c r="BB631" s="91"/>
      <x:c r="BC631" s="92"/>
      <x:c r="BD631" s="92"/>
      <x:c r="BE631" s="91"/>
      <x:c r="BF631" s="91"/>
      <x:c r="BG631" s="91"/>
      <x:c r="BH631" s="91"/>
      <x:c r="BI631" s="91"/>
      <x:c r="BJ631" s="91"/>
      <x:c r="BK631" s="91"/>
      <x:c r="BL631" s="91"/>
      <x:c r="BM631" s="73" t="str">
        <x:f>IF(A631="","",IF(AI631="Example","Example only",IF(AI631&lt;&gt;"Actual","Set record type",IF(COUNTIF($A$2:$A$1001,A631)&gt;1,"Duplicate record ID",IF(OR(D631="",E631="",AF631="",NOT(ISNUMBER(AG631)),AJ631="",AK631="",NOT(ISNUMBER(AL631)),AND(AM631&lt;&gt;"Observed",AM631&lt;&gt;"Corroborated",AM631&lt;&gt;"Declared"),OR(AN631="",AN631="Unknown"),OR(AQ631="",AQ631="Unknown"),OR(AR631="",AR631="Unknown",AR631="TBD"),OR(BC631="",NOT(ISNUMBER(BC631)))),"Evidence incomplete","Evidence recorded; review scope")))))</x:f>
      </x:c>
      <x:c r="BN631" s="73"/>
    </x:row>
    <x:row r="632" ht="34" customHeight="1">
      <x:c r="A632" s="73"/>
      <x:c r="B632" s="73"/>
      <x:c r="C632" s="73"/>
      <x:c r="D632" s="73"/>
      <x:c r="E632" s="73"/>
      <x:c r="F632" s="73"/>
      <x:c r="G632" s="73"/>
      <x:c r="H632" s="73"/>
      <x:c r="I632" s="75"/>
      <x:c r="J632" s="73"/>
      <x:c r="K632" s="73"/>
      <x:c r="L632" s="76"/>
      <x:c r="M632" s="73"/>
      <x:c r="N632" s="73"/>
      <x:c r="O632" s="73"/>
      <x:c r="P632" s="73"/>
      <x:c r="Q632" s="76"/>
      <x:c r="R632" s="73"/>
      <x:c r="S632" s="73"/>
      <x:c r="T632" s="73"/>
      <x:c r="U632" s="73"/>
      <x:c r="V632" s="73"/>
      <x:c r="W632" s="73"/>
      <x:c r="X632" s="73"/>
      <x:c r="Y632" s="73"/>
      <x:c r="Z632" s="73"/>
      <x:c r="AA632" s="73"/>
      <x:c r="AB632" s="76" t="str">
        <x:f>IF(A632="","",IF(OR(NOT(ISNUMBER(I632)),I632&lt;0,NOT(ISNUMBER(AP632)),AP632&lt;0,NOT(ISNUMBER(L632)),L632&lt;1,L632&gt;5,L632&lt;&gt;INT(L632),AND(J632&lt;&gt;"Public",J632&lt;&gt;"Partner",J632&lt;&gt;"Internal",J632&lt;&gt;"None"),AND(K632&lt;&gt;"High",K632&lt;&gt;"Medium",K632&lt;&gt;"Low",K632&lt;&gt;"None"),AND(W632&lt;&gt;"Hard-coded",W632&lt;&gt;"Configurable",W632&lt;&gt;"Policy-managed",W632&lt;&gt;"API/Library abstraction",W632&lt;&gt;"Automated"),AND(Z632&lt;&gt;"Y",Z632&lt;&gt;"N"),AND(AA632&lt;&gt;"Y",AA632&lt;&gt;"N")),"Incomplete",IF(Z632="Y",20,0)+L632*5+IF(AA632="Y",15,0)+IF(J632="Public",10,IF(J632="Partner",7,IF(J632="Internal",3,0)))+IF(W632="Hard-coded",10,IF(W632="Configurable",3,0))+IF(MAX(I632,AP632)&gt;=10,10,IF(MAX(I632,AP632)&gt;=5,7,IF(MAX(I632,AP632)&gt;=2,3,0)))+IF(K632="High",10,IF(K632="Medium",5,0))))</x:f>
      </x:c>
      <x:c r="AC632" s="73" t="str">
        <x:f>IF(A632="","",IF(NOT(ISNUMBER(AB632)),"Review inputs",IF(AB632&gt;=70,"P0 - Immediate",IF(AB632&gt;=50,"P1 - High",IF(AB632&gt;=30,"P2 - Medium",IF(AB632&gt;=15,"P3 - Low","P4 - Monitor"))))))</x:f>
      </x:c>
      <x:c r="AD632" s="73"/>
      <x:c r="AE632" s="73"/>
      <x:c r="AF632" s="73"/>
      <x:c r="AG632" s="77"/>
      <x:c r="AH632" s="73"/>
      <x:c r="AI632" s="91"/>
      <x:c r="AJ632" s="91"/>
      <x:c r="AK632" s="91"/>
      <x:c r="AL632" s="92"/>
      <x:c r="AM632" s="91"/>
      <x:c r="AN632" s="91"/>
      <x:c r="AO632" s="93"/>
      <x:c r="AP632" s="94"/>
      <x:c r="AQ632" s="91"/>
      <x:c r="AR632" s="91"/>
      <x:c r="AS632" s="91"/>
      <x:c r="AT632" s="91"/>
      <x:c r="AU632" s="91"/>
      <x:c r="AV632" s="91"/>
      <x:c r="AW632" s="91"/>
      <x:c r="AX632" s="91"/>
      <x:c r="AY632" s="91"/>
      <x:c r="AZ632" s="92"/>
      <x:c r="BA632" s="94"/>
      <x:c r="BB632" s="91"/>
      <x:c r="BC632" s="92"/>
      <x:c r="BD632" s="92"/>
      <x:c r="BE632" s="91"/>
      <x:c r="BF632" s="91"/>
      <x:c r="BG632" s="91"/>
      <x:c r="BH632" s="91"/>
      <x:c r="BI632" s="91"/>
      <x:c r="BJ632" s="91"/>
      <x:c r="BK632" s="91"/>
      <x:c r="BL632" s="91"/>
      <x:c r="BM632" s="73" t="str">
        <x:f>IF(A632="","",IF(AI632="Example","Example only",IF(AI632&lt;&gt;"Actual","Set record type",IF(COUNTIF($A$2:$A$1001,A632)&gt;1,"Duplicate record ID",IF(OR(D632="",E632="",AF632="",NOT(ISNUMBER(AG632)),AJ632="",AK632="",NOT(ISNUMBER(AL632)),AND(AM632&lt;&gt;"Observed",AM632&lt;&gt;"Corroborated",AM632&lt;&gt;"Declared"),OR(AN632="",AN632="Unknown"),OR(AQ632="",AQ632="Unknown"),OR(AR632="",AR632="Unknown",AR632="TBD"),OR(BC632="",NOT(ISNUMBER(BC632)))),"Evidence incomplete","Evidence recorded; review scope")))))</x:f>
      </x:c>
      <x:c r="BN632" s="73"/>
    </x:row>
    <x:row r="633" ht="34" customHeight="1">
      <x:c r="A633" s="73"/>
      <x:c r="B633" s="73"/>
      <x:c r="C633" s="73"/>
      <x:c r="D633" s="73"/>
      <x:c r="E633" s="73"/>
      <x:c r="F633" s="73"/>
      <x:c r="G633" s="73"/>
      <x:c r="H633" s="73"/>
      <x:c r="I633" s="75"/>
      <x:c r="J633" s="73"/>
      <x:c r="K633" s="73"/>
      <x:c r="L633" s="76"/>
      <x:c r="M633" s="73"/>
      <x:c r="N633" s="73"/>
      <x:c r="O633" s="73"/>
      <x:c r="P633" s="73"/>
      <x:c r="Q633" s="76"/>
      <x:c r="R633" s="73"/>
      <x:c r="S633" s="73"/>
      <x:c r="T633" s="73"/>
      <x:c r="U633" s="73"/>
      <x:c r="V633" s="73"/>
      <x:c r="W633" s="73"/>
      <x:c r="X633" s="73"/>
      <x:c r="Y633" s="73"/>
      <x:c r="Z633" s="73"/>
      <x:c r="AA633" s="73"/>
      <x:c r="AB633" s="76" t="str">
        <x:f>IF(A633="","",IF(OR(NOT(ISNUMBER(I633)),I633&lt;0,NOT(ISNUMBER(AP633)),AP633&lt;0,NOT(ISNUMBER(L633)),L633&lt;1,L633&gt;5,L633&lt;&gt;INT(L633),AND(J633&lt;&gt;"Public",J633&lt;&gt;"Partner",J633&lt;&gt;"Internal",J633&lt;&gt;"None"),AND(K633&lt;&gt;"High",K633&lt;&gt;"Medium",K633&lt;&gt;"Low",K633&lt;&gt;"None"),AND(W633&lt;&gt;"Hard-coded",W633&lt;&gt;"Configurable",W633&lt;&gt;"Policy-managed",W633&lt;&gt;"API/Library abstraction",W633&lt;&gt;"Automated"),AND(Z633&lt;&gt;"Y",Z633&lt;&gt;"N"),AND(AA633&lt;&gt;"Y",AA633&lt;&gt;"N")),"Incomplete",IF(Z633="Y",20,0)+L633*5+IF(AA633="Y",15,0)+IF(J633="Public",10,IF(J633="Partner",7,IF(J633="Internal",3,0)))+IF(W633="Hard-coded",10,IF(W633="Configurable",3,0))+IF(MAX(I633,AP633)&gt;=10,10,IF(MAX(I633,AP633)&gt;=5,7,IF(MAX(I633,AP633)&gt;=2,3,0)))+IF(K633="High",10,IF(K633="Medium",5,0))))</x:f>
      </x:c>
      <x:c r="AC633" s="73" t="str">
        <x:f>IF(A633="","",IF(NOT(ISNUMBER(AB633)),"Review inputs",IF(AB633&gt;=70,"P0 - Immediate",IF(AB633&gt;=50,"P1 - High",IF(AB633&gt;=30,"P2 - Medium",IF(AB633&gt;=15,"P3 - Low","P4 - Monitor"))))))</x:f>
      </x:c>
      <x:c r="AD633" s="73"/>
      <x:c r="AE633" s="73"/>
      <x:c r="AF633" s="73"/>
      <x:c r="AG633" s="77"/>
      <x:c r="AH633" s="73"/>
      <x:c r="AI633" s="91"/>
      <x:c r="AJ633" s="91"/>
      <x:c r="AK633" s="91"/>
      <x:c r="AL633" s="92"/>
      <x:c r="AM633" s="91"/>
      <x:c r="AN633" s="91"/>
      <x:c r="AO633" s="93"/>
      <x:c r="AP633" s="94"/>
      <x:c r="AQ633" s="91"/>
      <x:c r="AR633" s="91"/>
      <x:c r="AS633" s="91"/>
      <x:c r="AT633" s="91"/>
      <x:c r="AU633" s="91"/>
      <x:c r="AV633" s="91"/>
      <x:c r="AW633" s="91"/>
      <x:c r="AX633" s="91"/>
      <x:c r="AY633" s="91"/>
      <x:c r="AZ633" s="92"/>
      <x:c r="BA633" s="94"/>
      <x:c r="BB633" s="91"/>
      <x:c r="BC633" s="92"/>
      <x:c r="BD633" s="92"/>
      <x:c r="BE633" s="91"/>
      <x:c r="BF633" s="91"/>
      <x:c r="BG633" s="91"/>
      <x:c r="BH633" s="91"/>
      <x:c r="BI633" s="91"/>
      <x:c r="BJ633" s="91"/>
      <x:c r="BK633" s="91"/>
      <x:c r="BL633" s="91"/>
      <x:c r="BM633" s="73" t="str">
        <x:f>IF(A633="","",IF(AI633="Example","Example only",IF(AI633&lt;&gt;"Actual","Set record type",IF(COUNTIF($A$2:$A$1001,A633)&gt;1,"Duplicate record ID",IF(OR(D633="",E633="",AF633="",NOT(ISNUMBER(AG633)),AJ633="",AK633="",NOT(ISNUMBER(AL633)),AND(AM633&lt;&gt;"Observed",AM633&lt;&gt;"Corroborated",AM633&lt;&gt;"Declared"),OR(AN633="",AN633="Unknown"),OR(AQ633="",AQ633="Unknown"),OR(AR633="",AR633="Unknown",AR633="TBD"),OR(BC633="",NOT(ISNUMBER(BC633)))),"Evidence incomplete","Evidence recorded; review scope")))))</x:f>
      </x:c>
      <x:c r="BN633" s="73"/>
    </x:row>
    <x:row r="634" ht="34" customHeight="1">
      <x:c r="A634" s="73"/>
      <x:c r="B634" s="73"/>
      <x:c r="C634" s="73"/>
      <x:c r="D634" s="73"/>
      <x:c r="E634" s="73"/>
      <x:c r="F634" s="73"/>
      <x:c r="G634" s="73"/>
      <x:c r="H634" s="73"/>
      <x:c r="I634" s="75"/>
      <x:c r="J634" s="73"/>
      <x:c r="K634" s="73"/>
      <x:c r="L634" s="76"/>
      <x:c r="M634" s="73"/>
      <x:c r="N634" s="73"/>
      <x:c r="O634" s="73"/>
      <x:c r="P634" s="73"/>
      <x:c r="Q634" s="76"/>
      <x:c r="R634" s="73"/>
      <x:c r="S634" s="73"/>
      <x:c r="T634" s="73"/>
      <x:c r="U634" s="73"/>
      <x:c r="V634" s="73"/>
      <x:c r="W634" s="73"/>
      <x:c r="X634" s="73"/>
      <x:c r="Y634" s="73"/>
      <x:c r="Z634" s="73"/>
      <x:c r="AA634" s="73"/>
      <x:c r="AB634" s="76" t="str">
        <x:f>IF(A634="","",IF(OR(NOT(ISNUMBER(I634)),I634&lt;0,NOT(ISNUMBER(AP634)),AP634&lt;0,NOT(ISNUMBER(L634)),L634&lt;1,L634&gt;5,L634&lt;&gt;INT(L634),AND(J634&lt;&gt;"Public",J634&lt;&gt;"Partner",J634&lt;&gt;"Internal",J634&lt;&gt;"None"),AND(K634&lt;&gt;"High",K634&lt;&gt;"Medium",K634&lt;&gt;"Low",K634&lt;&gt;"None"),AND(W634&lt;&gt;"Hard-coded",W634&lt;&gt;"Configurable",W634&lt;&gt;"Policy-managed",W634&lt;&gt;"API/Library abstraction",W634&lt;&gt;"Automated"),AND(Z634&lt;&gt;"Y",Z634&lt;&gt;"N"),AND(AA634&lt;&gt;"Y",AA634&lt;&gt;"N")),"Incomplete",IF(Z634="Y",20,0)+L634*5+IF(AA634="Y",15,0)+IF(J634="Public",10,IF(J634="Partner",7,IF(J634="Internal",3,0)))+IF(W634="Hard-coded",10,IF(W634="Configurable",3,0))+IF(MAX(I634,AP634)&gt;=10,10,IF(MAX(I634,AP634)&gt;=5,7,IF(MAX(I634,AP634)&gt;=2,3,0)))+IF(K634="High",10,IF(K634="Medium",5,0))))</x:f>
      </x:c>
      <x:c r="AC634" s="73" t="str">
        <x:f>IF(A634="","",IF(NOT(ISNUMBER(AB634)),"Review inputs",IF(AB634&gt;=70,"P0 - Immediate",IF(AB634&gt;=50,"P1 - High",IF(AB634&gt;=30,"P2 - Medium",IF(AB634&gt;=15,"P3 - Low","P4 - Monitor"))))))</x:f>
      </x:c>
      <x:c r="AD634" s="73"/>
      <x:c r="AE634" s="73"/>
      <x:c r="AF634" s="73"/>
      <x:c r="AG634" s="77"/>
      <x:c r="AH634" s="73"/>
      <x:c r="AI634" s="91"/>
      <x:c r="AJ634" s="91"/>
      <x:c r="AK634" s="91"/>
      <x:c r="AL634" s="92"/>
      <x:c r="AM634" s="91"/>
      <x:c r="AN634" s="91"/>
      <x:c r="AO634" s="93"/>
      <x:c r="AP634" s="94"/>
      <x:c r="AQ634" s="91"/>
      <x:c r="AR634" s="91"/>
      <x:c r="AS634" s="91"/>
      <x:c r="AT634" s="91"/>
      <x:c r="AU634" s="91"/>
      <x:c r="AV634" s="91"/>
      <x:c r="AW634" s="91"/>
      <x:c r="AX634" s="91"/>
      <x:c r="AY634" s="91"/>
      <x:c r="AZ634" s="92"/>
      <x:c r="BA634" s="94"/>
      <x:c r="BB634" s="91"/>
      <x:c r="BC634" s="92"/>
      <x:c r="BD634" s="92"/>
      <x:c r="BE634" s="91"/>
      <x:c r="BF634" s="91"/>
      <x:c r="BG634" s="91"/>
      <x:c r="BH634" s="91"/>
      <x:c r="BI634" s="91"/>
      <x:c r="BJ634" s="91"/>
      <x:c r="BK634" s="91"/>
      <x:c r="BL634" s="91"/>
      <x:c r="BM634" s="73" t="str">
        <x:f>IF(A634="","",IF(AI634="Example","Example only",IF(AI634&lt;&gt;"Actual","Set record type",IF(COUNTIF($A$2:$A$1001,A634)&gt;1,"Duplicate record ID",IF(OR(D634="",E634="",AF634="",NOT(ISNUMBER(AG634)),AJ634="",AK634="",NOT(ISNUMBER(AL634)),AND(AM634&lt;&gt;"Observed",AM634&lt;&gt;"Corroborated",AM634&lt;&gt;"Declared"),OR(AN634="",AN634="Unknown"),OR(AQ634="",AQ634="Unknown"),OR(AR634="",AR634="Unknown",AR634="TBD"),OR(BC634="",NOT(ISNUMBER(BC634)))),"Evidence incomplete","Evidence recorded; review scope")))))</x:f>
      </x:c>
      <x:c r="BN634" s="73"/>
    </x:row>
    <x:row r="635" ht="34" customHeight="1">
      <x:c r="A635" s="73"/>
      <x:c r="B635" s="73"/>
      <x:c r="C635" s="73"/>
      <x:c r="D635" s="73"/>
      <x:c r="E635" s="73"/>
      <x:c r="F635" s="73"/>
      <x:c r="G635" s="73"/>
      <x:c r="H635" s="73"/>
      <x:c r="I635" s="75"/>
      <x:c r="J635" s="73"/>
      <x:c r="K635" s="73"/>
      <x:c r="L635" s="76"/>
      <x:c r="M635" s="73"/>
      <x:c r="N635" s="73"/>
      <x:c r="O635" s="73"/>
      <x:c r="P635" s="73"/>
      <x:c r="Q635" s="76"/>
      <x:c r="R635" s="73"/>
      <x:c r="S635" s="73"/>
      <x:c r="T635" s="73"/>
      <x:c r="U635" s="73"/>
      <x:c r="V635" s="73"/>
      <x:c r="W635" s="73"/>
      <x:c r="X635" s="73"/>
      <x:c r="Y635" s="73"/>
      <x:c r="Z635" s="73"/>
      <x:c r="AA635" s="73"/>
      <x:c r="AB635" s="76" t="str">
        <x:f>IF(A635="","",IF(OR(NOT(ISNUMBER(I635)),I635&lt;0,NOT(ISNUMBER(AP635)),AP635&lt;0,NOT(ISNUMBER(L635)),L635&lt;1,L635&gt;5,L635&lt;&gt;INT(L635),AND(J635&lt;&gt;"Public",J635&lt;&gt;"Partner",J635&lt;&gt;"Internal",J635&lt;&gt;"None"),AND(K635&lt;&gt;"High",K635&lt;&gt;"Medium",K635&lt;&gt;"Low",K635&lt;&gt;"None"),AND(W635&lt;&gt;"Hard-coded",W635&lt;&gt;"Configurable",W635&lt;&gt;"Policy-managed",W635&lt;&gt;"API/Library abstraction",W635&lt;&gt;"Automated"),AND(Z635&lt;&gt;"Y",Z635&lt;&gt;"N"),AND(AA635&lt;&gt;"Y",AA635&lt;&gt;"N")),"Incomplete",IF(Z635="Y",20,0)+L635*5+IF(AA635="Y",15,0)+IF(J635="Public",10,IF(J635="Partner",7,IF(J635="Internal",3,0)))+IF(W635="Hard-coded",10,IF(W635="Configurable",3,0))+IF(MAX(I635,AP635)&gt;=10,10,IF(MAX(I635,AP635)&gt;=5,7,IF(MAX(I635,AP635)&gt;=2,3,0)))+IF(K635="High",10,IF(K635="Medium",5,0))))</x:f>
      </x:c>
      <x:c r="AC635" s="73" t="str">
        <x:f>IF(A635="","",IF(NOT(ISNUMBER(AB635)),"Review inputs",IF(AB635&gt;=70,"P0 - Immediate",IF(AB635&gt;=50,"P1 - High",IF(AB635&gt;=30,"P2 - Medium",IF(AB635&gt;=15,"P3 - Low","P4 - Monitor"))))))</x:f>
      </x:c>
      <x:c r="AD635" s="73"/>
      <x:c r="AE635" s="73"/>
      <x:c r="AF635" s="73"/>
      <x:c r="AG635" s="77"/>
      <x:c r="AH635" s="73"/>
      <x:c r="AI635" s="91"/>
      <x:c r="AJ635" s="91"/>
      <x:c r="AK635" s="91"/>
      <x:c r="AL635" s="92"/>
      <x:c r="AM635" s="91"/>
      <x:c r="AN635" s="91"/>
      <x:c r="AO635" s="93"/>
      <x:c r="AP635" s="94"/>
      <x:c r="AQ635" s="91"/>
      <x:c r="AR635" s="91"/>
      <x:c r="AS635" s="91"/>
      <x:c r="AT635" s="91"/>
      <x:c r="AU635" s="91"/>
      <x:c r="AV635" s="91"/>
      <x:c r="AW635" s="91"/>
      <x:c r="AX635" s="91"/>
      <x:c r="AY635" s="91"/>
      <x:c r="AZ635" s="92"/>
      <x:c r="BA635" s="94"/>
      <x:c r="BB635" s="91"/>
      <x:c r="BC635" s="92"/>
      <x:c r="BD635" s="92"/>
      <x:c r="BE635" s="91"/>
      <x:c r="BF635" s="91"/>
      <x:c r="BG635" s="91"/>
      <x:c r="BH635" s="91"/>
      <x:c r="BI635" s="91"/>
      <x:c r="BJ635" s="91"/>
      <x:c r="BK635" s="91"/>
      <x:c r="BL635" s="91"/>
      <x:c r="BM635" s="73" t="str">
        <x:f>IF(A635="","",IF(AI635="Example","Example only",IF(AI635&lt;&gt;"Actual","Set record type",IF(COUNTIF($A$2:$A$1001,A635)&gt;1,"Duplicate record ID",IF(OR(D635="",E635="",AF635="",NOT(ISNUMBER(AG635)),AJ635="",AK635="",NOT(ISNUMBER(AL635)),AND(AM635&lt;&gt;"Observed",AM635&lt;&gt;"Corroborated",AM635&lt;&gt;"Declared"),OR(AN635="",AN635="Unknown"),OR(AQ635="",AQ635="Unknown"),OR(AR635="",AR635="Unknown",AR635="TBD"),OR(BC635="",NOT(ISNUMBER(BC635)))),"Evidence incomplete","Evidence recorded; review scope")))))</x:f>
      </x:c>
      <x:c r="BN635" s="73"/>
    </x:row>
    <x:row r="636" ht="34" customHeight="1">
      <x:c r="A636" s="73"/>
      <x:c r="B636" s="73"/>
      <x:c r="C636" s="73"/>
      <x:c r="D636" s="73"/>
      <x:c r="E636" s="73"/>
      <x:c r="F636" s="73"/>
      <x:c r="G636" s="73"/>
      <x:c r="H636" s="73"/>
      <x:c r="I636" s="75"/>
      <x:c r="J636" s="73"/>
      <x:c r="K636" s="73"/>
      <x:c r="L636" s="76"/>
      <x:c r="M636" s="73"/>
      <x:c r="N636" s="73"/>
      <x:c r="O636" s="73"/>
      <x:c r="P636" s="73"/>
      <x:c r="Q636" s="76"/>
      <x:c r="R636" s="73"/>
      <x:c r="S636" s="73"/>
      <x:c r="T636" s="73"/>
      <x:c r="U636" s="73"/>
      <x:c r="V636" s="73"/>
      <x:c r="W636" s="73"/>
      <x:c r="X636" s="73"/>
      <x:c r="Y636" s="73"/>
      <x:c r="Z636" s="73"/>
      <x:c r="AA636" s="73"/>
      <x:c r="AB636" s="76" t="str">
        <x:f>IF(A636="","",IF(OR(NOT(ISNUMBER(I636)),I636&lt;0,NOT(ISNUMBER(AP636)),AP636&lt;0,NOT(ISNUMBER(L636)),L636&lt;1,L636&gt;5,L636&lt;&gt;INT(L636),AND(J636&lt;&gt;"Public",J636&lt;&gt;"Partner",J636&lt;&gt;"Internal",J636&lt;&gt;"None"),AND(K636&lt;&gt;"High",K636&lt;&gt;"Medium",K636&lt;&gt;"Low",K636&lt;&gt;"None"),AND(W636&lt;&gt;"Hard-coded",W636&lt;&gt;"Configurable",W636&lt;&gt;"Policy-managed",W636&lt;&gt;"API/Library abstraction",W636&lt;&gt;"Automated"),AND(Z636&lt;&gt;"Y",Z636&lt;&gt;"N"),AND(AA636&lt;&gt;"Y",AA636&lt;&gt;"N")),"Incomplete",IF(Z636="Y",20,0)+L636*5+IF(AA636="Y",15,0)+IF(J636="Public",10,IF(J636="Partner",7,IF(J636="Internal",3,0)))+IF(W636="Hard-coded",10,IF(W636="Configurable",3,0))+IF(MAX(I636,AP636)&gt;=10,10,IF(MAX(I636,AP636)&gt;=5,7,IF(MAX(I636,AP636)&gt;=2,3,0)))+IF(K636="High",10,IF(K636="Medium",5,0))))</x:f>
      </x:c>
      <x:c r="AC636" s="73" t="str">
        <x:f>IF(A636="","",IF(NOT(ISNUMBER(AB636)),"Review inputs",IF(AB636&gt;=70,"P0 - Immediate",IF(AB636&gt;=50,"P1 - High",IF(AB636&gt;=30,"P2 - Medium",IF(AB636&gt;=15,"P3 - Low","P4 - Monitor"))))))</x:f>
      </x:c>
      <x:c r="AD636" s="73"/>
      <x:c r="AE636" s="73"/>
      <x:c r="AF636" s="73"/>
      <x:c r="AG636" s="77"/>
      <x:c r="AH636" s="73"/>
      <x:c r="AI636" s="91"/>
      <x:c r="AJ636" s="91"/>
      <x:c r="AK636" s="91"/>
      <x:c r="AL636" s="92"/>
      <x:c r="AM636" s="91"/>
      <x:c r="AN636" s="91"/>
      <x:c r="AO636" s="93"/>
      <x:c r="AP636" s="94"/>
      <x:c r="AQ636" s="91"/>
      <x:c r="AR636" s="91"/>
      <x:c r="AS636" s="91"/>
      <x:c r="AT636" s="91"/>
      <x:c r="AU636" s="91"/>
      <x:c r="AV636" s="91"/>
      <x:c r="AW636" s="91"/>
      <x:c r="AX636" s="91"/>
      <x:c r="AY636" s="91"/>
      <x:c r="AZ636" s="92"/>
      <x:c r="BA636" s="94"/>
      <x:c r="BB636" s="91"/>
      <x:c r="BC636" s="92"/>
      <x:c r="BD636" s="92"/>
      <x:c r="BE636" s="91"/>
      <x:c r="BF636" s="91"/>
      <x:c r="BG636" s="91"/>
      <x:c r="BH636" s="91"/>
      <x:c r="BI636" s="91"/>
      <x:c r="BJ636" s="91"/>
      <x:c r="BK636" s="91"/>
      <x:c r="BL636" s="91"/>
      <x:c r="BM636" s="73" t="str">
        <x:f>IF(A636="","",IF(AI636="Example","Example only",IF(AI636&lt;&gt;"Actual","Set record type",IF(COUNTIF($A$2:$A$1001,A636)&gt;1,"Duplicate record ID",IF(OR(D636="",E636="",AF636="",NOT(ISNUMBER(AG636)),AJ636="",AK636="",NOT(ISNUMBER(AL636)),AND(AM636&lt;&gt;"Observed",AM636&lt;&gt;"Corroborated",AM636&lt;&gt;"Declared"),OR(AN636="",AN636="Unknown"),OR(AQ636="",AQ636="Unknown"),OR(AR636="",AR636="Unknown",AR636="TBD"),OR(BC636="",NOT(ISNUMBER(BC636)))),"Evidence incomplete","Evidence recorded; review scope")))))</x:f>
      </x:c>
      <x:c r="BN636" s="73"/>
    </x:row>
    <x:row r="637" ht="34" customHeight="1">
      <x:c r="A637" s="73"/>
      <x:c r="B637" s="73"/>
      <x:c r="C637" s="73"/>
      <x:c r="D637" s="73"/>
      <x:c r="E637" s="73"/>
      <x:c r="F637" s="73"/>
      <x:c r="G637" s="73"/>
      <x:c r="H637" s="73"/>
      <x:c r="I637" s="75"/>
      <x:c r="J637" s="73"/>
      <x:c r="K637" s="73"/>
      <x:c r="L637" s="76"/>
      <x:c r="M637" s="73"/>
      <x:c r="N637" s="73"/>
      <x:c r="O637" s="73"/>
      <x:c r="P637" s="73"/>
      <x:c r="Q637" s="76"/>
      <x:c r="R637" s="73"/>
      <x:c r="S637" s="73"/>
      <x:c r="T637" s="73"/>
      <x:c r="U637" s="73"/>
      <x:c r="V637" s="73"/>
      <x:c r="W637" s="73"/>
      <x:c r="X637" s="73"/>
      <x:c r="Y637" s="73"/>
      <x:c r="Z637" s="73"/>
      <x:c r="AA637" s="73"/>
      <x:c r="AB637" s="76" t="str">
        <x:f>IF(A637="","",IF(OR(NOT(ISNUMBER(I637)),I637&lt;0,NOT(ISNUMBER(AP637)),AP637&lt;0,NOT(ISNUMBER(L637)),L637&lt;1,L637&gt;5,L637&lt;&gt;INT(L637),AND(J637&lt;&gt;"Public",J637&lt;&gt;"Partner",J637&lt;&gt;"Internal",J637&lt;&gt;"None"),AND(K637&lt;&gt;"High",K637&lt;&gt;"Medium",K637&lt;&gt;"Low",K637&lt;&gt;"None"),AND(W637&lt;&gt;"Hard-coded",W637&lt;&gt;"Configurable",W637&lt;&gt;"Policy-managed",W637&lt;&gt;"API/Library abstraction",W637&lt;&gt;"Automated"),AND(Z637&lt;&gt;"Y",Z637&lt;&gt;"N"),AND(AA637&lt;&gt;"Y",AA637&lt;&gt;"N")),"Incomplete",IF(Z637="Y",20,0)+L637*5+IF(AA637="Y",15,0)+IF(J637="Public",10,IF(J637="Partner",7,IF(J637="Internal",3,0)))+IF(W637="Hard-coded",10,IF(W637="Configurable",3,0))+IF(MAX(I637,AP637)&gt;=10,10,IF(MAX(I637,AP637)&gt;=5,7,IF(MAX(I637,AP637)&gt;=2,3,0)))+IF(K637="High",10,IF(K637="Medium",5,0))))</x:f>
      </x:c>
      <x:c r="AC637" s="73" t="str">
        <x:f>IF(A637="","",IF(NOT(ISNUMBER(AB637)),"Review inputs",IF(AB637&gt;=70,"P0 - Immediate",IF(AB637&gt;=50,"P1 - High",IF(AB637&gt;=30,"P2 - Medium",IF(AB637&gt;=15,"P3 - Low","P4 - Monitor"))))))</x:f>
      </x:c>
      <x:c r="AD637" s="73"/>
      <x:c r="AE637" s="73"/>
      <x:c r="AF637" s="73"/>
      <x:c r="AG637" s="77"/>
      <x:c r="AH637" s="73"/>
      <x:c r="AI637" s="91"/>
      <x:c r="AJ637" s="91"/>
      <x:c r="AK637" s="91"/>
      <x:c r="AL637" s="92"/>
      <x:c r="AM637" s="91"/>
      <x:c r="AN637" s="91"/>
      <x:c r="AO637" s="93"/>
      <x:c r="AP637" s="94"/>
      <x:c r="AQ637" s="91"/>
      <x:c r="AR637" s="91"/>
      <x:c r="AS637" s="91"/>
      <x:c r="AT637" s="91"/>
      <x:c r="AU637" s="91"/>
      <x:c r="AV637" s="91"/>
      <x:c r="AW637" s="91"/>
      <x:c r="AX637" s="91"/>
      <x:c r="AY637" s="91"/>
      <x:c r="AZ637" s="92"/>
      <x:c r="BA637" s="94"/>
      <x:c r="BB637" s="91"/>
      <x:c r="BC637" s="92"/>
      <x:c r="BD637" s="92"/>
      <x:c r="BE637" s="91"/>
      <x:c r="BF637" s="91"/>
      <x:c r="BG637" s="91"/>
      <x:c r="BH637" s="91"/>
      <x:c r="BI637" s="91"/>
      <x:c r="BJ637" s="91"/>
      <x:c r="BK637" s="91"/>
      <x:c r="BL637" s="91"/>
      <x:c r="BM637" s="73" t="str">
        <x:f>IF(A637="","",IF(AI637="Example","Example only",IF(AI637&lt;&gt;"Actual","Set record type",IF(COUNTIF($A$2:$A$1001,A637)&gt;1,"Duplicate record ID",IF(OR(D637="",E637="",AF637="",NOT(ISNUMBER(AG637)),AJ637="",AK637="",NOT(ISNUMBER(AL637)),AND(AM637&lt;&gt;"Observed",AM637&lt;&gt;"Corroborated",AM637&lt;&gt;"Declared"),OR(AN637="",AN637="Unknown"),OR(AQ637="",AQ637="Unknown"),OR(AR637="",AR637="Unknown",AR637="TBD"),OR(BC637="",NOT(ISNUMBER(BC637)))),"Evidence incomplete","Evidence recorded; review scope")))))</x:f>
      </x:c>
      <x:c r="BN637" s="73"/>
    </x:row>
    <x:row r="638" ht="34" customHeight="1">
      <x:c r="A638" s="73"/>
      <x:c r="B638" s="73"/>
      <x:c r="C638" s="73"/>
      <x:c r="D638" s="73"/>
      <x:c r="E638" s="73"/>
      <x:c r="F638" s="73"/>
      <x:c r="G638" s="73"/>
      <x:c r="H638" s="73"/>
      <x:c r="I638" s="75"/>
      <x:c r="J638" s="73"/>
      <x:c r="K638" s="73"/>
      <x:c r="L638" s="76"/>
      <x:c r="M638" s="73"/>
      <x:c r="N638" s="73"/>
      <x:c r="O638" s="73"/>
      <x:c r="P638" s="73"/>
      <x:c r="Q638" s="76"/>
      <x:c r="R638" s="73"/>
      <x:c r="S638" s="73"/>
      <x:c r="T638" s="73"/>
      <x:c r="U638" s="73"/>
      <x:c r="V638" s="73"/>
      <x:c r="W638" s="73"/>
      <x:c r="X638" s="73"/>
      <x:c r="Y638" s="73"/>
      <x:c r="Z638" s="73"/>
      <x:c r="AA638" s="73"/>
      <x:c r="AB638" s="76" t="str">
        <x:f>IF(A638="","",IF(OR(NOT(ISNUMBER(I638)),I638&lt;0,NOT(ISNUMBER(AP638)),AP638&lt;0,NOT(ISNUMBER(L638)),L638&lt;1,L638&gt;5,L638&lt;&gt;INT(L638),AND(J638&lt;&gt;"Public",J638&lt;&gt;"Partner",J638&lt;&gt;"Internal",J638&lt;&gt;"None"),AND(K638&lt;&gt;"High",K638&lt;&gt;"Medium",K638&lt;&gt;"Low",K638&lt;&gt;"None"),AND(W638&lt;&gt;"Hard-coded",W638&lt;&gt;"Configurable",W638&lt;&gt;"Policy-managed",W638&lt;&gt;"API/Library abstraction",W638&lt;&gt;"Automated"),AND(Z638&lt;&gt;"Y",Z638&lt;&gt;"N"),AND(AA638&lt;&gt;"Y",AA638&lt;&gt;"N")),"Incomplete",IF(Z638="Y",20,0)+L638*5+IF(AA638="Y",15,0)+IF(J638="Public",10,IF(J638="Partner",7,IF(J638="Internal",3,0)))+IF(W638="Hard-coded",10,IF(W638="Configurable",3,0))+IF(MAX(I638,AP638)&gt;=10,10,IF(MAX(I638,AP638)&gt;=5,7,IF(MAX(I638,AP638)&gt;=2,3,0)))+IF(K638="High",10,IF(K638="Medium",5,0))))</x:f>
      </x:c>
      <x:c r="AC638" s="73" t="str">
        <x:f>IF(A638="","",IF(NOT(ISNUMBER(AB638)),"Review inputs",IF(AB638&gt;=70,"P0 - Immediate",IF(AB638&gt;=50,"P1 - High",IF(AB638&gt;=30,"P2 - Medium",IF(AB638&gt;=15,"P3 - Low","P4 - Monitor"))))))</x:f>
      </x:c>
      <x:c r="AD638" s="73"/>
      <x:c r="AE638" s="73"/>
      <x:c r="AF638" s="73"/>
      <x:c r="AG638" s="77"/>
      <x:c r="AH638" s="73"/>
      <x:c r="AI638" s="91"/>
      <x:c r="AJ638" s="91"/>
      <x:c r="AK638" s="91"/>
      <x:c r="AL638" s="92"/>
      <x:c r="AM638" s="91"/>
      <x:c r="AN638" s="91"/>
      <x:c r="AO638" s="93"/>
      <x:c r="AP638" s="94"/>
      <x:c r="AQ638" s="91"/>
      <x:c r="AR638" s="91"/>
      <x:c r="AS638" s="91"/>
      <x:c r="AT638" s="91"/>
      <x:c r="AU638" s="91"/>
      <x:c r="AV638" s="91"/>
      <x:c r="AW638" s="91"/>
      <x:c r="AX638" s="91"/>
      <x:c r="AY638" s="91"/>
      <x:c r="AZ638" s="92"/>
      <x:c r="BA638" s="94"/>
      <x:c r="BB638" s="91"/>
      <x:c r="BC638" s="92"/>
      <x:c r="BD638" s="92"/>
      <x:c r="BE638" s="91"/>
      <x:c r="BF638" s="91"/>
      <x:c r="BG638" s="91"/>
      <x:c r="BH638" s="91"/>
      <x:c r="BI638" s="91"/>
      <x:c r="BJ638" s="91"/>
      <x:c r="BK638" s="91"/>
      <x:c r="BL638" s="91"/>
      <x:c r="BM638" s="73" t="str">
        <x:f>IF(A638="","",IF(AI638="Example","Example only",IF(AI638&lt;&gt;"Actual","Set record type",IF(COUNTIF($A$2:$A$1001,A638)&gt;1,"Duplicate record ID",IF(OR(D638="",E638="",AF638="",NOT(ISNUMBER(AG638)),AJ638="",AK638="",NOT(ISNUMBER(AL638)),AND(AM638&lt;&gt;"Observed",AM638&lt;&gt;"Corroborated",AM638&lt;&gt;"Declared"),OR(AN638="",AN638="Unknown"),OR(AQ638="",AQ638="Unknown"),OR(AR638="",AR638="Unknown",AR638="TBD"),OR(BC638="",NOT(ISNUMBER(BC638)))),"Evidence incomplete","Evidence recorded; review scope")))))</x:f>
      </x:c>
      <x:c r="BN638" s="73"/>
    </x:row>
    <x:row r="639" ht="34" customHeight="1">
      <x:c r="A639" s="73"/>
      <x:c r="B639" s="73"/>
      <x:c r="C639" s="73"/>
      <x:c r="D639" s="73"/>
      <x:c r="E639" s="73"/>
      <x:c r="F639" s="73"/>
      <x:c r="G639" s="73"/>
      <x:c r="H639" s="73"/>
      <x:c r="I639" s="75"/>
      <x:c r="J639" s="73"/>
      <x:c r="K639" s="73"/>
      <x:c r="L639" s="76"/>
      <x:c r="M639" s="73"/>
      <x:c r="N639" s="73"/>
      <x:c r="O639" s="73"/>
      <x:c r="P639" s="73"/>
      <x:c r="Q639" s="76"/>
      <x:c r="R639" s="73"/>
      <x:c r="S639" s="73"/>
      <x:c r="T639" s="73"/>
      <x:c r="U639" s="73"/>
      <x:c r="V639" s="73"/>
      <x:c r="W639" s="73"/>
      <x:c r="X639" s="73"/>
      <x:c r="Y639" s="73"/>
      <x:c r="Z639" s="73"/>
      <x:c r="AA639" s="73"/>
      <x:c r="AB639" s="76" t="str">
        <x:f>IF(A639="","",IF(OR(NOT(ISNUMBER(I639)),I639&lt;0,NOT(ISNUMBER(AP639)),AP639&lt;0,NOT(ISNUMBER(L639)),L639&lt;1,L639&gt;5,L639&lt;&gt;INT(L639),AND(J639&lt;&gt;"Public",J639&lt;&gt;"Partner",J639&lt;&gt;"Internal",J639&lt;&gt;"None"),AND(K639&lt;&gt;"High",K639&lt;&gt;"Medium",K639&lt;&gt;"Low",K639&lt;&gt;"None"),AND(W639&lt;&gt;"Hard-coded",W639&lt;&gt;"Configurable",W639&lt;&gt;"Policy-managed",W639&lt;&gt;"API/Library abstraction",W639&lt;&gt;"Automated"),AND(Z639&lt;&gt;"Y",Z639&lt;&gt;"N"),AND(AA639&lt;&gt;"Y",AA639&lt;&gt;"N")),"Incomplete",IF(Z639="Y",20,0)+L639*5+IF(AA639="Y",15,0)+IF(J639="Public",10,IF(J639="Partner",7,IF(J639="Internal",3,0)))+IF(W639="Hard-coded",10,IF(W639="Configurable",3,0))+IF(MAX(I639,AP639)&gt;=10,10,IF(MAX(I639,AP639)&gt;=5,7,IF(MAX(I639,AP639)&gt;=2,3,0)))+IF(K639="High",10,IF(K639="Medium",5,0))))</x:f>
      </x:c>
      <x:c r="AC639" s="73" t="str">
        <x:f>IF(A639="","",IF(NOT(ISNUMBER(AB639)),"Review inputs",IF(AB639&gt;=70,"P0 - Immediate",IF(AB639&gt;=50,"P1 - High",IF(AB639&gt;=30,"P2 - Medium",IF(AB639&gt;=15,"P3 - Low","P4 - Monitor"))))))</x:f>
      </x:c>
      <x:c r="AD639" s="73"/>
      <x:c r="AE639" s="73"/>
      <x:c r="AF639" s="73"/>
      <x:c r="AG639" s="77"/>
      <x:c r="AH639" s="73"/>
      <x:c r="AI639" s="91"/>
      <x:c r="AJ639" s="91"/>
      <x:c r="AK639" s="91"/>
      <x:c r="AL639" s="92"/>
      <x:c r="AM639" s="91"/>
      <x:c r="AN639" s="91"/>
      <x:c r="AO639" s="93"/>
      <x:c r="AP639" s="94"/>
      <x:c r="AQ639" s="91"/>
      <x:c r="AR639" s="91"/>
      <x:c r="AS639" s="91"/>
      <x:c r="AT639" s="91"/>
      <x:c r="AU639" s="91"/>
      <x:c r="AV639" s="91"/>
      <x:c r="AW639" s="91"/>
      <x:c r="AX639" s="91"/>
      <x:c r="AY639" s="91"/>
      <x:c r="AZ639" s="92"/>
      <x:c r="BA639" s="94"/>
      <x:c r="BB639" s="91"/>
      <x:c r="BC639" s="92"/>
      <x:c r="BD639" s="92"/>
      <x:c r="BE639" s="91"/>
      <x:c r="BF639" s="91"/>
      <x:c r="BG639" s="91"/>
      <x:c r="BH639" s="91"/>
      <x:c r="BI639" s="91"/>
      <x:c r="BJ639" s="91"/>
      <x:c r="BK639" s="91"/>
      <x:c r="BL639" s="91"/>
      <x:c r="BM639" s="73" t="str">
        <x:f>IF(A639="","",IF(AI639="Example","Example only",IF(AI639&lt;&gt;"Actual","Set record type",IF(COUNTIF($A$2:$A$1001,A639)&gt;1,"Duplicate record ID",IF(OR(D639="",E639="",AF639="",NOT(ISNUMBER(AG639)),AJ639="",AK639="",NOT(ISNUMBER(AL639)),AND(AM639&lt;&gt;"Observed",AM639&lt;&gt;"Corroborated",AM639&lt;&gt;"Declared"),OR(AN639="",AN639="Unknown"),OR(AQ639="",AQ639="Unknown"),OR(AR639="",AR639="Unknown",AR639="TBD"),OR(BC639="",NOT(ISNUMBER(BC639)))),"Evidence incomplete","Evidence recorded; review scope")))))</x:f>
      </x:c>
      <x:c r="BN639" s="73"/>
    </x:row>
    <x:row r="640" ht="34" customHeight="1">
      <x:c r="A640" s="73"/>
      <x:c r="B640" s="73"/>
      <x:c r="C640" s="73"/>
      <x:c r="D640" s="73"/>
      <x:c r="E640" s="73"/>
      <x:c r="F640" s="73"/>
      <x:c r="G640" s="73"/>
      <x:c r="H640" s="73"/>
      <x:c r="I640" s="75"/>
      <x:c r="J640" s="73"/>
      <x:c r="K640" s="73"/>
      <x:c r="L640" s="76"/>
      <x:c r="M640" s="73"/>
      <x:c r="N640" s="73"/>
      <x:c r="O640" s="73"/>
      <x:c r="P640" s="73"/>
      <x:c r="Q640" s="76"/>
      <x:c r="R640" s="73"/>
      <x:c r="S640" s="73"/>
      <x:c r="T640" s="73"/>
      <x:c r="U640" s="73"/>
      <x:c r="V640" s="73"/>
      <x:c r="W640" s="73"/>
      <x:c r="X640" s="73"/>
      <x:c r="Y640" s="73"/>
      <x:c r="Z640" s="73"/>
      <x:c r="AA640" s="73"/>
      <x:c r="AB640" s="76" t="str">
        <x:f>IF(A640="","",IF(OR(NOT(ISNUMBER(I640)),I640&lt;0,NOT(ISNUMBER(AP640)),AP640&lt;0,NOT(ISNUMBER(L640)),L640&lt;1,L640&gt;5,L640&lt;&gt;INT(L640),AND(J640&lt;&gt;"Public",J640&lt;&gt;"Partner",J640&lt;&gt;"Internal",J640&lt;&gt;"None"),AND(K640&lt;&gt;"High",K640&lt;&gt;"Medium",K640&lt;&gt;"Low",K640&lt;&gt;"None"),AND(W640&lt;&gt;"Hard-coded",W640&lt;&gt;"Configurable",W640&lt;&gt;"Policy-managed",W640&lt;&gt;"API/Library abstraction",W640&lt;&gt;"Automated"),AND(Z640&lt;&gt;"Y",Z640&lt;&gt;"N"),AND(AA640&lt;&gt;"Y",AA640&lt;&gt;"N")),"Incomplete",IF(Z640="Y",20,0)+L640*5+IF(AA640="Y",15,0)+IF(J640="Public",10,IF(J640="Partner",7,IF(J640="Internal",3,0)))+IF(W640="Hard-coded",10,IF(W640="Configurable",3,0))+IF(MAX(I640,AP640)&gt;=10,10,IF(MAX(I640,AP640)&gt;=5,7,IF(MAX(I640,AP640)&gt;=2,3,0)))+IF(K640="High",10,IF(K640="Medium",5,0))))</x:f>
      </x:c>
      <x:c r="AC640" s="73" t="str">
        <x:f>IF(A640="","",IF(NOT(ISNUMBER(AB640)),"Review inputs",IF(AB640&gt;=70,"P0 - Immediate",IF(AB640&gt;=50,"P1 - High",IF(AB640&gt;=30,"P2 - Medium",IF(AB640&gt;=15,"P3 - Low","P4 - Monitor"))))))</x:f>
      </x:c>
      <x:c r="AD640" s="73"/>
      <x:c r="AE640" s="73"/>
      <x:c r="AF640" s="73"/>
      <x:c r="AG640" s="77"/>
      <x:c r="AH640" s="73"/>
      <x:c r="AI640" s="91"/>
      <x:c r="AJ640" s="91"/>
      <x:c r="AK640" s="91"/>
      <x:c r="AL640" s="92"/>
      <x:c r="AM640" s="91"/>
      <x:c r="AN640" s="91"/>
      <x:c r="AO640" s="93"/>
      <x:c r="AP640" s="94"/>
      <x:c r="AQ640" s="91"/>
      <x:c r="AR640" s="91"/>
      <x:c r="AS640" s="91"/>
      <x:c r="AT640" s="91"/>
      <x:c r="AU640" s="91"/>
      <x:c r="AV640" s="91"/>
      <x:c r="AW640" s="91"/>
      <x:c r="AX640" s="91"/>
      <x:c r="AY640" s="91"/>
      <x:c r="AZ640" s="92"/>
      <x:c r="BA640" s="94"/>
      <x:c r="BB640" s="91"/>
      <x:c r="BC640" s="92"/>
      <x:c r="BD640" s="92"/>
      <x:c r="BE640" s="91"/>
      <x:c r="BF640" s="91"/>
      <x:c r="BG640" s="91"/>
      <x:c r="BH640" s="91"/>
      <x:c r="BI640" s="91"/>
      <x:c r="BJ640" s="91"/>
      <x:c r="BK640" s="91"/>
      <x:c r="BL640" s="91"/>
      <x:c r="BM640" s="73" t="str">
        <x:f>IF(A640="","",IF(AI640="Example","Example only",IF(AI640&lt;&gt;"Actual","Set record type",IF(COUNTIF($A$2:$A$1001,A640)&gt;1,"Duplicate record ID",IF(OR(D640="",E640="",AF640="",NOT(ISNUMBER(AG640)),AJ640="",AK640="",NOT(ISNUMBER(AL640)),AND(AM640&lt;&gt;"Observed",AM640&lt;&gt;"Corroborated",AM640&lt;&gt;"Declared"),OR(AN640="",AN640="Unknown"),OR(AQ640="",AQ640="Unknown"),OR(AR640="",AR640="Unknown",AR640="TBD"),OR(BC640="",NOT(ISNUMBER(BC640)))),"Evidence incomplete","Evidence recorded; review scope")))))</x:f>
      </x:c>
      <x:c r="BN640" s="73"/>
    </x:row>
    <x:row r="641" ht="34" customHeight="1">
      <x:c r="A641" s="73"/>
      <x:c r="B641" s="73"/>
      <x:c r="C641" s="73"/>
      <x:c r="D641" s="73"/>
      <x:c r="E641" s="73"/>
      <x:c r="F641" s="73"/>
      <x:c r="G641" s="73"/>
      <x:c r="H641" s="73"/>
      <x:c r="I641" s="75"/>
      <x:c r="J641" s="73"/>
      <x:c r="K641" s="73"/>
      <x:c r="L641" s="76"/>
      <x:c r="M641" s="73"/>
      <x:c r="N641" s="73"/>
      <x:c r="O641" s="73"/>
      <x:c r="P641" s="73"/>
      <x:c r="Q641" s="76"/>
      <x:c r="R641" s="73"/>
      <x:c r="S641" s="73"/>
      <x:c r="T641" s="73"/>
      <x:c r="U641" s="73"/>
      <x:c r="V641" s="73"/>
      <x:c r="W641" s="73"/>
      <x:c r="X641" s="73"/>
      <x:c r="Y641" s="73"/>
      <x:c r="Z641" s="73"/>
      <x:c r="AA641" s="73"/>
      <x:c r="AB641" s="76" t="str">
        <x:f>IF(A641="","",IF(OR(NOT(ISNUMBER(I641)),I641&lt;0,NOT(ISNUMBER(AP641)),AP641&lt;0,NOT(ISNUMBER(L641)),L641&lt;1,L641&gt;5,L641&lt;&gt;INT(L641),AND(J641&lt;&gt;"Public",J641&lt;&gt;"Partner",J641&lt;&gt;"Internal",J641&lt;&gt;"None"),AND(K641&lt;&gt;"High",K641&lt;&gt;"Medium",K641&lt;&gt;"Low",K641&lt;&gt;"None"),AND(W641&lt;&gt;"Hard-coded",W641&lt;&gt;"Configurable",W641&lt;&gt;"Policy-managed",W641&lt;&gt;"API/Library abstraction",W641&lt;&gt;"Automated"),AND(Z641&lt;&gt;"Y",Z641&lt;&gt;"N"),AND(AA641&lt;&gt;"Y",AA641&lt;&gt;"N")),"Incomplete",IF(Z641="Y",20,0)+L641*5+IF(AA641="Y",15,0)+IF(J641="Public",10,IF(J641="Partner",7,IF(J641="Internal",3,0)))+IF(W641="Hard-coded",10,IF(W641="Configurable",3,0))+IF(MAX(I641,AP641)&gt;=10,10,IF(MAX(I641,AP641)&gt;=5,7,IF(MAX(I641,AP641)&gt;=2,3,0)))+IF(K641="High",10,IF(K641="Medium",5,0))))</x:f>
      </x:c>
      <x:c r="AC641" s="73" t="str">
        <x:f>IF(A641="","",IF(NOT(ISNUMBER(AB641)),"Review inputs",IF(AB641&gt;=70,"P0 - Immediate",IF(AB641&gt;=50,"P1 - High",IF(AB641&gt;=30,"P2 - Medium",IF(AB641&gt;=15,"P3 - Low","P4 - Monitor"))))))</x:f>
      </x:c>
      <x:c r="AD641" s="73"/>
      <x:c r="AE641" s="73"/>
      <x:c r="AF641" s="73"/>
      <x:c r="AG641" s="77"/>
      <x:c r="AH641" s="73"/>
      <x:c r="AI641" s="91"/>
      <x:c r="AJ641" s="91"/>
      <x:c r="AK641" s="91"/>
      <x:c r="AL641" s="92"/>
      <x:c r="AM641" s="91"/>
      <x:c r="AN641" s="91"/>
      <x:c r="AO641" s="93"/>
      <x:c r="AP641" s="94"/>
      <x:c r="AQ641" s="91"/>
      <x:c r="AR641" s="91"/>
      <x:c r="AS641" s="91"/>
      <x:c r="AT641" s="91"/>
      <x:c r="AU641" s="91"/>
      <x:c r="AV641" s="91"/>
      <x:c r="AW641" s="91"/>
      <x:c r="AX641" s="91"/>
      <x:c r="AY641" s="91"/>
      <x:c r="AZ641" s="92"/>
      <x:c r="BA641" s="94"/>
      <x:c r="BB641" s="91"/>
      <x:c r="BC641" s="92"/>
      <x:c r="BD641" s="92"/>
      <x:c r="BE641" s="91"/>
      <x:c r="BF641" s="91"/>
      <x:c r="BG641" s="91"/>
      <x:c r="BH641" s="91"/>
      <x:c r="BI641" s="91"/>
      <x:c r="BJ641" s="91"/>
      <x:c r="BK641" s="91"/>
      <x:c r="BL641" s="91"/>
      <x:c r="BM641" s="73" t="str">
        <x:f>IF(A641="","",IF(AI641="Example","Example only",IF(AI641&lt;&gt;"Actual","Set record type",IF(COUNTIF($A$2:$A$1001,A641)&gt;1,"Duplicate record ID",IF(OR(D641="",E641="",AF641="",NOT(ISNUMBER(AG641)),AJ641="",AK641="",NOT(ISNUMBER(AL641)),AND(AM641&lt;&gt;"Observed",AM641&lt;&gt;"Corroborated",AM641&lt;&gt;"Declared"),OR(AN641="",AN641="Unknown"),OR(AQ641="",AQ641="Unknown"),OR(AR641="",AR641="Unknown",AR641="TBD"),OR(BC641="",NOT(ISNUMBER(BC641)))),"Evidence incomplete","Evidence recorded; review scope")))))</x:f>
      </x:c>
      <x:c r="BN641" s="73"/>
    </x:row>
    <x:row r="642" ht="34" customHeight="1">
      <x:c r="A642" s="73"/>
      <x:c r="B642" s="73"/>
      <x:c r="C642" s="73"/>
      <x:c r="D642" s="73"/>
      <x:c r="E642" s="73"/>
      <x:c r="F642" s="73"/>
      <x:c r="G642" s="73"/>
      <x:c r="H642" s="73"/>
      <x:c r="I642" s="75"/>
      <x:c r="J642" s="73"/>
      <x:c r="K642" s="73"/>
      <x:c r="L642" s="76"/>
      <x:c r="M642" s="73"/>
      <x:c r="N642" s="73"/>
      <x:c r="O642" s="73"/>
      <x:c r="P642" s="73"/>
      <x:c r="Q642" s="76"/>
      <x:c r="R642" s="73"/>
      <x:c r="S642" s="73"/>
      <x:c r="T642" s="73"/>
      <x:c r="U642" s="73"/>
      <x:c r="V642" s="73"/>
      <x:c r="W642" s="73"/>
      <x:c r="X642" s="73"/>
      <x:c r="Y642" s="73"/>
      <x:c r="Z642" s="73"/>
      <x:c r="AA642" s="73"/>
      <x:c r="AB642" s="76" t="str">
        <x:f>IF(A642="","",IF(OR(NOT(ISNUMBER(I642)),I642&lt;0,NOT(ISNUMBER(AP642)),AP642&lt;0,NOT(ISNUMBER(L642)),L642&lt;1,L642&gt;5,L642&lt;&gt;INT(L642),AND(J642&lt;&gt;"Public",J642&lt;&gt;"Partner",J642&lt;&gt;"Internal",J642&lt;&gt;"None"),AND(K642&lt;&gt;"High",K642&lt;&gt;"Medium",K642&lt;&gt;"Low",K642&lt;&gt;"None"),AND(W642&lt;&gt;"Hard-coded",W642&lt;&gt;"Configurable",W642&lt;&gt;"Policy-managed",W642&lt;&gt;"API/Library abstraction",W642&lt;&gt;"Automated"),AND(Z642&lt;&gt;"Y",Z642&lt;&gt;"N"),AND(AA642&lt;&gt;"Y",AA642&lt;&gt;"N")),"Incomplete",IF(Z642="Y",20,0)+L642*5+IF(AA642="Y",15,0)+IF(J642="Public",10,IF(J642="Partner",7,IF(J642="Internal",3,0)))+IF(W642="Hard-coded",10,IF(W642="Configurable",3,0))+IF(MAX(I642,AP642)&gt;=10,10,IF(MAX(I642,AP642)&gt;=5,7,IF(MAX(I642,AP642)&gt;=2,3,0)))+IF(K642="High",10,IF(K642="Medium",5,0))))</x:f>
      </x:c>
      <x:c r="AC642" s="73" t="str">
        <x:f>IF(A642="","",IF(NOT(ISNUMBER(AB642)),"Review inputs",IF(AB642&gt;=70,"P0 - Immediate",IF(AB642&gt;=50,"P1 - High",IF(AB642&gt;=30,"P2 - Medium",IF(AB642&gt;=15,"P3 - Low","P4 - Monitor"))))))</x:f>
      </x:c>
      <x:c r="AD642" s="73"/>
      <x:c r="AE642" s="73"/>
      <x:c r="AF642" s="73"/>
      <x:c r="AG642" s="77"/>
      <x:c r="AH642" s="73"/>
      <x:c r="AI642" s="91"/>
      <x:c r="AJ642" s="91"/>
      <x:c r="AK642" s="91"/>
      <x:c r="AL642" s="92"/>
      <x:c r="AM642" s="91"/>
      <x:c r="AN642" s="91"/>
      <x:c r="AO642" s="93"/>
      <x:c r="AP642" s="94"/>
      <x:c r="AQ642" s="91"/>
      <x:c r="AR642" s="91"/>
      <x:c r="AS642" s="91"/>
      <x:c r="AT642" s="91"/>
      <x:c r="AU642" s="91"/>
      <x:c r="AV642" s="91"/>
      <x:c r="AW642" s="91"/>
      <x:c r="AX642" s="91"/>
      <x:c r="AY642" s="91"/>
      <x:c r="AZ642" s="92"/>
      <x:c r="BA642" s="94"/>
      <x:c r="BB642" s="91"/>
      <x:c r="BC642" s="92"/>
      <x:c r="BD642" s="92"/>
      <x:c r="BE642" s="91"/>
      <x:c r="BF642" s="91"/>
      <x:c r="BG642" s="91"/>
      <x:c r="BH642" s="91"/>
      <x:c r="BI642" s="91"/>
      <x:c r="BJ642" s="91"/>
      <x:c r="BK642" s="91"/>
      <x:c r="BL642" s="91"/>
      <x:c r="BM642" s="73" t="str">
        <x:f>IF(A642="","",IF(AI642="Example","Example only",IF(AI642&lt;&gt;"Actual","Set record type",IF(COUNTIF($A$2:$A$1001,A642)&gt;1,"Duplicate record ID",IF(OR(D642="",E642="",AF642="",NOT(ISNUMBER(AG642)),AJ642="",AK642="",NOT(ISNUMBER(AL642)),AND(AM642&lt;&gt;"Observed",AM642&lt;&gt;"Corroborated",AM642&lt;&gt;"Declared"),OR(AN642="",AN642="Unknown"),OR(AQ642="",AQ642="Unknown"),OR(AR642="",AR642="Unknown",AR642="TBD"),OR(BC642="",NOT(ISNUMBER(BC642)))),"Evidence incomplete","Evidence recorded; review scope")))))</x:f>
      </x:c>
      <x:c r="BN642" s="73"/>
    </x:row>
    <x:row r="643" ht="34" customHeight="1">
      <x:c r="A643" s="73"/>
      <x:c r="B643" s="73"/>
      <x:c r="C643" s="73"/>
      <x:c r="D643" s="73"/>
      <x:c r="E643" s="73"/>
      <x:c r="F643" s="73"/>
      <x:c r="G643" s="73"/>
      <x:c r="H643" s="73"/>
      <x:c r="I643" s="75"/>
      <x:c r="J643" s="73"/>
      <x:c r="K643" s="73"/>
      <x:c r="L643" s="76"/>
      <x:c r="M643" s="73"/>
      <x:c r="N643" s="73"/>
      <x:c r="O643" s="73"/>
      <x:c r="P643" s="73"/>
      <x:c r="Q643" s="76"/>
      <x:c r="R643" s="73"/>
      <x:c r="S643" s="73"/>
      <x:c r="T643" s="73"/>
      <x:c r="U643" s="73"/>
      <x:c r="V643" s="73"/>
      <x:c r="W643" s="73"/>
      <x:c r="X643" s="73"/>
      <x:c r="Y643" s="73"/>
      <x:c r="Z643" s="73"/>
      <x:c r="AA643" s="73"/>
      <x:c r="AB643" s="76" t="str">
        <x:f>IF(A643="","",IF(OR(NOT(ISNUMBER(I643)),I643&lt;0,NOT(ISNUMBER(AP643)),AP643&lt;0,NOT(ISNUMBER(L643)),L643&lt;1,L643&gt;5,L643&lt;&gt;INT(L643),AND(J643&lt;&gt;"Public",J643&lt;&gt;"Partner",J643&lt;&gt;"Internal",J643&lt;&gt;"None"),AND(K643&lt;&gt;"High",K643&lt;&gt;"Medium",K643&lt;&gt;"Low",K643&lt;&gt;"None"),AND(W643&lt;&gt;"Hard-coded",W643&lt;&gt;"Configurable",W643&lt;&gt;"Policy-managed",W643&lt;&gt;"API/Library abstraction",W643&lt;&gt;"Automated"),AND(Z643&lt;&gt;"Y",Z643&lt;&gt;"N"),AND(AA643&lt;&gt;"Y",AA643&lt;&gt;"N")),"Incomplete",IF(Z643="Y",20,0)+L643*5+IF(AA643="Y",15,0)+IF(J643="Public",10,IF(J643="Partner",7,IF(J643="Internal",3,0)))+IF(W643="Hard-coded",10,IF(W643="Configurable",3,0))+IF(MAX(I643,AP643)&gt;=10,10,IF(MAX(I643,AP643)&gt;=5,7,IF(MAX(I643,AP643)&gt;=2,3,0)))+IF(K643="High",10,IF(K643="Medium",5,0))))</x:f>
      </x:c>
      <x:c r="AC643" s="73" t="str">
        <x:f>IF(A643="","",IF(NOT(ISNUMBER(AB643)),"Review inputs",IF(AB643&gt;=70,"P0 - Immediate",IF(AB643&gt;=50,"P1 - High",IF(AB643&gt;=30,"P2 - Medium",IF(AB643&gt;=15,"P3 - Low","P4 - Monitor"))))))</x:f>
      </x:c>
      <x:c r="AD643" s="73"/>
      <x:c r="AE643" s="73"/>
      <x:c r="AF643" s="73"/>
      <x:c r="AG643" s="77"/>
      <x:c r="AH643" s="73"/>
      <x:c r="AI643" s="91"/>
      <x:c r="AJ643" s="91"/>
      <x:c r="AK643" s="91"/>
      <x:c r="AL643" s="92"/>
      <x:c r="AM643" s="91"/>
      <x:c r="AN643" s="91"/>
      <x:c r="AO643" s="93"/>
      <x:c r="AP643" s="94"/>
      <x:c r="AQ643" s="91"/>
      <x:c r="AR643" s="91"/>
      <x:c r="AS643" s="91"/>
      <x:c r="AT643" s="91"/>
      <x:c r="AU643" s="91"/>
      <x:c r="AV643" s="91"/>
      <x:c r="AW643" s="91"/>
      <x:c r="AX643" s="91"/>
      <x:c r="AY643" s="91"/>
      <x:c r="AZ643" s="92"/>
      <x:c r="BA643" s="94"/>
      <x:c r="BB643" s="91"/>
      <x:c r="BC643" s="92"/>
      <x:c r="BD643" s="92"/>
      <x:c r="BE643" s="91"/>
      <x:c r="BF643" s="91"/>
      <x:c r="BG643" s="91"/>
      <x:c r="BH643" s="91"/>
      <x:c r="BI643" s="91"/>
      <x:c r="BJ643" s="91"/>
      <x:c r="BK643" s="91"/>
      <x:c r="BL643" s="91"/>
      <x:c r="BM643" s="73" t="str">
        <x:f>IF(A643="","",IF(AI643="Example","Example only",IF(AI643&lt;&gt;"Actual","Set record type",IF(COUNTIF($A$2:$A$1001,A643)&gt;1,"Duplicate record ID",IF(OR(D643="",E643="",AF643="",NOT(ISNUMBER(AG643)),AJ643="",AK643="",NOT(ISNUMBER(AL643)),AND(AM643&lt;&gt;"Observed",AM643&lt;&gt;"Corroborated",AM643&lt;&gt;"Declared"),OR(AN643="",AN643="Unknown"),OR(AQ643="",AQ643="Unknown"),OR(AR643="",AR643="Unknown",AR643="TBD"),OR(BC643="",NOT(ISNUMBER(BC643)))),"Evidence incomplete","Evidence recorded; review scope")))))</x:f>
      </x:c>
      <x:c r="BN643" s="73"/>
    </x:row>
    <x:row r="644" ht="34" customHeight="1">
      <x:c r="A644" s="73"/>
      <x:c r="B644" s="73"/>
      <x:c r="C644" s="73"/>
      <x:c r="D644" s="73"/>
      <x:c r="E644" s="73"/>
      <x:c r="F644" s="73"/>
      <x:c r="G644" s="73"/>
      <x:c r="H644" s="73"/>
      <x:c r="I644" s="75"/>
      <x:c r="J644" s="73"/>
      <x:c r="K644" s="73"/>
      <x:c r="L644" s="76"/>
      <x:c r="M644" s="73"/>
      <x:c r="N644" s="73"/>
      <x:c r="O644" s="73"/>
      <x:c r="P644" s="73"/>
      <x:c r="Q644" s="76"/>
      <x:c r="R644" s="73"/>
      <x:c r="S644" s="73"/>
      <x:c r="T644" s="73"/>
      <x:c r="U644" s="73"/>
      <x:c r="V644" s="73"/>
      <x:c r="W644" s="73"/>
      <x:c r="X644" s="73"/>
      <x:c r="Y644" s="73"/>
      <x:c r="Z644" s="73"/>
      <x:c r="AA644" s="73"/>
      <x:c r="AB644" s="76" t="str">
        <x:f>IF(A644="","",IF(OR(NOT(ISNUMBER(I644)),I644&lt;0,NOT(ISNUMBER(AP644)),AP644&lt;0,NOT(ISNUMBER(L644)),L644&lt;1,L644&gt;5,L644&lt;&gt;INT(L644),AND(J644&lt;&gt;"Public",J644&lt;&gt;"Partner",J644&lt;&gt;"Internal",J644&lt;&gt;"None"),AND(K644&lt;&gt;"High",K644&lt;&gt;"Medium",K644&lt;&gt;"Low",K644&lt;&gt;"None"),AND(W644&lt;&gt;"Hard-coded",W644&lt;&gt;"Configurable",W644&lt;&gt;"Policy-managed",W644&lt;&gt;"API/Library abstraction",W644&lt;&gt;"Automated"),AND(Z644&lt;&gt;"Y",Z644&lt;&gt;"N"),AND(AA644&lt;&gt;"Y",AA644&lt;&gt;"N")),"Incomplete",IF(Z644="Y",20,0)+L644*5+IF(AA644="Y",15,0)+IF(J644="Public",10,IF(J644="Partner",7,IF(J644="Internal",3,0)))+IF(W644="Hard-coded",10,IF(W644="Configurable",3,0))+IF(MAX(I644,AP644)&gt;=10,10,IF(MAX(I644,AP644)&gt;=5,7,IF(MAX(I644,AP644)&gt;=2,3,0)))+IF(K644="High",10,IF(K644="Medium",5,0))))</x:f>
      </x:c>
      <x:c r="AC644" s="73" t="str">
        <x:f>IF(A644="","",IF(NOT(ISNUMBER(AB644)),"Review inputs",IF(AB644&gt;=70,"P0 - Immediate",IF(AB644&gt;=50,"P1 - High",IF(AB644&gt;=30,"P2 - Medium",IF(AB644&gt;=15,"P3 - Low","P4 - Monitor"))))))</x:f>
      </x:c>
      <x:c r="AD644" s="73"/>
      <x:c r="AE644" s="73"/>
      <x:c r="AF644" s="73"/>
      <x:c r="AG644" s="77"/>
      <x:c r="AH644" s="73"/>
      <x:c r="AI644" s="91"/>
      <x:c r="AJ644" s="91"/>
      <x:c r="AK644" s="91"/>
      <x:c r="AL644" s="92"/>
      <x:c r="AM644" s="91"/>
      <x:c r="AN644" s="91"/>
      <x:c r="AO644" s="93"/>
      <x:c r="AP644" s="94"/>
      <x:c r="AQ644" s="91"/>
      <x:c r="AR644" s="91"/>
      <x:c r="AS644" s="91"/>
      <x:c r="AT644" s="91"/>
      <x:c r="AU644" s="91"/>
      <x:c r="AV644" s="91"/>
      <x:c r="AW644" s="91"/>
      <x:c r="AX644" s="91"/>
      <x:c r="AY644" s="91"/>
      <x:c r="AZ644" s="92"/>
      <x:c r="BA644" s="94"/>
      <x:c r="BB644" s="91"/>
      <x:c r="BC644" s="92"/>
      <x:c r="BD644" s="92"/>
      <x:c r="BE644" s="91"/>
      <x:c r="BF644" s="91"/>
      <x:c r="BG644" s="91"/>
      <x:c r="BH644" s="91"/>
      <x:c r="BI644" s="91"/>
      <x:c r="BJ644" s="91"/>
      <x:c r="BK644" s="91"/>
      <x:c r="BL644" s="91"/>
      <x:c r="BM644" s="73" t="str">
        <x:f>IF(A644="","",IF(AI644="Example","Example only",IF(AI644&lt;&gt;"Actual","Set record type",IF(COUNTIF($A$2:$A$1001,A644)&gt;1,"Duplicate record ID",IF(OR(D644="",E644="",AF644="",NOT(ISNUMBER(AG644)),AJ644="",AK644="",NOT(ISNUMBER(AL644)),AND(AM644&lt;&gt;"Observed",AM644&lt;&gt;"Corroborated",AM644&lt;&gt;"Declared"),OR(AN644="",AN644="Unknown"),OR(AQ644="",AQ644="Unknown"),OR(AR644="",AR644="Unknown",AR644="TBD"),OR(BC644="",NOT(ISNUMBER(BC644)))),"Evidence incomplete","Evidence recorded; review scope")))))</x:f>
      </x:c>
      <x:c r="BN644" s="73"/>
    </x:row>
    <x:row r="645" ht="34" customHeight="1">
      <x:c r="A645" s="73"/>
      <x:c r="B645" s="73"/>
      <x:c r="C645" s="73"/>
      <x:c r="D645" s="73"/>
      <x:c r="E645" s="73"/>
      <x:c r="F645" s="73"/>
      <x:c r="G645" s="73"/>
      <x:c r="H645" s="73"/>
      <x:c r="I645" s="75"/>
      <x:c r="J645" s="73"/>
      <x:c r="K645" s="73"/>
      <x:c r="L645" s="76"/>
      <x:c r="M645" s="73"/>
      <x:c r="N645" s="73"/>
      <x:c r="O645" s="73"/>
      <x:c r="P645" s="73"/>
      <x:c r="Q645" s="76"/>
      <x:c r="R645" s="73"/>
      <x:c r="S645" s="73"/>
      <x:c r="T645" s="73"/>
      <x:c r="U645" s="73"/>
      <x:c r="V645" s="73"/>
      <x:c r="W645" s="73"/>
      <x:c r="X645" s="73"/>
      <x:c r="Y645" s="73"/>
      <x:c r="Z645" s="73"/>
      <x:c r="AA645" s="73"/>
      <x:c r="AB645" s="76" t="str">
        <x:f>IF(A645="","",IF(OR(NOT(ISNUMBER(I645)),I645&lt;0,NOT(ISNUMBER(AP645)),AP645&lt;0,NOT(ISNUMBER(L645)),L645&lt;1,L645&gt;5,L645&lt;&gt;INT(L645),AND(J645&lt;&gt;"Public",J645&lt;&gt;"Partner",J645&lt;&gt;"Internal",J645&lt;&gt;"None"),AND(K645&lt;&gt;"High",K645&lt;&gt;"Medium",K645&lt;&gt;"Low",K645&lt;&gt;"None"),AND(W645&lt;&gt;"Hard-coded",W645&lt;&gt;"Configurable",W645&lt;&gt;"Policy-managed",W645&lt;&gt;"API/Library abstraction",W645&lt;&gt;"Automated"),AND(Z645&lt;&gt;"Y",Z645&lt;&gt;"N"),AND(AA645&lt;&gt;"Y",AA645&lt;&gt;"N")),"Incomplete",IF(Z645="Y",20,0)+L645*5+IF(AA645="Y",15,0)+IF(J645="Public",10,IF(J645="Partner",7,IF(J645="Internal",3,0)))+IF(W645="Hard-coded",10,IF(W645="Configurable",3,0))+IF(MAX(I645,AP645)&gt;=10,10,IF(MAX(I645,AP645)&gt;=5,7,IF(MAX(I645,AP645)&gt;=2,3,0)))+IF(K645="High",10,IF(K645="Medium",5,0))))</x:f>
      </x:c>
      <x:c r="AC645" s="73" t="str">
        <x:f>IF(A645="","",IF(NOT(ISNUMBER(AB645)),"Review inputs",IF(AB645&gt;=70,"P0 - Immediate",IF(AB645&gt;=50,"P1 - High",IF(AB645&gt;=30,"P2 - Medium",IF(AB645&gt;=15,"P3 - Low","P4 - Monitor"))))))</x:f>
      </x:c>
      <x:c r="AD645" s="73"/>
      <x:c r="AE645" s="73"/>
      <x:c r="AF645" s="73"/>
      <x:c r="AG645" s="77"/>
      <x:c r="AH645" s="73"/>
      <x:c r="AI645" s="91"/>
      <x:c r="AJ645" s="91"/>
      <x:c r="AK645" s="91"/>
      <x:c r="AL645" s="92"/>
      <x:c r="AM645" s="91"/>
      <x:c r="AN645" s="91"/>
      <x:c r="AO645" s="93"/>
      <x:c r="AP645" s="94"/>
      <x:c r="AQ645" s="91"/>
      <x:c r="AR645" s="91"/>
      <x:c r="AS645" s="91"/>
      <x:c r="AT645" s="91"/>
      <x:c r="AU645" s="91"/>
      <x:c r="AV645" s="91"/>
      <x:c r="AW645" s="91"/>
      <x:c r="AX645" s="91"/>
      <x:c r="AY645" s="91"/>
      <x:c r="AZ645" s="92"/>
      <x:c r="BA645" s="94"/>
      <x:c r="BB645" s="91"/>
      <x:c r="BC645" s="92"/>
      <x:c r="BD645" s="92"/>
      <x:c r="BE645" s="91"/>
      <x:c r="BF645" s="91"/>
      <x:c r="BG645" s="91"/>
      <x:c r="BH645" s="91"/>
      <x:c r="BI645" s="91"/>
      <x:c r="BJ645" s="91"/>
      <x:c r="BK645" s="91"/>
      <x:c r="BL645" s="91"/>
      <x:c r="BM645" s="73" t="str">
        <x:f>IF(A645="","",IF(AI645="Example","Example only",IF(AI645&lt;&gt;"Actual","Set record type",IF(COUNTIF($A$2:$A$1001,A645)&gt;1,"Duplicate record ID",IF(OR(D645="",E645="",AF645="",NOT(ISNUMBER(AG645)),AJ645="",AK645="",NOT(ISNUMBER(AL645)),AND(AM645&lt;&gt;"Observed",AM645&lt;&gt;"Corroborated",AM645&lt;&gt;"Declared"),OR(AN645="",AN645="Unknown"),OR(AQ645="",AQ645="Unknown"),OR(AR645="",AR645="Unknown",AR645="TBD"),OR(BC645="",NOT(ISNUMBER(BC645)))),"Evidence incomplete","Evidence recorded; review scope")))))</x:f>
      </x:c>
      <x:c r="BN645" s="73"/>
    </x:row>
    <x:row r="646" ht="34" customHeight="1">
      <x:c r="A646" s="73"/>
      <x:c r="B646" s="73"/>
      <x:c r="C646" s="73"/>
      <x:c r="D646" s="73"/>
      <x:c r="E646" s="73"/>
      <x:c r="F646" s="73"/>
      <x:c r="G646" s="73"/>
      <x:c r="H646" s="73"/>
      <x:c r="I646" s="75"/>
      <x:c r="J646" s="73"/>
      <x:c r="K646" s="73"/>
      <x:c r="L646" s="76"/>
      <x:c r="M646" s="73"/>
      <x:c r="N646" s="73"/>
      <x:c r="O646" s="73"/>
      <x:c r="P646" s="73"/>
      <x:c r="Q646" s="76"/>
      <x:c r="R646" s="73"/>
      <x:c r="S646" s="73"/>
      <x:c r="T646" s="73"/>
      <x:c r="U646" s="73"/>
      <x:c r="V646" s="73"/>
      <x:c r="W646" s="73"/>
      <x:c r="X646" s="73"/>
      <x:c r="Y646" s="73"/>
      <x:c r="Z646" s="73"/>
      <x:c r="AA646" s="73"/>
      <x:c r="AB646" s="76" t="str">
        <x:f>IF(A646="","",IF(OR(NOT(ISNUMBER(I646)),I646&lt;0,NOT(ISNUMBER(AP646)),AP646&lt;0,NOT(ISNUMBER(L646)),L646&lt;1,L646&gt;5,L646&lt;&gt;INT(L646),AND(J646&lt;&gt;"Public",J646&lt;&gt;"Partner",J646&lt;&gt;"Internal",J646&lt;&gt;"None"),AND(K646&lt;&gt;"High",K646&lt;&gt;"Medium",K646&lt;&gt;"Low",K646&lt;&gt;"None"),AND(W646&lt;&gt;"Hard-coded",W646&lt;&gt;"Configurable",W646&lt;&gt;"Policy-managed",W646&lt;&gt;"API/Library abstraction",W646&lt;&gt;"Automated"),AND(Z646&lt;&gt;"Y",Z646&lt;&gt;"N"),AND(AA646&lt;&gt;"Y",AA646&lt;&gt;"N")),"Incomplete",IF(Z646="Y",20,0)+L646*5+IF(AA646="Y",15,0)+IF(J646="Public",10,IF(J646="Partner",7,IF(J646="Internal",3,0)))+IF(W646="Hard-coded",10,IF(W646="Configurable",3,0))+IF(MAX(I646,AP646)&gt;=10,10,IF(MAX(I646,AP646)&gt;=5,7,IF(MAX(I646,AP646)&gt;=2,3,0)))+IF(K646="High",10,IF(K646="Medium",5,0))))</x:f>
      </x:c>
      <x:c r="AC646" s="73" t="str">
        <x:f>IF(A646="","",IF(NOT(ISNUMBER(AB646)),"Review inputs",IF(AB646&gt;=70,"P0 - Immediate",IF(AB646&gt;=50,"P1 - High",IF(AB646&gt;=30,"P2 - Medium",IF(AB646&gt;=15,"P3 - Low","P4 - Monitor"))))))</x:f>
      </x:c>
      <x:c r="AD646" s="73"/>
      <x:c r="AE646" s="73"/>
      <x:c r="AF646" s="73"/>
      <x:c r="AG646" s="77"/>
      <x:c r="AH646" s="73"/>
      <x:c r="AI646" s="91"/>
      <x:c r="AJ646" s="91"/>
      <x:c r="AK646" s="91"/>
      <x:c r="AL646" s="92"/>
      <x:c r="AM646" s="91"/>
      <x:c r="AN646" s="91"/>
      <x:c r="AO646" s="93"/>
      <x:c r="AP646" s="94"/>
      <x:c r="AQ646" s="91"/>
      <x:c r="AR646" s="91"/>
      <x:c r="AS646" s="91"/>
      <x:c r="AT646" s="91"/>
      <x:c r="AU646" s="91"/>
      <x:c r="AV646" s="91"/>
      <x:c r="AW646" s="91"/>
      <x:c r="AX646" s="91"/>
      <x:c r="AY646" s="91"/>
      <x:c r="AZ646" s="92"/>
      <x:c r="BA646" s="94"/>
      <x:c r="BB646" s="91"/>
      <x:c r="BC646" s="92"/>
      <x:c r="BD646" s="92"/>
      <x:c r="BE646" s="91"/>
      <x:c r="BF646" s="91"/>
      <x:c r="BG646" s="91"/>
      <x:c r="BH646" s="91"/>
      <x:c r="BI646" s="91"/>
      <x:c r="BJ646" s="91"/>
      <x:c r="BK646" s="91"/>
      <x:c r="BL646" s="91"/>
      <x:c r="BM646" s="73" t="str">
        <x:f>IF(A646="","",IF(AI646="Example","Example only",IF(AI646&lt;&gt;"Actual","Set record type",IF(COUNTIF($A$2:$A$1001,A646)&gt;1,"Duplicate record ID",IF(OR(D646="",E646="",AF646="",NOT(ISNUMBER(AG646)),AJ646="",AK646="",NOT(ISNUMBER(AL646)),AND(AM646&lt;&gt;"Observed",AM646&lt;&gt;"Corroborated",AM646&lt;&gt;"Declared"),OR(AN646="",AN646="Unknown"),OR(AQ646="",AQ646="Unknown"),OR(AR646="",AR646="Unknown",AR646="TBD"),OR(BC646="",NOT(ISNUMBER(BC646)))),"Evidence incomplete","Evidence recorded; review scope")))))</x:f>
      </x:c>
      <x:c r="BN646" s="73"/>
    </x:row>
    <x:row r="647" ht="34" customHeight="1">
      <x:c r="A647" s="73"/>
      <x:c r="B647" s="73"/>
      <x:c r="C647" s="73"/>
      <x:c r="D647" s="73"/>
      <x:c r="E647" s="73"/>
      <x:c r="F647" s="73"/>
      <x:c r="G647" s="73"/>
      <x:c r="H647" s="73"/>
      <x:c r="I647" s="75"/>
      <x:c r="J647" s="73"/>
      <x:c r="K647" s="73"/>
      <x:c r="L647" s="76"/>
      <x:c r="M647" s="73"/>
      <x:c r="N647" s="73"/>
      <x:c r="O647" s="73"/>
      <x:c r="P647" s="73"/>
      <x:c r="Q647" s="76"/>
      <x:c r="R647" s="73"/>
      <x:c r="S647" s="73"/>
      <x:c r="T647" s="73"/>
      <x:c r="U647" s="73"/>
      <x:c r="V647" s="73"/>
      <x:c r="W647" s="73"/>
      <x:c r="X647" s="73"/>
      <x:c r="Y647" s="73"/>
      <x:c r="Z647" s="73"/>
      <x:c r="AA647" s="73"/>
      <x:c r="AB647" s="76" t="str">
        <x:f>IF(A647="","",IF(OR(NOT(ISNUMBER(I647)),I647&lt;0,NOT(ISNUMBER(AP647)),AP647&lt;0,NOT(ISNUMBER(L647)),L647&lt;1,L647&gt;5,L647&lt;&gt;INT(L647),AND(J647&lt;&gt;"Public",J647&lt;&gt;"Partner",J647&lt;&gt;"Internal",J647&lt;&gt;"None"),AND(K647&lt;&gt;"High",K647&lt;&gt;"Medium",K647&lt;&gt;"Low",K647&lt;&gt;"None"),AND(W647&lt;&gt;"Hard-coded",W647&lt;&gt;"Configurable",W647&lt;&gt;"Policy-managed",W647&lt;&gt;"API/Library abstraction",W647&lt;&gt;"Automated"),AND(Z647&lt;&gt;"Y",Z647&lt;&gt;"N"),AND(AA647&lt;&gt;"Y",AA647&lt;&gt;"N")),"Incomplete",IF(Z647="Y",20,0)+L647*5+IF(AA647="Y",15,0)+IF(J647="Public",10,IF(J647="Partner",7,IF(J647="Internal",3,0)))+IF(W647="Hard-coded",10,IF(W647="Configurable",3,0))+IF(MAX(I647,AP647)&gt;=10,10,IF(MAX(I647,AP647)&gt;=5,7,IF(MAX(I647,AP647)&gt;=2,3,0)))+IF(K647="High",10,IF(K647="Medium",5,0))))</x:f>
      </x:c>
      <x:c r="AC647" s="73" t="str">
        <x:f>IF(A647="","",IF(NOT(ISNUMBER(AB647)),"Review inputs",IF(AB647&gt;=70,"P0 - Immediate",IF(AB647&gt;=50,"P1 - High",IF(AB647&gt;=30,"P2 - Medium",IF(AB647&gt;=15,"P3 - Low","P4 - Monitor"))))))</x:f>
      </x:c>
      <x:c r="AD647" s="73"/>
      <x:c r="AE647" s="73"/>
      <x:c r="AF647" s="73"/>
      <x:c r="AG647" s="77"/>
      <x:c r="AH647" s="73"/>
      <x:c r="AI647" s="91"/>
      <x:c r="AJ647" s="91"/>
      <x:c r="AK647" s="91"/>
      <x:c r="AL647" s="92"/>
      <x:c r="AM647" s="91"/>
      <x:c r="AN647" s="91"/>
      <x:c r="AO647" s="93"/>
      <x:c r="AP647" s="94"/>
      <x:c r="AQ647" s="91"/>
      <x:c r="AR647" s="91"/>
      <x:c r="AS647" s="91"/>
      <x:c r="AT647" s="91"/>
      <x:c r="AU647" s="91"/>
      <x:c r="AV647" s="91"/>
      <x:c r="AW647" s="91"/>
      <x:c r="AX647" s="91"/>
      <x:c r="AY647" s="91"/>
      <x:c r="AZ647" s="92"/>
      <x:c r="BA647" s="94"/>
      <x:c r="BB647" s="91"/>
      <x:c r="BC647" s="92"/>
      <x:c r="BD647" s="92"/>
      <x:c r="BE647" s="91"/>
      <x:c r="BF647" s="91"/>
      <x:c r="BG647" s="91"/>
      <x:c r="BH647" s="91"/>
      <x:c r="BI647" s="91"/>
      <x:c r="BJ647" s="91"/>
      <x:c r="BK647" s="91"/>
      <x:c r="BL647" s="91"/>
      <x:c r="BM647" s="73" t="str">
        <x:f>IF(A647="","",IF(AI647="Example","Example only",IF(AI647&lt;&gt;"Actual","Set record type",IF(COUNTIF($A$2:$A$1001,A647)&gt;1,"Duplicate record ID",IF(OR(D647="",E647="",AF647="",NOT(ISNUMBER(AG647)),AJ647="",AK647="",NOT(ISNUMBER(AL647)),AND(AM647&lt;&gt;"Observed",AM647&lt;&gt;"Corroborated",AM647&lt;&gt;"Declared"),OR(AN647="",AN647="Unknown"),OR(AQ647="",AQ647="Unknown"),OR(AR647="",AR647="Unknown",AR647="TBD"),OR(BC647="",NOT(ISNUMBER(BC647)))),"Evidence incomplete","Evidence recorded; review scope")))))</x:f>
      </x:c>
      <x:c r="BN647" s="73"/>
    </x:row>
    <x:row r="648" ht="34" customHeight="1">
      <x:c r="A648" s="73"/>
      <x:c r="B648" s="73"/>
      <x:c r="C648" s="73"/>
      <x:c r="D648" s="73"/>
      <x:c r="E648" s="73"/>
      <x:c r="F648" s="73"/>
      <x:c r="G648" s="73"/>
      <x:c r="H648" s="73"/>
      <x:c r="I648" s="75"/>
      <x:c r="J648" s="73"/>
      <x:c r="K648" s="73"/>
      <x:c r="L648" s="76"/>
      <x:c r="M648" s="73"/>
      <x:c r="N648" s="73"/>
      <x:c r="O648" s="73"/>
      <x:c r="P648" s="73"/>
      <x:c r="Q648" s="76"/>
      <x:c r="R648" s="73"/>
      <x:c r="S648" s="73"/>
      <x:c r="T648" s="73"/>
      <x:c r="U648" s="73"/>
      <x:c r="V648" s="73"/>
      <x:c r="W648" s="73"/>
      <x:c r="X648" s="73"/>
      <x:c r="Y648" s="73"/>
      <x:c r="Z648" s="73"/>
      <x:c r="AA648" s="73"/>
      <x:c r="AB648" s="76" t="str">
        <x:f>IF(A648="","",IF(OR(NOT(ISNUMBER(I648)),I648&lt;0,NOT(ISNUMBER(AP648)),AP648&lt;0,NOT(ISNUMBER(L648)),L648&lt;1,L648&gt;5,L648&lt;&gt;INT(L648),AND(J648&lt;&gt;"Public",J648&lt;&gt;"Partner",J648&lt;&gt;"Internal",J648&lt;&gt;"None"),AND(K648&lt;&gt;"High",K648&lt;&gt;"Medium",K648&lt;&gt;"Low",K648&lt;&gt;"None"),AND(W648&lt;&gt;"Hard-coded",W648&lt;&gt;"Configurable",W648&lt;&gt;"Policy-managed",W648&lt;&gt;"API/Library abstraction",W648&lt;&gt;"Automated"),AND(Z648&lt;&gt;"Y",Z648&lt;&gt;"N"),AND(AA648&lt;&gt;"Y",AA648&lt;&gt;"N")),"Incomplete",IF(Z648="Y",20,0)+L648*5+IF(AA648="Y",15,0)+IF(J648="Public",10,IF(J648="Partner",7,IF(J648="Internal",3,0)))+IF(W648="Hard-coded",10,IF(W648="Configurable",3,0))+IF(MAX(I648,AP648)&gt;=10,10,IF(MAX(I648,AP648)&gt;=5,7,IF(MAX(I648,AP648)&gt;=2,3,0)))+IF(K648="High",10,IF(K648="Medium",5,0))))</x:f>
      </x:c>
      <x:c r="AC648" s="73" t="str">
        <x:f>IF(A648="","",IF(NOT(ISNUMBER(AB648)),"Review inputs",IF(AB648&gt;=70,"P0 - Immediate",IF(AB648&gt;=50,"P1 - High",IF(AB648&gt;=30,"P2 - Medium",IF(AB648&gt;=15,"P3 - Low","P4 - Monitor"))))))</x:f>
      </x:c>
      <x:c r="AD648" s="73"/>
      <x:c r="AE648" s="73"/>
      <x:c r="AF648" s="73"/>
      <x:c r="AG648" s="77"/>
      <x:c r="AH648" s="73"/>
      <x:c r="AI648" s="91"/>
      <x:c r="AJ648" s="91"/>
      <x:c r="AK648" s="91"/>
      <x:c r="AL648" s="92"/>
      <x:c r="AM648" s="91"/>
      <x:c r="AN648" s="91"/>
      <x:c r="AO648" s="93"/>
      <x:c r="AP648" s="94"/>
      <x:c r="AQ648" s="91"/>
      <x:c r="AR648" s="91"/>
      <x:c r="AS648" s="91"/>
      <x:c r="AT648" s="91"/>
      <x:c r="AU648" s="91"/>
      <x:c r="AV648" s="91"/>
      <x:c r="AW648" s="91"/>
      <x:c r="AX648" s="91"/>
      <x:c r="AY648" s="91"/>
      <x:c r="AZ648" s="92"/>
      <x:c r="BA648" s="94"/>
      <x:c r="BB648" s="91"/>
      <x:c r="BC648" s="92"/>
      <x:c r="BD648" s="92"/>
      <x:c r="BE648" s="91"/>
      <x:c r="BF648" s="91"/>
      <x:c r="BG648" s="91"/>
      <x:c r="BH648" s="91"/>
      <x:c r="BI648" s="91"/>
      <x:c r="BJ648" s="91"/>
      <x:c r="BK648" s="91"/>
      <x:c r="BL648" s="91"/>
      <x:c r="BM648" s="73" t="str">
        <x:f>IF(A648="","",IF(AI648="Example","Example only",IF(AI648&lt;&gt;"Actual","Set record type",IF(COUNTIF($A$2:$A$1001,A648)&gt;1,"Duplicate record ID",IF(OR(D648="",E648="",AF648="",NOT(ISNUMBER(AG648)),AJ648="",AK648="",NOT(ISNUMBER(AL648)),AND(AM648&lt;&gt;"Observed",AM648&lt;&gt;"Corroborated",AM648&lt;&gt;"Declared"),OR(AN648="",AN648="Unknown"),OR(AQ648="",AQ648="Unknown"),OR(AR648="",AR648="Unknown",AR648="TBD"),OR(BC648="",NOT(ISNUMBER(BC648)))),"Evidence incomplete","Evidence recorded; review scope")))))</x:f>
      </x:c>
      <x:c r="BN648" s="73"/>
    </x:row>
    <x:row r="649" ht="34" customHeight="1">
      <x:c r="A649" s="73"/>
      <x:c r="B649" s="73"/>
      <x:c r="C649" s="73"/>
      <x:c r="D649" s="73"/>
      <x:c r="E649" s="73"/>
      <x:c r="F649" s="73"/>
      <x:c r="G649" s="73"/>
      <x:c r="H649" s="73"/>
      <x:c r="I649" s="75"/>
      <x:c r="J649" s="73"/>
      <x:c r="K649" s="73"/>
      <x:c r="L649" s="76"/>
      <x:c r="M649" s="73"/>
      <x:c r="N649" s="73"/>
      <x:c r="O649" s="73"/>
      <x:c r="P649" s="73"/>
      <x:c r="Q649" s="76"/>
      <x:c r="R649" s="73"/>
      <x:c r="S649" s="73"/>
      <x:c r="T649" s="73"/>
      <x:c r="U649" s="73"/>
      <x:c r="V649" s="73"/>
      <x:c r="W649" s="73"/>
      <x:c r="X649" s="73"/>
      <x:c r="Y649" s="73"/>
      <x:c r="Z649" s="73"/>
      <x:c r="AA649" s="73"/>
      <x:c r="AB649" s="76" t="str">
        <x:f>IF(A649="","",IF(OR(NOT(ISNUMBER(I649)),I649&lt;0,NOT(ISNUMBER(AP649)),AP649&lt;0,NOT(ISNUMBER(L649)),L649&lt;1,L649&gt;5,L649&lt;&gt;INT(L649),AND(J649&lt;&gt;"Public",J649&lt;&gt;"Partner",J649&lt;&gt;"Internal",J649&lt;&gt;"None"),AND(K649&lt;&gt;"High",K649&lt;&gt;"Medium",K649&lt;&gt;"Low",K649&lt;&gt;"None"),AND(W649&lt;&gt;"Hard-coded",W649&lt;&gt;"Configurable",W649&lt;&gt;"Policy-managed",W649&lt;&gt;"API/Library abstraction",W649&lt;&gt;"Automated"),AND(Z649&lt;&gt;"Y",Z649&lt;&gt;"N"),AND(AA649&lt;&gt;"Y",AA649&lt;&gt;"N")),"Incomplete",IF(Z649="Y",20,0)+L649*5+IF(AA649="Y",15,0)+IF(J649="Public",10,IF(J649="Partner",7,IF(J649="Internal",3,0)))+IF(W649="Hard-coded",10,IF(W649="Configurable",3,0))+IF(MAX(I649,AP649)&gt;=10,10,IF(MAX(I649,AP649)&gt;=5,7,IF(MAX(I649,AP649)&gt;=2,3,0)))+IF(K649="High",10,IF(K649="Medium",5,0))))</x:f>
      </x:c>
      <x:c r="AC649" s="73" t="str">
        <x:f>IF(A649="","",IF(NOT(ISNUMBER(AB649)),"Review inputs",IF(AB649&gt;=70,"P0 - Immediate",IF(AB649&gt;=50,"P1 - High",IF(AB649&gt;=30,"P2 - Medium",IF(AB649&gt;=15,"P3 - Low","P4 - Monitor"))))))</x:f>
      </x:c>
      <x:c r="AD649" s="73"/>
      <x:c r="AE649" s="73"/>
      <x:c r="AF649" s="73"/>
      <x:c r="AG649" s="77"/>
      <x:c r="AH649" s="73"/>
      <x:c r="AI649" s="91"/>
      <x:c r="AJ649" s="91"/>
      <x:c r="AK649" s="91"/>
      <x:c r="AL649" s="92"/>
      <x:c r="AM649" s="91"/>
      <x:c r="AN649" s="91"/>
      <x:c r="AO649" s="93"/>
      <x:c r="AP649" s="94"/>
      <x:c r="AQ649" s="91"/>
      <x:c r="AR649" s="91"/>
      <x:c r="AS649" s="91"/>
      <x:c r="AT649" s="91"/>
      <x:c r="AU649" s="91"/>
      <x:c r="AV649" s="91"/>
      <x:c r="AW649" s="91"/>
      <x:c r="AX649" s="91"/>
      <x:c r="AY649" s="91"/>
      <x:c r="AZ649" s="92"/>
      <x:c r="BA649" s="94"/>
      <x:c r="BB649" s="91"/>
      <x:c r="BC649" s="92"/>
      <x:c r="BD649" s="92"/>
      <x:c r="BE649" s="91"/>
      <x:c r="BF649" s="91"/>
      <x:c r="BG649" s="91"/>
      <x:c r="BH649" s="91"/>
      <x:c r="BI649" s="91"/>
      <x:c r="BJ649" s="91"/>
      <x:c r="BK649" s="91"/>
      <x:c r="BL649" s="91"/>
      <x:c r="BM649" s="73" t="str">
        <x:f>IF(A649="","",IF(AI649="Example","Example only",IF(AI649&lt;&gt;"Actual","Set record type",IF(COUNTIF($A$2:$A$1001,A649)&gt;1,"Duplicate record ID",IF(OR(D649="",E649="",AF649="",NOT(ISNUMBER(AG649)),AJ649="",AK649="",NOT(ISNUMBER(AL649)),AND(AM649&lt;&gt;"Observed",AM649&lt;&gt;"Corroborated",AM649&lt;&gt;"Declared"),OR(AN649="",AN649="Unknown"),OR(AQ649="",AQ649="Unknown"),OR(AR649="",AR649="Unknown",AR649="TBD"),OR(BC649="",NOT(ISNUMBER(BC649)))),"Evidence incomplete","Evidence recorded; review scope")))))</x:f>
      </x:c>
      <x:c r="BN649" s="73"/>
    </x:row>
    <x:row r="650" ht="34" customHeight="1">
      <x:c r="A650" s="73"/>
      <x:c r="B650" s="73"/>
      <x:c r="C650" s="73"/>
      <x:c r="D650" s="73"/>
      <x:c r="E650" s="73"/>
      <x:c r="F650" s="73"/>
      <x:c r="G650" s="73"/>
      <x:c r="H650" s="73"/>
      <x:c r="I650" s="75"/>
      <x:c r="J650" s="73"/>
      <x:c r="K650" s="73"/>
      <x:c r="L650" s="76"/>
      <x:c r="M650" s="73"/>
      <x:c r="N650" s="73"/>
      <x:c r="O650" s="73"/>
      <x:c r="P650" s="73"/>
      <x:c r="Q650" s="76"/>
      <x:c r="R650" s="73"/>
      <x:c r="S650" s="73"/>
      <x:c r="T650" s="73"/>
      <x:c r="U650" s="73"/>
      <x:c r="V650" s="73"/>
      <x:c r="W650" s="73"/>
      <x:c r="X650" s="73"/>
      <x:c r="Y650" s="73"/>
      <x:c r="Z650" s="73"/>
      <x:c r="AA650" s="73"/>
      <x:c r="AB650" s="76" t="str">
        <x:f>IF(A650="","",IF(OR(NOT(ISNUMBER(I650)),I650&lt;0,NOT(ISNUMBER(AP650)),AP650&lt;0,NOT(ISNUMBER(L650)),L650&lt;1,L650&gt;5,L650&lt;&gt;INT(L650),AND(J650&lt;&gt;"Public",J650&lt;&gt;"Partner",J650&lt;&gt;"Internal",J650&lt;&gt;"None"),AND(K650&lt;&gt;"High",K650&lt;&gt;"Medium",K650&lt;&gt;"Low",K650&lt;&gt;"None"),AND(W650&lt;&gt;"Hard-coded",W650&lt;&gt;"Configurable",W650&lt;&gt;"Policy-managed",W650&lt;&gt;"API/Library abstraction",W650&lt;&gt;"Automated"),AND(Z650&lt;&gt;"Y",Z650&lt;&gt;"N"),AND(AA650&lt;&gt;"Y",AA650&lt;&gt;"N")),"Incomplete",IF(Z650="Y",20,0)+L650*5+IF(AA650="Y",15,0)+IF(J650="Public",10,IF(J650="Partner",7,IF(J650="Internal",3,0)))+IF(W650="Hard-coded",10,IF(W650="Configurable",3,0))+IF(MAX(I650,AP650)&gt;=10,10,IF(MAX(I650,AP650)&gt;=5,7,IF(MAX(I650,AP650)&gt;=2,3,0)))+IF(K650="High",10,IF(K650="Medium",5,0))))</x:f>
      </x:c>
      <x:c r="AC650" s="73" t="str">
        <x:f>IF(A650="","",IF(NOT(ISNUMBER(AB650)),"Review inputs",IF(AB650&gt;=70,"P0 - Immediate",IF(AB650&gt;=50,"P1 - High",IF(AB650&gt;=30,"P2 - Medium",IF(AB650&gt;=15,"P3 - Low","P4 - Monitor"))))))</x:f>
      </x:c>
      <x:c r="AD650" s="73"/>
      <x:c r="AE650" s="73"/>
      <x:c r="AF650" s="73"/>
      <x:c r="AG650" s="77"/>
      <x:c r="AH650" s="73"/>
      <x:c r="AI650" s="91"/>
      <x:c r="AJ650" s="91"/>
      <x:c r="AK650" s="91"/>
      <x:c r="AL650" s="92"/>
      <x:c r="AM650" s="91"/>
      <x:c r="AN650" s="91"/>
      <x:c r="AO650" s="93"/>
      <x:c r="AP650" s="94"/>
      <x:c r="AQ650" s="91"/>
      <x:c r="AR650" s="91"/>
      <x:c r="AS650" s="91"/>
      <x:c r="AT650" s="91"/>
      <x:c r="AU650" s="91"/>
      <x:c r="AV650" s="91"/>
      <x:c r="AW650" s="91"/>
      <x:c r="AX650" s="91"/>
      <x:c r="AY650" s="91"/>
      <x:c r="AZ650" s="92"/>
      <x:c r="BA650" s="94"/>
      <x:c r="BB650" s="91"/>
      <x:c r="BC650" s="92"/>
      <x:c r="BD650" s="92"/>
      <x:c r="BE650" s="91"/>
      <x:c r="BF650" s="91"/>
      <x:c r="BG650" s="91"/>
      <x:c r="BH650" s="91"/>
      <x:c r="BI650" s="91"/>
      <x:c r="BJ650" s="91"/>
      <x:c r="BK650" s="91"/>
      <x:c r="BL650" s="91"/>
      <x:c r="BM650" s="73" t="str">
        <x:f>IF(A650="","",IF(AI650="Example","Example only",IF(AI650&lt;&gt;"Actual","Set record type",IF(COUNTIF($A$2:$A$1001,A650)&gt;1,"Duplicate record ID",IF(OR(D650="",E650="",AF650="",NOT(ISNUMBER(AG650)),AJ650="",AK650="",NOT(ISNUMBER(AL650)),AND(AM650&lt;&gt;"Observed",AM650&lt;&gt;"Corroborated",AM650&lt;&gt;"Declared"),OR(AN650="",AN650="Unknown"),OR(AQ650="",AQ650="Unknown"),OR(AR650="",AR650="Unknown",AR650="TBD"),OR(BC650="",NOT(ISNUMBER(BC650)))),"Evidence incomplete","Evidence recorded; review scope")))))</x:f>
      </x:c>
      <x:c r="BN650" s="73"/>
    </x:row>
    <x:row r="651" ht="34" customHeight="1">
      <x:c r="A651" s="73"/>
      <x:c r="B651" s="73"/>
      <x:c r="C651" s="73"/>
      <x:c r="D651" s="73"/>
      <x:c r="E651" s="73"/>
      <x:c r="F651" s="73"/>
      <x:c r="G651" s="73"/>
      <x:c r="H651" s="73"/>
      <x:c r="I651" s="75"/>
      <x:c r="J651" s="73"/>
      <x:c r="K651" s="73"/>
      <x:c r="L651" s="76"/>
      <x:c r="M651" s="73"/>
      <x:c r="N651" s="73"/>
      <x:c r="O651" s="73"/>
      <x:c r="P651" s="73"/>
      <x:c r="Q651" s="76"/>
      <x:c r="R651" s="73"/>
      <x:c r="S651" s="73"/>
      <x:c r="T651" s="73"/>
      <x:c r="U651" s="73"/>
      <x:c r="V651" s="73"/>
      <x:c r="W651" s="73"/>
      <x:c r="X651" s="73"/>
      <x:c r="Y651" s="73"/>
      <x:c r="Z651" s="73"/>
      <x:c r="AA651" s="73"/>
      <x:c r="AB651" s="76" t="str">
        <x:f>IF(A651="","",IF(OR(NOT(ISNUMBER(I651)),I651&lt;0,NOT(ISNUMBER(AP651)),AP651&lt;0,NOT(ISNUMBER(L651)),L651&lt;1,L651&gt;5,L651&lt;&gt;INT(L651),AND(J651&lt;&gt;"Public",J651&lt;&gt;"Partner",J651&lt;&gt;"Internal",J651&lt;&gt;"None"),AND(K651&lt;&gt;"High",K651&lt;&gt;"Medium",K651&lt;&gt;"Low",K651&lt;&gt;"None"),AND(W651&lt;&gt;"Hard-coded",W651&lt;&gt;"Configurable",W651&lt;&gt;"Policy-managed",W651&lt;&gt;"API/Library abstraction",W651&lt;&gt;"Automated"),AND(Z651&lt;&gt;"Y",Z651&lt;&gt;"N"),AND(AA651&lt;&gt;"Y",AA651&lt;&gt;"N")),"Incomplete",IF(Z651="Y",20,0)+L651*5+IF(AA651="Y",15,0)+IF(J651="Public",10,IF(J651="Partner",7,IF(J651="Internal",3,0)))+IF(W651="Hard-coded",10,IF(W651="Configurable",3,0))+IF(MAX(I651,AP651)&gt;=10,10,IF(MAX(I651,AP651)&gt;=5,7,IF(MAX(I651,AP651)&gt;=2,3,0)))+IF(K651="High",10,IF(K651="Medium",5,0))))</x:f>
      </x:c>
      <x:c r="AC651" s="73" t="str">
        <x:f>IF(A651="","",IF(NOT(ISNUMBER(AB651)),"Review inputs",IF(AB651&gt;=70,"P0 - Immediate",IF(AB651&gt;=50,"P1 - High",IF(AB651&gt;=30,"P2 - Medium",IF(AB651&gt;=15,"P3 - Low","P4 - Monitor"))))))</x:f>
      </x:c>
      <x:c r="AD651" s="73"/>
      <x:c r="AE651" s="73"/>
      <x:c r="AF651" s="73"/>
      <x:c r="AG651" s="77"/>
      <x:c r="AH651" s="73"/>
      <x:c r="AI651" s="91"/>
      <x:c r="AJ651" s="91"/>
      <x:c r="AK651" s="91"/>
      <x:c r="AL651" s="92"/>
      <x:c r="AM651" s="91"/>
      <x:c r="AN651" s="91"/>
      <x:c r="AO651" s="93"/>
      <x:c r="AP651" s="94"/>
      <x:c r="AQ651" s="91"/>
      <x:c r="AR651" s="91"/>
      <x:c r="AS651" s="91"/>
      <x:c r="AT651" s="91"/>
      <x:c r="AU651" s="91"/>
      <x:c r="AV651" s="91"/>
      <x:c r="AW651" s="91"/>
      <x:c r="AX651" s="91"/>
      <x:c r="AY651" s="91"/>
      <x:c r="AZ651" s="92"/>
      <x:c r="BA651" s="94"/>
      <x:c r="BB651" s="91"/>
      <x:c r="BC651" s="92"/>
      <x:c r="BD651" s="92"/>
      <x:c r="BE651" s="91"/>
      <x:c r="BF651" s="91"/>
      <x:c r="BG651" s="91"/>
      <x:c r="BH651" s="91"/>
      <x:c r="BI651" s="91"/>
      <x:c r="BJ651" s="91"/>
      <x:c r="BK651" s="91"/>
      <x:c r="BL651" s="91"/>
      <x:c r="BM651" s="73" t="str">
        <x:f>IF(A651="","",IF(AI651="Example","Example only",IF(AI651&lt;&gt;"Actual","Set record type",IF(COUNTIF($A$2:$A$1001,A651)&gt;1,"Duplicate record ID",IF(OR(D651="",E651="",AF651="",NOT(ISNUMBER(AG651)),AJ651="",AK651="",NOT(ISNUMBER(AL651)),AND(AM651&lt;&gt;"Observed",AM651&lt;&gt;"Corroborated",AM651&lt;&gt;"Declared"),OR(AN651="",AN651="Unknown"),OR(AQ651="",AQ651="Unknown"),OR(AR651="",AR651="Unknown",AR651="TBD"),OR(BC651="",NOT(ISNUMBER(BC651)))),"Evidence incomplete","Evidence recorded; review scope")))))</x:f>
      </x:c>
      <x:c r="BN651" s="73"/>
    </x:row>
    <x:row r="652" ht="34" customHeight="1">
      <x:c r="A652" s="73"/>
      <x:c r="B652" s="73"/>
      <x:c r="C652" s="73"/>
      <x:c r="D652" s="73"/>
      <x:c r="E652" s="73"/>
      <x:c r="F652" s="73"/>
      <x:c r="G652" s="73"/>
      <x:c r="H652" s="73"/>
      <x:c r="I652" s="75"/>
      <x:c r="J652" s="73"/>
      <x:c r="K652" s="73"/>
      <x:c r="L652" s="76"/>
      <x:c r="M652" s="73"/>
      <x:c r="N652" s="73"/>
      <x:c r="O652" s="73"/>
      <x:c r="P652" s="73"/>
      <x:c r="Q652" s="76"/>
      <x:c r="R652" s="73"/>
      <x:c r="S652" s="73"/>
      <x:c r="T652" s="73"/>
      <x:c r="U652" s="73"/>
      <x:c r="V652" s="73"/>
      <x:c r="W652" s="73"/>
      <x:c r="X652" s="73"/>
      <x:c r="Y652" s="73"/>
      <x:c r="Z652" s="73"/>
      <x:c r="AA652" s="73"/>
      <x:c r="AB652" s="76" t="str">
        <x:f>IF(A652="","",IF(OR(NOT(ISNUMBER(I652)),I652&lt;0,NOT(ISNUMBER(AP652)),AP652&lt;0,NOT(ISNUMBER(L652)),L652&lt;1,L652&gt;5,L652&lt;&gt;INT(L652),AND(J652&lt;&gt;"Public",J652&lt;&gt;"Partner",J652&lt;&gt;"Internal",J652&lt;&gt;"None"),AND(K652&lt;&gt;"High",K652&lt;&gt;"Medium",K652&lt;&gt;"Low",K652&lt;&gt;"None"),AND(W652&lt;&gt;"Hard-coded",W652&lt;&gt;"Configurable",W652&lt;&gt;"Policy-managed",W652&lt;&gt;"API/Library abstraction",W652&lt;&gt;"Automated"),AND(Z652&lt;&gt;"Y",Z652&lt;&gt;"N"),AND(AA652&lt;&gt;"Y",AA652&lt;&gt;"N")),"Incomplete",IF(Z652="Y",20,0)+L652*5+IF(AA652="Y",15,0)+IF(J652="Public",10,IF(J652="Partner",7,IF(J652="Internal",3,0)))+IF(W652="Hard-coded",10,IF(W652="Configurable",3,0))+IF(MAX(I652,AP652)&gt;=10,10,IF(MAX(I652,AP652)&gt;=5,7,IF(MAX(I652,AP652)&gt;=2,3,0)))+IF(K652="High",10,IF(K652="Medium",5,0))))</x:f>
      </x:c>
      <x:c r="AC652" s="73" t="str">
        <x:f>IF(A652="","",IF(NOT(ISNUMBER(AB652)),"Review inputs",IF(AB652&gt;=70,"P0 - Immediate",IF(AB652&gt;=50,"P1 - High",IF(AB652&gt;=30,"P2 - Medium",IF(AB652&gt;=15,"P3 - Low","P4 - Monitor"))))))</x:f>
      </x:c>
      <x:c r="AD652" s="73"/>
      <x:c r="AE652" s="73"/>
      <x:c r="AF652" s="73"/>
      <x:c r="AG652" s="77"/>
      <x:c r="AH652" s="73"/>
      <x:c r="AI652" s="91"/>
      <x:c r="AJ652" s="91"/>
      <x:c r="AK652" s="91"/>
      <x:c r="AL652" s="92"/>
      <x:c r="AM652" s="91"/>
      <x:c r="AN652" s="91"/>
      <x:c r="AO652" s="93"/>
      <x:c r="AP652" s="94"/>
      <x:c r="AQ652" s="91"/>
      <x:c r="AR652" s="91"/>
      <x:c r="AS652" s="91"/>
      <x:c r="AT652" s="91"/>
      <x:c r="AU652" s="91"/>
      <x:c r="AV652" s="91"/>
      <x:c r="AW652" s="91"/>
      <x:c r="AX652" s="91"/>
      <x:c r="AY652" s="91"/>
      <x:c r="AZ652" s="92"/>
      <x:c r="BA652" s="94"/>
      <x:c r="BB652" s="91"/>
      <x:c r="BC652" s="92"/>
      <x:c r="BD652" s="92"/>
      <x:c r="BE652" s="91"/>
      <x:c r="BF652" s="91"/>
      <x:c r="BG652" s="91"/>
      <x:c r="BH652" s="91"/>
      <x:c r="BI652" s="91"/>
      <x:c r="BJ652" s="91"/>
      <x:c r="BK652" s="91"/>
      <x:c r="BL652" s="91"/>
      <x:c r="BM652" s="73" t="str">
        <x:f>IF(A652="","",IF(AI652="Example","Example only",IF(AI652&lt;&gt;"Actual","Set record type",IF(COUNTIF($A$2:$A$1001,A652)&gt;1,"Duplicate record ID",IF(OR(D652="",E652="",AF652="",NOT(ISNUMBER(AG652)),AJ652="",AK652="",NOT(ISNUMBER(AL652)),AND(AM652&lt;&gt;"Observed",AM652&lt;&gt;"Corroborated",AM652&lt;&gt;"Declared"),OR(AN652="",AN652="Unknown"),OR(AQ652="",AQ652="Unknown"),OR(AR652="",AR652="Unknown",AR652="TBD"),OR(BC652="",NOT(ISNUMBER(BC652)))),"Evidence incomplete","Evidence recorded; review scope")))))</x:f>
      </x:c>
      <x:c r="BN652" s="73"/>
    </x:row>
    <x:row r="653" ht="34" customHeight="1">
      <x:c r="A653" s="73"/>
      <x:c r="B653" s="73"/>
      <x:c r="C653" s="73"/>
      <x:c r="D653" s="73"/>
      <x:c r="E653" s="73"/>
      <x:c r="F653" s="73"/>
      <x:c r="G653" s="73"/>
      <x:c r="H653" s="73"/>
      <x:c r="I653" s="75"/>
      <x:c r="J653" s="73"/>
      <x:c r="K653" s="73"/>
      <x:c r="L653" s="76"/>
      <x:c r="M653" s="73"/>
      <x:c r="N653" s="73"/>
      <x:c r="O653" s="73"/>
      <x:c r="P653" s="73"/>
      <x:c r="Q653" s="76"/>
      <x:c r="R653" s="73"/>
      <x:c r="S653" s="73"/>
      <x:c r="T653" s="73"/>
      <x:c r="U653" s="73"/>
      <x:c r="V653" s="73"/>
      <x:c r="W653" s="73"/>
      <x:c r="X653" s="73"/>
      <x:c r="Y653" s="73"/>
      <x:c r="Z653" s="73"/>
      <x:c r="AA653" s="73"/>
      <x:c r="AB653" s="76" t="str">
        <x:f>IF(A653="","",IF(OR(NOT(ISNUMBER(I653)),I653&lt;0,NOT(ISNUMBER(AP653)),AP653&lt;0,NOT(ISNUMBER(L653)),L653&lt;1,L653&gt;5,L653&lt;&gt;INT(L653),AND(J653&lt;&gt;"Public",J653&lt;&gt;"Partner",J653&lt;&gt;"Internal",J653&lt;&gt;"None"),AND(K653&lt;&gt;"High",K653&lt;&gt;"Medium",K653&lt;&gt;"Low",K653&lt;&gt;"None"),AND(W653&lt;&gt;"Hard-coded",W653&lt;&gt;"Configurable",W653&lt;&gt;"Policy-managed",W653&lt;&gt;"API/Library abstraction",W653&lt;&gt;"Automated"),AND(Z653&lt;&gt;"Y",Z653&lt;&gt;"N"),AND(AA653&lt;&gt;"Y",AA653&lt;&gt;"N")),"Incomplete",IF(Z653="Y",20,0)+L653*5+IF(AA653="Y",15,0)+IF(J653="Public",10,IF(J653="Partner",7,IF(J653="Internal",3,0)))+IF(W653="Hard-coded",10,IF(W653="Configurable",3,0))+IF(MAX(I653,AP653)&gt;=10,10,IF(MAX(I653,AP653)&gt;=5,7,IF(MAX(I653,AP653)&gt;=2,3,0)))+IF(K653="High",10,IF(K653="Medium",5,0))))</x:f>
      </x:c>
      <x:c r="AC653" s="73" t="str">
        <x:f>IF(A653="","",IF(NOT(ISNUMBER(AB653)),"Review inputs",IF(AB653&gt;=70,"P0 - Immediate",IF(AB653&gt;=50,"P1 - High",IF(AB653&gt;=30,"P2 - Medium",IF(AB653&gt;=15,"P3 - Low","P4 - Monitor"))))))</x:f>
      </x:c>
      <x:c r="AD653" s="73"/>
      <x:c r="AE653" s="73"/>
      <x:c r="AF653" s="73"/>
      <x:c r="AG653" s="77"/>
      <x:c r="AH653" s="73"/>
      <x:c r="AI653" s="91"/>
      <x:c r="AJ653" s="91"/>
      <x:c r="AK653" s="91"/>
      <x:c r="AL653" s="92"/>
      <x:c r="AM653" s="91"/>
      <x:c r="AN653" s="91"/>
      <x:c r="AO653" s="93"/>
      <x:c r="AP653" s="94"/>
      <x:c r="AQ653" s="91"/>
      <x:c r="AR653" s="91"/>
      <x:c r="AS653" s="91"/>
      <x:c r="AT653" s="91"/>
      <x:c r="AU653" s="91"/>
      <x:c r="AV653" s="91"/>
      <x:c r="AW653" s="91"/>
      <x:c r="AX653" s="91"/>
      <x:c r="AY653" s="91"/>
      <x:c r="AZ653" s="92"/>
      <x:c r="BA653" s="94"/>
      <x:c r="BB653" s="91"/>
      <x:c r="BC653" s="92"/>
      <x:c r="BD653" s="92"/>
      <x:c r="BE653" s="91"/>
      <x:c r="BF653" s="91"/>
      <x:c r="BG653" s="91"/>
      <x:c r="BH653" s="91"/>
      <x:c r="BI653" s="91"/>
      <x:c r="BJ653" s="91"/>
      <x:c r="BK653" s="91"/>
      <x:c r="BL653" s="91"/>
      <x:c r="BM653" s="73" t="str">
        <x:f>IF(A653="","",IF(AI653="Example","Example only",IF(AI653&lt;&gt;"Actual","Set record type",IF(COUNTIF($A$2:$A$1001,A653)&gt;1,"Duplicate record ID",IF(OR(D653="",E653="",AF653="",NOT(ISNUMBER(AG653)),AJ653="",AK653="",NOT(ISNUMBER(AL653)),AND(AM653&lt;&gt;"Observed",AM653&lt;&gt;"Corroborated",AM653&lt;&gt;"Declared"),OR(AN653="",AN653="Unknown"),OR(AQ653="",AQ653="Unknown"),OR(AR653="",AR653="Unknown",AR653="TBD"),OR(BC653="",NOT(ISNUMBER(BC653)))),"Evidence incomplete","Evidence recorded; review scope")))))</x:f>
      </x:c>
      <x:c r="BN653" s="73"/>
    </x:row>
    <x:row r="654" ht="34" customHeight="1">
      <x:c r="A654" s="73"/>
      <x:c r="B654" s="73"/>
      <x:c r="C654" s="73"/>
      <x:c r="D654" s="73"/>
      <x:c r="E654" s="73"/>
      <x:c r="F654" s="73"/>
      <x:c r="G654" s="73"/>
      <x:c r="H654" s="73"/>
      <x:c r="I654" s="75"/>
      <x:c r="J654" s="73"/>
      <x:c r="K654" s="73"/>
      <x:c r="L654" s="76"/>
      <x:c r="M654" s="73"/>
      <x:c r="N654" s="73"/>
      <x:c r="O654" s="73"/>
      <x:c r="P654" s="73"/>
      <x:c r="Q654" s="76"/>
      <x:c r="R654" s="73"/>
      <x:c r="S654" s="73"/>
      <x:c r="T654" s="73"/>
      <x:c r="U654" s="73"/>
      <x:c r="V654" s="73"/>
      <x:c r="W654" s="73"/>
      <x:c r="X654" s="73"/>
      <x:c r="Y654" s="73"/>
      <x:c r="Z654" s="73"/>
      <x:c r="AA654" s="73"/>
      <x:c r="AB654" s="76" t="str">
        <x:f>IF(A654="","",IF(OR(NOT(ISNUMBER(I654)),I654&lt;0,NOT(ISNUMBER(AP654)),AP654&lt;0,NOT(ISNUMBER(L654)),L654&lt;1,L654&gt;5,L654&lt;&gt;INT(L654),AND(J654&lt;&gt;"Public",J654&lt;&gt;"Partner",J654&lt;&gt;"Internal",J654&lt;&gt;"None"),AND(K654&lt;&gt;"High",K654&lt;&gt;"Medium",K654&lt;&gt;"Low",K654&lt;&gt;"None"),AND(W654&lt;&gt;"Hard-coded",W654&lt;&gt;"Configurable",W654&lt;&gt;"Policy-managed",W654&lt;&gt;"API/Library abstraction",W654&lt;&gt;"Automated"),AND(Z654&lt;&gt;"Y",Z654&lt;&gt;"N"),AND(AA654&lt;&gt;"Y",AA654&lt;&gt;"N")),"Incomplete",IF(Z654="Y",20,0)+L654*5+IF(AA654="Y",15,0)+IF(J654="Public",10,IF(J654="Partner",7,IF(J654="Internal",3,0)))+IF(W654="Hard-coded",10,IF(W654="Configurable",3,0))+IF(MAX(I654,AP654)&gt;=10,10,IF(MAX(I654,AP654)&gt;=5,7,IF(MAX(I654,AP654)&gt;=2,3,0)))+IF(K654="High",10,IF(K654="Medium",5,0))))</x:f>
      </x:c>
      <x:c r="AC654" s="73" t="str">
        <x:f>IF(A654="","",IF(NOT(ISNUMBER(AB654)),"Review inputs",IF(AB654&gt;=70,"P0 - Immediate",IF(AB654&gt;=50,"P1 - High",IF(AB654&gt;=30,"P2 - Medium",IF(AB654&gt;=15,"P3 - Low","P4 - Monitor"))))))</x:f>
      </x:c>
      <x:c r="AD654" s="73"/>
      <x:c r="AE654" s="73"/>
      <x:c r="AF654" s="73"/>
      <x:c r="AG654" s="77"/>
      <x:c r="AH654" s="73"/>
      <x:c r="AI654" s="91"/>
      <x:c r="AJ654" s="91"/>
      <x:c r="AK654" s="91"/>
      <x:c r="AL654" s="92"/>
      <x:c r="AM654" s="91"/>
      <x:c r="AN654" s="91"/>
      <x:c r="AO654" s="93"/>
      <x:c r="AP654" s="94"/>
      <x:c r="AQ654" s="91"/>
      <x:c r="AR654" s="91"/>
      <x:c r="AS654" s="91"/>
      <x:c r="AT654" s="91"/>
      <x:c r="AU654" s="91"/>
      <x:c r="AV654" s="91"/>
      <x:c r="AW654" s="91"/>
      <x:c r="AX654" s="91"/>
      <x:c r="AY654" s="91"/>
      <x:c r="AZ654" s="92"/>
      <x:c r="BA654" s="94"/>
      <x:c r="BB654" s="91"/>
      <x:c r="BC654" s="92"/>
      <x:c r="BD654" s="92"/>
      <x:c r="BE654" s="91"/>
      <x:c r="BF654" s="91"/>
      <x:c r="BG654" s="91"/>
      <x:c r="BH654" s="91"/>
      <x:c r="BI654" s="91"/>
      <x:c r="BJ654" s="91"/>
      <x:c r="BK654" s="91"/>
      <x:c r="BL654" s="91"/>
      <x:c r="BM654" s="73" t="str">
        <x:f>IF(A654="","",IF(AI654="Example","Example only",IF(AI654&lt;&gt;"Actual","Set record type",IF(COUNTIF($A$2:$A$1001,A654)&gt;1,"Duplicate record ID",IF(OR(D654="",E654="",AF654="",NOT(ISNUMBER(AG654)),AJ654="",AK654="",NOT(ISNUMBER(AL654)),AND(AM654&lt;&gt;"Observed",AM654&lt;&gt;"Corroborated",AM654&lt;&gt;"Declared"),OR(AN654="",AN654="Unknown"),OR(AQ654="",AQ654="Unknown"),OR(AR654="",AR654="Unknown",AR654="TBD"),OR(BC654="",NOT(ISNUMBER(BC654)))),"Evidence incomplete","Evidence recorded; review scope")))))</x:f>
      </x:c>
      <x:c r="BN654" s="73"/>
    </x:row>
    <x:row r="655" ht="34" customHeight="1">
      <x:c r="A655" s="73"/>
      <x:c r="B655" s="73"/>
      <x:c r="C655" s="73"/>
      <x:c r="D655" s="73"/>
      <x:c r="E655" s="73"/>
      <x:c r="F655" s="73"/>
      <x:c r="G655" s="73"/>
      <x:c r="H655" s="73"/>
      <x:c r="I655" s="75"/>
      <x:c r="J655" s="73"/>
      <x:c r="K655" s="73"/>
      <x:c r="L655" s="76"/>
      <x:c r="M655" s="73"/>
      <x:c r="N655" s="73"/>
      <x:c r="O655" s="73"/>
      <x:c r="P655" s="73"/>
      <x:c r="Q655" s="76"/>
      <x:c r="R655" s="73"/>
      <x:c r="S655" s="73"/>
      <x:c r="T655" s="73"/>
      <x:c r="U655" s="73"/>
      <x:c r="V655" s="73"/>
      <x:c r="W655" s="73"/>
      <x:c r="X655" s="73"/>
      <x:c r="Y655" s="73"/>
      <x:c r="Z655" s="73"/>
      <x:c r="AA655" s="73"/>
      <x:c r="AB655" s="76" t="str">
        <x:f>IF(A655="","",IF(OR(NOT(ISNUMBER(I655)),I655&lt;0,NOT(ISNUMBER(AP655)),AP655&lt;0,NOT(ISNUMBER(L655)),L655&lt;1,L655&gt;5,L655&lt;&gt;INT(L655),AND(J655&lt;&gt;"Public",J655&lt;&gt;"Partner",J655&lt;&gt;"Internal",J655&lt;&gt;"None"),AND(K655&lt;&gt;"High",K655&lt;&gt;"Medium",K655&lt;&gt;"Low",K655&lt;&gt;"None"),AND(W655&lt;&gt;"Hard-coded",W655&lt;&gt;"Configurable",W655&lt;&gt;"Policy-managed",W655&lt;&gt;"API/Library abstraction",W655&lt;&gt;"Automated"),AND(Z655&lt;&gt;"Y",Z655&lt;&gt;"N"),AND(AA655&lt;&gt;"Y",AA655&lt;&gt;"N")),"Incomplete",IF(Z655="Y",20,0)+L655*5+IF(AA655="Y",15,0)+IF(J655="Public",10,IF(J655="Partner",7,IF(J655="Internal",3,0)))+IF(W655="Hard-coded",10,IF(W655="Configurable",3,0))+IF(MAX(I655,AP655)&gt;=10,10,IF(MAX(I655,AP655)&gt;=5,7,IF(MAX(I655,AP655)&gt;=2,3,0)))+IF(K655="High",10,IF(K655="Medium",5,0))))</x:f>
      </x:c>
      <x:c r="AC655" s="73" t="str">
        <x:f>IF(A655="","",IF(NOT(ISNUMBER(AB655)),"Review inputs",IF(AB655&gt;=70,"P0 - Immediate",IF(AB655&gt;=50,"P1 - High",IF(AB655&gt;=30,"P2 - Medium",IF(AB655&gt;=15,"P3 - Low","P4 - Monitor"))))))</x:f>
      </x:c>
      <x:c r="AD655" s="73"/>
      <x:c r="AE655" s="73"/>
      <x:c r="AF655" s="73"/>
      <x:c r="AG655" s="77"/>
      <x:c r="AH655" s="73"/>
      <x:c r="AI655" s="91"/>
      <x:c r="AJ655" s="91"/>
      <x:c r="AK655" s="91"/>
      <x:c r="AL655" s="92"/>
      <x:c r="AM655" s="91"/>
      <x:c r="AN655" s="91"/>
      <x:c r="AO655" s="93"/>
      <x:c r="AP655" s="94"/>
      <x:c r="AQ655" s="91"/>
      <x:c r="AR655" s="91"/>
      <x:c r="AS655" s="91"/>
      <x:c r="AT655" s="91"/>
      <x:c r="AU655" s="91"/>
      <x:c r="AV655" s="91"/>
      <x:c r="AW655" s="91"/>
      <x:c r="AX655" s="91"/>
      <x:c r="AY655" s="91"/>
      <x:c r="AZ655" s="92"/>
      <x:c r="BA655" s="94"/>
      <x:c r="BB655" s="91"/>
      <x:c r="BC655" s="92"/>
      <x:c r="BD655" s="92"/>
      <x:c r="BE655" s="91"/>
      <x:c r="BF655" s="91"/>
      <x:c r="BG655" s="91"/>
      <x:c r="BH655" s="91"/>
      <x:c r="BI655" s="91"/>
      <x:c r="BJ655" s="91"/>
      <x:c r="BK655" s="91"/>
      <x:c r="BL655" s="91"/>
      <x:c r="BM655" s="73" t="str">
        <x:f>IF(A655="","",IF(AI655="Example","Example only",IF(AI655&lt;&gt;"Actual","Set record type",IF(COUNTIF($A$2:$A$1001,A655)&gt;1,"Duplicate record ID",IF(OR(D655="",E655="",AF655="",NOT(ISNUMBER(AG655)),AJ655="",AK655="",NOT(ISNUMBER(AL655)),AND(AM655&lt;&gt;"Observed",AM655&lt;&gt;"Corroborated",AM655&lt;&gt;"Declared"),OR(AN655="",AN655="Unknown"),OR(AQ655="",AQ655="Unknown"),OR(AR655="",AR655="Unknown",AR655="TBD"),OR(BC655="",NOT(ISNUMBER(BC655)))),"Evidence incomplete","Evidence recorded; review scope")))))</x:f>
      </x:c>
      <x:c r="BN655" s="73"/>
    </x:row>
    <x:row r="656" ht="34" customHeight="1">
      <x:c r="A656" s="73"/>
      <x:c r="B656" s="73"/>
      <x:c r="C656" s="73"/>
      <x:c r="D656" s="73"/>
      <x:c r="E656" s="73"/>
      <x:c r="F656" s="73"/>
      <x:c r="G656" s="73"/>
      <x:c r="H656" s="73"/>
      <x:c r="I656" s="75"/>
      <x:c r="J656" s="73"/>
      <x:c r="K656" s="73"/>
      <x:c r="L656" s="76"/>
      <x:c r="M656" s="73"/>
      <x:c r="N656" s="73"/>
      <x:c r="O656" s="73"/>
      <x:c r="P656" s="73"/>
      <x:c r="Q656" s="76"/>
      <x:c r="R656" s="73"/>
      <x:c r="S656" s="73"/>
      <x:c r="T656" s="73"/>
      <x:c r="U656" s="73"/>
      <x:c r="V656" s="73"/>
      <x:c r="W656" s="73"/>
      <x:c r="X656" s="73"/>
      <x:c r="Y656" s="73"/>
      <x:c r="Z656" s="73"/>
      <x:c r="AA656" s="73"/>
      <x:c r="AB656" s="76" t="str">
        <x:f>IF(A656="","",IF(OR(NOT(ISNUMBER(I656)),I656&lt;0,NOT(ISNUMBER(AP656)),AP656&lt;0,NOT(ISNUMBER(L656)),L656&lt;1,L656&gt;5,L656&lt;&gt;INT(L656),AND(J656&lt;&gt;"Public",J656&lt;&gt;"Partner",J656&lt;&gt;"Internal",J656&lt;&gt;"None"),AND(K656&lt;&gt;"High",K656&lt;&gt;"Medium",K656&lt;&gt;"Low",K656&lt;&gt;"None"),AND(W656&lt;&gt;"Hard-coded",W656&lt;&gt;"Configurable",W656&lt;&gt;"Policy-managed",W656&lt;&gt;"API/Library abstraction",W656&lt;&gt;"Automated"),AND(Z656&lt;&gt;"Y",Z656&lt;&gt;"N"),AND(AA656&lt;&gt;"Y",AA656&lt;&gt;"N")),"Incomplete",IF(Z656="Y",20,0)+L656*5+IF(AA656="Y",15,0)+IF(J656="Public",10,IF(J656="Partner",7,IF(J656="Internal",3,0)))+IF(W656="Hard-coded",10,IF(W656="Configurable",3,0))+IF(MAX(I656,AP656)&gt;=10,10,IF(MAX(I656,AP656)&gt;=5,7,IF(MAX(I656,AP656)&gt;=2,3,0)))+IF(K656="High",10,IF(K656="Medium",5,0))))</x:f>
      </x:c>
      <x:c r="AC656" s="73" t="str">
        <x:f>IF(A656="","",IF(NOT(ISNUMBER(AB656)),"Review inputs",IF(AB656&gt;=70,"P0 - Immediate",IF(AB656&gt;=50,"P1 - High",IF(AB656&gt;=30,"P2 - Medium",IF(AB656&gt;=15,"P3 - Low","P4 - Monitor"))))))</x:f>
      </x:c>
      <x:c r="AD656" s="73"/>
      <x:c r="AE656" s="73"/>
      <x:c r="AF656" s="73"/>
      <x:c r="AG656" s="77"/>
      <x:c r="AH656" s="73"/>
      <x:c r="AI656" s="91"/>
      <x:c r="AJ656" s="91"/>
      <x:c r="AK656" s="91"/>
      <x:c r="AL656" s="92"/>
      <x:c r="AM656" s="91"/>
      <x:c r="AN656" s="91"/>
      <x:c r="AO656" s="93"/>
      <x:c r="AP656" s="94"/>
      <x:c r="AQ656" s="91"/>
      <x:c r="AR656" s="91"/>
      <x:c r="AS656" s="91"/>
      <x:c r="AT656" s="91"/>
      <x:c r="AU656" s="91"/>
      <x:c r="AV656" s="91"/>
      <x:c r="AW656" s="91"/>
      <x:c r="AX656" s="91"/>
      <x:c r="AY656" s="91"/>
      <x:c r="AZ656" s="92"/>
      <x:c r="BA656" s="94"/>
      <x:c r="BB656" s="91"/>
      <x:c r="BC656" s="92"/>
      <x:c r="BD656" s="92"/>
      <x:c r="BE656" s="91"/>
      <x:c r="BF656" s="91"/>
      <x:c r="BG656" s="91"/>
      <x:c r="BH656" s="91"/>
      <x:c r="BI656" s="91"/>
      <x:c r="BJ656" s="91"/>
      <x:c r="BK656" s="91"/>
      <x:c r="BL656" s="91"/>
      <x:c r="BM656" s="73" t="str">
        <x:f>IF(A656="","",IF(AI656="Example","Example only",IF(AI656&lt;&gt;"Actual","Set record type",IF(COUNTIF($A$2:$A$1001,A656)&gt;1,"Duplicate record ID",IF(OR(D656="",E656="",AF656="",NOT(ISNUMBER(AG656)),AJ656="",AK656="",NOT(ISNUMBER(AL656)),AND(AM656&lt;&gt;"Observed",AM656&lt;&gt;"Corroborated",AM656&lt;&gt;"Declared"),OR(AN656="",AN656="Unknown"),OR(AQ656="",AQ656="Unknown"),OR(AR656="",AR656="Unknown",AR656="TBD"),OR(BC656="",NOT(ISNUMBER(BC656)))),"Evidence incomplete","Evidence recorded; review scope")))))</x:f>
      </x:c>
      <x:c r="BN656" s="73"/>
    </x:row>
    <x:row r="657" ht="34" customHeight="1">
      <x:c r="A657" s="73"/>
      <x:c r="B657" s="73"/>
      <x:c r="C657" s="73"/>
      <x:c r="D657" s="73"/>
      <x:c r="E657" s="73"/>
      <x:c r="F657" s="73"/>
      <x:c r="G657" s="73"/>
      <x:c r="H657" s="73"/>
      <x:c r="I657" s="75"/>
      <x:c r="J657" s="73"/>
      <x:c r="K657" s="73"/>
      <x:c r="L657" s="76"/>
      <x:c r="M657" s="73"/>
      <x:c r="N657" s="73"/>
      <x:c r="O657" s="73"/>
      <x:c r="P657" s="73"/>
      <x:c r="Q657" s="76"/>
      <x:c r="R657" s="73"/>
      <x:c r="S657" s="73"/>
      <x:c r="T657" s="73"/>
      <x:c r="U657" s="73"/>
      <x:c r="V657" s="73"/>
      <x:c r="W657" s="73"/>
      <x:c r="X657" s="73"/>
      <x:c r="Y657" s="73"/>
      <x:c r="Z657" s="73"/>
      <x:c r="AA657" s="73"/>
      <x:c r="AB657" s="76" t="str">
        <x:f>IF(A657="","",IF(OR(NOT(ISNUMBER(I657)),I657&lt;0,NOT(ISNUMBER(AP657)),AP657&lt;0,NOT(ISNUMBER(L657)),L657&lt;1,L657&gt;5,L657&lt;&gt;INT(L657),AND(J657&lt;&gt;"Public",J657&lt;&gt;"Partner",J657&lt;&gt;"Internal",J657&lt;&gt;"None"),AND(K657&lt;&gt;"High",K657&lt;&gt;"Medium",K657&lt;&gt;"Low",K657&lt;&gt;"None"),AND(W657&lt;&gt;"Hard-coded",W657&lt;&gt;"Configurable",W657&lt;&gt;"Policy-managed",W657&lt;&gt;"API/Library abstraction",W657&lt;&gt;"Automated"),AND(Z657&lt;&gt;"Y",Z657&lt;&gt;"N"),AND(AA657&lt;&gt;"Y",AA657&lt;&gt;"N")),"Incomplete",IF(Z657="Y",20,0)+L657*5+IF(AA657="Y",15,0)+IF(J657="Public",10,IF(J657="Partner",7,IF(J657="Internal",3,0)))+IF(W657="Hard-coded",10,IF(W657="Configurable",3,0))+IF(MAX(I657,AP657)&gt;=10,10,IF(MAX(I657,AP657)&gt;=5,7,IF(MAX(I657,AP657)&gt;=2,3,0)))+IF(K657="High",10,IF(K657="Medium",5,0))))</x:f>
      </x:c>
      <x:c r="AC657" s="73" t="str">
        <x:f>IF(A657="","",IF(NOT(ISNUMBER(AB657)),"Review inputs",IF(AB657&gt;=70,"P0 - Immediate",IF(AB657&gt;=50,"P1 - High",IF(AB657&gt;=30,"P2 - Medium",IF(AB657&gt;=15,"P3 - Low","P4 - Monitor"))))))</x:f>
      </x:c>
      <x:c r="AD657" s="73"/>
      <x:c r="AE657" s="73"/>
      <x:c r="AF657" s="73"/>
      <x:c r="AG657" s="77"/>
      <x:c r="AH657" s="73"/>
      <x:c r="AI657" s="91"/>
      <x:c r="AJ657" s="91"/>
      <x:c r="AK657" s="91"/>
      <x:c r="AL657" s="92"/>
      <x:c r="AM657" s="91"/>
      <x:c r="AN657" s="91"/>
      <x:c r="AO657" s="93"/>
      <x:c r="AP657" s="94"/>
      <x:c r="AQ657" s="91"/>
      <x:c r="AR657" s="91"/>
      <x:c r="AS657" s="91"/>
      <x:c r="AT657" s="91"/>
      <x:c r="AU657" s="91"/>
      <x:c r="AV657" s="91"/>
      <x:c r="AW657" s="91"/>
      <x:c r="AX657" s="91"/>
      <x:c r="AY657" s="91"/>
      <x:c r="AZ657" s="92"/>
      <x:c r="BA657" s="94"/>
      <x:c r="BB657" s="91"/>
      <x:c r="BC657" s="92"/>
      <x:c r="BD657" s="92"/>
      <x:c r="BE657" s="91"/>
      <x:c r="BF657" s="91"/>
      <x:c r="BG657" s="91"/>
      <x:c r="BH657" s="91"/>
      <x:c r="BI657" s="91"/>
      <x:c r="BJ657" s="91"/>
      <x:c r="BK657" s="91"/>
      <x:c r="BL657" s="91"/>
      <x:c r="BM657" s="73" t="str">
        <x:f>IF(A657="","",IF(AI657="Example","Example only",IF(AI657&lt;&gt;"Actual","Set record type",IF(COUNTIF($A$2:$A$1001,A657)&gt;1,"Duplicate record ID",IF(OR(D657="",E657="",AF657="",NOT(ISNUMBER(AG657)),AJ657="",AK657="",NOT(ISNUMBER(AL657)),AND(AM657&lt;&gt;"Observed",AM657&lt;&gt;"Corroborated",AM657&lt;&gt;"Declared"),OR(AN657="",AN657="Unknown"),OR(AQ657="",AQ657="Unknown"),OR(AR657="",AR657="Unknown",AR657="TBD"),OR(BC657="",NOT(ISNUMBER(BC657)))),"Evidence incomplete","Evidence recorded; review scope")))))</x:f>
      </x:c>
      <x:c r="BN657" s="73"/>
    </x:row>
    <x:row r="658" ht="34" customHeight="1">
      <x:c r="A658" s="73"/>
      <x:c r="B658" s="73"/>
      <x:c r="C658" s="73"/>
      <x:c r="D658" s="73"/>
      <x:c r="E658" s="73"/>
      <x:c r="F658" s="73"/>
      <x:c r="G658" s="73"/>
      <x:c r="H658" s="73"/>
      <x:c r="I658" s="75"/>
      <x:c r="J658" s="73"/>
      <x:c r="K658" s="73"/>
      <x:c r="L658" s="76"/>
      <x:c r="M658" s="73"/>
      <x:c r="N658" s="73"/>
      <x:c r="O658" s="73"/>
      <x:c r="P658" s="73"/>
      <x:c r="Q658" s="76"/>
      <x:c r="R658" s="73"/>
      <x:c r="S658" s="73"/>
      <x:c r="T658" s="73"/>
      <x:c r="U658" s="73"/>
      <x:c r="V658" s="73"/>
      <x:c r="W658" s="73"/>
      <x:c r="X658" s="73"/>
      <x:c r="Y658" s="73"/>
      <x:c r="Z658" s="73"/>
      <x:c r="AA658" s="73"/>
      <x:c r="AB658" s="76" t="str">
        <x:f>IF(A658="","",IF(OR(NOT(ISNUMBER(I658)),I658&lt;0,NOT(ISNUMBER(AP658)),AP658&lt;0,NOT(ISNUMBER(L658)),L658&lt;1,L658&gt;5,L658&lt;&gt;INT(L658),AND(J658&lt;&gt;"Public",J658&lt;&gt;"Partner",J658&lt;&gt;"Internal",J658&lt;&gt;"None"),AND(K658&lt;&gt;"High",K658&lt;&gt;"Medium",K658&lt;&gt;"Low",K658&lt;&gt;"None"),AND(W658&lt;&gt;"Hard-coded",W658&lt;&gt;"Configurable",W658&lt;&gt;"Policy-managed",W658&lt;&gt;"API/Library abstraction",W658&lt;&gt;"Automated"),AND(Z658&lt;&gt;"Y",Z658&lt;&gt;"N"),AND(AA658&lt;&gt;"Y",AA658&lt;&gt;"N")),"Incomplete",IF(Z658="Y",20,0)+L658*5+IF(AA658="Y",15,0)+IF(J658="Public",10,IF(J658="Partner",7,IF(J658="Internal",3,0)))+IF(W658="Hard-coded",10,IF(W658="Configurable",3,0))+IF(MAX(I658,AP658)&gt;=10,10,IF(MAX(I658,AP658)&gt;=5,7,IF(MAX(I658,AP658)&gt;=2,3,0)))+IF(K658="High",10,IF(K658="Medium",5,0))))</x:f>
      </x:c>
      <x:c r="AC658" s="73" t="str">
        <x:f>IF(A658="","",IF(NOT(ISNUMBER(AB658)),"Review inputs",IF(AB658&gt;=70,"P0 - Immediate",IF(AB658&gt;=50,"P1 - High",IF(AB658&gt;=30,"P2 - Medium",IF(AB658&gt;=15,"P3 - Low","P4 - Monitor"))))))</x:f>
      </x:c>
      <x:c r="AD658" s="73"/>
      <x:c r="AE658" s="73"/>
      <x:c r="AF658" s="73"/>
      <x:c r="AG658" s="77"/>
      <x:c r="AH658" s="73"/>
      <x:c r="AI658" s="91"/>
      <x:c r="AJ658" s="91"/>
      <x:c r="AK658" s="91"/>
      <x:c r="AL658" s="92"/>
      <x:c r="AM658" s="91"/>
      <x:c r="AN658" s="91"/>
      <x:c r="AO658" s="93"/>
      <x:c r="AP658" s="94"/>
      <x:c r="AQ658" s="91"/>
      <x:c r="AR658" s="91"/>
      <x:c r="AS658" s="91"/>
      <x:c r="AT658" s="91"/>
      <x:c r="AU658" s="91"/>
      <x:c r="AV658" s="91"/>
      <x:c r="AW658" s="91"/>
      <x:c r="AX658" s="91"/>
      <x:c r="AY658" s="91"/>
      <x:c r="AZ658" s="92"/>
      <x:c r="BA658" s="94"/>
      <x:c r="BB658" s="91"/>
      <x:c r="BC658" s="92"/>
      <x:c r="BD658" s="92"/>
      <x:c r="BE658" s="91"/>
      <x:c r="BF658" s="91"/>
      <x:c r="BG658" s="91"/>
      <x:c r="BH658" s="91"/>
      <x:c r="BI658" s="91"/>
      <x:c r="BJ658" s="91"/>
      <x:c r="BK658" s="91"/>
      <x:c r="BL658" s="91"/>
      <x:c r="BM658" s="73" t="str">
        <x:f>IF(A658="","",IF(AI658="Example","Example only",IF(AI658&lt;&gt;"Actual","Set record type",IF(COUNTIF($A$2:$A$1001,A658)&gt;1,"Duplicate record ID",IF(OR(D658="",E658="",AF658="",NOT(ISNUMBER(AG658)),AJ658="",AK658="",NOT(ISNUMBER(AL658)),AND(AM658&lt;&gt;"Observed",AM658&lt;&gt;"Corroborated",AM658&lt;&gt;"Declared"),OR(AN658="",AN658="Unknown"),OR(AQ658="",AQ658="Unknown"),OR(AR658="",AR658="Unknown",AR658="TBD"),OR(BC658="",NOT(ISNUMBER(BC658)))),"Evidence incomplete","Evidence recorded; review scope")))))</x:f>
      </x:c>
      <x:c r="BN658" s="73"/>
    </x:row>
    <x:row r="659" ht="34" customHeight="1">
      <x:c r="A659" s="73"/>
      <x:c r="B659" s="73"/>
      <x:c r="C659" s="73"/>
      <x:c r="D659" s="73"/>
      <x:c r="E659" s="73"/>
      <x:c r="F659" s="73"/>
      <x:c r="G659" s="73"/>
      <x:c r="H659" s="73"/>
      <x:c r="I659" s="75"/>
      <x:c r="J659" s="73"/>
      <x:c r="K659" s="73"/>
      <x:c r="L659" s="76"/>
      <x:c r="M659" s="73"/>
      <x:c r="N659" s="73"/>
      <x:c r="O659" s="73"/>
      <x:c r="P659" s="73"/>
      <x:c r="Q659" s="76"/>
      <x:c r="R659" s="73"/>
      <x:c r="S659" s="73"/>
      <x:c r="T659" s="73"/>
      <x:c r="U659" s="73"/>
      <x:c r="V659" s="73"/>
      <x:c r="W659" s="73"/>
      <x:c r="X659" s="73"/>
      <x:c r="Y659" s="73"/>
      <x:c r="Z659" s="73"/>
      <x:c r="AA659" s="73"/>
      <x:c r="AB659" s="76" t="str">
        <x:f>IF(A659="","",IF(OR(NOT(ISNUMBER(I659)),I659&lt;0,NOT(ISNUMBER(AP659)),AP659&lt;0,NOT(ISNUMBER(L659)),L659&lt;1,L659&gt;5,L659&lt;&gt;INT(L659),AND(J659&lt;&gt;"Public",J659&lt;&gt;"Partner",J659&lt;&gt;"Internal",J659&lt;&gt;"None"),AND(K659&lt;&gt;"High",K659&lt;&gt;"Medium",K659&lt;&gt;"Low",K659&lt;&gt;"None"),AND(W659&lt;&gt;"Hard-coded",W659&lt;&gt;"Configurable",W659&lt;&gt;"Policy-managed",W659&lt;&gt;"API/Library abstraction",W659&lt;&gt;"Automated"),AND(Z659&lt;&gt;"Y",Z659&lt;&gt;"N"),AND(AA659&lt;&gt;"Y",AA659&lt;&gt;"N")),"Incomplete",IF(Z659="Y",20,0)+L659*5+IF(AA659="Y",15,0)+IF(J659="Public",10,IF(J659="Partner",7,IF(J659="Internal",3,0)))+IF(W659="Hard-coded",10,IF(W659="Configurable",3,0))+IF(MAX(I659,AP659)&gt;=10,10,IF(MAX(I659,AP659)&gt;=5,7,IF(MAX(I659,AP659)&gt;=2,3,0)))+IF(K659="High",10,IF(K659="Medium",5,0))))</x:f>
      </x:c>
      <x:c r="AC659" s="73" t="str">
        <x:f>IF(A659="","",IF(NOT(ISNUMBER(AB659)),"Review inputs",IF(AB659&gt;=70,"P0 - Immediate",IF(AB659&gt;=50,"P1 - High",IF(AB659&gt;=30,"P2 - Medium",IF(AB659&gt;=15,"P3 - Low","P4 - Monitor"))))))</x:f>
      </x:c>
      <x:c r="AD659" s="73"/>
      <x:c r="AE659" s="73"/>
      <x:c r="AF659" s="73"/>
      <x:c r="AG659" s="77"/>
      <x:c r="AH659" s="73"/>
      <x:c r="AI659" s="91"/>
      <x:c r="AJ659" s="91"/>
      <x:c r="AK659" s="91"/>
      <x:c r="AL659" s="92"/>
      <x:c r="AM659" s="91"/>
      <x:c r="AN659" s="91"/>
      <x:c r="AO659" s="93"/>
      <x:c r="AP659" s="94"/>
      <x:c r="AQ659" s="91"/>
      <x:c r="AR659" s="91"/>
      <x:c r="AS659" s="91"/>
      <x:c r="AT659" s="91"/>
      <x:c r="AU659" s="91"/>
      <x:c r="AV659" s="91"/>
      <x:c r="AW659" s="91"/>
      <x:c r="AX659" s="91"/>
      <x:c r="AY659" s="91"/>
      <x:c r="AZ659" s="92"/>
      <x:c r="BA659" s="94"/>
      <x:c r="BB659" s="91"/>
      <x:c r="BC659" s="92"/>
      <x:c r="BD659" s="92"/>
      <x:c r="BE659" s="91"/>
      <x:c r="BF659" s="91"/>
      <x:c r="BG659" s="91"/>
      <x:c r="BH659" s="91"/>
      <x:c r="BI659" s="91"/>
      <x:c r="BJ659" s="91"/>
      <x:c r="BK659" s="91"/>
      <x:c r="BL659" s="91"/>
      <x:c r="BM659" s="73" t="str">
        <x:f>IF(A659="","",IF(AI659="Example","Example only",IF(AI659&lt;&gt;"Actual","Set record type",IF(COUNTIF($A$2:$A$1001,A659)&gt;1,"Duplicate record ID",IF(OR(D659="",E659="",AF659="",NOT(ISNUMBER(AG659)),AJ659="",AK659="",NOT(ISNUMBER(AL659)),AND(AM659&lt;&gt;"Observed",AM659&lt;&gt;"Corroborated",AM659&lt;&gt;"Declared"),OR(AN659="",AN659="Unknown"),OR(AQ659="",AQ659="Unknown"),OR(AR659="",AR659="Unknown",AR659="TBD"),OR(BC659="",NOT(ISNUMBER(BC659)))),"Evidence incomplete","Evidence recorded; review scope")))))</x:f>
      </x:c>
      <x:c r="BN659" s="73"/>
    </x:row>
    <x:row r="660" ht="34" customHeight="1">
      <x:c r="A660" s="73"/>
      <x:c r="B660" s="73"/>
      <x:c r="C660" s="73"/>
      <x:c r="D660" s="73"/>
      <x:c r="E660" s="73"/>
      <x:c r="F660" s="73"/>
      <x:c r="G660" s="73"/>
      <x:c r="H660" s="73"/>
      <x:c r="I660" s="75"/>
      <x:c r="J660" s="73"/>
      <x:c r="K660" s="73"/>
      <x:c r="L660" s="76"/>
      <x:c r="M660" s="73"/>
      <x:c r="N660" s="73"/>
      <x:c r="O660" s="73"/>
      <x:c r="P660" s="73"/>
      <x:c r="Q660" s="76"/>
      <x:c r="R660" s="73"/>
      <x:c r="S660" s="73"/>
      <x:c r="T660" s="73"/>
      <x:c r="U660" s="73"/>
      <x:c r="V660" s="73"/>
      <x:c r="W660" s="73"/>
      <x:c r="X660" s="73"/>
      <x:c r="Y660" s="73"/>
      <x:c r="Z660" s="73"/>
      <x:c r="AA660" s="73"/>
      <x:c r="AB660" s="76" t="str">
        <x:f>IF(A660="","",IF(OR(NOT(ISNUMBER(I660)),I660&lt;0,NOT(ISNUMBER(AP660)),AP660&lt;0,NOT(ISNUMBER(L660)),L660&lt;1,L660&gt;5,L660&lt;&gt;INT(L660),AND(J660&lt;&gt;"Public",J660&lt;&gt;"Partner",J660&lt;&gt;"Internal",J660&lt;&gt;"None"),AND(K660&lt;&gt;"High",K660&lt;&gt;"Medium",K660&lt;&gt;"Low",K660&lt;&gt;"None"),AND(W660&lt;&gt;"Hard-coded",W660&lt;&gt;"Configurable",W660&lt;&gt;"Policy-managed",W660&lt;&gt;"API/Library abstraction",W660&lt;&gt;"Automated"),AND(Z660&lt;&gt;"Y",Z660&lt;&gt;"N"),AND(AA660&lt;&gt;"Y",AA660&lt;&gt;"N")),"Incomplete",IF(Z660="Y",20,0)+L660*5+IF(AA660="Y",15,0)+IF(J660="Public",10,IF(J660="Partner",7,IF(J660="Internal",3,0)))+IF(W660="Hard-coded",10,IF(W660="Configurable",3,0))+IF(MAX(I660,AP660)&gt;=10,10,IF(MAX(I660,AP660)&gt;=5,7,IF(MAX(I660,AP660)&gt;=2,3,0)))+IF(K660="High",10,IF(K660="Medium",5,0))))</x:f>
      </x:c>
      <x:c r="AC660" s="73" t="str">
        <x:f>IF(A660="","",IF(NOT(ISNUMBER(AB660)),"Review inputs",IF(AB660&gt;=70,"P0 - Immediate",IF(AB660&gt;=50,"P1 - High",IF(AB660&gt;=30,"P2 - Medium",IF(AB660&gt;=15,"P3 - Low","P4 - Monitor"))))))</x:f>
      </x:c>
      <x:c r="AD660" s="73"/>
      <x:c r="AE660" s="73"/>
      <x:c r="AF660" s="73"/>
      <x:c r="AG660" s="77"/>
      <x:c r="AH660" s="73"/>
      <x:c r="AI660" s="91"/>
      <x:c r="AJ660" s="91"/>
      <x:c r="AK660" s="91"/>
      <x:c r="AL660" s="92"/>
      <x:c r="AM660" s="91"/>
      <x:c r="AN660" s="91"/>
      <x:c r="AO660" s="93"/>
      <x:c r="AP660" s="94"/>
      <x:c r="AQ660" s="91"/>
      <x:c r="AR660" s="91"/>
      <x:c r="AS660" s="91"/>
      <x:c r="AT660" s="91"/>
      <x:c r="AU660" s="91"/>
      <x:c r="AV660" s="91"/>
      <x:c r="AW660" s="91"/>
      <x:c r="AX660" s="91"/>
      <x:c r="AY660" s="91"/>
      <x:c r="AZ660" s="92"/>
      <x:c r="BA660" s="94"/>
      <x:c r="BB660" s="91"/>
      <x:c r="BC660" s="92"/>
      <x:c r="BD660" s="92"/>
      <x:c r="BE660" s="91"/>
      <x:c r="BF660" s="91"/>
      <x:c r="BG660" s="91"/>
      <x:c r="BH660" s="91"/>
      <x:c r="BI660" s="91"/>
      <x:c r="BJ660" s="91"/>
      <x:c r="BK660" s="91"/>
      <x:c r="BL660" s="91"/>
      <x:c r="BM660" s="73" t="str">
        <x:f>IF(A660="","",IF(AI660="Example","Example only",IF(AI660&lt;&gt;"Actual","Set record type",IF(COUNTIF($A$2:$A$1001,A660)&gt;1,"Duplicate record ID",IF(OR(D660="",E660="",AF660="",NOT(ISNUMBER(AG660)),AJ660="",AK660="",NOT(ISNUMBER(AL660)),AND(AM660&lt;&gt;"Observed",AM660&lt;&gt;"Corroborated",AM660&lt;&gt;"Declared"),OR(AN660="",AN660="Unknown"),OR(AQ660="",AQ660="Unknown"),OR(AR660="",AR660="Unknown",AR660="TBD"),OR(BC660="",NOT(ISNUMBER(BC660)))),"Evidence incomplete","Evidence recorded; review scope")))))</x:f>
      </x:c>
      <x:c r="BN660" s="73"/>
    </x:row>
    <x:row r="661" ht="34" customHeight="1">
      <x:c r="A661" s="73"/>
      <x:c r="B661" s="73"/>
      <x:c r="C661" s="73"/>
      <x:c r="D661" s="73"/>
      <x:c r="E661" s="73"/>
      <x:c r="F661" s="73"/>
      <x:c r="G661" s="73"/>
      <x:c r="H661" s="73"/>
      <x:c r="I661" s="75"/>
      <x:c r="J661" s="73"/>
      <x:c r="K661" s="73"/>
      <x:c r="L661" s="76"/>
      <x:c r="M661" s="73"/>
      <x:c r="N661" s="73"/>
      <x:c r="O661" s="73"/>
      <x:c r="P661" s="73"/>
      <x:c r="Q661" s="76"/>
      <x:c r="R661" s="73"/>
      <x:c r="S661" s="73"/>
      <x:c r="T661" s="73"/>
      <x:c r="U661" s="73"/>
      <x:c r="V661" s="73"/>
      <x:c r="W661" s="73"/>
      <x:c r="X661" s="73"/>
      <x:c r="Y661" s="73"/>
      <x:c r="Z661" s="73"/>
      <x:c r="AA661" s="73"/>
      <x:c r="AB661" s="76" t="str">
        <x:f>IF(A661="","",IF(OR(NOT(ISNUMBER(I661)),I661&lt;0,NOT(ISNUMBER(AP661)),AP661&lt;0,NOT(ISNUMBER(L661)),L661&lt;1,L661&gt;5,L661&lt;&gt;INT(L661),AND(J661&lt;&gt;"Public",J661&lt;&gt;"Partner",J661&lt;&gt;"Internal",J661&lt;&gt;"None"),AND(K661&lt;&gt;"High",K661&lt;&gt;"Medium",K661&lt;&gt;"Low",K661&lt;&gt;"None"),AND(W661&lt;&gt;"Hard-coded",W661&lt;&gt;"Configurable",W661&lt;&gt;"Policy-managed",W661&lt;&gt;"API/Library abstraction",W661&lt;&gt;"Automated"),AND(Z661&lt;&gt;"Y",Z661&lt;&gt;"N"),AND(AA661&lt;&gt;"Y",AA661&lt;&gt;"N")),"Incomplete",IF(Z661="Y",20,0)+L661*5+IF(AA661="Y",15,0)+IF(J661="Public",10,IF(J661="Partner",7,IF(J661="Internal",3,0)))+IF(W661="Hard-coded",10,IF(W661="Configurable",3,0))+IF(MAX(I661,AP661)&gt;=10,10,IF(MAX(I661,AP661)&gt;=5,7,IF(MAX(I661,AP661)&gt;=2,3,0)))+IF(K661="High",10,IF(K661="Medium",5,0))))</x:f>
      </x:c>
      <x:c r="AC661" s="73" t="str">
        <x:f>IF(A661="","",IF(NOT(ISNUMBER(AB661)),"Review inputs",IF(AB661&gt;=70,"P0 - Immediate",IF(AB661&gt;=50,"P1 - High",IF(AB661&gt;=30,"P2 - Medium",IF(AB661&gt;=15,"P3 - Low","P4 - Monitor"))))))</x:f>
      </x:c>
      <x:c r="AD661" s="73"/>
      <x:c r="AE661" s="73"/>
      <x:c r="AF661" s="73"/>
      <x:c r="AG661" s="77"/>
      <x:c r="AH661" s="73"/>
      <x:c r="AI661" s="91"/>
      <x:c r="AJ661" s="91"/>
      <x:c r="AK661" s="91"/>
      <x:c r="AL661" s="92"/>
      <x:c r="AM661" s="91"/>
      <x:c r="AN661" s="91"/>
      <x:c r="AO661" s="93"/>
      <x:c r="AP661" s="94"/>
      <x:c r="AQ661" s="91"/>
      <x:c r="AR661" s="91"/>
      <x:c r="AS661" s="91"/>
      <x:c r="AT661" s="91"/>
      <x:c r="AU661" s="91"/>
      <x:c r="AV661" s="91"/>
      <x:c r="AW661" s="91"/>
      <x:c r="AX661" s="91"/>
      <x:c r="AY661" s="91"/>
      <x:c r="AZ661" s="92"/>
      <x:c r="BA661" s="94"/>
      <x:c r="BB661" s="91"/>
      <x:c r="BC661" s="92"/>
      <x:c r="BD661" s="92"/>
      <x:c r="BE661" s="91"/>
      <x:c r="BF661" s="91"/>
      <x:c r="BG661" s="91"/>
      <x:c r="BH661" s="91"/>
      <x:c r="BI661" s="91"/>
      <x:c r="BJ661" s="91"/>
      <x:c r="BK661" s="91"/>
      <x:c r="BL661" s="91"/>
      <x:c r="BM661" s="73" t="str">
        <x:f>IF(A661="","",IF(AI661="Example","Example only",IF(AI661&lt;&gt;"Actual","Set record type",IF(COUNTIF($A$2:$A$1001,A661)&gt;1,"Duplicate record ID",IF(OR(D661="",E661="",AF661="",NOT(ISNUMBER(AG661)),AJ661="",AK661="",NOT(ISNUMBER(AL661)),AND(AM661&lt;&gt;"Observed",AM661&lt;&gt;"Corroborated",AM661&lt;&gt;"Declared"),OR(AN661="",AN661="Unknown"),OR(AQ661="",AQ661="Unknown"),OR(AR661="",AR661="Unknown",AR661="TBD"),OR(BC661="",NOT(ISNUMBER(BC661)))),"Evidence incomplete","Evidence recorded; review scope")))))</x:f>
      </x:c>
      <x:c r="BN661" s="73"/>
    </x:row>
    <x:row r="662" ht="34" customHeight="1">
      <x:c r="A662" s="73"/>
      <x:c r="B662" s="73"/>
      <x:c r="C662" s="73"/>
      <x:c r="D662" s="73"/>
      <x:c r="E662" s="73"/>
      <x:c r="F662" s="73"/>
      <x:c r="G662" s="73"/>
      <x:c r="H662" s="73"/>
      <x:c r="I662" s="75"/>
      <x:c r="J662" s="73"/>
      <x:c r="K662" s="73"/>
      <x:c r="L662" s="76"/>
      <x:c r="M662" s="73"/>
      <x:c r="N662" s="73"/>
      <x:c r="O662" s="73"/>
      <x:c r="P662" s="73"/>
      <x:c r="Q662" s="76"/>
      <x:c r="R662" s="73"/>
      <x:c r="S662" s="73"/>
      <x:c r="T662" s="73"/>
      <x:c r="U662" s="73"/>
      <x:c r="V662" s="73"/>
      <x:c r="W662" s="73"/>
      <x:c r="X662" s="73"/>
      <x:c r="Y662" s="73"/>
      <x:c r="Z662" s="73"/>
      <x:c r="AA662" s="73"/>
      <x:c r="AB662" s="76" t="str">
        <x:f>IF(A662="","",IF(OR(NOT(ISNUMBER(I662)),I662&lt;0,NOT(ISNUMBER(AP662)),AP662&lt;0,NOT(ISNUMBER(L662)),L662&lt;1,L662&gt;5,L662&lt;&gt;INT(L662),AND(J662&lt;&gt;"Public",J662&lt;&gt;"Partner",J662&lt;&gt;"Internal",J662&lt;&gt;"None"),AND(K662&lt;&gt;"High",K662&lt;&gt;"Medium",K662&lt;&gt;"Low",K662&lt;&gt;"None"),AND(W662&lt;&gt;"Hard-coded",W662&lt;&gt;"Configurable",W662&lt;&gt;"Policy-managed",W662&lt;&gt;"API/Library abstraction",W662&lt;&gt;"Automated"),AND(Z662&lt;&gt;"Y",Z662&lt;&gt;"N"),AND(AA662&lt;&gt;"Y",AA662&lt;&gt;"N")),"Incomplete",IF(Z662="Y",20,0)+L662*5+IF(AA662="Y",15,0)+IF(J662="Public",10,IF(J662="Partner",7,IF(J662="Internal",3,0)))+IF(W662="Hard-coded",10,IF(W662="Configurable",3,0))+IF(MAX(I662,AP662)&gt;=10,10,IF(MAX(I662,AP662)&gt;=5,7,IF(MAX(I662,AP662)&gt;=2,3,0)))+IF(K662="High",10,IF(K662="Medium",5,0))))</x:f>
      </x:c>
      <x:c r="AC662" s="73" t="str">
        <x:f>IF(A662="","",IF(NOT(ISNUMBER(AB662)),"Review inputs",IF(AB662&gt;=70,"P0 - Immediate",IF(AB662&gt;=50,"P1 - High",IF(AB662&gt;=30,"P2 - Medium",IF(AB662&gt;=15,"P3 - Low","P4 - Monitor"))))))</x:f>
      </x:c>
      <x:c r="AD662" s="73"/>
      <x:c r="AE662" s="73"/>
      <x:c r="AF662" s="73"/>
      <x:c r="AG662" s="77"/>
      <x:c r="AH662" s="73"/>
      <x:c r="AI662" s="91"/>
      <x:c r="AJ662" s="91"/>
      <x:c r="AK662" s="91"/>
      <x:c r="AL662" s="92"/>
      <x:c r="AM662" s="91"/>
      <x:c r="AN662" s="91"/>
      <x:c r="AO662" s="93"/>
      <x:c r="AP662" s="94"/>
      <x:c r="AQ662" s="91"/>
      <x:c r="AR662" s="91"/>
      <x:c r="AS662" s="91"/>
      <x:c r="AT662" s="91"/>
      <x:c r="AU662" s="91"/>
      <x:c r="AV662" s="91"/>
      <x:c r="AW662" s="91"/>
      <x:c r="AX662" s="91"/>
      <x:c r="AY662" s="91"/>
      <x:c r="AZ662" s="92"/>
      <x:c r="BA662" s="94"/>
      <x:c r="BB662" s="91"/>
      <x:c r="BC662" s="92"/>
      <x:c r="BD662" s="92"/>
      <x:c r="BE662" s="91"/>
      <x:c r="BF662" s="91"/>
      <x:c r="BG662" s="91"/>
      <x:c r="BH662" s="91"/>
      <x:c r="BI662" s="91"/>
      <x:c r="BJ662" s="91"/>
      <x:c r="BK662" s="91"/>
      <x:c r="BL662" s="91"/>
      <x:c r="BM662" s="73" t="str">
        <x:f>IF(A662="","",IF(AI662="Example","Example only",IF(AI662&lt;&gt;"Actual","Set record type",IF(COUNTIF($A$2:$A$1001,A662)&gt;1,"Duplicate record ID",IF(OR(D662="",E662="",AF662="",NOT(ISNUMBER(AG662)),AJ662="",AK662="",NOT(ISNUMBER(AL662)),AND(AM662&lt;&gt;"Observed",AM662&lt;&gt;"Corroborated",AM662&lt;&gt;"Declared"),OR(AN662="",AN662="Unknown"),OR(AQ662="",AQ662="Unknown"),OR(AR662="",AR662="Unknown",AR662="TBD"),OR(BC662="",NOT(ISNUMBER(BC662)))),"Evidence incomplete","Evidence recorded; review scope")))))</x:f>
      </x:c>
      <x:c r="BN662" s="73"/>
    </x:row>
    <x:row r="663" ht="34" customHeight="1">
      <x:c r="A663" s="73"/>
      <x:c r="B663" s="73"/>
      <x:c r="C663" s="73"/>
      <x:c r="D663" s="73"/>
      <x:c r="E663" s="73"/>
      <x:c r="F663" s="73"/>
      <x:c r="G663" s="73"/>
      <x:c r="H663" s="73"/>
      <x:c r="I663" s="75"/>
      <x:c r="J663" s="73"/>
      <x:c r="K663" s="73"/>
      <x:c r="L663" s="76"/>
      <x:c r="M663" s="73"/>
      <x:c r="N663" s="73"/>
      <x:c r="O663" s="73"/>
      <x:c r="P663" s="73"/>
      <x:c r="Q663" s="76"/>
      <x:c r="R663" s="73"/>
      <x:c r="S663" s="73"/>
      <x:c r="T663" s="73"/>
      <x:c r="U663" s="73"/>
      <x:c r="V663" s="73"/>
      <x:c r="W663" s="73"/>
      <x:c r="X663" s="73"/>
      <x:c r="Y663" s="73"/>
      <x:c r="Z663" s="73"/>
      <x:c r="AA663" s="73"/>
      <x:c r="AB663" s="76" t="str">
        <x:f>IF(A663="","",IF(OR(NOT(ISNUMBER(I663)),I663&lt;0,NOT(ISNUMBER(AP663)),AP663&lt;0,NOT(ISNUMBER(L663)),L663&lt;1,L663&gt;5,L663&lt;&gt;INT(L663),AND(J663&lt;&gt;"Public",J663&lt;&gt;"Partner",J663&lt;&gt;"Internal",J663&lt;&gt;"None"),AND(K663&lt;&gt;"High",K663&lt;&gt;"Medium",K663&lt;&gt;"Low",K663&lt;&gt;"None"),AND(W663&lt;&gt;"Hard-coded",W663&lt;&gt;"Configurable",W663&lt;&gt;"Policy-managed",W663&lt;&gt;"API/Library abstraction",W663&lt;&gt;"Automated"),AND(Z663&lt;&gt;"Y",Z663&lt;&gt;"N"),AND(AA663&lt;&gt;"Y",AA663&lt;&gt;"N")),"Incomplete",IF(Z663="Y",20,0)+L663*5+IF(AA663="Y",15,0)+IF(J663="Public",10,IF(J663="Partner",7,IF(J663="Internal",3,0)))+IF(W663="Hard-coded",10,IF(W663="Configurable",3,0))+IF(MAX(I663,AP663)&gt;=10,10,IF(MAX(I663,AP663)&gt;=5,7,IF(MAX(I663,AP663)&gt;=2,3,0)))+IF(K663="High",10,IF(K663="Medium",5,0))))</x:f>
      </x:c>
      <x:c r="AC663" s="73" t="str">
        <x:f>IF(A663="","",IF(NOT(ISNUMBER(AB663)),"Review inputs",IF(AB663&gt;=70,"P0 - Immediate",IF(AB663&gt;=50,"P1 - High",IF(AB663&gt;=30,"P2 - Medium",IF(AB663&gt;=15,"P3 - Low","P4 - Monitor"))))))</x:f>
      </x:c>
      <x:c r="AD663" s="73"/>
      <x:c r="AE663" s="73"/>
      <x:c r="AF663" s="73"/>
      <x:c r="AG663" s="77"/>
      <x:c r="AH663" s="73"/>
      <x:c r="AI663" s="91"/>
      <x:c r="AJ663" s="91"/>
      <x:c r="AK663" s="91"/>
      <x:c r="AL663" s="92"/>
      <x:c r="AM663" s="91"/>
      <x:c r="AN663" s="91"/>
      <x:c r="AO663" s="93"/>
      <x:c r="AP663" s="94"/>
      <x:c r="AQ663" s="91"/>
      <x:c r="AR663" s="91"/>
      <x:c r="AS663" s="91"/>
      <x:c r="AT663" s="91"/>
      <x:c r="AU663" s="91"/>
      <x:c r="AV663" s="91"/>
      <x:c r="AW663" s="91"/>
      <x:c r="AX663" s="91"/>
      <x:c r="AY663" s="91"/>
      <x:c r="AZ663" s="92"/>
      <x:c r="BA663" s="94"/>
      <x:c r="BB663" s="91"/>
      <x:c r="BC663" s="92"/>
      <x:c r="BD663" s="92"/>
      <x:c r="BE663" s="91"/>
      <x:c r="BF663" s="91"/>
      <x:c r="BG663" s="91"/>
      <x:c r="BH663" s="91"/>
      <x:c r="BI663" s="91"/>
      <x:c r="BJ663" s="91"/>
      <x:c r="BK663" s="91"/>
      <x:c r="BL663" s="91"/>
      <x:c r="BM663" s="73" t="str">
        <x:f>IF(A663="","",IF(AI663="Example","Example only",IF(AI663&lt;&gt;"Actual","Set record type",IF(COUNTIF($A$2:$A$1001,A663)&gt;1,"Duplicate record ID",IF(OR(D663="",E663="",AF663="",NOT(ISNUMBER(AG663)),AJ663="",AK663="",NOT(ISNUMBER(AL663)),AND(AM663&lt;&gt;"Observed",AM663&lt;&gt;"Corroborated",AM663&lt;&gt;"Declared"),OR(AN663="",AN663="Unknown"),OR(AQ663="",AQ663="Unknown"),OR(AR663="",AR663="Unknown",AR663="TBD"),OR(BC663="",NOT(ISNUMBER(BC663)))),"Evidence incomplete","Evidence recorded; review scope")))))</x:f>
      </x:c>
      <x:c r="BN663" s="73"/>
    </x:row>
    <x:row r="664" ht="34" customHeight="1">
      <x:c r="A664" s="73"/>
      <x:c r="B664" s="73"/>
      <x:c r="C664" s="73"/>
      <x:c r="D664" s="73"/>
      <x:c r="E664" s="73"/>
      <x:c r="F664" s="73"/>
      <x:c r="G664" s="73"/>
      <x:c r="H664" s="73"/>
      <x:c r="I664" s="75"/>
      <x:c r="J664" s="73"/>
      <x:c r="K664" s="73"/>
      <x:c r="L664" s="76"/>
      <x:c r="M664" s="73"/>
      <x:c r="N664" s="73"/>
      <x:c r="O664" s="73"/>
      <x:c r="P664" s="73"/>
      <x:c r="Q664" s="76"/>
      <x:c r="R664" s="73"/>
      <x:c r="S664" s="73"/>
      <x:c r="T664" s="73"/>
      <x:c r="U664" s="73"/>
      <x:c r="V664" s="73"/>
      <x:c r="W664" s="73"/>
      <x:c r="X664" s="73"/>
      <x:c r="Y664" s="73"/>
      <x:c r="Z664" s="73"/>
      <x:c r="AA664" s="73"/>
      <x:c r="AB664" s="76" t="str">
        <x:f>IF(A664="","",IF(OR(NOT(ISNUMBER(I664)),I664&lt;0,NOT(ISNUMBER(AP664)),AP664&lt;0,NOT(ISNUMBER(L664)),L664&lt;1,L664&gt;5,L664&lt;&gt;INT(L664),AND(J664&lt;&gt;"Public",J664&lt;&gt;"Partner",J664&lt;&gt;"Internal",J664&lt;&gt;"None"),AND(K664&lt;&gt;"High",K664&lt;&gt;"Medium",K664&lt;&gt;"Low",K664&lt;&gt;"None"),AND(W664&lt;&gt;"Hard-coded",W664&lt;&gt;"Configurable",W664&lt;&gt;"Policy-managed",W664&lt;&gt;"API/Library abstraction",W664&lt;&gt;"Automated"),AND(Z664&lt;&gt;"Y",Z664&lt;&gt;"N"),AND(AA664&lt;&gt;"Y",AA664&lt;&gt;"N")),"Incomplete",IF(Z664="Y",20,0)+L664*5+IF(AA664="Y",15,0)+IF(J664="Public",10,IF(J664="Partner",7,IF(J664="Internal",3,0)))+IF(W664="Hard-coded",10,IF(W664="Configurable",3,0))+IF(MAX(I664,AP664)&gt;=10,10,IF(MAX(I664,AP664)&gt;=5,7,IF(MAX(I664,AP664)&gt;=2,3,0)))+IF(K664="High",10,IF(K664="Medium",5,0))))</x:f>
      </x:c>
      <x:c r="AC664" s="73" t="str">
        <x:f>IF(A664="","",IF(NOT(ISNUMBER(AB664)),"Review inputs",IF(AB664&gt;=70,"P0 - Immediate",IF(AB664&gt;=50,"P1 - High",IF(AB664&gt;=30,"P2 - Medium",IF(AB664&gt;=15,"P3 - Low","P4 - Monitor"))))))</x:f>
      </x:c>
      <x:c r="AD664" s="73"/>
      <x:c r="AE664" s="73"/>
      <x:c r="AF664" s="73"/>
      <x:c r="AG664" s="77"/>
      <x:c r="AH664" s="73"/>
      <x:c r="AI664" s="91"/>
      <x:c r="AJ664" s="91"/>
      <x:c r="AK664" s="91"/>
      <x:c r="AL664" s="92"/>
      <x:c r="AM664" s="91"/>
      <x:c r="AN664" s="91"/>
      <x:c r="AO664" s="93"/>
      <x:c r="AP664" s="94"/>
      <x:c r="AQ664" s="91"/>
      <x:c r="AR664" s="91"/>
      <x:c r="AS664" s="91"/>
      <x:c r="AT664" s="91"/>
      <x:c r="AU664" s="91"/>
      <x:c r="AV664" s="91"/>
      <x:c r="AW664" s="91"/>
      <x:c r="AX664" s="91"/>
      <x:c r="AY664" s="91"/>
      <x:c r="AZ664" s="92"/>
      <x:c r="BA664" s="94"/>
      <x:c r="BB664" s="91"/>
      <x:c r="BC664" s="92"/>
      <x:c r="BD664" s="92"/>
      <x:c r="BE664" s="91"/>
      <x:c r="BF664" s="91"/>
      <x:c r="BG664" s="91"/>
      <x:c r="BH664" s="91"/>
      <x:c r="BI664" s="91"/>
      <x:c r="BJ664" s="91"/>
      <x:c r="BK664" s="91"/>
      <x:c r="BL664" s="91"/>
      <x:c r="BM664" s="73" t="str">
        <x:f>IF(A664="","",IF(AI664="Example","Example only",IF(AI664&lt;&gt;"Actual","Set record type",IF(COUNTIF($A$2:$A$1001,A664)&gt;1,"Duplicate record ID",IF(OR(D664="",E664="",AF664="",NOT(ISNUMBER(AG664)),AJ664="",AK664="",NOT(ISNUMBER(AL664)),AND(AM664&lt;&gt;"Observed",AM664&lt;&gt;"Corroborated",AM664&lt;&gt;"Declared"),OR(AN664="",AN664="Unknown"),OR(AQ664="",AQ664="Unknown"),OR(AR664="",AR664="Unknown",AR664="TBD"),OR(BC664="",NOT(ISNUMBER(BC664)))),"Evidence incomplete","Evidence recorded; review scope")))))</x:f>
      </x:c>
      <x:c r="BN664" s="73"/>
    </x:row>
    <x:row r="665" ht="34" customHeight="1">
      <x:c r="A665" s="73"/>
      <x:c r="B665" s="73"/>
      <x:c r="C665" s="73"/>
      <x:c r="D665" s="73"/>
      <x:c r="E665" s="73"/>
      <x:c r="F665" s="73"/>
      <x:c r="G665" s="73"/>
      <x:c r="H665" s="73"/>
      <x:c r="I665" s="75"/>
      <x:c r="J665" s="73"/>
      <x:c r="K665" s="73"/>
      <x:c r="L665" s="76"/>
      <x:c r="M665" s="73"/>
      <x:c r="N665" s="73"/>
      <x:c r="O665" s="73"/>
      <x:c r="P665" s="73"/>
      <x:c r="Q665" s="76"/>
      <x:c r="R665" s="73"/>
      <x:c r="S665" s="73"/>
      <x:c r="T665" s="73"/>
      <x:c r="U665" s="73"/>
      <x:c r="V665" s="73"/>
      <x:c r="W665" s="73"/>
      <x:c r="X665" s="73"/>
      <x:c r="Y665" s="73"/>
      <x:c r="Z665" s="73"/>
      <x:c r="AA665" s="73"/>
      <x:c r="AB665" s="76" t="str">
        <x:f>IF(A665="","",IF(OR(NOT(ISNUMBER(I665)),I665&lt;0,NOT(ISNUMBER(AP665)),AP665&lt;0,NOT(ISNUMBER(L665)),L665&lt;1,L665&gt;5,L665&lt;&gt;INT(L665),AND(J665&lt;&gt;"Public",J665&lt;&gt;"Partner",J665&lt;&gt;"Internal",J665&lt;&gt;"None"),AND(K665&lt;&gt;"High",K665&lt;&gt;"Medium",K665&lt;&gt;"Low",K665&lt;&gt;"None"),AND(W665&lt;&gt;"Hard-coded",W665&lt;&gt;"Configurable",W665&lt;&gt;"Policy-managed",W665&lt;&gt;"API/Library abstraction",W665&lt;&gt;"Automated"),AND(Z665&lt;&gt;"Y",Z665&lt;&gt;"N"),AND(AA665&lt;&gt;"Y",AA665&lt;&gt;"N")),"Incomplete",IF(Z665="Y",20,0)+L665*5+IF(AA665="Y",15,0)+IF(J665="Public",10,IF(J665="Partner",7,IF(J665="Internal",3,0)))+IF(W665="Hard-coded",10,IF(W665="Configurable",3,0))+IF(MAX(I665,AP665)&gt;=10,10,IF(MAX(I665,AP665)&gt;=5,7,IF(MAX(I665,AP665)&gt;=2,3,0)))+IF(K665="High",10,IF(K665="Medium",5,0))))</x:f>
      </x:c>
      <x:c r="AC665" s="73" t="str">
        <x:f>IF(A665="","",IF(NOT(ISNUMBER(AB665)),"Review inputs",IF(AB665&gt;=70,"P0 - Immediate",IF(AB665&gt;=50,"P1 - High",IF(AB665&gt;=30,"P2 - Medium",IF(AB665&gt;=15,"P3 - Low","P4 - Monitor"))))))</x:f>
      </x:c>
      <x:c r="AD665" s="73"/>
      <x:c r="AE665" s="73"/>
      <x:c r="AF665" s="73"/>
      <x:c r="AG665" s="77"/>
      <x:c r="AH665" s="73"/>
      <x:c r="AI665" s="91"/>
      <x:c r="AJ665" s="91"/>
      <x:c r="AK665" s="91"/>
      <x:c r="AL665" s="92"/>
      <x:c r="AM665" s="91"/>
      <x:c r="AN665" s="91"/>
      <x:c r="AO665" s="93"/>
      <x:c r="AP665" s="94"/>
      <x:c r="AQ665" s="91"/>
      <x:c r="AR665" s="91"/>
      <x:c r="AS665" s="91"/>
      <x:c r="AT665" s="91"/>
      <x:c r="AU665" s="91"/>
      <x:c r="AV665" s="91"/>
      <x:c r="AW665" s="91"/>
      <x:c r="AX665" s="91"/>
      <x:c r="AY665" s="91"/>
      <x:c r="AZ665" s="92"/>
      <x:c r="BA665" s="94"/>
      <x:c r="BB665" s="91"/>
      <x:c r="BC665" s="92"/>
      <x:c r="BD665" s="92"/>
      <x:c r="BE665" s="91"/>
      <x:c r="BF665" s="91"/>
      <x:c r="BG665" s="91"/>
      <x:c r="BH665" s="91"/>
      <x:c r="BI665" s="91"/>
      <x:c r="BJ665" s="91"/>
      <x:c r="BK665" s="91"/>
      <x:c r="BL665" s="91"/>
      <x:c r="BM665" s="73" t="str">
        <x:f>IF(A665="","",IF(AI665="Example","Example only",IF(AI665&lt;&gt;"Actual","Set record type",IF(COUNTIF($A$2:$A$1001,A665)&gt;1,"Duplicate record ID",IF(OR(D665="",E665="",AF665="",NOT(ISNUMBER(AG665)),AJ665="",AK665="",NOT(ISNUMBER(AL665)),AND(AM665&lt;&gt;"Observed",AM665&lt;&gt;"Corroborated",AM665&lt;&gt;"Declared"),OR(AN665="",AN665="Unknown"),OR(AQ665="",AQ665="Unknown"),OR(AR665="",AR665="Unknown",AR665="TBD"),OR(BC665="",NOT(ISNUMBER(BC665)))),"Evidence incomplete","Evidence recorded; review scope")))))</x:f>
      </x:c>
      <x:c r="BN665" s="73"/>
    </x:row>
    <x:row r="666" ht="34" customHeight="1">
      <x:c r="A666" s="73"/>
      <x:c r="B666" s="73"/>
      <x:c r="C666" s="73"/>
      <x:c r="D666" s="73"/>
      <x:c r="E666" s="73"/>
      <x:c r="F666" s="73"/>
      <x:c r="G666" s="73"/>
      <x:c r="H666" s="73"/>
      <x:c r="I666" s="75"/>
      <x:c r="J666" s="73"/>
      <x:c r="K666" s="73"/>
      <x:c r="L666" s="76"/>
      <x:c r="M666" s="73"/>
      <x:c r="N666" s="73"/>
      <x:c r="O666" s="73"/>
      <x:c r="P666" s="73"/>
      <x:c r="Q666" s="76"/>
      <x:c r="R666" s="73"/>
      <x:c r="S666" s="73"/>
      <x:c r="T666" s="73"/>
      <x:c r="U666" s="73"/>
      <x:c r="V666" s="73"/>
      <x:c r="W666" s="73"/>
      <x:c r="X666" s="73"/>
      <x:c r="Y666" s="73"/>
      <x:c r="Z666" s="73"/>
      <x:c r="AA666" s="73"/>
      <x:c r="AB666" s="76" t="str">
        <x:f>IF(A666="","",IF(OR(NOT(ISNUMBER(I666)),I666&lt;0,NOT(ISNUMBER(AP666)),AP666&lt;0,NOT(ISNUMBER(L666)),L666&lt;1,L666&gt;5,L666&lt;&gt;INT(L666),AND(J666&lt;&gt;"Public",J666&lt;&gt;"Partner",J666&lt;&gt;"Internal",J666&lt;&gt;"None"),AND(K666&lt;&gt;"High",K666&lt;&gt;"Medium",K666&lt;&gt;"Low",K666&lt;&gt;"None"),AND(W666&lt;&gt;"Hard-coded",W666&lt;&gt;"Configurable",W666&lt;&gt;"Policy-managed",W666&lt;&gt;"API/Library abstraction",W666&lt;&gt;"Automated"),AND(Z666&lt;&gt;"Y",Z666&lt;&gt;"N"),AND(AA666&lt;&gt;"Y",AA666&lt;&gt;"N")),"Incomplete",IF(Z666="Y",20,0)+L666*5+IF(AA666="Y",15,0)+IF(J666="Public",10,IF(J666="Partner",7,IF(J666="Internal",3,0)))+IF(W666="Hard-coded",10,IF(W666="Configurable",3,0))+IF(MAX(I666,AP666)&gt;=10,10,IF(MAX(I666,AP666)&gt;=5,7,IF(MAX(I666,AP666)&gt;=2,3,0)))+IF(K666="High",10,IF(K666="Medium",5,0))))</x:f>
      </x:c>
      <x:c r="AC666" s="73" t="str">
        <x:f>IF(A666="","",IF(NOT(ISNUMBER(AB666)),"Review inputs",IF(AB666&gt;=70,"P0 - Immediate",IF(AB666&gt;=50,"P1 - High",IF(AB666&gt;=30,"P2 - Medium",IF(AB666&gt;=15,"P3 - Low","P4 - Monitor"))))))</x:f>
      </x:c>
      <x:c r="AD666" s="73"/>
      <x:c r="AE666" s="73"/>
      <x:c r="AF666" s="73"/>
      <x:c r="AG666" s="77"/>
      <x:c r="AH666" s="73"/>
      <x:c r="AI666" s="91"/>
      <x:c r="AJ666" s="91"/>
      <x:c r="AK666" s="91"/>
      <x:c r="AL666" s="92"/>
      <x:c r="AM666" s="91"/>
      <x:c r="AN666" s="91"/>
      <x:c r="AO666" s="93"/>
      <x:c r="AP666" s="94"/>
      <x:c r="AQ666" s="91"/>
      <x:c r="AR666" s="91"/>
      <x:c r="AS666" s="91"/>
      <x:c r="AT666" s="91"/>
      <x:c r="AU666" s="91"/>
      <x:c r="AV666" s="91"/>
      <x:c r="AW666" s="91"/>
      <x:c r="AX666" s="91"/>
      <x:c r="AY666" s="91"/>
      <x:c r="AZ666" s="92"/>
      <x:c r="BA666" s="94"/>
      <x:c r="BB666" s="91"/>
      <x:c r="BC666" s="92"/>
      <x:c r="BD666" s="92"/>
      <x:c r="BE666" s="91"/>
      <x:c r="BF666" s="91"/>
      <x:c r="BG666" s="91"/>
      <x:c r="BH666" s="91"/>
      <x:c r="BI666" s="91"/>
      <x:c r="BJ666" s="91"/>
      <x:c r="BK666" s="91"/>
      <x:c r="BL666" s="91"/>
      <x:c r="BM666" s="73" t="str">
        <x:f>IF(A666="","",IF(AI666="Example","Example only",IF(AI666&lt;&gt;"Actual","Set record type",IF(COUNTIF($A$2:$A$1001,A666)&gt;1,"Duplicate record ID",IF(OR(D666="",E666="",AF666="",NOT(ISNUMBER(AG666)),AJ666="",AK666="",NOT(ISNUMBER(AL666)),AND(AM666&lt;&gt;"Observed",AM666&lt;&gt;"Corroborated",AM666&lt;&gt;"Declared"),OR(AN666="",AN666="Unknown"),OR(AQ666="",AQ666="Unknown"),OR(AR666="",AR666="Unknown",AR666="TBD"),OR(BC666="",NOT(ISNUMBER(BC666)))),"Evidence incomplete","Evidence recorded; review scope")))))</x:f>
      </x:c>
      <x:c r="BN666" s="73"/>
    </x:row>
    <x:row r="667" ht="34" customHeight="1">
      <x:c r="A667" s="73"/>
      <x:c r="B667" s="73"/>
      <x:c r="C667" s="73"/>
      <x:c r="D667" s="73"/>
      <x:c r="E667" s="73"/>
      <x:c r="F667" s="73"/>
      <x:c r="G667" s="73"/>
      <x:c r="H667" s="73"/>
      <x:c r="I667" s="75"/>
      <x:c r="J667" s="73"/>
      <x:c r="K667" s="73"/>
      <x:c r="L667" s="76"/>
      <x:c r="M667" s="73"/>
      <x:c r="N667" s="73"/>
      <x:c r="O667" s="73"/>
      <x:c r="P667" s="73"/>
      <x:c r="Q667" s="76"/>
      <x:c r="R667" s="73"/>
      <x:c r="S667" s="73"/>
      <x:c r="T667" s="73"/>
      <x:c r="U667" s="73"/>
      <x:c r="V667" s="73"/>
      <x:c r="W667" s="73"/>
      <x:c r="X667" s="73"/>
      <x:c r="Y667" s="73"/>
      <x:c r="Z667" s="73"/>
      <x:c r="AA667" s="73"/>
      <x:c r="AB667" s="76" t="str">
        <x:f>IF(A667="","",IF(OR(NOT(ISNUMBER(I667)),I667&lt;0,NOT(ISNUMBER(AP667)),AP667&lt;0,NOT(ISNUMBER(L667)),L667&lt;1,L667&gt;5,L667&lt;&gt;INT(L667),AND(J667&lt;&gt;"Public",J667&lt;&gt;"Partner",J667&lt;&gt;"Internal",J667&lt;&gt;"None"),AND(K667&lt;&gt;"High",K667&lt;&gt;"Medium",K667&lt;&gt;"Low",K667&lt;&gt;"None"),AND(W667&lt;&gt;"Hard-coded",W667&lt;&gt;"Configurable",W667&lt;&gt;"Policy-managed",W667&lt;&gt;"API/Library abstraction",W667&lt;&gt;"Automated"),AND(Z667&lt;&gt;"Y",Z667&lt;&gt;"N"),AND(AA667&lt;&gt;"Y",AA667&lt;&gt;"N")),"Incomplete",IF(Z667="Y",20,0)+L667*5+IF(AA667="Y",15,0)+IF(J667="Public",10,IF(J667="Partner",7,IF(J667="Internal",3,0)))+IF(W667="Hard-coded",10,IF(W667="Configurable",3,0))+IF(MAX(I667,AP667)&gt;=10,10,IF(MAX(I667,AP667)&gt;=5,7,IF(MAX(I667,AP667)&gt;=2,3,0)))+IF(K667="High",10,IF(K667="Medium",5,0))))</x:f>
      </x:c>
      <x:c r="AC667" s="73" t="str">
        <x:f>IF(A667="","",IF(NOT(ISNUMBER(AB667)),"Review inputs",IF(AB667&gt;=70,"P0 - Immediate",IF(AB667&gt;=50,"P1 - High",IF(AB667&gt;=30,"P2 - Medium",IF(AB667&gt;=15,"P3 - Low","P4 - Monitor"))))))</x:f>
      </x:c>
      <x:c r="AD667" s="73"/>
      <x:c r="AE667" s="73"/>
      <x:c r="AF667" s="73"/>
      <x:c r="AG667" s="77"/>
      <x:c r="AH667" s="73"/>
      <x:c r="AI667" s="91"/>
      <x:c r="AJ667" s="91"/>
      <x:c r="AK667" s="91"/>
      <x:c r="AL667" s="92"/>
      <x:c r="AM667" s="91"/>
      <x:c r="AN667" s="91"/>
      <x:c r="AO667" s="93"/>
      <x:c r="AP667" s="94"/>
      <x:c r="AQ667" s="91"/>
      <x:c r="AR667" s="91"/>
      <x:c r="AS667" s="91"/>
      <x:c r="AT667" s="91"/>
      <x:c r="AU667" s="91"/>
      <x:c r="AV667" s="91"/>
      <x:c r="AW667" s="91"/>
      <x:c r="AX667" s="91"/>
      <x:c r="AY667" s="91"/>
      <x:c r="AZ667" s="92"/>
      <x:c r="BA667" s="94"/>
      <x:c r="BB667" s="91"/>
      <x:c r="BC667" s="92"/>
      <x:c r="BD667" s="92"/>
      <x:c r="BE667" s="91"/>
      <x:c r="BF667" s="91"/>
      <x:c r="BG667" s="91"/>
      <x:c r="BH667" s="91"/>
      <x:c r="BI667" s="91"/>
      <x:c r="BJ667" s="91"/>
      <x:c r="BK667" s="91"/>
      <x:c r="BL667" s="91"/>
      <x:c r="BM667" s="73" t="str">
        <x:f>IF(A667="","",IF(AI667="Example","Example only",IF(AI667&lt;&gt;"Actual","Set record type",IF(COUNTIF($A$2:$A$1001,A667)&gt;1,"Duplicate record ID",IF(OR(D667="",E667="",AF667="",NOT(ISNUMBER(AG667)),AJ667="",AK667="",NOT(ISNUMBER(AL667)),AND(AM667&lt;&gt;"Observed",AM667&lt;&gt;"Corroborated",AM667&lt;&gt;"Declared"),OR(AN667="",AN667="Unknown"),OR(AQ667="",AQ667="Unknown"),OR(AR667="",AR667="Unknown",AR667="TBD"),OR(BC667="",NOT(ISNUMBER(BC667)))),"Evidence incomplete","Evidence recorded; review scope")))))</x:f>
      </x:c>
      <x:c r="BN667" s="73"/>
    </x:row>
    <x:row r="668" ht="34" customHeight="1">
      <x:c r="A668" s="73"/>
      <x:c r="B668" s="73"/>
      <x:c r="C668" s="73"/>
      <x:c r="D668" s="73"/>
      <x:c r="E668" s="73"/>
      <x:c r="F668" s="73"/>
      <x:c r="G668" s="73"/>
      <x:c r="H668" s="73"/>
      <x:c r="I668" s="75"/>
      <x:c r="J668" s="73"/>
      <x:c r="K668" s="73"/>
      <x:c r="L668" s="76"/>
      <x:c r="M668" s="73"/>
      <x:c r="N668" s="73"/>
      <x:c r="O668" s="73"/>
      <x:c r="P668" s="73"/>
      <x:c r="Q668" s="76"/>
      <x:c r="R668" s="73"/>
      <x:c r="S668" s="73"/>
      <x:c r="T668" s="73"/>
      <x:c r="U668" s="73"/>
      <x:c r="V668" s="73"/>
      <x:c r="W668" s="73"/>
      <x:c r="X668" s="73"/>
      <x:c r="Y668" s="73"/>
      <x:c r="Z668" s="73"/>
      <x:c r="AA668" s="73"/>
      <x:c r="AB668" s="76" t="str">
        <x:f>IF(A668="","",IF(OR(NOT(ISNUMBER(I668)),I668&lt;0,NOT(ISNUMBER(AP668)),AP668&lt;0,NOT(ISNUMBER(L668)),L668&lt;1,L668&gt;5,L668&lt;&gt;INT(L668),AND(J668&lt;&gt;"Public",J668&lt;&gt;"Partner",J668&lt;&gt;"Internal",J668&lt;&gt;"None"),AND(K668&lt;&gt;"High",K668&lt;&gt;"Medium",K668&lt;&gt;"Low",K668&lt;&gt;"None"),AND(W668&lt;&gt;"Hard-coded",W668&lt;&gt;"Configurable",W668&lt;&gt;"Policy-managed",W668&lt;&gt;"API/Library abstraction",W668&lt;&gt;"Automated"),AND(Z668&lt;&gt;"Y",Z668&lt;&gt;"N"),AND(AA668&lt;&gt;"Y",AA668&lt;&gt;"N")),"Incomplete",IF(Z668="Y",20,0)+L668*5+IF(AA668="Y",15,0)+IF(J668="Public",10,IF(J668="Partner",7,IF(J668="Internal",3,0)))+IF(W668="Hard-coded",10,IF(W668="Configurable",3,0))+IF(MAX(I668,AP668)&gt;=10,10,IF(MAX(I668,AP668)&gt;=5,7,IF(MAX(I668,AP668)&gt;=2,3,0)))+IF(K668="High",10,IF(K668="Medium",5,0))))</x:f>
      </x:c>
      <x:c r="AC668" s="73" t="str">
        <x:f>IF(A668="","",IF(NOT(ISNUMBER(AB668)),"Review inputs",IF(AB668&gt;=70,"P0 - Immediate",IF(AB668&gt;=50,"P1 - High",IF(AB668&gt;=30,"P2 - Medium",IF(AB668&gt;=15,"P3 - Low","P4 - Monitor"))))))</x:f>
      </x:c>
      <x:c r="AD668" s="73"/>
      <x:c r="AE668" s="73"/>
      <x:c r="AF668" s="73"/>
      <x:c r="AG668" s="77"/>
      <x:c r="AH668" s="73"/>
      <x:c r="AI668" s="91"/>
      <x:c r="AJ668" s="91"/>
      <x:c r="AK668" s="91"/>
      <x:c r="AL668" s="92"/>
      <x:c r="AM668" s="91"/>
      <x:c r="AN668" s="91"/>
      <x:c r="AO668" s="93"/>
      <x:c r="AP668" s="94"/>
      <x:c r="AQ668" s="91"/>
      <x:c r="AR668" s="91"/>
      <x:c r="AS668" s="91"/>
      <x:c r="AT668" s="91"/>
      <x:c r="AU668" s="91"/>
      <x:c r="AV668" s="91"/>
      <x:c r="AW668" s="91"/>
      <x:c r="AX668" s="91"/>
      <x:c r="AY668" s="91"/>
      <x:c r="AZ668" s="92"/>
      <x:c r="BA668" s="94"/>
      <x:c r="BB668" s="91"/>
      <x:c r="BC668" s="92"/>
      <x:c r="BD668" s="92"/>
      <x:c r="BE668" s="91"/>
      <x:c r="BF668" s="91"/>
      <x:c r="BG668" s="91"/>
      <x:c r="BH668" s="91"/>
      <x:c r="BI668" s="91"/>
      <x:c r="BJ668" s="91"/>
      <x:c r="BK668" s="91"/>
      <x:c r="BL668" s="91"/>
      <x:c r="BM668" s="73" t="str">
        <x:f>IF(A668="","",IF(AI668="Example","Example only",IF(AI668&lt;&gt;"Actual","Set record type",IF(COUNTIF($A$2:$A$1001,A668)&gt;1,"Duplicate record ID",IF(OR(D668="",E668="",AF668="",NOT(ISNUMBER(AG668)),AJ668="",AK668="",NOT(ISNUMBER(AL668)),AND(AM668&lt;&gt;"Observed",AM668&lt;&gt;"Corroborated",AM668&lt;&gt;"Declared"),OR(AN668="",AN668="Unknown"),OR(AQ668="",AQ668="Unknown"),OR(AR668="",AR668="Unknown",AR668="TBD"),OR(BC668="",NOT(ISNUMBER(BC668)))),"Evidence incomplete","Evidence recorded; review scope")))))</x:f>
      </x:c>
      <x:c r="BN668" s="73"/>
    </x:row>
    <x:row r="669" ht="34" customHeight="1">
      <x:c r="A669" s="73"/>
      <x:c r="B669" s="73"/>
      <x:c r="C669" s="73"/>
      <x:c r="D669" s="73"/>
      <x:c r="E669" s="73"/>
      <x:c r="F669" s="73"/>
      <x:c r="G669" s="73"/>
      <x:c r="H669" s="73"/>
      <x:c r="I669" s="75"/>
      <x:c r="J669" s="73"/>
      <x:c r="K669" s="73"/>
      <x:c r="L669" s="76"/>
      <x:c r="M669" s="73"/>
      <x:c r="N669" s="73"/>
      <x:c r="O669" s="73"/>
      <x:c r="P669" s="73"/>
      <x:c r="Q669" s="76"/>
      <x:c r="R669" s="73"/>
      <x:c r="S669" s="73"/>
      <x:c r="T669" s="73"/>
      <x:c r="U669" s="73"/>
      <x:c r="V669" s="73"/>
      <x:c r="W669" s="73"/>
      <x:c r="X669" s="73"/>
      <x:c r="Y669" s="73"/>
      <x:c r="Z669" s="73"/>
      <x:c r="AA669" s="73"/>
      <x:c r="AB669" s="76" t="str">
        <x:f>IF(A669="","",IF(OR(NOT(ISNUMBER(I669)),I669&lt;0,NOT(ISNUMBER(AP669)),AP669&lt;0,NOT(ISNUMBER(L669)),L669&lt;1,L669&gt;5,L669&lt;&gt;INT(L669),AND(J669&lt;&gt;"Public",J669&lt;&gt;"Partner",J669&lt;&gt;"Internal",J669&lt;&gt;"None"),AND(K669&lt;&gt;"High",K669&lt;&gt;"Medium",K669&lt;&gt;"Low",K669&lt;&gt;"None"),AND(W669&lt;&gt;"Hard-coded",W669&lt;&gt;"Configurable",W669&lt;&gt;"Policy-managed",W669&lt;&gt;"API/Library abstraction",W669&lt;&gt;"Automated"),AND(Z669&lt;&gt;"Y",Z669&lt;&gt;"N"),AND(AA669&lt;&gt;"Y",AA669&lt;&gt;"N")),"Incomplete",IF(Z669="Y",20,0)+L669*5+IF(AA669="Y",15,0)+IF(J669="Public",10,IF(J669="Partner",7,IF(J669="Internal",3,0)))+IF(W669="Hard-coded",10,IF(W669="Configurable",3,0))+IF(MAX(I669,AP669)&gt;=10,10,IF(MAX(I669,AP669)&gt;=5,7,IF(MAX(I669,AP669)&gt;=2,3,0)))+IF(K669="High",10,IF(K669="Medium",5,0))))</x:f>
      </x:c>
      <x:c r="AC669" s="73" t="str">
        <x:f>IF(A669="","",IF(NOT(ISNUMBER(AB669)),"Review inputs",IF(AB669&gt;=70,"P0 - Immediate",IF(AB669&gt;=50,"P1 - High",IF(AB669&gt;=30,"P2 - Medium",IF(AB669&gt;=15,"P3 - Low","P4 - Monitor"))))))</x:f>
      </x:c>
      <x:c r="AD669" s="73"/>
      <x:c r="AE669" s="73"/>
      <x:c r="AF669" s="73"/>
      <x:c r="AG669" s="77"/>
      <x:c r="AH669" s="73"/>
      <x:c r="AI669" s="91"/>
      <x:c r="AJ669" s="91"/>
      <x:c r="AK669" s="91"/>
      <x:c r="AL669" s="92"/>
      <x:c r="AM669" s="91"/>
      <x:c r="AN669" s="91"/>
      <x:c r="AO669" s="93"/>
      <x:c r="AP669" s="94"/>
      <x:c r="AQ669" s="91"/>
      <x:c r="AR669" s="91"/>
      <x:c r="AS669" s="91"/>
      <x:c r="AT669" s="91"/>
      <x:c r="AU669" s="91"/>
      <x:c r="AV669" s="91"/>
      <x:c r="AW669" s="91"/>
      <x:c r="AX669" s="91"/>
      <x:c r="AY669" s="91"/>
      <x:c r="AZ669" s="92"/>
      <x:c r="BA669" s="94"/>
      <x:c r="BB669" s="91"/>
      <x:c r="BC669" s="92"/>
      <x:c r="BD669" s="92"/>
      <x:c r="BE669" s="91"/>
      <x:c r="BF669" s="91"/>
      <x:c r="BG669" s="91"/>
      <x:c r="BH669" s="91"/>
      <x:c r="BI669" s="91"/>
      <x:c r="BJ669" s="91"/>
      <x:c r="BK669" s="91"/>
      <x:c r="BL669" s="91"/>
      <x:c r="BM669" s="73" t="str">
        <x:f>IF(A669="","",IF(AI669="Example","Example only",IF(AI669&lt;&gt;"Actual","Set record type",IF(COUNTIF($A$2:$A$1001,A669)&gt;1,"Duplicate record ID",IF(OR(D669="",E669="",AF669="",NOT(ISNUMBER(AG669)),AJ669="",AK669="",NOT(ISNUMBER(AL669)),AND(AM669&lt;&gt;"Observed",AM669&lt;&gt;"Corroborated",AM669&lt;&gt;"Declared"),OR(AN669="",AN669="Unknown"),OR(AQ669="",AQ669="Unknown"),OR(AR669="",AR669="Unknown",AR669="TBD"),OR(BC669="",NOT(ISNUMBER(BC669)))),"Evidence incomplete","Evidence recorded; review scope")))))</x:f>
      </x:c>
      <x:c r="BN669" s="73"/>
    </x:row>
    <x:row r="670" ht="34" customHeight="1">
      <x:c r="A670" s="73"/>
      <x:c r="B670" s="73"/>
      <x:c r="C670" s="73"/>
      <x:c r="D670" s="73"/>
      <x:c r="E670" s="73"/>
      <x:c r="F670" s="73"/>
      <x:c r="G670" s="73"/>
      <x:c r="H670" s="73"/>
      <x:c r="I670" s="75"/>
      <x:c r="J670" s="73"/>
      <x:c r="K670" s="73"/>
      <x:c r="L670" s="76"/>
      <x:c r="M670" s="73"/>
      <x:c r="N670" s="73"/>
      <x:c r="O670" s="73"/>
      <x:c r="P670" s="73"/>
      <x:c r="Q670" s="76"/>
      <x:c r="R670" s="73"/>
      <x:c r="S670" s="73"/>
      <x:c r="T670" s="73"/>
      <x:c r="U670" s="73"/>
      <x:c r="V670" s="73"/>
      <x:c r="W670" s="73"/>
      <x:c r="X670" s="73"/>
      <x:c r="Y670" s="73"/>
      <x:c r="Z670" s="73"/>
      <x:c r="AA670" s="73"/>
      <x:c r="AB670" s="76" t="str">
        <x:f>IF(A670="","",IF(OR(NOT(ISNUMBER(I670)),I670&lt;0,NOT(ISNUMBER(AP670)),AP670&lt;0,NOT(ISNUMBER(L670)),L670&lt;1,L670&gt;5,L670&lt;&gt;INT(L670),AND(J670&lt;&gt;"Public",J670&lt;&gt;"Partner",J670&lt;&gt;"Internal",J670&lt;&gt;"None"),AND(K670&lt;&gt;"High",K670&lt;&gt;"Medium",K670&lt;&gt;"Low",K670&lt;&gt;"None"),AND(W670&lt;&gt;"Hard-coded",W670&lt;&gt;"Configurable",W670&lt;&gt;"Policy-managed",W670&lt;&gt;"API/Library abstraction",W670&lt;&gt;"Automated"),AND(Z670&lt;&gt;"Y",Z670&lt;&gt;"N"),AND(AA670&lt;&gt;"Y",AA670&lt;&gt;"N")),"Incomplete",IF(Z670="Y",20,0)+L670*5+IF(AA670="Y",15,0)+IF(J670="Public",10,IF(J670="Partner",7,IF(J670="Internal",3,0)))+IF(W670="Hard-coded",10,IF(W670="Configurable",3,0))+IF(MAX(I670,AP670)&gt;=10,10,IF(MAX(I670,AP670)&gt;=5,7,IF(MAX(I670,AP670)&gt;=2,3,0)))+IF(K670="High",10,IF(K670="Medium",5,0))))</x:f>
      </x:c>
      <x:c r="AC670" s="73" t="str">
        <x:f>IF(A670="","",IF(NOT(ISNUMBER(AB670)),"Review inputs",IF(AB670&gt;=70,"P0 - Immediate",IF(AB670&gt;=50,"P1 - High",IF(AB670&gt;=30,"P2 - Medium",IF(AB670&gt;=15,"P3 - Low","P4 - Monitor"))))))</x:f>
      </x:c>
      <x:c r="AD670" s="73"/>
      <x:c r="AE670" s="73"/>
      <x:c r="AF670" s="73"/>
      <x:c r="AG670" s="77"/>
      <x:c r="AH670" s="73"/>
      <x:c r="AI670" s="91"/>
      <x:c r="AJ670" s="91"/>
      <x:c r="AK670" s="91"/>
      <x:c r="AL670" s="92"/>
      <x:c r="AM670" s="91"/>
      <x:c r="AN670" s="91"/>
      <x:c r="AO670" s="93"/>
      <x:c r="AP670" s="94"/>
      <x:c r="AQ670" s="91"/>
      <x:c r="AR670" s="91"/>
      <x:c r="AS670" s="91"/>
      <x:c r="AT670" s="91"/>
      <x:c r="AU670" s="91"/>
      <x:c r="AV670" s="91"/>
      <x:c r="AW670" s="91"/>
      <x:c r="AX670" s="91"/>
      <x:c r="AY670" s="91"/>
      <x:c r="AZ670" s="92"/>
      <x:c r="BA670" s="94"/>
      <x:c r="BB670" s="91"/>
      <x:c r="BC670" s="92"/>
      <x:c r="BD670" s="92"/>
      <x:c r="BE670" s="91"/>
      <x:c r="BF670" s="91"/>
      <x:c r="BG670" s="91"/>
      <x:c r="BH670" s="91"/>
      <x:c r="BI670" s="91"/>
      <x:c r="BJ670" s="91"/>
      <x:c r="BK670" s="91"/>
      <x:c r="BL670" s="91"/>
      <x:c r="BM670" s="73" t="str">
        <x:f>IF(A670="","",IF(AI670="Example","Example only",IF(AI670&lt;&gt;"Actual","Set record type",IF(COUNTIF($A$2:$A$1001,A670)&gt;1,"Duplicate record ID",IF(OR(D670="",E670="",AF670="",NOT(ISNUMBER(AG670)),AJ670="",AK670="",NOT(ISNUMBER(AL670)),AND(AM670&lt;&gt;"Observed",AM670&lt;&gt;"Corroborated",AM670&lt;&gt;"Declared"),OR(AN670="",AN670="Unknown"),OR(AQ670="",AQ670="Unknown"),OR(AR670="",AR670="Unknown",AR670="TBD"),OR(BC670="",NOT(ISNUMBER(BC670)))),"Evidence incomplete","Evidence recorded; review scope")))))</x:f>
      </x:c>
      <x:c r="BN670" s="73"/>
    </x:row>
    <x:row r="671" ht="34" customHeight="1">
      <x:c r="A671" s="73"/>
      <x:c r="B671" s="73"/>
      <x:c r="C671" s="73"/>
      <x:c r="D671" s="73"/>
      <x:c r="E671" s="73"/>
      <x:c r="F671" s="73"/>
      <x:c r="G671" s="73"/>
      <x:c r="H671" s="73"/>
      <x:c r="I671" s="75"/>
      <x:c r="J671" s="73"/>
      <x:c r="K671" s="73"/>
      <x:c r="L671" s="76"/>
      <x:c r="M671" s="73"/>
      <x:c r="N671" s="73"/>
      <x:c r="O671" s="73"/>
      <x:c r="P671" s="73"/>
      <x:c r="Q671" s="76"/>
      <x:c r="R671" s="73"/>
      <x:c r="S671" s="73"/>
      <x:c r="T671" s="73"/>
      <x:c r="U671" s="73"/>
      <x:c r="V671" s="73"/>
      <x:c r="W671" s="73"/>
      <x:c r="X671" s="73"/>
      <x:c r="Y671" s="73"/>
      <x:c r="Z671" s="73"/>
      <x:c r="AA671" s="73"/>
      <x:c r="AB671" s="76" t="str">
        <x:f>IF(A671="","",IF(OR(NOT(ISNUMBER(I671)),I671&lt;0,NOT(ISNUMBER(AP671)),AP671&lt;0,NOT(ISNUMBER(L671)),L671&lt;1,L671&gt;5,L671&lt;&gt;INT(L671),AND(J671&lt;&gt;"Public",J671&lt;&gt;"Partner",J671&lt;&gt;"Internal",J671&lt;&gt;"None"),AND(K671&lt;&gt;"High",K671&lt;&gt;"Medium",K671&lt;&gt;"Low",K671&lt;&gt;"None"),AND(W671&lt;&gt;"Hard-coded",W671&lt;&gt;"Configurable",W671&lt;&gt;"Policy-managed",W671&lt;&gt;"API/Library abstraction",W671&lt;&gt;"Automated"),AND(Z671&lt;&gt;"Y",Z671&lt;&gt;"N"),AND(AA671&lt;&gt;"Y",AA671&lt;&gt;"N")),"Incomplete",IF(Z671="Y",20,0)+L671*5+IF(AA671="Y",15,0)+IF(J671="Public",10,IF(J671="Partner",7,IF(J671="Internal",3,0)))+IF(W671="Hard-coded",10,IF(W671="Configurable",3,0))+IF(MAX(I671,AP671)&gt;=10,10,IF(MAX(I671,AP671)&gt;=5,7,IF(MAX(I671,AP671)&gt;=2,3,0)))+IF(K671="High",10,IF(K671="Medium",5,0))))</x:f>
      </x:c>
      <x:c r="AC671" s="73" t="str">
        <x:f>IF(A671="","",IF(NOT(ISNUMBER(AB671)),"Review inputs",IF(AB671&gt;=70,"P0 - Immediate",IF(AB671&gt;=50,"P1 - High",IF(AB671&gt;=30,"P2 - Medium",IF(AB671&gt;=15,"P3 - Low","P4 - Monitor"))))))</x:f>
      </x:c>
      <x:c r="AD671" s="73"/>
      <x:c r="AE671" s="73"/>
      <x:c r="AF671" s="73"/>
      <x:c r="AG671" s="77"/>
      <x:c r="AH671" s="73"/>
      <x:c r="AI671" s="91"/>
      <x:c r="AJ671" s="91"/>
      <x:c r="AK671" s="91"/>
      <x:c r="AL671" s="92"/>
      <x:c r="AM671" s="91"/>
      <x:c r="AN671" s="91"/>
      <x:c r="AO671" s="93"/>
      <x:c r="AP671" s="94"/>
      <x:c r="AQ671" s="91"/>
      <x:c r="AR671" s="91"/>
      <x:c r="AS671" s="91"/>
      <x:c r="AT671" s="91"/>
      <x:c r="AU671" s="91"/>
      <x:c r="AV671" s="91"/>
      <x:c r="AW671" s="91"/>
      <x:c r="AX671" s="91"/>
      <x:c r="AY671" s="91"/>
      <x:c r="AZ671" s="92"/>
      <x:c r="BA671" s="94"/>
      <x:c r="BB671" s="91"/>
      <x:c r="BC671" s="92"/>
      <x:c r="BD671" s="92"/>
      <x:c r="BE671" s="91"/>
      <x:c r="BF671" s="91"/>
      <x:c r="BG671" s="91"/>
      <x:c r="BH671" s="91"/>
      <x:c r="BI671" s="91"/>
      <x:c r="BJ671" s="91"/>
      <x:c r="BK671" s="91"/>
      <x:c r="BL671" s="91"/>
      <x:c r="BM671" s="73" t="str">
        <x:f>IF(A671="","",IF(AI671="Example","Example only",IF(AI671&lt;&gt;"Actual","Set record type",IF(COUNTIF($A$2:$A$1001,A671)&gt;1,"Duplicate record ID",IF(OR(D671="",E671="",AF671="",NOT(ISNUMBER(AG671)),AJ671="",AK671="",NOT(ISNUMBER(AL671)),AND(AM671&lt;&gt;"Observed",AM671&lt;&gt;"Corroborated",AM671&lt;&gt;"Declared"),OR(AN671="",AN671="Unknown"),OR(AQ671="",AQ671="Unknown"),OR(AR671="",AR671="Unknown",AR671="TBD"),OR(BC671="",NOT(ISNUMBER(BC671)))),"Evidence incomplete","Evidence recorded; review scope")))))</x:f>
      </x:c>
      <x:c r="BN671" s="73"/>
    </x:row>
    <x:row r="672" ht="34" customHeight="1">
      <x:c r="A672" s="73"/>
      <x:c r="B672" s="73"/>
      <x:c r="C672" s="73"/>
      <x:c r="D672" s="73"/>
      <x:c r="E672" s="73"/>
      <x:c r="F672" s="73"/>
      <x:c r="G672" s="73"/>
      <x:c r="H672" s="73"/>
      <x:c r="I672" s="75"/>
      <x:c r="J672" s="73"/>
      <x:c r="K672" s="73"/>
      <x:c r="L672" s="76"/>
      <x:c r="M672" s="73"/>
      <x:c r="N672" s="73"/>
      <x:c r="O672" s="73"/>
      <x:c r="P672" s="73"/>
      <x:c r="Q672" s="76"/>
      <x:c r="R672" s="73"/>
      <x:c r="S672" s="73"/>
      <x:c r="T672" s="73"/>
      <x:c r="U672" s="73"/>
      <x:c r="V672" s="73"/>
      <x:c r="W672" s="73"/>
      <x:c r="X672" s="73"/>
      <x:c r="Y672" s="73"/>
      <x:c r="Z672" s="73"/>
      <x:c r="AA672" s="73"/>
      <x:c r="AB672" s="76" t="str">
        <x:f>IF(A672="","",IF(OR(NOT(ISNUMBER(I672)),I672&lt;0,NOT(ISNUMBER(AP672)),AP672&lt;0,NOT(ISNUMBER(L672)),L672&lt;1,L672&gt;5,L672&lt;&gt;INT(L672),AND(J672&lt;&gt;"Public",J672&lt;&gt;"Partner",J672&lt;&gt;"Internal",J672&lt;&gt;"None"),AND(K672&lt;&gt;"High",K672&lt;&gt;"Medium",K672&lt;&gt;"Low",K672&lt;&gt;"None"),AND(W672&lt;&gt;"Hard-coded",W672&lt;&gt;"Configurable",W672&lt;&gt;"Policy-managed",W672&lt;&gt;"API/Library abstraction",W672&lt;&gt;"Automated"),AND(Z672&lt;&gt;"Y",Z672&lt;&gt;"N"),AND(AA672&lt;&gt;"Y",AA672&lt;&gt;"N")),"Incomplete",IF(Z672="Y",20,0)+L672*5+IF(AA672="Y",15,0)+IF(J672="Public",10,IF(J672="Partner",7,IF(J672="Internal",3,0)))+IF(W672="Hard-coded",10,IF(W672="Configurable",3,0))+IF(MAX(I672,AP672)&gt;=10,10,IF(MAX(I672,AP672)&gt;=5,7,IF(MAX(I672,AP672)&gt;=2,3,0)))+IF(K672="High",10,IF(K672="Medium",5,0))))</x:f>
      </x:c>
      <x:c r="AC672" s="73" t="str">
        <x:f>IF(A672="","",IF(NOT(ISNUMBER(AB672)),"Review inputs",IF(AB672&gt;=70,"P0 - Immediate",IF(AB672&gt;=50,"P1 - High",IF(AB672&gt;=30,"P2 - Medium",IF(AB672&gt;=15,"P3 - Low","P4 - Monitor"))))))</x:f>
      </x:c>
      <x:c r="AD672" s="73"/>
      <x:c r="AE672" s="73"/>
      <x:c r="AF672" s="73"/>
      <x:c r="AG672" s="77"/>
      <x:c r="AH672" s="73"/>
      <x:c r="AI672" s="91"/>
      <x:c r="AJ672" s="91"/>
      <x:c r="AK672" s="91"/>
      <x:c r="AL672" s="92"/>
      <x:c r="AM672" s="91"/>
      <x:c r="AN672" s="91"/>
      <x:c r="AO672" s="93"/>
      <x:c r="AP672" s="94"/>
      <x:c r="AQ672" s="91"/>
      <x:c r="AR672" s="91"/>
      <x:c r="AS672" s="91"/>
      <x:c r="AT672" s="91"/>
      <x:c r="AU672" s="91"/>
      <x:c r="AV672" s="91"/>
      <x:c r="AW672" s="91"/>
      <x:c r="AX672" s="91"/>
      <x:c r="AY672" s="91"/>
      <x:c r="AZ672" s="92"/>
      <x:c r="BA672" s="94"/>
      <x:c r="BB672" s="91"/>
      <x:c r="BC672" s="92"/>
      <x:c r="BD672" s="92"/>
      <x:c r="BE672" s="91"/>
      <x:c r="BF672" s="91"/>
      <x:c r="BG672" s="91"/>
      <x:c r="BH672" s="91"/>
      <x:c r="BI672" s="91"/>
      <x:c r="BJ672" s="91"/>
      <x:c r="BK672" s="91"/>
      <x:c r="BL672" s="91"/>
      <x:c r="BM672" s="73" t="str">
        <x:f>IF(A672="","",IF(AI672="Example","Example only",IF(AI672&lt;&gt;"Actual","Set record type",IF(COUNTIF($A$2:$A$1001,A672)&gt;1,"Duplicate record ID",IF(OR(D672="",E672="",AF672="",NOT(ISNUMBER(AG672)),AJ672="",AK672="",NOT(ISNUMBER(AL672)),AND(AM672&lt;&gt;"Observed",AM672&lt;&gt;"Corroborated",AM672&lt;&gt;"Declared"),OR(AN672="",AN672="Unknown"),OR(AQ672="",AQ672="Unknown"),OR(AR672="",AR672="Unknown",AR672="TBD"),OR(BC672="",NOT(ISNUMBER(BC672)))),"Evidence incomplete","Evidence recorded; review scope")))))</x:f>
      </x:c>
      <x:c r="BN672" s="73"/>
    </x:row>
    <x:row r="673" ht="34" customHeight="1">
      <x:c r="A673" s="73"/>
      <x:c r="B673" s="73"/>
      <x:c r="C673" s="73"/>
      <x:c r="D673" s="73"/>
      <x:c r="E673" s="73"/>
      <x:c r="F673" s="73"/>
      <x:c r="G673" s="73"/>
      <x:c r="H673" s="73"/>
      <x:c r="I673" s="75"/>
      <x:c r="J673" s="73"/>
      <x:c r="K673" s="73"/>
      <x:c r="L673" s="76"/>
      <x:c r="M673" s="73"/>
      <x:c r="N673" s="73"/>
      <x:c r="O673" s="73"/>
      <x:c r="P673" s="73"/>
      <x:c r="Q673" s="76"/>
      <x:c r="R673" s="73"/>
      <x:c r="S673" s="73"/>
      <x:c r="T673" s="73"/>
      <x:c r="U673" s="73"/>
      <x:c r="V673" s="73"/>
      <x:c r="W673" s="73"/>
      <x:c r="X673" s="73"/>
      <x:c r="Y673" s="73"/>
      <x:c r="Z673" s="73"/>
      <x:c r="AA673" s="73"/>
      <x:c r="AB673" s="76" t="str">
        <x:f>IF(A673="","",IF(OR(NOT(ISNUMBER(I673)),I673&lt;0,NOT(ISNUMBER(AP673)),AP673&lt;0,NOT(ISNUMBER(L673)),L673&lt;1,L673&gt;5,L673&lt;&gt;INT(L673),AND(J673&lt;&gt;"Public",J673&lt;&gt;"Partner",J673&lt;&gt;"Internal",J673&lt;&gt;"None"),AND(K673&lt;&gt;"High",K673&lt;&gt;"Medium",K673&lt;&gt;"Low",K673&lt;&gt;"None"),AND(W673&lt;&gt;"Hard-coded",W673&lt;&gt;"Configurable",W673&lt;&gt;"Policy-managed",W673&lt;&gt;"API/Library abstraction",W673&lt;&gt;"Automated"),AND(Z673&lt;&gt;"Y",Z673&lt;&gt;"N"),AND(AA673&lt;&gt;"Y",AA673&lt;&gt;"N")),"Incomplete",IF(Z673="Y",20,0)+L673*5+IF(AA673="Y",15,0)+IF(J673="Public",10,IF(J673="Partner",7,IF(J673="Internal",3,0)))+IF(W673="Hard-coded",10,IF(W673="Configurable",3,0))+IF(MAX(I673,AP673)&gt;=10,10,IF(MAX(I673,AP673)&gt;=5,7,IF(MAX(I673,AP673)&gt;=2,3,0)))+IF(K673="High",10,IF(K673="Medium",5,0))))</x:f>
      </x:c>
      <x:c r="AC673" s="73" t="str">
        <x:f>IF(A673="","",IF(NOT(ISNUMBER(AB673)),"Review inputs",IF(AB673&gt;=70,"P0 - Immediate",IF(AB673&gt;=50,"P1 - High",IF(AB673&gt;=30,"P2 - Medium",IF(AB673&gt;=15,"P3 - Low","P4 - Monitor"))))))</x:f>
      </x:c>
      <x:c r="AD673" s="73"/>
      <x:c r="AE673" s="73"/>
      <x:c r="AF673" s="73"/>
      <x:c r="AG673" s="77"/>
      <x:c r="AH673" s="73"/>
      <x:c r="AI673" s="91"/>
      <x:c r="AJ673" s="91"/>
      <x:c r="AK673" s="91"/>
      <x:c r="AL673" s="92"/>
      <x:c r="AM673" s="91"/>
      <x:c r="AN673" s="91"/>
      <x:c r="AO673" s="93"/>
      <x:c r="AP673" s="94"/>
      <x:c r="AQ673" s="91"/>
      <x:c r="AR673" s="91"/>
      <x:c r="AS673" s="91"/>
      <x:c r="AT673" s="91"/>
      <x:c r="AU673" s="91"/>
      <x:c r="AV673" s="91"/>
      <x:c r="AW673" s="91"/>
      <x:c r="AX673" s="91"/>
      <x:c r="AY673" s="91"/>
      <x:c r="AZ673" s="92"/>
      <x:c r="BA673" s="94"/>
      <x:c r="BB673" s="91"/>
      <x:c r="BC673" s="92"/>
      <x:c r="BD673" s="92"/>
      <x:c r="BE673" s="91"/>
      <x:c r="BF673" s="91"/>
      <x:c r="BG673" s="91"/>
      <x:c r="BH673" s="91"/>
      <x:c r="BI673" s="91"/>
      <x:c r="BJ673" s="91"/>
      <x:c r="BK673" s="91"/>
      <x:c r="BL673" s="91"/>
      <x:c r="BM673" s="73" t="str">
        <x:f>IF(A673="","",IF(AI673="Example","Example only",IF(AI673&lt;&gt;"Actual","Set record type",IF(COUNTIF($A$2:$A$1001,A673)&gt;1,"Duplicate record ID",IF(OR(D673="",E673="",AF673="",NOT(ISNUMBER(AG673)),AJ673="",AK673="",NOT(ISNUMBER(AL673)),AND(AM673&lt;&gt;"Observed",AM673&lt;&gt;"Corroborated",AM673&lt;&gt;"Declared"),OR(AN673="",AN673="Unknown"),OR(AQ673="",AQ673="Unknown"),OR(AR673="",AR673="Unknown",AR673="TBD"),OR(BC673="",NOT(ISNUMBER(BC673)))),"Evidence incomplete","Evidence recorded; review scope")))))</x:f>
      </x:c>
      <x:c r="BN673" s="73"/>
    </x:row>
    <x:row r="674" ht="34" customHeight="1">
      <x:c r="A674" s="73"/>
      <x:c r="B674" s="73"/>
      <x:c r="C674" s="73"/>
      <x:c r="D674" s="73"/>
      <x:c r="E674" s="73"/>
      <x:c r="F674" s="73"/>
      <x:c r="G674" s="73"/>
      <x:c r="H674" s="73"/>
      <x:c r="I674" s="75"/>
      <x:c r="J674" s="73"/>
      <x:c r="K674" s="73"/>
      <x:c r="L674" s="76"/>
      <x:c r="M674" s="73"/>
      <x:c r="N674" s="73"/>
      <x:c r="O674" s="73"/>
      <x:c r="P674" s="73"/>
      <x:c r="Q674" s="76"/>
      <x:c r="R674" s="73"/>
      <x:c r="S674" s="73"/>
      <x:c r="T674" s="73"/>
      <x:c r="U674" s="73"/>
      <x:c r="V674" s="73"/>
      <x:c r="W674" s="73"/>
      <x:c r="X674" s="73"/>
      <x:c r="Y674" s="73"/>
      <x:c r="Z674" s="73"/>
      <x:c r="AA674" s="73"/>
      <x:c r="AB674" s="76" t="str">
        <x:f>IF(A674="","",IF(OR(NOT(ISNUMBER(I674)),I674&lt;0,NOT(ISNUMBER(AP674)),AP674&lt;0,NOT(ISNUMBER(L674)),L674&lt;1,L674&gt;5,L674&lt;&gt;INT(L674),AND(J674&lt;&gt;"Public",J674&lt;&gt;"Partner",J674&lt;&gt;"Internal",J674&lt;&gt;"None"),AND(K674&lt;&gt;"High",K674&lt;&gt;"Medium",K674&lt;&gt;"Low",K674&lt;&gt;"None"),AND(W674&lt;&gt;"Hard-coded",W674&lt;&gt;"Configurable",W674&lt;&gt;"Policy-managed",W674&lt;&gt;"API/Library abstraction",W674&lt;&gt;"Automated"),AND(Z674&lt;&gt;"Y",Z674&lt;&gt;"N"),AND(AA674&lt;&gt;"Y",AA674&lt;&gt;"N")),"Incomplete",IF(Z674="Y",20,0)+L674*5+IF(AA674="Y",15,0)+IF(J674="Public",10,IF(J674="Partner",7,IF(J674="Internal",3,0)))+IF(W674="Hard-coded",10,IF(W674="Configurable",3,0))+IF(MAX(I674,AP674)&gt;=10,10,IF(MAX(I674,AP674)&gt;=5,7,IF(MAX(I674,AP674)&gt;=2,3,0)))+IF(K674="High",10,IF(K674="Medium",5,0))))</x:f>
      </x:c>
      <x:c r="AC674" s="73" t="str">
        <x:f>IF(A674="","",IF(NOT(ISNUMBER(AB674)),"Review inputs",IF(AB674&gt;=70,"P0 - Immediate",IF(AB674&gt;=50,"P1 - High",IF(AB674&gt;=30,"P2 - Medium",IF(AB674&gt;=15,"P3 - Low","P4 - Monitor"))))))</x:f>
      </x:c>
      <x:c r="AD674" s="73"/>
      <x:c r="AE674" s="73"/>
      <x:c r="AF674" s="73"/>
      <x:c r="AG674" s="77"/>
      <x:c r="AH674" s="73"/>
      <x:c r="AI674" s="91"/>
      <x:c r="AJ674" s="91"/>
      <x:c r="AK674" s="91"/>
      <x:c r="AL674" s="92"/>
      <x:c r="AM674" s="91"/>
      <x:c r="AN674" s="91"/>
      <x:c r="AO674" s="93"/>
      <x:c r="AP674" s="94"/>
      <x:c r="AQ674" s="91"/>
      <x:c r="AR674" s="91"/>
      <x:c r="AS674" s="91"/>
      <x:c r="AT674" s="91"/>
      <x:c r="AU674" s="91"/>
      <x:c r="AV674" s="91"/>
      <x:c r="AW674" s="91"/>
      <x:c r="AX674" s="91"/>
      <x:c r="AY674" s="91"/>
      <x:c r="AZ674" s="92"/>
      <x:c r="BA674" s="94"/>
      <x:c r="BB674" s="91"/>
      <x:c r="BC674" s="92"/>
      <x:c r="BD674" s="92"/>
      <x:c r="BE674" s="91"/>
      <x:c r="BF674" s="91"/>
      <x:c r="BG674" s="91"/>
      <x:c r="BH674" s="91"/>
      <x:c r="BI674" s="91"/>
      <x:c r="BJ674" s="91"/>
      <x:c r="BK674" s="91"/>
      <x:c r="BL674" s="91"/>
      <x:c r="BM674" s="73" t="str">
        <x:f>IF(A674="","",IF(AI674="Example","Example only",IF(AI674&lt;&gt;"Actual","Set record type",IF(COUNTIF($A$2:$A$1001,A674)&gt;1,"Duplicate record ID",IF(OR(D674="",E674="",AF674="",NOT(ISNUMBER(AG674)),AJ674="",AK674="",NOT(ISNUMBER(AL674)),AND(AM674&lt;&gt;"Observed",AM674&lt;&gt;"Corroborated",AM674&lt;&gt;"Declared"),OR(AN674="",AN674="Unknown"),OR(AQ674="",AQ674="Unknown"),OR(AR674="",AR674="Unknown",AR674="TBD"),OR(BC674="",NOT(ISNUMBER(BC674)))),"Evidence incomplete","Evidence recorded; review scope")))))</x:f>
      </x:c>
      <x:c r="BN674" s="73"/>
    </x:row>
    <x:row r="675" ht="34" customHeight="1">
      <x:c r="A675" s="73"/>
      <x:c r="B675" s="73"/>
      <x:c r="C675" s="73"/>
      <x:c r="D675" s="73"/>
      <x:c r="E675" s="73"/>
      <x:c r="F675" s="73"/>
      <x:c r="G675" s="73"/>
      <x:c r="H675" s="73"/>
      <x:c r="I675" s="75"/>
      <x:c r="J675" s="73"/>
      <x:c r="K675" s="73"/>
      <x:c r="L675" s="76"/>
      <x:c r="M675" s="73"/>
      <x:c r="N675" s="73"/>
      <x:c r="O675" s="73"/>
      <x:c r="P675" s="73"/>
      <x:c r="Q675" s="76"/>
      <x:c r="R675" s="73"/>
      <x:c r="S675" s="73"/>
      <x:c r="T675" s="73"/>
      <x:c r="U675" s="73"/>
      <x:c r="V675" s="73"/>
      <x:c r="W675" s="73"/>
      <x:c r="X675" s="73"/>
      <x:c r="Y675" s="73"/>
      <x:c r="Z675" s="73"/>
      <x:c r="AA675" s="73"/>
      <x:c r="AB675" s="76" t="str">
        <x:f>IF(A675="","",IF(OR(NOT(ISNUMBER(I675)),I675&lt;0,NOT(ISNUMBER(AP675)),AP675&lt;0,NOT(ISNUMBER(L675)),L675&lt;1,L675&gt;5,L675&lt;&gt;INT(L675),AND(J675&lt;&gt;"Public",J675&lt;&gt;"Partner",J675&lt;&gt;"Internal",J675&lt;&gt;"None"),AND(K675&lt;&gt;"High",K675&lt;&gt;"Medium",K675&lt;&gt;"Low",K675&lt;&gt;"None"),AND(W675&lt;&gt;"Hard-coded",W675&lt;&gt;"Configurable",W675&lt;&gt;"Policy-managed",W675&lt;&gt;"API/Library abstraction",W675&lt;&gt;"Automated"),AND(Z675&lt;&gt;"Y",Z675&lt;&gt;"N"),AND(AA675&lt;&gt;"Y",AA675&lt;&gt;"N")),"Incomplete",IF(Z675="Y",20,0)+L675*5+IF(AA675="Y",15,0)+IF(J675="Public",10,IF(J675="Partner",7,IF(J675="Internal",3,0)))+IF(W675="Hard-coded",10,IF(W675="Configurable",3,0))+IF(MAX(I675,AP675)&gt;=10,10,IF(MAX(I675,AP675)&gt;=5,7,IF(MAX(I675,AP675)&gt;=2,3,0)))+IF(K675="High",10,IF(K675="Medium",5,0))))</x:f>
      </x:c>
      <x:c r="AC675" s="73" t="str">
        <x:f>IF(A675="","",IF(NOT(ISNUMBER(AB675)),"Review inputs",IF(AB675&gt;=70,"P0 - Immediate",IF(AB675&gt;=50,"P1 - High",IF(AB675&gt;=30,"P2 - Medium",IF(AB675&gt;=15,"P3 - Low","P4 - Monitor"))))))</x:f>
      </x:c>
      <x:c r="AD675" s="73"/>
      <x:c r="AE675" s="73"/>
      <x:c r="AF675" s="73"/>
      <x:c r="AG675" s="77"/>
      <x:c r="AH675" s="73"/>
      <x:c r="AI675" s="91"/>
      <x:c r="AJ675" s="91"/>
      <x:c r="AK675" s="91"/>
      <x:c r="AL675" s="92"/>
      <x:c r="AM675" s="91"/>
      <x:c r="AN675" s="91"/>
      <x:c r="AO675" s="93"/>
      <x:c r="AP675" s="94"/>
      <x:c r="AQ675" s="91"/>
      <x:c r="AR675" s="91"/>
      <x:c r="AS675" s="91"/>
      <x:c r="AT675" s="91"/>
      <x:c r="AU675" s="91"/>
      <x:c r="AV675" s="91"/>
      <x:c r="AW675" s="91"/>
      <x:c r="AX675" s="91"/>
      <x:c r="AY675" s="91"/>
      <x:c r="AZ675" s="92"/>
      <x:c r="BA675" s="94"/>
      <x:c r="BB675" s="91"/>
      <x:c r="BC675" s="92"/>
      <x:c r="BD675" s="92"/>
      <x:c r="BE675" s="91"/>
      <x:c r="BF675" s="91"/>
      <x:c r="BG675" s="91"/>
      <x:c r="BH675" s="91"/>
      <x:c r="BI675" s="91"/>
      <x:c r="BJ675" s="91"/>
      <x:c r="BK675" s="91"/>
      <x:c r="BL675" s="91"/>
      <x:c r="BM675" s="73" t="str">
        <x:f>IF(A675="","",IF(AI675="Example","Example only",IF(AI675&lt;&gt;"Actual","Set record type",IF(COUNTIF($A$2:$A$1001,A675)&gt;1,"Duplicate record ID",IF(OR(D675="",E675="",AF675="",NOT(ISNUMBER(AG675)),AJ675="",AK675="",NOT(ISNUMBER(AL675)),AND(AM675&lt;&gt;"Observed",AM675&lt;&gt;"Corroborated",AM675&lt;&gt;"Declared"),OR(AN675="",AN675="Unknown"),OR(AQ675="",AQ675="Unknown"),OR(AR675="",AR675="Unknown",AR675="TBD"),OR(BC675="",NOT(ISNUMBER(BC675)))),"Evidence incomplete","Evidence recorded; review scope")))))</x:f>
      </x:c>
      <x:c r="BN675" s="73"/>
    </x:row>
    <x:row r="676" ht="34" customHeight="1">
      <x:c r="A676" s="73"/>
      <x:c r="B676" s="73"/>
      <x:c r="C676" s="73"/>
      <x:c r="D676" s="73"/>
      <x:c r="E676" s="73"/>
      <x:c r="F676" s="73"/>
      <x:c r="G676" s="73"/>
      <x:c r="H676" s="73"/>
      <x:c r="I676" s="75"/>
      <x:c r="J676" s="73"/>
      <x:c r="K676" s="73"/>
      <x:c r="L676" s="76"/>
      <x:c r="M676" s="73"/>
      <x:c r="N676" s="73"/>
      <x:c r="O676" s="73"/>
      <x:c r="P676" s="73"/>
      <x:c r="Q676" s="76"/>
      <x:c r="R676" s="73"/>
      <x:c r="S676" s="73"/>
      <x:c r="T676" s="73"/>
      <x:c r="U676" s="73"/>
      <x:c r="V676" s="73"/>
      <x:c r="W676" s="73"/>
      <x:c r="X676" s="73"/>
      <x:c r="Y676" s="73"/>
      <x:c r="Z676" s="73"/>
      <x:c r="AA676" s="73"/>
      <x:c r="AB676" s="76" t="str">
        <x:f>IF(A676="","",IF(OR(NOT(ISNUMBER(I676)),I676&lt;0,NOT(ISNUMBER(AP676)),AP676&lt;0,NOT(ISNUMBER(L676)),L676&lt;1,L676&gt;5,L676&lt;&gt;INT(L676),AND(J676&lt;&gt;"Public",J676&lt;&gt;"Partner",J676&lt;&gt;"Internal",J676&lt;&gt;"None"),AND(K676&lt;&gt;"High",K676&lt;&gt;"Medium",K676&lt;&gt;"Low",K676&lt;&gt;"None"),AND(W676&lt;&gt;"Hard-coded",W676&lt;&gt;"Configurable",W676&lt;&gt;"Policy-managed",W676&lt;&gt;"API/Library abstraction",W676&lt;&gt;"Automated"),AND(Z676&lt;&gt;"Y",Z676&lt;&gt;"N"),AND(AA676&lt;&gt;"Y",AA676&lt;&gt;"N")),"Incomplete",IF(Z676="Y",20,0)+L676*5+IF(AA676="Y",15,0)+IF(J676="Public",10,IF(J676="Partner",7,IF(J676="Internal",3,0)))+IF(W676="Hard-coded",10,IF(W676="Configurable",3,0))+IF(MAX(I676,AP676)&gt;=10,10,IF(MAX(I676,AP676)&gt;=5,7,IF(MAX(I676,AP676)&gt;=2,3,0)))+IF(K676="High",10,IF(K676="Medium",5,0))))</x:f>
      </x:c>
      <x:c r="AC676" s="73" t="str">
        <x:f>IF(A676="","",IF(NOT(ISNUMBER(AB676)),"Review inputs",IF(AB676&gt;=70,"P0 - Immediate",IF(AB676&gt;=50,"P1 - High",IF(AB676&gt;=30,"P2 - Medium",IF(AB676&gt;=15,"P3 - Low","P4 - Monitor"))))))</x:f>
      </x:c>
      <x:c r="AD676" s="73"/>
      <x:c r="AE676" s="73"/>
      <x:c r="AF676" s="73"/>
      <x:c r="AG676" s="77"/>
      <x:c r="AH676" s="73"/>
      <x:c r="AI676" s="91"/>
      <x:c r="AJ676" s="91"/>
      <x:c r="AK676" s="91"/>
      <x:c r="AL676" s="92"/>
      <x:c r="AM676" s="91"/>
      <x:c r="AN676" s="91"/>
      <x:c r="AO676" s="93"/>
      <x:c r="AP676" s="94"/>
      <x:c r="AQ676" s="91"/>
      <x:c r="AR676" s="91"/>
      <x:c r="AS676" s="91"/>
      <x:c r="AT676" s="91"/>
      <x:c r="AU676" s="91"/>
      <x:c r="AV676" s="91"/>
      <x:c r="AW676" s="91"/>
      <x:c r="AX676" s="91"/>
      <x:c r="AY676" s="91"/>
      <x:c r="AZ676" s="92"/>
      <x:c r="BA676" s="94"/>
      <x:c r="BB676" s="91"/>
      <x:c r="BC676" s="92"/>
      <x:c r="BD676" s="92"/>
      <x:c r="BE676" s="91"/>
      <x:c r="BF676" s="91"/>
      <x:c r="BG676" s="91"/>
      <x:c r="BH676" s="91"/>
      <x:c r="BI676" s="91"/>
      <x:c r="BJ676" s="91"/>
      <x:c r="BK676" s="91"/>
      <x:c r="BL676" s="91"/>
      <x:c r="BM676" s="73" t="str">
        <x:f>IF(A676="","",IF(AI676="Example","Example only",IF(AI676&lt;&gt;"Actual","Set record type",IF(COUNTIF($A$2:$A$1001,A676)&gt;1,"Duplicate record ID",IF(OR(D676="",E676="",AF676="",NOT(ISNUMBER(AG676)),AJ676="",AK676="",NOT(ISNUMBER(AL676)),AND(AM676&lt;&gt;"Observed",AM676&lt;&gt;"Corroborated",AM676&lt;&gt;"Declared"),OR(AN676="",AN676="Unknown"),OR(AQ676="",AQ676="Unknown"),OR(AR676="",AR676="Unknown",AR676="TBD"),OR(BC676="",NOT(ISNUMBER(BC676)))),"Evidence incomplete","Evidence recorded; review scope")))))</x:f>
      </x:c>
      <x:c r="BN676" s="73"/>
    </x:row>
    <x:row r="677" ht="34" customHeight="1">
      <x:c r="A677" s="73"/>
      <x:c r="B677" s="73"/>
      <x:c r="C677" s="73"/>
      <x:c r="D677" s="73"/>
      <x:c r="E677" s="73"/>
      <x:c r="F677" s="73"/>
      <x:c r="G677" s="73"/>
      <x:c r="H677" s="73"/>
      <x:c r="I677" s="75"/>
      <x:c r="J677" s="73"/>
      <x:c r="K677" s="73"/>
      <x:c r="L677" s="76"/>
      <x:c r="M677" s="73"/>
      <x:c r="N677" s="73"/>
      <x:c r="O677" s="73"/>
      <x:c r="P677" s="73"/>
      <x:c r="Q677" s="76"/>
      <x:c r="R677" s="73"/>
      <x:c r="S677" s="73"/>
      <x:c r="T677" s="73"/>
      <x:c r="U677" s="73"/>
      <x:c r="V677" s="73"/>
      <x:c r="W677" s="73"/>
      <x:c r="X677" s="73"/>
      <x:c r="Y677" s="73"/>
      <x:c r="Z677" s="73"/>
      <x:c r="AA677" s="73"/>
      <x:c r="AB677" s="76" t="str">
        <x:f>IF(A677="","",IF(OR(NOT(ISNUMBER(I677)),I677&lt;0,NOT(ISNUMBER(AP677)),AP677&lt;0,NOT(ISNUMBER(L677)),L677&lt;1,L677&gt;5,L677&lt;&gt;INT(L677),AND(J677&lt;&gt;"Public",J677&lt;&gt;"Partner",J677&lt;&gt;"Internal",J677&lt;&gt;"None"),AND(K677&lt;&gt;"High",K677&lt;&gt;"Medium",K677&lt;&gt;"Low",K677&lt;&gt;"None"),AND(W677&lt;&gt;"Hard-coded",W677&lt;&gt;"Configurable",W677&lt;&gt;"Policy-managed",W677&lt;&gt;"API/Library abstraction",W677&lt;&gt;"Automated"),AND(Z677&lt;&gt;"Y",Z677&lt;&gt;"N"),AND(AA677&lt;&gt;"Y",AA677&lt;&gt;"N")),"Incomplete",IF(Z677="Y",20,0)+L677*5+IF(AA677="Y",15,0)+IF(J677="Public",10,IF(J677="Partner",7,IF(J677="Internal",3,0)))+IF(W677="Hard-coded",10,IF(W677="Configurable",3,0))+IF(MAX(I677,AP677)&gt;=10,10,IF(MAX(I677,AP677)&gt;=5,7,IF(MAX(I677,AP677)&gt;=2,3,0)))+IF(K677="High",10,IF(K677="Medium",5,0))))</x:f>
      </x:c>
      <x:c r="AC677" s="73" t="str">
        <x:f>IF(A677="","",IF(NOT(ISNUMBER(AB677)),"Review inputs",IF(AB677&gt;=70,"P0 - Immediate",IF(AB677&gt;=50,"P1 - High",IF(AB677&gt;=30,"P2 - Medium",IF(AB677&gt;=15,"P3 - Low","P4 - Monitor"))))))</x:f>
      </x:c>
      <x:c r="AD677" s="73"/>
      <x:c r="AE677" s="73"/>
      <x:c r="AF677" s="73"/>
      <x:c r="AG677" s="77"/>
      <x:c r="AH677" s="73"/>
      <x:c r="AI677" s="91"/>
      <x:c r="AJ677" s="91"/>
      <x:c r="AK677" s="91"/>
      <x:c r="AL677" s="92"/>
      <x:c r="AM677" s="91"/>
      <x:c r="AN677" s="91"/>
      <x:c r="AO677" s="93"/>
      <x:c r="AP677" s="94"/>
      <x:c r="AQ677" s="91"/>
      <x:c r="AR677" s="91"/>
      <x:c r="AS677" s="91"/>
      <x:c r="AT677" s="91"/>
      <x:c r="AU677" s="91"/>
      <x:c r="AV677" s="91"/>
      <x:c r="AW677" s="91"/>
      <x:c r="AX677" s="91"/>
      <x:c r="AY677" s="91"/>
      <x:c r="AZ677" s="92"/>
      <x:c r="BA677" s="94"/>
      <x:c r="BB677" s="91"/>
      <x:c r="BC677" s="92"/>
      <x:c r="BD677" s="92"/>
      <x:c r="BE677" s="91"/>
      <x:c r="BF677" s="91"/>
      <x:c r="BG677" s="91"/>
      <x:c r="BH677" s="91"/>
      <x:c r="BI677" s="91"/>
      <x:c r="BJ677" s="91"/>
      <x:c r="BK677" s="91"/>
      <x:c r="BL677" s="91"/>
      <x:c r="BM677" s="73" t="str">
        <x:f>IF(A677="","",IF(AI677="Example","Example only",IF(AI677&lt;&gt;"Actual","Set record type",IF(COUNTIF($A$2:$A$1001,A677)&gt;1,"Duplicate record ID",IF(OR(D677="",E677="",AF677="",NOT(ISNUMBER(AG677)),AJ677="",AK677="",NOT(ISNUMBER(AL677)),AND(AM677&lt;&gt;"Observed",AM677&lt;&gt;"Corroborated",AM677&lt;&gt;"Declared"),OR(AN677="",AN677="Unknown"),OR(AQ677="",AQ677="Unknown"),OR(AR677="",AR677="Unknown",AR677="TBD"),OR(BC677="",NOT(ISNUMBER(BC677)))),"Evidence incomplete","Evidence recorded; review scope")))))</x:f>
      </x:c>
      <x:c r="BN677" s="73"/>
    </x:row>
    <x:row r="678" ht="34" customHeight="1">
      <x:c r="A678" s="73"/>
      <x:c r="B678" s="73"/>
      <x:c r="C678" s="73"/>
      <x:c r="D678" s="73"/>
      <x:c r="E678" s="73"/>
      <x:c r="F678" s="73"/>
      <x:c r="G678" s="73"/>
      <x:c r="H678" s="73"/>
      <x:c r="I678" s="75"/>
      <x:c r="J678" s="73"/>
      <x:c r="K678" s="73"/>
      <x:c r="L678" s="76"/>
      <x:c r="M678" s="73"/>
      <x:c r="N678" s="73"/>
      <x:c r="O678" s="73"/>
      <x:c r="P678" s="73"/>
      <x:c r="Q678" s="76"/>
      <x:c r="R678" s="73"/>
      <x:c r="S678" s="73"/>
      <x:c r="T678" s="73"/>
      <x:c r="U678" s="73"/>
      <x:c r="V678" s="73"/>
      <x:c r="W678" s="73"/>
      <x:c r="X678" s="73"/>
      <x:c r="Y678" s="73"/>
      <x:c r="Z678" s="73"/>
      <x:c r="AA678" s="73"/>
      <x:c r="AB678" s="76" t="str">
        <x:f>IF(A678="","",IF(OR(NOT(ISNUMBER(I678)),I678&lt;0,NOT(ISNUMBER(AP678)),AP678&lt;0,NOT(ISNUMBER(L678)),L678&lt;1,L678&gt;5,L678&lt;&gt;INT(L678),AND(J678&lt;&gt;"Public",J678&lt;&gt;"Partner",J678&lt;&gt;"Internal",J678&lt;&gt;"None"),AND(K678&lt;&gt;"High",K678&lt;&gt;"Medium",K678&lt;&gt;"Low",K678&lt;&gt;"None"),AND(W678&lt;&gt;"Hard-coded",W678&lt;&gt;"Configurable",W678&lt;&gt;"Policy-managed",W678&lt;&gt;"API/Library abstraction",W678&lt;&gt;"Automated"),AND(Z678&lt;&gt;"Y",Z678&lt;&gt;"N"),AND(AA678&lt;&gt;"Y",AA678&lt;&gt;"N")),"Incomplete",IF(Z678="Y",20,0)+L678*5+IF(AA678="Y",15,0)+IF(J678="Public",10,IF(J678="Partner",7,IF(J678="Internal",3,0)))+IF(W678="Hard-coded",10,IF(W678="Configurable",3,0))+IF(MAX(I678,AP678)&gt;=10,10,IF(MAX(I678,AP678)&gt;=5,7,IF(MAX(I678,AP678)&gt;=2,3,0)))+IF(K678="High",10,IF(K678="Medium",5,0))))</x:f>
      </x:c>
      <x:c r="AC678" s="73" t="str">
        <x:f>IF(A678="","",IF(NOT(ISNUMBER(AB678)),"Review inputs",IF(AB678&gt;=70,"P0 - Immediate",IF(AB678&gt;=50,"P1 - High",IF(AB678&gt;=30,"P2 - Medium",IF(AB678&gt;=15,"P3 - Low","P4 - Monitor"))))))</x:f>
      </x:c>
      <x:c r="AD678" s="73"/>
      <x:c r="AE678" s="73"/>
      <x:c r="AF678" s="73"/>
      <x:c r="AG678" s="77"/>
      <x:c r="AH678" s="73"/>
      <x:c r="AI678" s="91"/>
      <x:c r="AJ678" s="91"/>
      <x:c r="AK678" s="91"/>
      <x:c r="AL678" s="92"/>
      <x:c r="AM678" s="91"/>
      <x:c r="AN678" s="91"/>
      <x:c r="AO678" s="93"/>
      <x:c r="AP678" s="94"/>
      <x:c r="AQ678" s="91"/>
      <x:c r="AR678" s="91"/>
      <x:c r="AS678" s="91"/>
      <x:c r="AT678" s="91"/>
      <x:c r="AU678" s="91"/>
      <x:c r="AV678" s="91"/>
      <x:c r="AW678" s="91"/>
      <x:c r="AX678" s="91"/>
      <x:c r="AY678" s="91"/>
      <x:c r="AZ678" s="92"/>
      <x:c r="BA678" s="94"/>
      <x:c r="BB678" s="91"/>
      <x:c r="BC678" s="92"/>
      <x:c r="BD678" s="92"/>
      <x:c r="BE678" s="91"/>
      <x:c r="BF678" s="91"/>
      <x:c r="BG678" s="91"/>
      <x:c r="BH678" s="91"/>
      <x:c r="BI678" s="91"/>
      <x:c r="BJ678" s="91"/>
      <x:c r="BK678" s="91"/>
      <x:c r="BL678" s="91"/>
      <x:c r="BM678" s="73" t="str">
        <x:f>IF(A678="","",IF(AI678="Example","Example only",IF(AI678&lt;&gt;"Actual","Set record type",IF(COUNTIF($A$2:$A$1001,A678)&gt;1,"Duplicate record ID",IF(OR(D678="",E678="",AF678="",NOT(ISNUMBER(AG678)),AJ678="",AK678="",NOT(ISNUMBER(AL678)),AND(AM678&lt;&gt;"Observed",AM678&lt;&gt;"Corroborated",AM678&lt;&gt;"Declared"),OR(AN678="",AN678="Unknown"),OR(AQ678="",AQ678="Unknown"),OR(AR678="",AR678="Unknown",AR678="TBD"),OR(BC678="",NOT(ISNUMBER(BC678)))),"Evidence incomplete","Evidence recorded; review scope")))))</x:f>
      </x:c>
      <x:c r="BN678" s="73"/>
    </x:row>
    <x:row r="679" ht="34" customHeight="1">
      <x:c r="A679" s="73"/>
      <x:c r="B679" s="73"/>
      <x:c r="C679" s="73"/>
      <x:c r="D679" s="73"/>
      <x:c r="E679" s="73"/>
      <x:c r="F679" s="73"/>
      <x:c r="G679" s="73"/>
      <x:c r="H679" s="73"/>
      <x:c r="I679" s="75"/>
      <x:c r="J679" s="73"/>
      <x:c r="K679" s="73"/>
      <x:c r="L679" s="76"/>
      <x:c r="M679" s="73"/>
      <x:c r="N679" s="73"/>
      <x:c r="O679" s="73"/>
      <x:c r="P679" s="73"/>
      <x:c r="Q679" s="76"/>
      <x:c r="R679" s="73"/>
      <x:c r="S679" s="73"/>
      <x:c r="T679" s="73"/>
      <x:c r="U679" s="73"/>
      <x:c r="V679" s="73"/>
      <x:c r="W679" s="73"/>
      <x:c r="X679" s="73"/>
      <x:c r="Y679" s="73"/>
      <x:c r="Z679" s="73"/>
      <x:c r="AA679" s="73"/>
      <x:c r="AB679" s="76" t="str">
        <x:f>IF(A679="","",IF(OR(NOT(ISNUMBER(I679)),I679&lt;0,NOT(ISNUMBER(AP679)),AP679&lt;0,NOT(ISNUMBER(L679)),L679&lt;1,L679&gt;5,L679&lt;&gt;INT(L679),AND(J679&lt;&gt;"Public",J679&lt;&gt;"Partner",J679&lt;&gt;"Internal",J679&lt;&gt;"None"),AND(K679&lt;&gt;"High",K679&lt;&gt;"Medium",K679&lt;&gt;"Low",K679&lt;&gt;"None"),AND(W679&lt;&gt;"Hard-coded",W679&lt;&gt;"Configurable",W679&lt;&gt;"Policy-managed",W679&lt;&gt;"API/Library abstraction",W679&lt;&gt;"Automated"),AND(Z679&lt;&gt;"Y",Z679&lt;&gt;"N"),AND(AA679&lt;&gt;"Y",AA679&lt;&gt;"N")),"Incomplete",IF(Z679="Y",20,0)+L679*5+IF(AA679="Y",15,0)+IF(J679="Public",10,IF(J679="Partner",7,IF(J679="Internal",3,0)))+IF(W679="Hard-coded",10,IF(W679="Configurable",3,0))+IF(MAX(I679,AP679)&gt;=10,10,IF(MAX(I679,AP679)&gt;=5,7,IF(MAX(I679,AP679)&gt;=2,3,0)))+IF(K679="High",10,IF(K679="Medium",5,0))))</x:f>
      </x:c>
      <x:c r="AC679" s="73" t="str">
        <x:f>IF(A679="","",IF(NOT(ISNUMBER(AB679)),"Review inputs",IF(AB679&gt;=70,"P0 - Immediate",IF(AB679&gt;=50,"P1 - High",IF(AB679&gt;=30,"P2 - Medium",IF(AB679&gt;=15,"P3 - Low","P4 - Monitor"))))))</x:f>
      </x:c>
      <x:c r="AD679" s="73"/>
      <x:c r="AE679" s="73"/>
      <x:c r="AF679" s="73"/>
      <x:c r="AG679" s="77"/>
      <x:c r="AH679" s="73"/>
      <x:c r="AI679" s="91"/>
      <x:c r="AJ679" s="91"/>
      <x:c r="AK679" s="91"/>
      <x:c r="AL679" s="92"/>
      <x:c r="AM679" s="91"/>
      <x:c r="AN679" s="91"/>
      <x:c r="AO679" s="93"/>
      <x:c r="AP679" s="94"/>
      <x:c r="AQ679" s="91"/>
      <x:c r="AR679" s="91"/>
      <x:c r="AS679" s="91"/>
      <x:c r="AT679" s="91"/>
      <x:c r="AU679" s="91"/>
      <x:c r="AV679" s="91"/>
      <x:c r="AW679" s="91"/>
      <x:c r="AX679" s="91"/>
      <x:c r="AY679" s="91"/>
      <x:c r="AZ679" s="92"/>
      <x:c r="BA679" s="94"/>
      <x:c r="BB679" s="91"/>
      <x:c r="BC679" s="92"/>
      <x:c r="BD679" s="92"/>
      <x:c r="BE679" s="91"/>
      <x:c r="BF679" s="91"/>
      <x:c r="BG679" s="91"/>
      <x:c r="BH679" s="91"/>
      <x:c r="BI679" s="91"/>
      <x:c r="BJ679" s="91"/>
      <x:c r="BK679" s="91"/>
      <x:c r="BL679" s="91"/>
      <x:c r="BM679" s="73" t="str">
        <x:f>IF(A679="","",IF(AI679="Example","Example only",IF(AI679&lt;&gt;"Actual","Set record type",IF(COUNTIF($A$2:$A$1001,A679)&gt;1,"Duplicate record ID",IF(OR(D679="",E679="",AF679="",NOT(ISNUMBER(AG679)),AJ679="",AK679="",NOT(ISNUMBER(AL679)),AND(AM679&lt;&gt;"Observed",AM679&lt;&gt;"Corroborated",AM679&lt;&gt;"Declared"),OR(AN679="",AN679="Unknown"),OR(AQ679="",AQ679="Unknown"),OR(AR679="",AR679="Unknown",AR679="TBD"),OR(BC679="",NOT(ISNUMBER(BC679)))),"Evidence incomplete","Evidence recorded; review scope")))))</x:f>
      </x:c>
      <x:c r="BN679" s="73"/>
    </x:row>
    <x:row r="680" ht="34" customHeight="1">
      <x:c r="A680" s="73"/>
      <x:c r="B680" s="73"/>
      <x:c r="C680" s="73"/>
      <x:c r="D680" s="73"/>
      <x:c r="E680" s="73"/>
      <x:c r="F680" s="73"/>
      <x:c r="G680" s="73"/>
      <x:c r="H680" s="73"/>
      <x:c r="I680" s="75"/>
      <x:c r="J680" s="73"/>
      <x:c r="K680" s="73"/>
      <x:c r="L680" s="76"/>
      <x:c r="M680" s="73"/>
      <x:c r="N680" s="73"/>
      <x:c r="O680" s="73"/>
      <x:c r="P680" s="73"/>
      <x:c r="Q680" s="76"/>
      <x:c r="R680" s="73"/>
      <x:c r="S680" s="73"/>
      <x:c r="T680" s="73"/>
      <x:c r="U680" s="73"/>
      <x:c r="V680" s="73"/>
      <x:c r="W680" s="73"/>
      <x:c r="X680" s="73"/>
      <x:c r="Y680" s="73"/>
      <x:c r="Z680" s="73"/>
      <x:c r="AA680" s="73"/>
      <x:c r="AB680" s="76" t="str">
        <x:f>IF(A680="","",IF(OR(NOT(ISNUMBER(I680)),I680&lt;0,NOT(ISNUMBER(AP680)),AP680&lt;0,NOT(ISNUMBER(L680)),L680&lt;1,L680&gt;5,L680&lt;&gt;INT(L680),AND(J680&lt;&gt;"Public",J680&lt;&gt;"Partner",J680&lt;&gt;"Internal",J680&lt;&gt;"None"),AND(K680&lt;&gt;"High",K680&lt;&gt;"Medium",K680&lt;&gt;"Low",K680&lt;&gt;"None"),AND(W680&lt;&gt;"Hard-coded",W680&lt;&gt;"Configurable",W680&lt;&gt;"Policy-managed",W680&lt;&gt;"API/Library abstraction",W680&lt;&gt;"Automated"),AND(Z680&lt;&gt;"Y",Z680&lt;&gt;"N"),AND(AA680&lt;&gt;"Y",AA680&lt;&gt;"N")),"Incomplete",IF(Z680="Y",20,0)+L680*5+IF(AA680="Y",15,0)+IF(J680="Public",10,IF(J680="Partner",7,IF(J680="Internal",3,0)))+IF(W680="Hard-coded",10,IF(W680="Configurable",3,0))+IF(MAX(I680,AP680)&gt;=10,10,IF(MAX(I680,AP680)&gt;=5,7,IF(MAX(I680,AP680)&gt;=2,3,0)))+IF(K680="High",10,IF(K680="Medium",5,0))))</x:f>
      </x:c>
      <x:c r="AC680" s="73" t="str">
        <x:f>IF(A680="","",IF(NOT(ISNUMBER(AB680)),"Review inputs",IF(AB680&gt;=70,"P0 - Immediate",IF(AB680&gt;=50,"P1 - High",IF(AB680&gt;=30,"P2 - Medium",IF(AB680&gt;=15,"P3 - Low","P4 - Monitor"))))))</x:f>
      </x:c>
      <x:c r="AD680" s="73"/>
      <x:c r="AE680" s="73"/>
      <x:c r="AF680" s="73"/>
      <x:c r="AG680" s="77"/>
      <x:c r="AH680" s="73"/>
      <x:c r="AI680" s="91"/>
      <x:c r="AJ680" s="91"/>
      <x:c r="AK680" s="91"/>
      <x:c r="AL680" s="92"/>
      <x:c r="AM680" s="91"/>
      <x:c r="AN680" s="91"/>
      <x:c r="AO680" s="93"/>
      <x:c r="AP680" s="94"/>
      <x:c r="AQ680" s="91"/>
      <x:c r="AR680" s="91"/>
      <x:c r="AS680" s="91"/>
      <x:c r="AT680" s="91"/>
      <x:c r="AU680" s="91"/>
      <x:c r="AV680" s="91"/>
      <x:c r="AW680" s="91"/>
      <x:c r="AX680" s="91"/>
      <x:c r="AY680" s="91"/>
      <x:c r="AZ680" s="92"/>
      <x:c r="BA680" s="94"/>
      <x:c r="BB680" s="91"/>
      <x:c r="BC680" s="92"/>
      <x:c r="BD680" s="92"/>
      <x:c r="BE680" s="91"/>
      <x:c r="BF680" s="91"/>
      <x:c r="BG680" s="91"/>
      <x:c r="BH680" s="91"/>
      <x:c r="BI680" s="91"/>
      <x:c r="BJ680" s="91"/>
      <x:c r="BK680" s="91"/>
      <x:c r="BL680" s="91"/>
      <x:c r="BM680" s="73" t="str">
        <x:f>IF(A680="","",IF(AI680="Example","Example only",IF(AI680&lt;&gt;"Actual","Set record type",IF(COUNTIF($A$2:$A$1001,A680)&gt;1,"Duplicate record ID",IF(OR(D680="",E680="",AF680="",NOT(ISNUMBER(AG680)),AJ680="",AK680="",NOT(ISNUMBER(AL680)),AND(AM680&lt;&gt;"Observed",AM680&lt;&gt;"Corroborated",AM680&lt;&gt;"Declared"),OR(AN680="",AN680="Unknown"),OR(AQ680="",AQ680="Unknown"),OR(AR680="",AR680="Unknown",AR680="TBD"),OR(BC680="",NOT(ISNUMBER(BC680)))),"Evidence incomplete","Evidence recorded; review scope")))))</x:f>
      </x:c>
      <x:c r="BN680" s="73"/>
    </x:row>
    <x:row r="681" ht="34" customHeight="1">
      <x:c r="A681" s="73"/>
      <x:c r="B681" s="73"/>
      <x:c r="C681" s="73"/>
      <x:c r="D681" s="73"/>
      <x:c r="E681" s="73"/>
      <x:c r="F681" s="73"/>
      <x:c r="G681" s="73"/>
      <x:c r="H681" s="73"/>
      <x:c r="I681" s="75"/>
      <x:c r="J681" s="73"/>
      <x:c r="K681" s="73"/>
      <x:c r="L681" s="76"/>
      <x:c r="M681" s="73"/>
      <x:c r="N681" s="73"/>
      <x:c r="O681" s="73"/>
      <x:c r="P681" s="73"/>
      <x:c r="Q681" s="76"/>
      <x:c r="R681" s="73"/>
      <x:c r="S681" s="73"/>
      <x:c r="T681" s="73"/>
      <x:c r="U681" s="73"/>
      <x:c r="V681" s="73"/>
      <x:c r="W681" s="73"/>
      <x:c r="X681" s="73"/>
      <x:c r="Y681" s="73"/>
      <x:c r="Z681" s="73"/>
      <x:c r="AA681" s="73"/>
      <x:c r="AB681" s="76" t="str">
        <x:f>IF(A681="","",IF(OR(NOT(ISNUMBER(I681)),I681&lt;0,NOT(ISNUMBER(AP681)),AP681&lt;0,NOT(ISNUMBER(L681)),L681&lt;1,L681&gt;5,L681&lt;&gt;INT(L681),AND(J681&lt;&gt;"Public",J681&lt;&gt;"Partner",J681&lt;&gt;"Internal",J681&lt;&gt;"None"),AND(K681&lt;&gt;"High",K681&lt;&gt;"Medium",K681&lt;&gt;"Low",K681&lt;&gt;"None"),AND(W681&lt;&gt;"Hard-coded",W681&lt;&gt;"Configurable",W681&lt;&gt;"Policy-managed",W681&lt;&gt;"API/Library abstraction",W681&lt;&gt;"Automated"),AND(Z681&lt;&gt;"Y",Z681&lt;&gt;"N"),AND(AA681&lt;&gt;"Y",AA681&lt;&gt;"N")),"Incomplete",IF(Z681="Y",20,0)+L681*5+IF(AA681="Y",15,0)+IF(J681="Public",10,IF(J681="Partner",7,IF(J681="Internal",3,0)))+IF(W681="Hard-coded",10,IF(W681="Configurable",3,0))+IF(MAX(I681,AP681)&gt;=10,10,IF(MAX(I681,AP681)&gt;=5,7,IF(MAX(I681,AP681)&gt;=2,3,0)))+IF(K681="High",10,IF(K681="Medium",5,0))))</x:f>
      </x:c>
      <x:c r="AC681" s="73" t="str">
        <x:f>IF(A681="","",IF(NOT(ISNUMBER(AB681)),"Review inputs",IF(AB681&gt;=70,"P0 - Immediate",IF(AB681&gt;=50,"P1 - High",IF(AB681&gt;=30,"P2 - Medium",IF(AB681&gt;=15,"P3 - Low","P4 - Monitor"))))))</x:f>
      </x:c>
      <x:c r="AD681" s="73"/>
      <x:c r="AE681" s="73"/>
      <x:c r="AF681" s="73"/>
      <x:c r="AG681" s="77"/>
      <x:c r="AH681" s="73"/>
      <x:c r="AI681" s="91"/>
      <x:c r="AJ681" s="91"/>
      <x:c r="AK681" s="91"/>
      <x:c r="AL681" s="92"/>
      <x:c r="AM681" s="91"/>
      <x:c r="AN681" s="91"/>
      <x:c r="AO681" s="93"/>
      <x:c r="AP681" s="94"/>
      <x:c r="AQ681" s="91"/>
      <x:c r="AR681" s="91"/>
      <x:c r="AS681" s="91"/>
      <x:c r="AT681" s="91"/>
      <x:c r="AU681" s="91"/>
      <x:c r="AV681" s="91"/>
      <x:c r="AW681" s="91"/>
      <x:c r="AX681" s="91"/>
      <x:c r="AY681" s="91"/>
      <x:c r="AZ681" s="92"/>
      <x:c r="BA681" s="94"/>
      <x:c r="BB681" s="91"/>
      <x:c r="BC681" s="92"/>
      <x:c r="BD681" s="92"/>
      <x:c r="BE681" s="91"/>
      <x:c r="BF681" s="91"/>
      <x:c r="BG681" s="91"/>
      <x:c r="BH681" s="91"/>
      <x:c r="BI681" s="91"/>
      <x:c r="BJ681" s="91"/>
      <x:c r="BK681" s="91"/>
      <x:c r="BL681" s="91"/>
      <x:c r="BM681" s="73" t="str">
        <x:f>IF(A681="","",IF(AI681="Example","Example only",IF(AI681&lt;&gt;"Actual","Set record type",IF(COUNTIF($A$2:$A$1001,A681)&gt;1,"Duplicate record ID",IF(OR(D681="",E681="",AF681="",NOT(ISNUMBER(AG681)),AJ681="",AK681="",NOT(ISNUMBER(AL681)),AND(AM681&lt;&gt;"Observed",AM681&lt;&gt;"Corroborated",AM681&lt;&gt;"Declared"),OR(AN681="",AN681="Unknown"),OR(AQ681="",AQ681="Unknown"),OR(AR681="",AR681="Unknown",AR681="TBD"),OR(BC681="",NOT(ISNUMBER(BC681)))),"Evidence incomplete","Evidence recorded; review scope")))))</x:f>
      </x:c>
      <x:c r="BN681" s="73"/>
    </x:row>
    <x:row r="682" ht="34" customHeight="1">
      <x:c r="A682" s="73"/>
      <x:c r="B682" s="73"/>
      <x:c r="C682" s="73"/>
      <x:c r="D682" s="73"/>
      <x:c r="E682" s="73"/>
      <x:c r="F682" s="73"/>
      <x:c r="G682" s="73"/>
      <x:c r="H682" s="73"/>
      <x:c r="I682" s="75"/>
      <x:c r="J682" s="73"/>
      <x:c r="K682" s="73"/>
      <x:c r="L682" s="76"/>
      <x:c r="M682" s="73"/>
      <x:c r="N682" s="73"/>
      <x:c r="O682" s="73"/>
      <x:c r="P682" s="73"/>
      <x:c r="Q682" s="76"/>
      <x:c r="R682" s="73"/>
      <x:c r="S682" s="73"/>
      <x:c r="T682" s="73"/>
      <x:c r="U682" s="73"/>
      <x:c r="V682" s="73"/>
      <x:c r="W682" s="73"/>
      <x:c r="X682" s="73"/>
      <x:c r="Y682" s="73"/>
      <x:c r="Z682" s="73"/>
      <x:c r="AA682" s="73"/>
      <x:c r="AB682" s="76" t="str">
        <x:f>IF(A682="","",IF(OR(NOT(ISNUMBER(I682)),I682&lt;0,NOT(ISNUMBER(AP682)),AP682&lt;0,NOT(ISNUMBER(L682)),L682&lt;1,L682&gt;5,L682&lt;&gt;INT(L682),AND(J682&lt;&gt;"Public",J682&lt;&gt;"Partner",J682&lt;&gt;"Internal",J682&lt;&gt;"None"),AND(K682&lt;&gt;"High",K682&lt;&gt;"Medium",K682&lt;&gt;"Low",K682&lt;&gt;"None"),AND(W682&lt;&gt;"Hard-coded",W682&lt;&gt;"Configurable",W682&lt;&gt;"Policy-managed",W682&lt;&gt;"API/Library abstraction",W682&lt;&gt;"Automated"),AND(Z682&lt;&gt;"Y",Z682&lt;&gt;"N"),AND(AA682&lt;&gt;"Y",AA682&lt;&gt;"N")),"Incomplete",IF(Z682="Y",20,0)+L682*5+IF(AA682="Y",15,0)+IF(J682="Public",10,IF(J682="Partner",7,IF(J682="Internal",3,0)))+IF(W682="Hard-coded",10,IF(W682="Configurable",3,0))+IF(MAX(I682,AP682)&gt;=10,10,IF(MAX(I682,AP682)&gt;=5,7,IF(MAX(I682,AP682)&gt;=2,3,0)))+IF(K682="High",10,IF(K682="Medium",5,0))))</x:f>
      </x:c>
      <x:c r="AC682" s="73" t="str">
        <x:f>IF(A682="","",IF(NOT(ISNUMBER(AB682)),"Review inputs",IF(AB682&gt;=70,"P0 - Immediate",IF(AB682&gt;=50,"P1 - High",IF(AB682&gt;=30,"P2 - Medium",IF(AB682&gt;=15,"P3 - Low","P4 - Monitor"))))))</x:f>
      </x:c>
      <x:c r="AD682" s="73"/>
      <x:c r="AE682" s="73"/>
      <x:c r="AF682" s="73"/>
      <x:c r="AG682" s="77"/>
      <x:c r="AH682" s="73"/>
      <x:c r="AI682" s="91"/>
      <x:c r="AJ682" s="91"/>
      <x:c r="AK682" s="91"/>
      <x:c r="AL682" s="92"/>
      <x:c r="AM682" s="91"/>
      <x:c r="AN682" s="91"/>
      <x:c r="AO682" s="93"/>
      <x:c r="AP682" s="94"/>
      <x:c r="AQ682" s="91"/>
      <x:c r="AR682" s="91"/>
      <x:c r="AS682" s="91"/>
      <x:c r="AT682" s="91"/>
      <x:c r="AU682" s="91"/>
      <x:c r="AV682" s="91"/>
      <x:c r="AW682" s="91"/>
      <x:c r="AX682" s="91"/>
      <x:c r="AY682" s="91"/>
      <x:c r="AZ682" s="92"/>
      <x:c r="BA682" s="94"/>
      <x:c r="BB682" s="91"/>
      <x:c r="BC682" s="92"/>
      <x:c r="BD682" s="92"/>
      <x:c r="BE682" s="91"/>
      <x:c r="BF682" s="91"/>
      <x:c r="BG682" s="91"/>
      <x:c r="BH682" s="91"/>
      <x:c r="BI682" s="91"/>
      <x:c r="BJ682" s="91"/>
      <x:c r="BK682" s="91"/>
      <x:c r="BL682" s="91"/>
      <x:c r="BM682" s="73" t="str">
        <x:f>IF(A682="","",IF(AI682="Example","Example only",IF(AI682&lt;&gt;"Actual","Set record type",IF(COUNTIF($A$2:$A$1001,A682)&gt;1,"Duplicate record ID",IF(OR(D682="",E682="",AF682="",NOT(ISNUMBER(AG682)),AJ682="",AK682="",NOT(ISNUMBER(AL682)),AND(AM682&lt;&gt;"Observed",AM682&lt;&gt;"Corroborated",AM682&lt;&gt;"Declared"),OR(AN682="",AN682="Unknown"),OR(AQ682="",AQ682="Unknown"),OR(AR682="",AR682="Unknown",AR682="TBD"),OR(BC682="",NOT(ISNUMBER(BC682)))),"Evidence incomplete","Evidence recorded; review scope")))))</x:f>
      </x:c>
      <x:c r="BN682" s="73"/>
    </x:row>
    <x:row r="683" ht="34" customHeight="1">
      <x:c r="A683" s="73"/>
      <x:c r="B683" s="73"/>
      <x:c r="C683" s="73"/>
      <x:c r="D683" s="73"/>
      <x:c r="E683" s="73"/>
      <x:c r="F683" s="73"/>
      <x:c r="G683" s="73"/>
      <x:c r="H683" s="73"/>
      <x:c r="I683" s="75"/>
      <x:c r="J683" s="73"/>
      <x:c r="K683" s="73"/>
      <x:c r="L683" s="76"/>
      <x:c r="M683" s="73"/>
      <x:c r="N683" s="73"/>
      <x:c r="O683" s="73"/>
      <x:c r="P683" s="73"/>
      <x:c r="Q683" s="76"/>
      <x:c r="R683" s="73"/>
      <x:c r="S683" s="73"/>
      <x:c r="T683" s="73"/>
      <x:c r="U683" s="73"/>
      <x:c r="V683" s="73"/>
      <x:c r="W683" s="73"/>
      <x:c r="X683" s="73"/>
      <x:c r="Y683" s="73"/>
      <x:c r="Z683" s="73"/>
      <x:c r="AA683" s="73"/>
      <x:c r="AB683" s="76" t="str">
        <x:f>IF(A683="","",IF(OR(NOT(ISNUMBER(I683)),I683&lt;0,NOT(ISNUMBER(AP683)),AP683&lt;0,NOT(ISNUMBER(L683)),L683&lt;1,L683&gt;5,L683&lt;&gt;INT(L683),AND(J683&lt;&gt;"Public",J683&lt;&gt;"Partner",J683&lt;&gt;"Internal",J683&lt;&gt;"None"),AND(K683&lt;&gt;"High",K683&lt;&gt;"Medium",K683&lt;&gt;"Low",K683&lt;&gt;"None"),AND(W683&lt;&gt;"Hard-coded",W683&lt;&gt;"Configurable",W683&lt;&gt;"Policy-managed",W683&lt;&gt;"API/Library abstraction",W683&lt;&gt;"Automated"),AND(Z683&lt;&gt;"Y",Z683&lt;&gt;"N"),AND(AA683&lt;&gt;"Y",AA683&lt;&gt;"N")),"Incomplete",IF(Z683="Y",20,0)+L683*5+IF(AA683="Y",15,0)+IF(J683="Public",10,IF(J683="Partner",7,IF(J683="Internal",3,0)))+IF(W683="Hard-coded",10,IF(W683="Configurable",3,0))+IF(MAX(I683,AP683)&gt;=10,10,IF(MAX(I683,AP683)&gt;=5,7,IF(MAX(I683,AP683)&gt;=2,3,0)))+IF(K683="High",10,IF(K683="Medium",5,0))))</x:f>
      </x:c>
      <x:c r="AC683" s="73" t="str">
        <x:f>IF(A683="","",IF(NOT(ISNUMBER(AB683)),"Review inputs",IF(AB683&gt;=70,"P0 - Immediate",IF(AB683&gt;=50,"P1 - High",IF(AB683&gt;=30,"P2 - Medium",IF(AB683&gt;=15,"P3 - Low","P4 - Monitor"))))))</x:f>
      </x:c>
      <x:c r="AD683" s="73"/>
      <x:c r="AE683" s="73"/>
      <x:c r="AF683" s="73"/>
      <x:c r="AG683" s="77"/>
      <x:c r="AH683" s="73"/>
      <x:c r="AI683" s="91"/>
      <x:c r="AJ683" s="91"/>
      <x:c r="AK683" s="91"/>
      <x:c r="AL683" s="92"/>
      <x:c r="AM683" s="91"/>
      <x:c r="AN683" s="91"/>
      <x:c r="AO683" s="93"/>
      <x:c r="AP683" s="94"/>
      <x:c r="AQ683" s="91"/>
      <x:c r="AR683" s="91"/>
      <x:c r="AS683" s="91"/>
      <x:c r="AT683" s="91"/>
      <x:c r="AU683" s="91"/>
      <x:c r="AV683" s="91"/>
      <x:c r="AW683" s="91"/>
      <x:c r="AX683" s="91"/>
      <x:c r="AY683" s="91"/>
      <x:c r="AZ683" s="92"/>
      <x:c r="BA683" s="94"/>
      <x:c r="BB683" s="91"/>
      <x:c r="BC683" s="92"/>
      <x:c r="BD683" s="92"/>
      <x:c r="BE683" s="91"/>
      <x:c r="BF683" s="91"/>
      <x:c r="BG683" s="91"/>
      <x:c r="BH683" s="91"/>
      <x:c r="BI683" s="91"/>
      <x:c r="BJ683" s="91"/>
      <x:c r="BK683" s="91"/>
      <x:c r="BL683" s="91"/>
      <x:c r="BM683" s="73" t="str">
        <x:f>IF(A683="","",IF(AI683="Example","Example only",IF(AI683&lt;&gt;"Actual","Set record type",IF(COUNTIF($A$2:$A$1001,A683)&gt;1,"Duplicate record ID",IF(OR(D683="",E683="",AF683="",NOT(ISNUMBER(AG683)),AJ683="",AK683="",NOT(ISNUMBER(AL683)),AND(AM683&lt;&gt;"Observed",AM683&lt;&gt;"Corroborated",AM683&lt;&gt;"Declared"),OR(AN683="",AN683="Unknown"),OR(AQ683="",AQ683="Unknown"),OR(AR683="",AR683="Unknown",AR683="TBD"),OR(BC683="",NOT(ISNUMBER(BC683)))),"Evidence incomplete","Evidence recorded; review scope")))))</x:f>
      </x:c>
      <x:c r="BN683" s="73"/>
    </x:row>
    <x:row r="684" ht="34" customHeight="1">
      <x:c r="A684" s="73"/>
      <x:c r="B684" s="73"/>
      <x:c r="C684" s="73"/>
      <x:c r="D684" s="73"/>
      <x:c r="E684" s="73"/>
      <x:c r="F684" s="73"/>
      <x:c r="G684" s="73"/>
      <x:c r="H684" s="73"/>
      <x:c r="I684" s="75"/>
      <x:c r="J684" s="73"/>
      <x:c r="K684" s="73"/>
      <x:c r="L684" s="76"/>
      <x:c r="M684" s="73"/>
      <x:c r="N684" s="73"/>
      <x:c r="O684" s="73"/>
      <x:c r="P684" s="73"/>
      <x:c r="Q684" s="76"/>
      <x:c r="R684" s="73"/>
      <x:c r="S684" s="73"/>
      <x:c r="T684" s="73"/>
      <x:c r="U684" s="73"/>
      <x:c r="V684" s="73"/>
      <x:c r="W684" s="73"/>
      <x:c r="X684" s="73"/>
      <x:c r="Y684" s="73"/>
      <x:c r="Z684" s="73"/>
      <x:c r="AA684" s="73"/>
      <x:c r="AB684" s="76" t="str">
        <x:f>IF(A684="","",IF(OR(NOT(ISNUMBER(I684)),I684&lt;0,NOT(ISNUMBER(AP684)),AP684&lt;0,NOT(ISNUMBER(L684)),L684&lt;1,L684&gt;5,L684&lt;&gt;INT(L684),AND(J684&lt;&gt;"Public",J684&lt;&gt;"Partner",J684&lt;&gt;"Internal",J684&lt;&gt;"None"),AND(K684&lt;&gt;"High",K684&lt;&gt;"Medium",K684&lt;&gt;"Low",K684&lt;&gt;"None"),AND(W684&lt;&gt;"Hard-coded",W684&lt;&gt;"Configurable",W684&lt;&gt;"Policy-managed",W684&lt;&gt;"API/Library abstraction",W684&lt;&gt;"Automated"),AND(Z684&lt;&gt;"Y",Z684&lt;&gt;"N"),AND(AA684&lt;&gt;"Y",AA684&lt;&gt;"N")),"Incomplete",IF(Z684="Y",20,0)+L684*5+IF(AA684="Y",15,0)+IF(J684="Public",10,IF(J684="Partner",7,IF(J684="Internal",3,0)))+IF(W684="Hard-coded",10,IF(W684="Configurable",3,0))+IF(MAX(I684,AP684)&gt;=10,10,IF(MAX(I684,AP684)&gt;=5,7,IF(MAX(I684,AP684)&gt;=2,3,0)))+IF(K684="High",10,IF(K684="Medium",5,0))))</x:f>
      </x:c>
      <x:c r="AC684" s="73" t="str">
        <x:f>IF(A684="","",IF(NOT(ISNUMBER(AB684)),"Review inputs",IF(AB684&gt;=70,"P0 - Immediate",IF(AB684&gt;=50,"P1 - High",IF(AB684&gt;=30,"P2 - Medium",IF(AB684&gt;=15,"P3 - Low","P4 - Monitor"))))))</x:f>
      </x:c>
      <x:c r="AD684" s="73"/>
      <x:c r="AE684" s="73"/>
      <x:c r="AF684" s="73"/>
      <x:c r="AG684" s="77"/>
      <x:c r="AH684" s="73"/>
      <x:c r="AI684" s="91"/>
      <x:c r="AJ684" s="91"/>
      <x:c r="AK684" s="91"/>
      <x:c r="AL684" s="92"/>
      <x:c r="AM684" s="91"/>
      <x:c r="AN684" s="91"/>
      <x:c r="AO684" s="93"/>
      <x:c r="AP684" s="94"/>
      <x:c r="AQ684" s="91"/>
      <x:c r="AR684" s="91"/>
      <x:c r="AS684" s="91"/>
      <x:c r="AT684" s="91"/>
      <x:c r="AU684" s="91"/>
      <x:c r="AV684" s="91"/>
      <x:c r="AW684" s="91"/>
      <x:c r="AX684" s="91"/>
      <x:c r="AY684" s="91"/>
      <x:c r="AZ684" s="92"/>
      <x:c r="BA684" s="94"/>
      <x:c r="BB684" s="91"/>
      <x:c r="BC684" s="92"/>
      <x:c r="BD684" s="92"/>
      <x:c r="BE684" s="91"/>
      <x:c r="BF684" s="91"/>
      <x:c r="BG684" s="91"/>
      <x:c r="BH684" s="91"/>
      <x:c r="BI684" s="91"/>
      <x:c r="BJ684" s="91"/>
      <x:c r="BK684" s="91"/>
      <x:c r="BL684" s="91"/>
      <x:c r="BM684" s="73" t="str">
        <x:f>IF(A684="","",IF(AI684="Example","Example only",IF(AI684&lt;&gt;"Actual","Set record type",IF(COUNTIF($A$2:$A$1001,A684)&gt;1,"Duplicate record ID",IF(OR(D684="",E684="",AF684="",NOT(ISNUMBER(AG684)),AJ684="",AK684="",NOT(ISNUMBER(AL684)),AND(AM684&lt;&gt;"Observed",AM684&lt;&gt;"Corroborated",AM684&lt;&gt;"Declared"),OR(AN684="",AN684="Unknown"),OR(AQ684="",AQ684="Unknown"),OR(AR684="",AR684="Unknown",AR684="TBD"),OR(BC684="",NOT(ISNUMBER(BC684)))),"Evidence incomplete","Evidence recorded; review scope")))))</x:f>
      </x:c>
      <x:c r="BN684" s="73"/>
    </x:row>
    <x:row r="685" ht="34" customHeight="1">
      <x:c r="A685" s="73"/>
      <x:c r="B685" s="73"/>
      <x:c r="C685" s="73"/>
      <x:c r="D685" s="73"/>
      <x:c r="E685" s="73"/>
      <x:c r="F685" s="73"/>
      <x:c r="G685" s="73"/>
      <x:c r="H685" s="73"/>
      <x:c r="I685" s="75"/>
      <x:c r="J685" s="73"/>
      <x:c r="K685" s="73"/>
      <x:c r="L685" s="76"/>
      <x:c r="M685" s="73"/>
      <x:c r="N685" s="73"/>
      <x:c r="O685" s="73"/>
      <x:c r="P685" s="73"/>
      <x:c r="Q685" s="76"/>
      <x:c r="R685" s="73"/>
      <x:c r="S685" s="73"/>
      <x:c r="T685" s="73"/>
      <x:c r="U685" s="73"/>
      <x:c r="V685" s="73"/>
      <x:c r="W685" s="73"/>
      <x:c r="X685" s="73"/>
      <x:c r="Y685" s="73"/>
      <x:c r="Z685" s="73"/>
      <x:c r="AA685" s="73"/>
      <x:c r="AB685" s="76" t="str">
        <x:f>IF(A685="","",IF(OR(NOT(ISNUMBER(I685)),I685&lt;0,NOT(ISNUMBER(AP685)),AP685&lt;0,NOT(ISNUMBER(L685)),L685&lt;1,L685&gt;5,L685&lt;&gt;INT(L685),AND(J685&lt;&gt;"Public",J685&lt;&gt;"Partner",J685&lt;&gt;"Internal",J685&lt;&gt;"None"),AND(K685&lt;&gt;"High",K685&lt;&gt;"Medium",K685&lt;&gt;"Low",K685&lt;&gt;"None"),AND(W685&lt;&gt;"Hard-coded",W685&lt;&gt;"Configurable",W685&lt;&gt;"Policy-managed",W685&lt;&gt;"API/Library abstraction",W685&lt;&gt;"Automated"),AND(Z685&lt;&gt;"Y",Z685&lt;&gt;"N"),AND(AA685&lt;&gt;"Y",AA685&lt;&gt;"N")),"Incomplete",IF(Z685="Y",20,0)+L685*5+IF(AA685="Y",15,0)+IF(J685="Public",10,IF(J685="Partner",7,IF(J685="Internal",3,0)))+IF(W685="Hard-coded",10,IF(W685="Configurable",3,0))+IF(MAX(I685,AP685)&gt;=10,10,IF(MAX(I685,AP685)&gt;=5,7,IF(MAX(I685,AP685)&gt;=2,3,0)))+IF(K685="High",10,IF(K685="Medium",5,0))))</x:f>
      </x:c>
      <x:c r="AC685" s="73" t="str">
        <x:f>IF(A685="","",IF(NOT(ISNUMBER(AB685)),"Review inputs",IF(AB685&gt;=70,"P0 - Immediate",IF(AB685&gt;=50,"P1 - High",IF(AB685&gt;=30,"P2 - Medium",IF(AB685&gt;=15,"P3 - Low","P4 - Monitor"))))))</x:f>
      </x:c>
      <x:c r="AD685" s="73"/>
      <x:c r="AE685" s="73"/>
      <x:c r="AF685" s="73"/>
      <x:c r="AG685" s="77"/>
      <x:c r="AH685" s="73"/>
      <x:c r="AI685" s="91"/>
      <x:c r="AJ685" s="91"/>
      <x:c r="AK685" s="91"/>
      <x:c r="AL685" s="92"/>
      <x:c r="AM685" s="91"/>
      <x:c r="AN685" s="91"/>
      <x:c r="AO685" s="93"/>
      <x:c r="AP685" s="94"/>
      <x:c r="AQ685" s="91"/>
      <x:c r="AR685" s="91"/>
      <x:c r="AS685" s="91"/>
      <x:c r="AT685" s="91"/>
      <x:c r="AU685" s="91"/>
      <x:c r="AV685" s="91"/>
      <x:c r="AW685" s="91"/>
      <x:c r="AX685" s="91"/>
      <x:c r="AY685" s="91"/>
      <x:c r="AZ685" s="92"/>
      <x:c r="BA685" s="94"/>
      <x:c r="BB685" s="91"/>
      <x:c r="BC685" s="92"/>
      <x:c r="BD685" s="92"/>
      <x:c r="BE685" s="91"/>
      <x:c r="BF685" s="91"/>
      <x:c r="BG685" s="91"/>
      <x:c r="BH685" s="91"/>
      <x:c r="BI685" s="91"/>
      <x:c r="BJ685" s="91"/>
      <x:c r="BK685" s="91"/>
      <x:c r="BL685" s="91"/>
      <x:c r="BM685" s="73" t="str">
        <x:f>IF(A685="","",IF(AI685="Example","Example only",IF(AI685&lt;&gt;"Actual","Set record type",IF(COUNTIF($A$2:$A$1001,A685)&gt;1,"Duplicate record ID",IF(OR(D685="",E685="",AF685="",NOT(ISNUMBER(AG685)),AJ685="",AK685="",NOT(ISNUMBER(AL685)),AND(AM685&lt;&gt;"Observed",AM685&lt;&gt;"Corroborated",AM685&lt;&gt;"Declared"),OR(AN685="",AN685="Unknown"),OR(AQ685="",AQ685="Unknown"),OR(AR685="",AR685="Unknown",AR685="TBD"),OR(BC685="",NOT(ISNUMBER(BC685)))),"Evidence incomplete","Evidence recorded; review scope")))))</x:f>
      </x:c>
      <x:c r="BN685" s="73"/>
    </x:row>
    <x:row r="686" ht="34" customHeight="1">
      <x:c r="A686" s="73"/>
      <x:c r="B686" s="73"/>
      <x:c r="C686" s="73"/>
      <x:c r="D686" s="73"/>
      <x:c r="E686" s="73"/>
      <x:c r="F686" s="73"/>
      <x:c r="G686" s="73"/>
      <x:c r="H686" s="73"/>
      <x:c r="I686" s="75"/>
      <x:c r="J686" s="73"/>
      <x:c r="K686" s="73"/>
      <x:c r="L686" s="76"/>
      <x:c r="M686" s="73"/>
      <x:c r="N686" s="73"/>
      <x:c r="O686" s="73"/>
      <x:c r="P686" s="73"/>
      <x:c r="Q686" s="76"/>
      <x:c r="R686" s="73"/>
      <x:c r="S686" s="73"/>
      <x:c r="T686" s="73"/>
      <x:c r="U686" s="73"/>
      <x:c r="V686" s="73"/>
      <x:c r="W686" s="73"/>
      <x:c r="X686" s="73"/>
      <x:c r="Y686" s="73"/>
      <x:c r="Z686" s="73"/>
      <x:c r="AA686" s="73"/>
      <x:c r="AB686" s="76" t="str">
        <x:f>IF(A686="","",IF(OR(NOT(ISNUMBER(I686)),I686&lt;0,NOT(ISNUMBER(AP686)),AP686&lt;0,NOT(ISNUMBER(L686)),L686&lt;1,L686&gt;5,L686&lt;&gt;INT(L686),AND(J686&lt;&gt;"Public",J686&lt;&gt;"Partner",J686&lt;&gt;"Internal",J686&lt;&gt;"None"),AND(K686&lt;&gt;"High",K686&lt;&gt;"Medium",K686&lt;&gt;"Low",K686&lt;&gt;"None"),AND(W686&lt;&gt;"Hard-coded",W686&lt;&gt;"Configurable",W686&lt;&gt;"Policy-managed",W686&lt;&gt;"API/Library abstraction",W686&lt;&gt;"Automated"),AND(Z686&lt;&gt;"Y",Z686&lt;&gt;"N"),AND(AA686&lt;&gt;"Y",AA686&lt;&gt;"N")),"Incomplete",IF(Z686="Y",20,0)+L686*5+IF(AA686="Y",15,0)+IF(J686="Public",10,IF(J686="Partner",7,IF(J686="Internal",3,0)))+IF(W686="Hard-coded",10,IF(W686="Configurable",3,0))+IF(MAX(I686,AP686)&gt;=10,10,IF(MAX(I686,AP686)&gt;=5,7,IF(MAX(I686,AP686)&gt;=2,3,0)))+IF(K686="High",10,IF(K686="Medium",5,0))))</x:f>
      </x:c>
      <x:c r="AC686" s="73" t="str">
        <x:f>IF(A686="","",IF(NOT(ISNUMBER(AB686)),"Review inputs",IF(AB686&gt;=70,"P0 - Immediate",IF(AB686&gt;=50,"P1 - High",IF(AB686&gt;=30,"P2 - Medium",IF(AB686&gt;=15,"P3 - Low","P4 - Monitor"))))))</x:f>
      </x:c>
      <x:c r="AD686" s="73"/>
      <x:c r="AE686" s="73"/>
      <x:c r="AF686" s="73"/>
      <x:c r="AG686" s="77"/>
      <x:c r="AH686" s="73"/>
      <x:c r="AI686" s="91"/>
      <x:c r="AJ686" s="91"/>
      <x:c r="AK686" s="91"/>
      <x:c r="AL686" s="92"/>
      <x:c r="AM686" s="91"/>
      <x:c r="AN686" s="91"/>
      <x:c r="AO686" s="93"/>
      <x:c r="AP686" s="94"/>
      <x:c r="AQ686" s="91"/>
      <x:c r="AR686" s="91"/>
      <x:c r="AS686" s="91"/>
      <x:c r="AT686" s="91"/>
      <x:c r="AU686" s="91"/>
      <x:c r="AV686" s="91"/>
      <x:c r="AW686" s="91"/>
      <x:c r="AX686" s="91"/>
      <x:c r="AY686" s="91"/>
      <x:c r="AZ686" s="92"/>
      <x:c r="BA686" s="94"/>
      <x:c r="BB686" s="91"/>
      <x:c r="BC686" s="92"/>
      <x:c r="BD686" s="92"/>
      <x:c r="BE686" s="91"/>
      <x:c r="BF686" s="91"/>
      <x:c r="BG686" s="91"/>
      <x:c r="BH686" s="91"/>
      <x:c r="BI686" s="91"/>
      <x:c r="BJ686" s="91"/>
      <x:c r="BK686" s="91"/>
      <x:c r="BL686" s="91"/>
      <x:c r="BM686" s="73" t="str">
        <x:f>IF(A686="","",IF(AI686="Example","Example only",IF(AI686&lt;&gt;"Actual","Set record type",IF(COUNTIF($A$2:$A$1001,A686)&gt;1,"Duplicate record ID",IF(OR(D686="",E686="",AF686="",NOT(ISNUMBER(AG686)),AJ686="",AK686="",NOT(ISNUMBER(AL686)),AND(AM686&lt;&gt;"Observed",AM686&lt;&gt;"Corroborated",AM686&lt;&gt;"Declared"),OR(AN686="",AN686="Unknown"),OR(AQ686="",AQ686="Unknown"),OR(AR686="",AR686="Unknown",AR686="TBD"),OR(BC686="",NOT(ISNUMBER(BC686)))),"Evidence incomplete","Evidence recorded; review scope")))))</x:f>
      </x:c>
      <x:c r="BN686" s="73"/>
    </x:row>
    <x:row r="687" ht="34" customHeight="1">
      <x:c r="A687" s="73"/>
      <x:c r="B687" s="73"/>
      <x:c r="C687" s="73"/>
      <x:c r="D687" s="73"/>
      <x:c r="E687" s="73"/>
      <x:c r="F687" s="73"/>
      <x:c r="G687" s="73"/>
      <x:c r="H687" s="73"/>
      <x:c r="I687" s="75"/>
      <x:c r="J687" s="73"/>
      <x:c r="K687" s="73"/>
      <x:c r="L687" s="76"/>
      <x:c r="M687" s="73"/>
      <x:c r="N687" s="73"/>
      <x:c r="O687" s="73"/>
      <x:c r="P687" s="73"/>
      <x:c r="Q687" s="76"/>
      <x:c r="R687" s="73"/>
      <x:c r="S687" s="73"/>
      <x:c r="T687" s="73"/>
      <x:c r="U687" s="73"/>
      <x:c r="V687" s="73"/>
      <x:c r="W687" s="73"/>
      <x:c r="X687" s="73"/>
      <x:c r="Y687" s="73"/>
      <x:c r="Z687" s="73"/>
      <x:c r="AA687" s="73"/>
      <x:c r="AB687" s="76" t="str">
        <x:f>IF(A687="","",IF(OR(NOT(ISNUMBER(I687)),I687&lt;0,NOT(ISNUMBER(AP687)),AP687&lt;0,NOT(ISNUMBER(L687)),L687&lt;1,L687&gt;5,L687&lt;&gt;INT(L687),AND(J687&lt;&gt;"Public",J687&lt;&gt;"Partner",J687&lt;&gt;"Internal",J687&lt;&gt;"None"),AND(K687&lt;&gt;"High",K687&lt;&gt;"Medium",K687&lt;&gt;"Low",K687&lt;&gt;"None"),AND(W687&lt;&gt;"Hard-coded",W687&lt;&gt;"Configurable",W687&lt;&gt;"Policy-managed",W687&lt;&gt;"API/Library abstraction",W687&lt;&gt;"Automated"),AND(Z687&lt;&gt;"Y",Z687&lt;&gt;"N"),AND(AA687&lt;&gt;"Y",AA687&lt;&gt;"N")),"Incomplete",IF(Z687="Y",20,0)+L687*5+IF(AA687="Y",15,0)+IF(J687="Public",10,IF(J687="Partner",7,IF(J687="Internal",3,0)))+IF(W687="Hard-coded",10,IF(W687="Configurable",3,0))+IF(MAX(I687,AP687)&gt;=10,10,IF(MAX(I687,AP687)&gt;=5,7,IF(MAX(I687,AP687)&gt;=2,3,0)))+IF(K687="High",10,IF(K687="Medium",5,0))))</x:f>
      </x:c>
      <x:c r="AC687" s="73" t="str">
        <x:f>IF(A687="","",IF(NOT(ISNUMBER(AB687)),"Review inputs",IF(AB687&gt;=70,"P0 - Immediate",IF(AB687&gt;=50,"P1 - High",IF(AB687&gt;=30,"P2 - Medium",IF(AB687&gt;=15,"P3 - Low","P4 - Monitor"))))))</x:f>
      </x:c>
      <x:c r="AD687" s="73"/>
      <x:c r="AE687" s="73"/>
      <x:c r="AF687" s="73"/>
      <x:c r="AG687" s="77"/>
      <x:c r="AH687" s="73"/>
      <x:c r="AI687" s="91"/>
      <x:c r="AJ687" s="91"/>
      <x:c r="AK687" s="91"/>
      <x:c r="AL687" s="92"/>
      <x:c r="AM687" s="91"/>
      <x:c r="AN687" s="91"/>
      <x:c r="AO687" s="93"/>
      <x:c r="AP687" s="94"/>
      <x:c r="AQ687" s="91"/>
      <x:c r="AR687" s="91"/>
      <x:c r="AS687" s="91"/>
      <x:c r="AT687" s="91"/>
      <x:c r="AU687" s="91"/>
      <x:c r="AV687" s="91"/>
      <x:c r="AW687" s="91"/>
      <x:c r="AX687" s="91"/>
      <x:c r="AY687" s="91"/>
      <x:c r="AZ687" s="92"/>
      <x:c r="BA687" s="94"/>
      <x:c r="BB687" s="91"/>
      <x:c r="BC687" s="92"/>
      <x:c r="BD687" s="92"/>
      <x:c r="BE687" s="91"/>
      <x:c r="BF687" s="91"/>
      <x:c r="BG687" s="91"/>
      <x:c r="BH687" s="91"/>
      <x:c r="BI687" s="91"/>
      <x:c r="BJ687" s="91"/>
      <x:c r="BK687" s="91"/>
      <x:c r="BL687" s="91"/>
      <x:c r="BM687" s="73" t="str">
        <x:f>IF(A687="","",IF(AI687="Example","Example only",IF(AI687&lt;&gt;"Actual","Set record type",IF(COUNTIF($A$2:$A$1001,A687)&gt;1,"Duplicate record ID",IF(OR(D687="",E687="",AF687="",NOT(ISNUMBER(AG687)),AJ687="",AK687="",NOT(ISNUMBER(AL687)),AND(AM687&lt;&gt;"Observed",AM687&lt;&gt;"Corroborated",AM687&lt;&gt;"Declared"),OR(AN687="",AN687="Unknown"),OR(AQ687="",AQ687="Unknown"),OR(AR687="",AR687="Unknown",AR687="TBD"),OR(BC687="",NOT(ISNUMBER(BC687)))),"Evidence incomplete","Evidence recorded; review scope")))))</x:f>
      </x:c>
      <x:c r="BN687" s="73"/>
    </x:row>
    <x:row r="688" ht="34" customHeight="1">
      <x:c r="A688" s="73"/>
      <x:c r="B688" s="73"/>
      <x:c r="C688" s="73"/>
      <x:c r="D688" s="73"/>
      <x:c r="E688" s="73"/>
      <x:c r="F688" s="73"/>
      <x:c r="G688" s="73"/>
      <x:c r="H688" s="73"/>
      <x:c r="I688" s="75"/>
      <x:c r="J688" s="73"/>
      <x:c r="K688" s="73"/>
      <x:c r="L688" s="76"/>
      <x:c r="M688" s="73"/>
      <x:c r="N688" s="73"/>
      <x:c r="O688" s="73"/>
      <x:c r="P688" s="73"/>
      <x:c r="Q688" s="76"/>
      <x:c r="R688" s="73"/>
      <x:c r="S688" s="73"/>
      <x:c r="T688" s="73"/>
      <x:c r="U688" s="73"/>
      <x:c r="V688" s="73"/>
      <x:c r="W688" s="73"/>
      <x:c r="X688" s="73"/>
      <x:c r="Y688" s="73"/>
      <x:c r="Z688" s="73"/>
      <x:c r="AA688" s="73"/>
      <x:c r="AB688" s="76" t="str">
        <x:f>IF(A688="","",IF(OR(NOT(ISNUMBER(I688)),I688&lt;0,NOT(ISNUMBER(AP688)),AP688&lt;0,NOT(ISNUMBER(L688)),L688&lt;1,L688&gt;5,L688&lt;&gt;INT(L688),AND(J688&lt;&gt;"Public",J688&lt;&gt;"Partner",J688&lt;&gt;"Internal",J688&lt;&gt;"None"),AND(K688&lt;&gt;"High",K688&lt;&gt;"Medium",K688&lt;&gt;"Low",K688&lt;&gt;"None"),AND(W688&lt;&gt;"Hard-coded",W688&lt;&gt;"Configurable",W688&lt;&gt;"Policy-managed",W688&lt;&gt;"API/Library abstraction",W688&lt;&gt;"Automated"),AND(Z688&lt;&gt;"Y",Z688&lt;&gt;"N"),AND(AA688&lt;&gt;"Y",AA688&lt;&gt;"N")),"Incomplete",IF(Z688="Y",20,0)+L688*5+IF(AA688="Y",15,0)+IF(J688="Public",10,IF(J688="Partner",7,IF(J688="Internal",3,0)))+IF(W688="Hard-coded",10,IF(W688="Configurable",3,0))+IF(MAX(I688,AP688)&gt;=10,10,IF(MAX(I688,AP688)&gt;=5,7,IF(MAX(I688,AP688)&gt;=2,3,0)))+IF(K688="High",10,IF(K688="Medium",5,0))))</x:f>
      </x:c>
      <x:c r="AC688" s="73" t="str">
        <x:f>IF(A688="","",IF(NOT(ISNUMBER(AB688)),"Review inputs",IF(AB688&gt;=70,"P0 - Immediate",IF(AB688&gt;=50,"P1 - High",IF(AB688&gt;=30,"P2 - Medium",IF(AB688&gt;=15,"P3 - Low","P4 - Monitor"))))))</x:f>
      </x:c>
      <x:c r="AD688" s="73"/>
      <x:c r="AE688" s="73"/>
      <x:c r="AF688" s="73"/>
      <x:c r="AG688" s="77"/>
      <x:c r="AH688" s="73"/>
      <x:c r="AI688" s="91"/>
      <x:c r="AJ688" s="91"/>
      <x:c r="AK688" s="91"/>
      <x:c r="AL688" s="92"/>
      <x:c r="AM688" s="91"/>
      <x:c r="AN688" s="91"/>
      <x:c r="AO688" s="93"/>
      <x:c r="AP688" s="94"/>
      <x:c r="AQ688" s="91"/>
      <x:c r="AR688" s="91"/>
      <x:c r="AS688" s="91"/>
      <x:c r="AT688" s="91"/>
      <x:c r="AU688" s="91"/>
      <x:c r="AV688" s="91"/>
      <x:c r="AW688" s="91"/>
      <x:c r="AX688" s="91"/>
      <x:c r="AY688" s="91"/>
      <x:c r="AZ688" s="92"/>
      <x:c r="BA688" s="94"/>
      <x:c r="BB688" s="91"/>
      <x:c r="BC688" s="92"/>
      <x:c r="BD688" s="92"/>
      <x:c r="BE688" s="91"/>
      <x:c r="BF688" s="91"/>
      <x:c r="BG688" s="91"/>
      <x:c r="BH688" s="91"/>
      <x:c r="BI688" s="91"/>
      <x:c r="BJ688" s="91"/>
      <x:c r="BK688" s="91"/>
      <x:c r="BL688" s="91"/>
      <x:c r="BM688" s="73" t="str">
        <x:f>IF(A688="","",IF(AI688="Example","Example only",IF(AI688&lt;&gt;"Actual","Set record type",IF(COUNTIF($A$2:$A$1001,A688)&gt;1,"Duplicate record ID",IF(OR(D688="",E688="",AF688="",NOT(ISNUMBER(AG688)),AJ688="",AK688="",NOT(ISNUMBER(AL688)),AND(AM688&lt;&gt;"Observed",AM688&lt;&gt;"Corroborated",AM688&lt;&gt;"Declared"),OR(AN688="",AN688="Unknown"),OR(AQ688="",AQ688="Unknown"),OR(AR688="",AR688="Unknown",AR688="TBD"),OR(BC688="",NOT(ISNUMBER(BC688)))),"Evidence incomplete","Evidence recorded; review scope")))))</x:f>
      </x:c>
      <x:c r="BN688" s="73"/>
    </x:row>
    <x:row r="689" ht="34" customHeight="1">
      <x:c r="A689" s="73"/>
      <x:c r="B689" s="73"/>
      <x:c r="C689" s="73"/>
      <x:c r="D689" s="73"/>
      <x:c r="E689" s="73"/>
      <x:c r="F689" s="73"/>
      <x:c r="G689" s="73"/>
      <x:c r="H689" s="73"/>
      <x:c r="I689" s="75"/>
      <x:c r="J689" s="73"/>
      <x:c r="K689" s="73"/>
      <x:c r="L689" s="76"/>
      <x:c r="M689" s="73"/>
      <x:c r="N689" s="73"/>
      <x:c r="O689" s="73"/>
      <x:c r="P689" s="73"/>
      <x:c r="Q689" s="76"/>
      <x:c r="R689" s="73"/>
      <x:c r="S689" s="73"/>
      <x:c r="T689" s="73"/>
      <x:c r="U689" s="73"/>
      <x:c r="V689" s="73"/>
      <x:c r="W689" s="73"/>
      <x:c r="X689" s="73"/>
      <x:c r="Y689" s="73"/>
      <x:c r="Z689" s="73"/>
      <x:c r="AA689" s="73"/>
      <x:c r="AB689" s="76" t="str">
        <x:f>IF(A689="","",IF(OR(NOT(ISNUMBER(I689)),I689&lt;0,NOT(ISNUMBER(AP689)),AP689&lt;0,NOT(ISNUMBER(L689)),L689&lt;1,L689&gt;5,L689&lt;&gt;INT(L689),AND(J689&lt;&gt;"Public",J689&lt;&gt;"Partner",J689&lt;&gt;"Internal",J689&lt;&gt;"None"),AND(K689&lt;&gt;"High",K689&lt;&gt;"Medium",K689&lt;&gt;"Low",K689&lt;&gt;"None"),AND(W689&lt;&gt;"Hard-coded",W689&lt;&gt;"Configurable",W689&lt;&gt;"Policy-managed",W689&lt;&gt;"API/Library abstraction",W689&lt;&gt;"Automated"),AND(Z689&lt;&gt;"Y",Z689&lt;&gt;"N"),AND(AA689&lt;&gt;"Y",AA689&lt;&gt;"N")),"Incomplete",IF(Z689="Y",20,0)+L689*5+IF(AA689="Y",15,0)+IF(J689="Public",10,IF(J689="Partner",7,IF(J689="Internal",3,0)))+IF(W689="Hard-coded",10,IF(W689="Configurable",3,0))+IF(MAX(I689,AP689)&gt;=10,10,IF(MAX(I689,AP689)&gt;=5,7,IF(MAX(I689,AP689)&gt;=2,3,0)))+IF(K689="High",10,IF(K689="Medium",5,0))))</x:f>
      </x:c>
      <x:c r="AC689" s="73" t="str">
        <x:f>IF(A689="","",IF(NOT(ISNUMBER(AB689)),"Review inputs",IF(AB689&gt;=70,"P0 - Immediate",IF(AB689&gt;=50,"P1 - High",IF(AB689&gt;=30,"P2 - Medium",IF(AB689&gt;=15,"P3 - Low","P4 - Monitor"))))))</x:f>
      </x:c>
      <x:c r="AD689" s="73"/>
      <x:c r="AE689" s="73"/>
      <x:c r="AF689" s="73"/>
      <x:c r="AG689" s="77"/>
      <x:c r="AH689" s="73"/>
      <x:c r="AI689" s="91"/>
      <x:c r="AJ689" s="91"/>
      <x:c r="AK689" s="91"/>
      <x:c r="AL689" s="92"/>
      <x:c r="AM689" s="91"/>
      <x:c r="AN689" s="91"/>
      <x:c r="AO689" s="93"/>
      <x:c r="AP689" s="94"/>
      <x:c r="AQ689" s="91"/>
      <x:c r="AR689" s="91"/>
      <x:c r="AS689" s="91"/>
      <x:c r="AT689" s="91"/>
      <x:c r="AU689" s="91"/>
      <x:c r="AV689" s="91"/>
      <x:c r="AW689" s="91"/>
      <x:c r="AX689" s="91"/>
      <x:c r="AY689" s="91"/>
      <x:c r="AZ689" s="92"/>
      <x:c r="BA689" s="94"/>
      <x:c r="BB689" s="91"/>
      <x:c r="BC689" s="92"/>
      <x:c r="BD689" s="92"/>
      <x:c r="BE689" s="91"/>
      <x:c r="BF689" s="91"/>
      <x:c r="BG689" s="91"/>
      <x:c r="BH689" s="91"/>
      <x:c r="BI689" s="91"/>
      <x:c r="BJ689" s="91"/>
      <x:c r="BK689" s="91"/>
      <x:c r="BL689" s="91"/>
      <x:c r="BM689" s="73" t="str">
        <x:f>IF(A689="","",IF(AI689="Example","Example only",IF(AI689&lt;&gt;"Actual","Set record type",IF(COUNTIF($A$2:$A$1001,A689)&gt;1,"Duplicate record ID",IF(OR(D689="",E689="",AF689="",NOT(ISNUMBER(AG689)),AJ689="",AK689="",NOT(ISNUMBER(AL689)),AND(AM689&lt;&gt;"Observed",AM689&lt;&gt;"Corroborated",AM689&lt;&gt;"Declared"),OR(AN689="",AN689="Unknown"),OR(AQ689="",AQ689="Unknown"),OR(AR689="",AR689="Unknown",AR689="TBD"),OR(BC689="",NOT(ISNUMBER(BC689)))),"Evidence incomplete","Evidence recorded; review scope")))))</x:f>
      </x:c>
      <x:c r="BN689" s="73"/>
    </x:row>
    <x:row r="690" ht="34" customHeight="1">
      <x:c r="A690" s="73"/>
      <x:c r="B690" s="73"/>
      <x:c r="C690" s="73"/>
      <x:c r="D690" s="73"/>
      <x:c r="E690" s="73"/>
      <x:c r="F690" s="73"/>
      <x:c r="G690" s="73"/>
      <x:c r="H690" s="73"/>
      <x:c r="I690" s="75"/>
      <x:c r="J690" s="73"/>
      <x:c r="K690" s="73"/>
      <x:c r="L690" s="76"/>
      <x:c r="M690" s="73"/>
      <x:c r="N690" s="73"/>
      <x:c r="O690" s="73"/>
      <x:c r="P690" s="73"/>
      <x:c r="Q690" s="76"/>
      <x:c r="R690" s="73"/>
      <x:c r="S690" s="73"/>
      <x:c r="T690" s="73"/>
      <x:c r="U690" s="73"/>
      <x:c r="V690" s="73"/>
      <x:c r="W690" s="73"/>
      <x:c r="X690" s="73"/>
      <x:c r="Y690" s="73"/>
      <x:c r="Z690" s="73"/>
      <x:c r="AA690" s="73"/>
      <x:c r="AB690" s="76" t="str">
        <x:f>IF(A690="","",IF(OR(NOT(ISNUMBER(I690)),I690&lt;0,NOT(ISNUMBER(AP690)),AP690&lt;0,NOT(ISNUMBER(L690)),L690&lt;1,L690&gt;5,L690&lt;&gt;INT(L690),AND(J690&lt;&gt;"Public",J690&lt;&gt;"Partner",J690&lt;&gt;"Internal",J690&lt;&gt;"None"),AND(K690&lt;&gt;"High",K690&lt;&gt;"Medium",K690&lt;&gt;"Low",K690&lt;&gt;"None"),AND(W690&lt;&gt;"Hard-coded",W690&lt;&gt;"Configurable",W690&lt;&gt;"Policy-managed",W690&lt;&gt;"API/Library abstraction",W690&lt;&gt;"Automated"),AND(Z690&lt;&gt;"Y",Z690&lt;&gt;"N"),AND(AA690&lt;&gt;"Y",AA690&lt;&gt;"N")),"Incomplete",IF(Z690="Y",20,0)+L690*5+IF(AA690="Y",15,0)+IF(J690="Public",10,IF(J690="Partner",7,IF(J690="Internal",3,0)))+IF(W690="Hard-coded",10,IF(W690="Configurable",3,0))+IF(MAX(I690,AP690)&gt;=10,10,IF(MAX(I690,AP690)&gt;=5,7,IF(MAX(I690,AP690)&gt;=2,3,0)))+IF(K690="High",10,IF(K690="Medium",5,0))))</x:f>
      </x:c>
      <x:c r="AC690" s="73" t="str">
        <x:f>IF(A690="","",IF(NOT(ISNUMBER(AB690)),"Review inputs",IF(AB690&gt;=70,"P0 - Immediate",IF(AB690&gt;=50,"P1 - High",IF(AB690&gt;=30,"P2 - Medium",IF(AB690&gt;=15,"P3 - Low","P4 - Monitor"))))))</x:f>
      </x:c>
      <x:c r="AD690" s="73"/>
      <x:c r="AE690" s="73"/>
      <x:c r="AF690" s="73"/>
      <x:c r="AG690" s="77"/>
      <x:c r="AH690" s="73"/>
      <x:c r="AI690" s="91"/>
      <x:c r="AJ690" s="91"/>
      <x:c r="AK690" s="91"/>
      <x:c r="AL690" s="92"/>
      <x:c r="AM690" s="91"/>
      <x:c r="AN690" s="91"/>
      <x:c r="AO690" s="93"/>
      <x:c r="AP690" s="94"/>
      <x:c r="AQ690" s="91"/>
      <x:c r="AR690" s="91"/>
      <x:c r="AS690" s="91"/>
      <x:c r="AT690" s="91"/>
      <x:c r="AU690" s="91"/>
      <x:c r="AV690" s="91"/>
      <x:c r="AW690" s="91"/>
      <x:c r="AX690" s="91"/>
      <x:c r="AY690" s="91"/>
      <x:c r="AZ690" s="92"/>
      <x:c r="BA690" s="94"/>
      <x:c r="BB690" s="91"/>
      <x:c r="BC690" s="92"/>
      <x:c r="BD690" s="92"/>
      <x:c r="BE690" s="91"/>
      <x:c r="BF690" s="91"/>
      <x:c r="BG690" s="91"/>
      <x:c r="BH690" s="91"/>
      <x:c r="BI690" s="91"/>
      <x:c r="BJ690" s="91"/>
      <x:c r="BK690" s="91"/>
      <x:c r="BL690" s="91"/>
      <x:c r="BM690" s="73" t="str">
        <x:f>IF(A690="","",IF(AI690="Example","Example only",IF(AI690&lt;&gt;"Actual","Set record type",IF(COUNTIF($A$2:$A$1001,A690)&gt;1,"Duplicate record ID",IF(OR(D690="",E690="",AF690="",NOT(ISNUMBER(AG690)),AJ690="",AK690="",NOT(ISNUMBER(AL690)),AND(AM690&lt;&gt;"Observed",AM690&lt;&gt;"Corroborated",AM690&lt;&gt;"Declared"),OR(AN690="",AN690="Unknown"),OR(AQ690="",AQ690="Unknown"),OR(AR690="",AR690="Unknown",AR690="TBD"),OR(BC690="",NOT(ISNUMBER(BC690)))),"Evidence incomplete","Evidence recorded; review scope")))))</x:f>
      </x:c>
      <x:c r="BN690" s="73"/>
    </x:row>
    <x:row r="691" ht="34" customHeight="1">
      <x:c r="A691" s="73"/>
      <x:c r="B691" s="73"/>
      <x:c r="C691" s="73"/>
      <x:c r="D691" s="73"/>
      <x:c r="E691" s="73"/>
      <x:c r="F691" s="73"/>
      <x:c r="G691" s="73"/>
      <x:c r="H691" s="73"/>
      <x:c r="I691" s="75"/>
      <x:c r="J691" s="73"/>
      <x:c r="K691" s="73"/>
      <x:c r="L691" s="76"/>
      <x:c r="M691" s="73"/>
      <x:c r="N691" s="73"/>
      <x:c r="O691" s="73"/>
      <x:c r="P691" s="73"/>
      <x:c r="Q691" s="76"/>
      <x:c r="R691" s="73"/>
      <x:c r="S691" s="73"/>
      <x:c r="T691" s="73"/>
      <x:c r="U691" s="73"/>
      <x:c r="V691" s="73"/>
      <x:c r="W691" s="73"/>
      <x:c r="X691" s="73"/>
      <x:c r="Y691" s="73"/>
      <x:c r="Z691" s="73"/>
      <x:c r="AA691" s="73"/>
      <x:c r="AB691" s="76" t="str">
        <x:f>IF(A691="","",IF(OR(NOT(ISNUMBER(I691)),I691&lt;0,NOT(ISNUMBER(AP691)),AP691&lt;0,NOT(ISNUMBER(L691)),L691&lt;1,L691&gt;5,L691&lt;&gt;INT(L691),AND(J691&lt;&gt;"Public",J691&lt;&gt;"Partner",J691&lt;&gt;"Internal",J691&lt;&gt;"None"),AND(K691&lt;&gt;"High",K691&lt;&gt;"Medium",K691&lt;&gt;"Low",K691&lt;&gt;"None"),AND(W691&lt;&gt;"Hard-coded",W691&lt;&gt;"Configurable",W691&lt;&gt;"Policy-managed",W691&lt;&gt;"API/Library abstraction",W691&lt;&gt;"Automated"),AND(Z691&lt;&gt;"Y",Z691&lt;&gt;"N"),AND(AA691&lt;&gt;"Y",AA691&lt;&gt;"N")),"Incomplete",IF(Z691="Y",20,0)+L691*5+IF(AA691="Y",15,0)+IF(J691="Public",10,IF(J691="Partner",7,IF(J691="Internal",3,0)))+IF(W691="Hard-coded",10,IF(W691="Configurable",3,0))+IF(MAX(I691,AP691)&gt;=10,10,IF(MAX(I691,AP691)&gt;=5,7,IF(MAX(I691,AP691)&gt;=2,3,0)))+IF(K691="High",10,IF(K691="Medium",5,0))))</x:f>
      </x:c>
      <x:c r="AC691" s="73" t="str">
        <x:f>IF(A691="","",IF(NOT(ISNUMBER(AB691)),"Review inputs",IF(AB691&gt;=70,"P0 - Immediate",IF(AB691&gt;=50,"P1 - High",IF(AB691&gt;=30,"P2 - Medium",IF(AB691&gt;=15,"P3 - Low","P4 - Monitor"))))))</x:f>
      </x:c>
      <x:c r="AD691" s="73"/>
      <x:c r="AE691" s="73"/>
      <x:c r="AF691" s="73"/>
      <x:c r="AG691" s="77"/>
      <x:c r="AH691" s="73"/>
      <x:c r="AI691" s="91"/>
      <x:c r="AJ691" s="91"/>
      <x:c r="AK691" s="91"/>
      <x:c r="AL691" s="92"/>
      <x:c r="AM691" s="91"/>
      <x:c r="AN691" s="91"/>
      <x:c r="AO691" s="93"/>
      <x:c r="AP691" s="94"/>
      <x:c r="AQ691" s="91"/>
      <x:c r="AR691" s="91"/>
      <x:c r="AS691" s="91"/>
      <x:c r="AT691" s="91"/>
      <x:c r="AU691" s="91"/>
      <x:c r="AV691" s="91"/>
      <x:c r="AW691" s="91"/>
      <x:c r="AX691" s="91"/>
      <x:c r="AY691" s="91"/>
      <x:c r="AZ691" s="92"/>
      <x:c r="BA691" s="94"/>
      <x:c r="BB691" s="91"/>
      <x:c r="BC691" s="92"/>
      <x:c r="BD691" s="92"/>
      <x:c r="BE691" s="91"/>
      <x:c r="BF691" s="91"/>
      <x:c r="BG691" s="91"/>
      <x:c r="BH691" s="91"/>
      <x:c r="BI691" s="91"/>
      <x:c r="BJ691" s="91"/>
      <x:c r="BK691" s="91"/>
      <x:c r="BL691" s="91"/>
      <x:c r="BM691" s="73" t="str">
        <x:f>IF(A691="","",IF(AI691="Example","Example only",IF(AI691&lt;&gt;"Actual","Set record type",IF(COUNTIF($A$2:$A$1001,A691)&gt;1,"Duplicate record ID",IF(OR(D691="",E691="",AF691="",NOT(ISNUMBER(AG691)),AJ691="",AK691="",NOT(ISNUMBER(AL691)),AND(AM691&lt;&gt;"Observed",AM691&lt;&gt;"Corroborated",AM691&lt;&gt;"Declared"),OR(AN691="",AN691="Unknown"),OR(AQ691="",AQ691="Unknown"),OR(AR691="",AR691="Unknown",AR691="TBD"),OR(BC691="",NOT(ISNUMBER(BC691)))),"Evidence incomplete","Evidence recorded; review scope")))))</x:f>
      </x:c>
      <x:c r="BN691" s="73"/>
    </x:row>
    <x:row r="692" ht="34" customHeight="1">
      <x:c r="A692" s="73"/>
      <x:c r="B692" s="73"/>
      <x:c r="C692" s="73"/>
      <x:c r="D692" s="73"/>
      <x:c r="E692" s="73"/>
      <x:c r="F692" s="73"/>
      <x:c r="G692" s="73"/>
      <x:c r="H692" s="73"/>
      <x:c r="I692" s="75"/>
      <x:c r="J692" s="73"/>
      <x:c r="K692" s="73"/>
      <x:c r="L692" s="76"/>
      <x:c r="M692" s="73"/>
      <x:c r="N692" s="73"/>
      <x:c r="O692" s="73"/>
      <x:c r="P692" s="73"/>
      <x:c r="Q692" s="76"/>
      <x:c r="R692" s="73"/>
      <x:c r="S692" s="73"/>
      <x:c r="T692" s="73"/>
      <x:c r="U692" s="73"/>
      <x:c r="V692" s="73"/>
      <x:c r="W692" s="73"/>
      <x:c r="X692" s="73"/>
      <x:c r="Y692" s="73"/>
      <x:c r="Z692" s="73"/>
      <x:c r="AA692" s="73"/>
      <x:c r="AB692" s="76" t="str">
        <x:f>IF(A692="","",IF(OR(NOT(ISNUMBER(I692)),I692&lt;0,NOT(ISNUMBER(AP692)),AP692&lt;0,NOT(ISNUMBER(L692)),L692&lt;1,L692&gt;5,L692&lt;&gt;INT(L692),AND(J692&lt;&gt;"Public",J692&lt;&gt;"Partner",J692&lt;&gt;"Internal",J692&lt;&gt;"None"),AND(K692&lt;&gt;"High",K692&lt;&gt;"Medium",K692&lt;&gt;"Low",K692&lt;&gt;"None"),AND(W692&lt;&gt;"Hard-coded",W692&lt;&gt;"Configurable",W692&lt;&gt;"Policy-managed",W692&lt;&gt;"API/Library abstraction",W692&lt;&gt;"Automated"),AND(Z692&lt;&gt;"Y",Z692&lt;&gt;"N"),AND(AA692&lt;&gt;"Y",AA692&lt;&gt;"N")),"Incomplete",IF(Z692="Y",20,0)+L692*5+IF(AA692="Y",15,0)+IF(J692="Public",10,IF(J692="Partner",7,IF(J692="Internal",3,0)))+IF(W692="Hard-coded",10,IF(W692="Configurable",3,0))+IF(MAX(I692,AP692)&gt;=10,10,IF(MAX(I692,AP692)&gt;=5,7,IF(MAX(I692,AP692)&gt;=2,3,0)))+IF(K692="High",10,IF(K692="Medium",5,0))))</x:f>
      </x:c>
      <x:c r="AC692" s="73" t="str">
        <x:f>IF(A692="","",IF(NOT(ISNUMBER(AB692)),"Review inputs",IF(AB692&gt;=70,"P0 - Immediate",IF(AB692&gt;=50,"P1 - High",IF(AB692&gt;=30,"P2 - Medium",IF(AB692&gt;=15,"P3 - Low","P4 - Monitor"))))))</x:f>
      </x:c>
      <x:c r="AD692" s="73"/>
      <x:c r="AE692" s="73"/>
      <x:c r="AF692" s="73"/>
      <x:c r="AG692" s="77"/>
      <x:c r="AH692" s="73"/>
      <x:c r="AI692" s="91"/>
      <x:c r="AJ692" s="91"/>
      <x:c r="AK692" s="91"/>
      <x:c r="AL692" s="92"/>
      <x:c r="AM692" s="91"/>
      <x:c r="AN692" s="91"/>
      <x:c r="AO692" s="93"/>
      <x:c r="AP692" s="94"/>
      <x:c r="AQ692" s="91"/>
      <x:c r="AR692" s="91"/>
      <x:c r="AS692" s="91"/>
      <x:c r="AT692" s="91"/>
      <x:c r="AU692" s="91"/>
      <x:c r="AV692" s="91"/>
      <x:c r="AW692" s="91"/>
      <x:c r="AX692" s="91"/>
      <x:c r="AY692" s="91"/>
      <x:c r="AZ692" s="92"/>
      <x:c r="BA692" s="94"/>
      <x:c r="BB692" s="91"/>
      <x:c r="BC692" s="92"/>
      <x:c r="BD692" s="92"/>
      <x:c r="BE692" s="91"/>
      <x:c r="BF692" s="91"/>
      <x:c r="BG692" s="91"/>
      <x:c r="BH692" s="91"/>
      <x:c r="BI692" s="91"/>
      <x:c r="BJ692" s="91"/>
      <x:c r="BK692" s="91"/>
      <x:c r="BL692" s="91"/>
      <x:c r="BM692" s="73" t="str">
        <x:f>IF(A692="","",IF(AI692="Example","Example only",IF(AI692&lt;&gt;"Actual","Set record type",IF(COUNTIF($A$2:$A$1001,A692)&gt;1,"Duplicate record ID",IF(OR(D692="",E692="",AF692="",NOT(ISNUMBER(AG692)),AJ692="",AK692="",NOT(ISNUMBER(AL692)),AND(AM692&lt;&gt;"Observed",AM692&lt;&gt;"Corroborated",AM692&lt;&gt;"Declared"),OR(AN692="",AN692="Unknown"),OR(AQ692="",AQ692="Unknown"),OR(AR692="",AR692="Unknown",AR692="TBD"),OR(BC692="",NOT(ISNUMBER(BC692)))),"Evidence incomplete","Evidence recorded; review scope")))))</x:f>
      </x:c>
      <x:c r="BN692" s="73"/>
    </x:row>
    <x:row r="693" ht="34" customHeight="1">
      <x:c r="A693" s="73"/>
      <x:c r="B693" s="73"/>
      <x:c r="C693" s="73"/>
      <x:c r="D693" s="73"/>
      <x:c r="E693" s="73"/>
      <x:c r="F693" s="73"/>
      <x:c r="G693" s="73"/>
      <x:c r="H693" s="73"/>
      <x:c r="I693" s="75"/>
      <x:c r="J693" s="73"/>
      <x:c r="K693" s="73"/>
      <x:c r="L693" s="76"/>
      <x:c r="M693" s="73"/>
      <x:c r="N693" s="73"/>
      <x:c r="O693" s="73"/>
      <x:c r="P693" s="73"/>
      <x:c r="Q693" s="76"/>
      <x:c r="R693" s="73"/>
      <x:c r="S693" s="73"/>
      <x:c r="T693" s="73"/>
      <x:c r="U693" s="73"/>
      <x:c r="V693" s="73"/>
      <x:c r="W693" s="73"/>
      <x:c r="X693" s="73"/>
      <x:c r="Y693" s="73"/>
      <x:c r="Z693" s="73"/>
      <x:c r="AA693" s="73"/>
      <x:c r="AB693" s="76" t="str">
        <x:f>IF(A693="","",IF(OR(NOT(ISNUMBER(I693)),I693&lt;0,NOT(ISNUMBER(AP693)),AP693&lt;0,NOT(ISNUMBER(L693)),L693&lt;1,L693&gt;5,L693&lt;&gt;INT(L693),AND(J693&lt;&gt;"Public",J693&lt;&gt;"Partner",J693&lt;&gt;"Internal",J693&lt;&gt;"None"),AND(K693&lt;&gt;"High",K693&lt;&gt;"Medium",K693&lt;&gt;"Low",K693&lt;&gt;"None"),AND(W693&lt;&gt;"Hard-coded",W693&lt;&gt;"Configurable",W693&lt;&gt;"Policy-managed",W693&lt;&gt;"API/Library abstraction",W693&lt;&gt;"Automated"),AND(Z693&lt;&gt;"Y",Z693&lt;&gt;"N"),AND(AA693&lt;&gt;"Y",AA693&lt;&gt;"N")),"Incomplete",IF(Z693="Y",20,0)+L693*5+IF(AA693="Y",15,0)+IF(J693="Public",10,IF(J693="Partner",7,IF(J693="Internal",3,0)))+IF(W693="Hard-coded",10,IF(W693="Configurable",3,0))+IF(MAX(I693,AP693)&gt;=10,10,IF(MAX(I693,AP693)&gt;=5,7,IF(MAX(I693,AP693)&gt;=2,3,0)))+IF(K693="High",10,IF(K693="Medium",5,0))))</x:f>
      </x:c>
      <x:c r="AC693" s="73" t="str">
        <x:f>IF(A693="","",IF(NOT(ISNUMBER(AB693)),"Review inputs",IF(AB693&gt;=70,"P0 - Immediate",IF(AB693&gt;=50,"P1 - High",IF(AB693&gt;=30,"P2 - Medium",IF(AB693&gt;=15,"P3 - Low","P4 - Monitor"))))))</x:f>
      </x:c>
      <x:c r="AD693" s="73"/>
      <x:c r="AE693" s="73"/>
      <x:c r="AF693" s="73"/>
      <x:c r="AG693" s="77"/>
      <x:c r="AH693" s="73"/>
      <x:c r="AI693" s="91"/>
      <x:c r="AJ693" s="91"/>
      <x:c r="AK693" s="91"/>
      <x:c r="AL693" s="92"/>
      <x:c r="AM693" s="91"/>
      <x:c r="AN693" s="91"/>
      <x:c r="AO693" s="93"/>
      <x:c r="AP693" s="94"/>
      <x:c r="AQ693" s="91"/>
      <x:c r="AR693" s="91"/>
      <x:c r="AS693" s="91"/>
      <x:c r="AT693" s="91"/>
      <x:c r="AU693" s="91"/>
      <x:c r="AV693" s="91"/>
      <x:c r="AW693" s="91"/>
      <x:c r="AX693" s="91"/>
      <x:c r="AY693" s="91"/>
      <x:c r="AZ693" s="92"/>
      <x:c r="BA693" s="94"/>
      <x:c r="BB693" s="91"/>
      <x:c r="BC693" s="92"/>
      <x:c r="BD693" s="92"/>
      <x:c r="BE693" s="91"/>
      <x:c r="BF693" s="91"/>
      <x:c r="BG693" s="91"/>
      <x:c r="BH693" s="91"/>
      <x:c r="BI693" s="91"/>
      <x:c r="BJ693" s="91"/>
      <x:c r="BK693" s="91"/>
      <x:c r="BL693" s="91"/>
      <x:c r="BM693" s="73" t="str">
        <x:f>IF(A693="","",IF(AI693="Example","Example only",IF(AI693&lt;&gt;"Actual","Set record type",IF(COUNTIF($A$2:$A$1001,A693)&gt;1,"Duplicate record ID",IF(OR(D693="",E693="",AF693="",NOT(ISNUMBER(AG693)),AJ693="",AK693="",NOT(ISNUMBER(AL693)),AND(AM693&lt;&gt;"Observed",AM693&lt;&gt;"Corroborated",AM693&lt;&gt;"Declared"),OR(AN693="",AN693="Unknown"),OR(AQ693="",AQ693="Unknown"),OR(AR693="",AR693="Unknown",AR693="TBD"),OR(BC693="",NOT(ISNUMBER(BC693)))),"Evidence incomplete","Evidence recorded; review scope")))))</x:f>
      </x:c>
      <x:c r="BN693" s="73"/>
    </x:row>
    <x:row r="694" ht="34" customHeight="1">
      <x:c r="A694" s="73"/>
      <x:c r="B694" s="73"/>
      <x:c r="C694" s="73"/>
      <x:c r="D694" s="73"/>
      <x:c r="E694" s="73"/>
      <x:c r="F694" s="73"/>
      <x:c r="G694" s="73"/>
      <x:c r="H694" s="73"/>
      <x:c r="I694" s="75"/>
      <x:c r="J694" s="73"/>
      <x:c r="K694" s="73"/>
      <x:c r="L694" s="76"/>
      <x:c r="M694" s="73"/>
      <x:c r="N694" s="73"/>
      <x:c r="O694" s="73"/>
      <x:c r="P694" s="73"/>
      <x:c r="Q694" s="76"/>
      <x:c r="R694" s="73"/>
      <x:c r="S694" s="73"/>
      <x:c r="T694" s="73"/>
      <x:c r="U694" s="73"/>
      <x:c r="V694" s="73"/>
      <x:c r="W694" s="73"/>
      <x:c r="X694" s="73"/>
      <x:c r="Y694" s="73"/>
      <x:c r="Z694" s="73"/>
      <x:c r="AA694" s="73"/>
      <x:c r="AB694" s="76" t="str">
        <x:f>IF(A694="","",IF(OR(NOT(ISNUMBER(I694)),I694&lt;0,NOT(ISNUMBER(AP694)),AP694&lt;0,NOT(ISNUMBER(L694)),L694&lt;1,L694&gt;5,L694&lt;&gt;INT(L694),AND(J694&lt;&gt;"Public",J694&lt;&gt;"Partner",J694&lt;&gt;"Internal",J694&lt;&gt;"None"),AND(K694&lt;&gt;"High",K694&lt;&gt;"Medium",K694&lt;&gt;"Low",K694&lt;&gt;"None"),AND(W694&lt;&gt;"Hard-coded",W694&lt;&gt;"Configurable",W694&lt;&gt;"Policy-managed",W694&lt;&gt;"API/Library abstraction",W694&lt;&gt;"Automated"),AND(Z694&lt;&gt;"Y",Z694&lt;&gt;"N"),AND(AA694&lt;&gt;"Y",AA694&lt;&gt;"N")),"Incomplete",IF(Z694="Y",20,0)+L694*5+IF(AA694="Y",15,0)+IF(J694="Public",10,IF(J694="Partner",7,IF(J694="Internal",3,0)))+IF(W694="Hard-coded",10,IF(W694="Configurable",3,0))+IF(MAX(I694,AP694)&gt;=10,10,IF(MAX(I694,AP694)&gt;=5,7,IF(MAX(I694,AP694)&gt;=2,3,0)))+IF(K694="High",10,IF(K694="Medium",5,0))))</x:f>
      </x:c>
      <x:c r="AC694" s="73" t="str">
        <x:f>IF(A694="","",IF(NOT(ISNUMBER(AB694)),"Review inputs",IF(AB694&gt;=70,"P0 - Immediate",IF(AB694&gt;=50,"P1 - High",IF(AB694&gt;=30,"P2 - Medium",IF(AB694&gt;=15,"P3 - Low","P4 - Monitor"))))))</x:f>
      </x:c>
      <x:c r="AD694" s="73"/>
      <x:c r="AE694" s="73"/>
      <x:c r="AF694" s="73"/>
      <x:c r="AG694" s="77"/>
      <x:c r="AH694" s="73"/>
      <x:c r="AI694" s="91"/>
      <x:c r="AJ694" s="91"/>
      <x:c r="AK694" s="91"/>
      <x:c r="AL694" s="92"/>
      <x:c r="AM694" s="91"/>
      <x:c r="AN694" s="91"/>
      <x:c r="AO694" s="93"/>
      <x:c r="AP694" s="94"/>
      <x:c r="AQ694" s="91"/>
      <x:c r="AR694" s="91"/>
      <x:c r="AS694" s="91"/>
      <x:c r="AT694" s="91"/>
      <x:c r="AU694" s="91"/>
      <x:c r="AV694" s="91"/>
      <x:c r="AW694" s="91"/>
      <x:c r="AX694" s="91"/>
      <x:c r="AY694" s="91"/>
      <x:c r="AZ694" s="92"/>
      <x:c r="BA694" s="94"/>
      <x:c r="BB694" s="91"/>
      <x:c r="BC694" s="92"/>
      <x:c r="BD694" s="92"/>
      <x:c r="BE694" s="91"/>
      <x:c r="BF694" s="91"/>
      <x:c r="BG694" s="91"/>
      <x:c r="BH694" s="91"/>
      <x:c r="BI694" s="91"/>
      <x:c r="BJ694" s="91"/>
      <x:c r="BK694" s="91"/>
      <x:c r="BL694" s="91"/>
      <x:c r="BM694" s="73" t="str">
        <x:f>IF(A694="","",IF(AI694="Example","Example only",IF(AI694&lt;&gt;"Actual","Set record type",IF(COUNTIF($A$2:$A$1001,A694)&gt;1,"Duplicate record ID",IF(OR(D694="",E694="",AF694="",NOT(ISNUMBER(AG694)),AJ694="",AK694="",NOT(ISNUMBER(AL694)),AND(AM694&lt;&gt;"Observed",AM694&lt;&gt;"Corroborated",AM694&lt;&gt;"Declared"),OR(AN694="",AN694="Unknown"),OR(AQ694="",AQ694="Unknown"),OR(AR694="",AR694="Unknown",AR694="TBD"),OR(BC694="",NOT(ISNUMBER(BC694)))),"Evidence incomplete","Evidence recorded; review scope")))))</x:f>
      </x:c>
      <x:c r="BN694" s="73"/>
    </x:row>
    <x:row r="695" ht="34" customHeight="1">
      <x:c r="A695" s="73"/>
      <x:c r="B695" s="73"/>
      <x:c r="C695" s="73"/>
      <x:c r="D695" s="73"/>
      <x:c r="E695" s="73"/>
      <x:c r="F695" s="73"/>
      <x:c r="G695" s="73"/>
      <x:c r="H695" s="73"/>
      <x:c r="I695" s="75"/>
      <x:c r="J695" s="73"/>
      <x:c r="K695" s="73"/>
      <x:c r="L695" s="76"/>
      <x:c r="M695" s="73"/>
      <x:c r="N695" s="73"/>
      <x:c r="O695" s="73"/>
      <x:c r="P695" s="73"/>
      <x:c r="Q695" s="76"/>
      <x:c r="R695" s="73"/>
      <x:c r="S695" s="73"/>
      <x:c r="T695" s="73"/>
      <x:c r="U695" s="73"/>
      <x:c r="V695" s="73"/>
      <x:c r="W695" s="73"/>
      <x:c r="X695" s="73"/>
      <x:c r="Y695" s="73"/>
      <x:c r="Z695" s="73"/>
      <x:c r="AA695" s="73"/>
      <x:c r="AB695" s="76" t="str">
        <x:f>IF(A695="","",IF(OR(NOT(ISNUMBER(I695)),I695&lt;0,NOT(ISNUMBER(AP695)),AP695&lt;0,NOT(ISNUMBER(L695)),L695&lt;1,L695&gt;5,L695&lt;&gt;INT(L695),AND(J695&lt;&gt;"Public",J695&lt;&gt;"Partner",J695&lt;&gt;"Internal",J695&lt;&gt;"None"),AND(K695&lt;&gt;"High",K695&lt;&gt;"Medium",K695&lt;&gt;"Low",K695&lt;&gt;"None"),AND(W695&lt;&gt;"Hard-coded",W695&lt;&gt;"Configurable",W695&lt;&gt;"Policy-managed",W695&lt;&gt;"API/Library abstraction",W695&lt;&gt;"Automated"),AND(Z695&lt;&gt;"Y",Z695&lt;&gt;"N"),AND(AA695&lt;&gt;"Y",AA695&lt;&gt;"N")),"Incomplete",IF(Z695="Y",20,0)+L695*5+IF(AA695="Y",15,0)+IF(J695="Public",10,IF(J695="Partner",7,IF(J695="Internal",3,0)))+IF(W695="Hard-coded",10,IF(W695="Configurable",3,0))+IF(MAX(I695,AP695)&gt;=10,10,IF(MAX(I695,AP695)&gt;=5,7,IF(MAX(I695,AP695)&gt;=2,3,0)))+IF(K695="High",10,IF(K695="Medium",5,0))))</x:f>
      </x:c>
      <x:c r="AC695" s="73" t="str">
        <x:f>IF(A695="","",IF(NOT(ISNUMBER(AB695)),"Review inputs",IF(AB695&gt;=70,"P0 - Immediate",IF(AB695&gt;=50,"P1 - High",IF(AB695&gt;=30,"P2 - Medium",IF(AB695&gt;=15,"P3 - Low","P4 - Monitor"))))))</x:f>
      </x:c>
      <x:c r="AD695" s="73"/>
      <x:c r="AE695" s="73"/>
      <x:c r="AF695" s="73"/>
      <x:c r="AG695" s="77"/>
      <x:c r="AH695" s="73"/>
      <x:c r="AI695" s="91"/>
      <x:c r="AJ695" s="91"/>
      <x:c r="AK695" s="91"/>
      <x:c r="AL695" s="92"/>
      <x:c r="AM695" s="91"/>
      <x:c r="AN695" s="91"/>
      <x:c r="AO695" s="93"/>
      <x:c r="AP695" s="94"/>
      <x:c r="AQ695" s="91"/>
      <x:c r="AR695" s="91"/>
      <x:c r="AS695" s="91"/>
      <x:c r="AT695" s="91"/>
      <x:c r="AU695" s="91"/>
      <x:c r="AV695" s="91"/>
      <x:c r="AW695" s="91"/>
      <x:c r="AX695" s="91"/>
      <x:c r="AY695" s="91"/>
      <x:c r="AZ695" s="92"/>
      <x:c r="BA695" s="94"/>
      <x:c r="BB695" s="91"/>
      <x:c r="BC695" s="92"/>
      <x:c r="BD695" s="92"/>
      <x:c r="BE695" s="91"/>
      <x:c r="BF695" s="91"/>
      <x:c r="BG695" s="91"/>
      <x:c r="BH695" s="91"/>
      <x:c r="BI695" s="91"/>
      <x:c r="BJ695" s="91"/>
      <x:c r="BK695" s="91"/>
      <x:c r="BL695" s="91"/>
      <x:c r="BM695" s="73" t="str">
        <x:f>IF(A695="","",IF(AI695="Example","Example only",IF(AI695&lt;&gt;"Actual","Set record type",IF(COUNTIF($A$2:$A$1001,A695)&gt;1,"Duplicate record ID",IF(OR(D695="",E695="",AF695="",NOT(ISNUMBER(AG695)),AJ695="",AK695="",NOT(ISNUMBER(AL695)),AND(AM695&lt;&gt;"Observed",AM695&lt;&gt;"Corroborated",AM695&lt;&gt;"Declared"),OR(AN695="",AN695="Unknown"),OR(AQ695="",AQ695="Unknown"),OR(AR695="",AR695="Unknown",AR695="TBD"),OR(BC695="",NOT(ISNUMBER(BC695)))),"Evidence incomplete","Evidence recorded; review scope")))))</x:f>
      </x:c>
      <x:c r="BN695" s="73"/>
    </x:row>
    <x:row r="696" ht="34" customHeight="1">
      <x:c r="A696" s="73"/>
      <x:c r="B696" s="73"/>
      <x:c r="C696" s="73"/>
      <x:c r="D696" s="73"/>
      <x:c r="E696" s="73"/>
      <x:c r="F696" s="73"/>
      <x:c r="G696" s="73"/>
      <x:c r="H696" s="73"/>
      <x:c r="I696" s="75"/>
      <x:c r="J696" s="73"/>
      <x:c r="K696" s="73"/>
      <x:c r="L696" s="76"/>
      <x:c r="M696" s="73"/>
      <x:c r="N696" s="73"/>
      <x:c r="O696" s="73"/>
      <x:c r="P696" s="73"/>
      <x:c r="Q696" s="76"/>
      <x:c r="R696" s="73"/>
      <x:c r="S696" s="73"/>
      <x:c r="T696" s="73"/>
      <x:c r="U696" s="73"/>
      <x:c r="V696" s="73"/>
      <x:c r="W696" s="73"/>
      <x:c r="X696" s="73"/>
      <x:c r="Y696" s="73"/>
      <x:c r="Z696" s="73"/>
      <x:c r="AA696" s="73"/>
      <x:c r="AB696" s="76" t="str">
        <x:f>IF(A696="","",IF(OR(NOT(ISNUMBER(I696)),I696&lt;0,NOT(ISNUMBER(AP696)),AP696&lt;0,NOT(ISNUMBER(L696)),L696&lt;1,L696&gt;5,L696&lt;&gt;INT(L696),AND(J696&lt;&gt;"Public",J696&lt;&gt;"Partner",J696&lt;&gt;"Internal",J696&lt;&gt;"None"),AND(K696&lt;&gt;"High",K696&lt;&gt;"Medium",K696&lt;&gt;"Low",K696&lt;&gt;"None"),AND(W696&lt;&gt;"Hard-coded",W696&lt;&gt;"Configurable",W696&lt;&gt;"Policy-managed",W696&lt;&gt;"API/Library abstraction",W696&lt;&gt;"Automated"),AND(Z696&lt;&gt;"Y",Z696&lt;&gt;"N"),AND(AA696&lt;&gt;"Y",AA696&lt;&gt;"N")),"Incomplete",IF(Z696="Y",20,0)+L696*5+IF(AA696="Y",15,0)+IF(J696="Public",10,IF(J696="Partner",7,IF(J696="Internal",3,0)))+IF(W696="Hard-coded",10,IF(W696="Configurable",3,0))+IF(MAX(I696,AP696)&gt;=10,10,IF(MAX(I696,AP696)&gt;=5,7,IF(MAX(I696,AP696)&gt;=2,3,0)))+IF(K696="High",10,IF(K696="Medium",5,0))))</x:f>
      </x:c>
      <x:c r="AC696" s="73" t="str">
        <x:f>IF(A696="","",IF(NOT(ISNUMBER(AB696)),"Review inputs",IF(AB696&gt;=70,"P0 - Immediate",IF(AB696&gt;=50,"P1 - High",IF(AB696&gt;=30,"P2 - Medium",IF(AB696&gt;=15,"P3 - Low","P4 - Monitor"))))))</x:f>
      </x:c>
      <x:c r="AD696" s="73"/>
      <x:c r="AE696" s="73"/>
      <x:c r="AF696" s="73"/>
      <x:c r="AG696" s="77"/>
      <x:c r="AH696" s="73"/>
      <x:c r="AI696" s="91"/>
      <x:c r="AJ696" s="91"/>
      <x:c r="AK696" s="91"/>
      <x:c r="AL696" s="92"/>
      <x:c r="AM696" s="91"/>
      <x:c r="AN696" s="91"/>
      <x:c r="AO696" s="93"/>
      <x:c r="AP696" s="94"/>
      <x:c r="AQ696" s="91"/>
      <x:c r="AR696" s="91"/>
      <x:c r="AS696" s="91"/>
      <x:c r="AT696" s="91"/>
      <x:c r="AU696" s="91"/>
      <x:c r="AV696" s="91"/>
      <x:c r="AW696" s="91"/>
      <x:c r="AX696" s="91"/>
      <x:c r="AY696" s="91"/>
      <x:c r="AZ696" s="92"/>
      <x:c r="BA696" s="94"/>
      <x:c r="BB696" s="91"/>
      <x:c r="BC696" s="92"/>
      <x:c r="BD696" s="92"/>
      <x:c r="BE696" s="91"/>
      <x:c r="BF696" s="91"/>
      <x:c r="BG696" s="91"/>
      <x:c r="BH696" s="91"/>
      <x:c r="BI696" s="91"/>
      <x:c r="BJ696" s="91"/>
      <x:c r="BK696" s="91"/>
      <x:c r="BL696" s="91"/>
      <x:c r="BM696" s="73" t="str">
        <x:f>IF(A696="","",IF(AI696="Example","Example only",IF(AI696&lt;&gt;"Actual","Set record type",IF(COUNTIF($A$2:$A$1001,A696)&gt;1,"Duplicate record ID",IF(OR(D696="",E696="",AF696="",NOT(ISNUMBER(AG696)),AJ696="",AK696="",NOT(ISNUMBER(AL696)),AND(AM696&lt;&gt;"Observed",AM696&lt;&gt;"Corroborated",AM696&lt;&gt;"Declared"),OR(AN696="",AN696="Unknown"),OR(AQ696="",AQ696="Unknown"),OR(AR696="",AR696="Unknown",AR696="TBD"),OR(BC696="",NOT(ISNUMBER(BC696)))),"Evidence incomplete","Evidence recorded; review scope")))))</x:f>
      </x:c>
      <x:c r="BN696" s="73"/>
    </x:row>
    <x:row r="697" ht="34" customHeight="1">
      <x:c r="A697" s="73"/>
      <x:c r="B697" s="73"/>
      <x:c r="C697" s="73"/>
      <x:c r="D697" s="73"/>
      <x:c r="E697" s="73"/>
      <x:c r="F697" s="73"/>
      <x:c r="G697" s="73"/>
      <x:c r="H697" s="73"/>
      <x:c r="I697" s="75"/>
      <x:c r="J697" s="73"/>
      <x:c r="K697" s="73"/>
      <x:c r="L697" s="76"/>
      <x:c r="M697" s="73"/>
      <x:c r="N697" s="73"/>
      <x:c r="O697" s="73"/>
      <x:c r="P697" s="73"/>
      <x:c r="Q697" s="76"/>
      <x:c r="R697" s="73"/>
      <x:c r="S697" s="73"/>
      <x:c r="T697" s="73"/>
      <x:c r="U697" s="73"/>
      <x:c r="V697" s="73"/>
      <x:c r="W697" s="73"/>
      <x:c r="X697" s="73"/>
      <x:c r="Y697" s="73"/>
      <x:c r="Z697" s="73"/>
      <x:c r="AA697" s="73"/>
      <x:c r="AB697" s="76" t="str">
        <x:f>IF(A697="","",IF(OR(NOT(ISNUMBER(I697)),I697&lt;0,NOT(ISNUMBER(AP697)),AP697&lt;0,NOT(ISNUMBER(L697)),L697&lt;1,L697&gt;5,L697&lt;&gt;INT(L697),AND(J697&lt;&gt;"Public",J697&lt;&gt;"Partner",J697&lt;&gt;"Internal",J697&lt;&gt;"None"),AND(K697&lt;&gt;"High",K697&lt;&gt;"Medium",K697&lt;&gt;"Low",K697&lt;&gt;"None"),AND(W697&lt;&gt;"Hard-coded",W697&lt;&gt;"Configurable",W697&lt;&gt;"Policy-managed",W697&lt;&gt;"API/Library abstraction",W697&lt;&gt;"Automated"),AND(Z697&lt;&gt;"Y",Z697&lt;&gt;"N"),AND(AA697&lt;&gt;"Y",AA697&lt;&gt;"N")),"Incomplete",IF(Z697="Y",20,0)+L697*5+IF(AA697="Y",15,0)+IF(J697="Public",10,IF(J697="Partner",7,IF(J697="Internal",3,0)))+IF(W697="Hard-coded",10,IF(W697="Configurable",3,0))+IF(MAX(I697,AP697)&gt;=10,10,IF(MAX(I697,AP697)&gt;=5,7,IF(MAX(I697,AP697)&gt;=2,3,0)))+IF(K697="High",10,IF(K697="Medium",5,0))))</x:f>
      </x:c>
      <x:c r="AC697" s="73" t="str">
        <x:f>IF(A697="","",IF(NOT(ISNUMBER(AB697)),"Review inputs",IF(AB697&gt;=70,"P0 - Immediate",IF(AB697&gt;=50,"P1 - High",IF(AB697&gt;=30,"P2 - Medium",IF(AB697&gt;=15,"P3 - Low","P4 - Monitor"))))))</x:f>
      </x:c>
      <x:c r="AD697" s="73"/>
      <x:c r="AE697" s="73"/>
      <x:c r="AF697" s="73"/>
      <x:c r="AG697" s="77"/>
      <x:c r="AH697" s="73"/>
      <x:c r="AI697" s="91"/>
      <x:c r="AJ697" s="91"/>
      <x:c r="AK697" s="91"/>
      <x:c r="AL697" s="92"/>
      <x:c r="AM697" s="91"/>
      <x:c r="AN697" s="91"/>
      <x:c r="AO697" s="93"/>
      <x:c r="AP697" s="94"/>
      <x:c r="AQ697" s="91"/>
      <x:c r="AR697" s="91"/>
      <x:c r="AS697" s="91"/>
      <x:c r="AT697" s="91"/>
      <x:c r="AU697" s="91"/>
      <x:c r="AV697" s="91"/>
      <x:c r="AW697" s="91"/>
      <x:c r="AX697" s="91"/>
      <x:c r="AY697" s="91"/>
      <x:c r="AZ697" s="92"/>
      <x:c r="BA697" s="94"/>
      <x:c r="BB697" s="91"/>
      <x:c r="BC697" s="92"/>
      <x:c r="BD697" s="92"/>
      <x:c r="BE697" s="91"/>
      <x:c r="BF697" s="91"/>
      <x:c r="BG697" s="91"/>
      <x:c r="BH697" s="91"/>
      <x:c r="BI697" s="91"/>
      <x:c r="BJ697" s="91"/>
      <x:c r="BK697" s="91"/>
      <x:c r="BL697" s="91"/>
      <x:c r="BM697" s="73" t="str">
        <x:f>IF(A697="","",IF(AI697="Example","Example only",IF(AI697&lt;&gt;"Actual","Set record type",IF(COUNTIF($A$2:$A$1001,A697)&gt;1,"Duplicate record ID",IF(OR(D697="",E697="",AF697="",NOT(ISNUMBER(AG697)),AJ697="",AK697="",NOT(ISNUMBER(AL697)),AND(AM697&lt;&gt;"Observed",AM697&lt;&gt;"Corroborated",AM697&lt;&gt;"Declared"),OR(AN697="",AN697="Unknown"),OR(AQ697="",AQ697="Unknown"),OR(AR697="",AR697="Unknown",AR697="TBD"),OR(BC697="",NOT(ISNUMBER(BC697)))),"Evidence incomplete","Evidence recorded; review scope")))))</x:f>
      </x:c>
      <x:c r="BN697" s="73"/>
    </x:row>
    <x:row r="698" ht="34" customHeight="1">
      <x:c r="A698" s="73"/>
      <x:c r="B698" s="73"/>
      <x:c r="C698" s="73"/>
      <x:c r="D698" s="73"/>
      <x:c r="E698" s="73"/>
      <x:c r="F698" s="73"/>
      <x:c r="G698" s="73"/>
      <x:c r="H698" s="73"/>
      <x:c r="I698" s="75"/>
      <x:c r="J698" s="73"/>
      <x:c r="K698" s="73"/>
      <x:c r="L698" s="76"/>
      <x:c r="M698" s="73"/>
      <x:c r="N698" s="73"/>
      <x:c r="O698" s="73"/>
      <x:c r="P698" s="73"/>
      <x:c r="Q698" s="76"/>
      <x:c r="R698" s="73"/>
      <x:c r="S698" s="73"/>
      <x:c r="T698" s="73"/>
      <x:c r="U698" s="73"/>
      <x:c r="V698" s="73"/>
      <x:c r="W698" s="73"/>
      <x:c r="X698" s="73"/>
      <x:c r="Y698" s="73"/>
      <x:c r="Z698" s="73"/>
      <x:c r="AA698" s="73"/>
      <x:c r="AB698" s="76" t="str">
        <x:f>IF(A698="","",IF(OR(NOT(ISNUMBER(I698)),I698&lt;0,NOT(ISNUMBER(AP698)),AP698&lt;0,NOT(ISNUMBER(L698)),L698&lt;1,L698&gt;5,L698&lt;&gt;INT(L698),AND(J698&lt;&gt;"Public",J698&lt;&gt;"Partner",J698&lt;&gt;"Internal",J698&lt;&gt;"None"),AND(K698&lt;&gt;"High",K698&lt;&gt;"Medium",K698&lt;&gt;"Low",K698&lt;&gt;"None"),AND(W698&lt;&gt;"Hard-coded",W698&lt;&gt;"Configurable",W698&lt;&gt;"Policy-managed",W698&lt;&gt;"API/Library abstraction",W698&lt;&gt;"Automated"),AND(Z698&lt;&gt;"Y",Z698&lt;&gt;"N"),AND(AA698&lt;&gt;"Y",AA698&lt;&gt;"N")),"Incomplete",IF(Z698="Y",20,0)+L698*5+IF(AA698="Y",15,0)+IF(J698="Public",10,IF(J698="Partner",7,IF(J698="Internal",3,0)))+IF(W698="Hard-coded",10,IF(W698="Configurable",3,0))+IF(MAX(I698,AP698)&gt;=10,10,IF(MAX(I698,AP698)&gt;=5,7,IF(MAX(I698,AP698)&gt;=2,3,0)))+IF(K698="High",10,IF(K698="Medium",5,0))))</x:f>
      </x:c>
      <x:c r="AC698" s="73" t="str">
        <x:f>IF(A698="","",IF(NOT(ISNUMBER(AB698)),"Review inputs",IF(AB698&gt;=70,"P0 - Immediate",IF(AB698&gt;=50,"P1 - High",IF(AB698&gt;=30,"P2 - Medium",IF(AB698&gt;=15,"P3 - Low","P4 - Monitor"))))))</x:f>
      </x:c>
      <x:c r="AD698" s="73"/>
      <x:c r="AE698" s="73"/>
      <x:c r="AF698" s="73"/>
      <x:c r="AG698" s="77"/>
      <x:c r="AH698" s="73"/>
      <x:c r="AI698" s="91"/>
      <x:c r="AJ698" s="91"/>
      <x:c r="AK698" s="91"/>
      <x:c r="AL698" s="92"/>
      <x:c r="AM698" s="91"/>
      <x:c r="AN698" s="91"/>
      <x:c r="AO698" s="93"/>
      <x:c r="AP698" s="94"/>
      <x:c r="AQ698" s="91"/>
      <x:c r="AR698" s="91"/>
      <x:c r="AS698" s="91"/>
      <x:c r="AT698" s="91"/>
      <x:c r="AU698" s="91"/>
      <x:c r="AV698" s="91"/>
      <x:c r="AW698" s="91"/>
      <x:c r="AX698" s="91"/>
      <x:c r="AY698" s="91"/>
      <x:c r="AZ698" s="92"/>
      <x:c r="BA698" s="94"/>
      <x:c r="BB698" s="91"/>
      <x:c r="BC698" s="92"/>
      <x:c r="BD698" s="92"/>
      <x:c r="BE698" s="91"/>
      <x:c r="BF698" s="91"/>
      <x:c r="BG698" s="91"/>
      <x:c r="BH698" s="91"/>
      <x:c r="BI698" s="91"/>
      <x:c r="BJ698" s="91"/>
      <x:c r="BK698" s="91"/>
      <x:c r="BL698" s="91"/>
      <x:c r="BM698" s="73" t="str">
        <x:f>IF(A698="","",IF(AI698="Example","Example only",IF(AI698&lt;&gt;"Actual","Set record type",IF(COUNTIF($A$2:$A$1001,A698)&gt;1,"Duplicate record ID",IF(OR(D698="",E698="",AF698="",NOT(ISNUMBER(AG698)),AJ698="",AK698="",NOT(ISNUMBER(AL698)),AND(AM698&lt;&gt;"Observed",AM698&lt;&gt;"Corroborated",AM698&lt;&gt;"Declared"),OR(AN698="",AN698="Unknown"),OR(AQ698="",AQ698="Unknown"),OR(AR698="",AR698="Unknown",AR698="TBD"),OR(BC698="",NOT(ISNUMBER(BC698)))),"Evidence incomplete","Evidence recorded; review scope")))))</x:f>
      </x:c>
      <x:c r="BN698" s="73"/>
    </x:row>
    <x:row r="699" ht="34" customHeight="1">
      <x:c r="A699" s="73"/>
      <x:c r="B699" s="73"/>
      <x:c r="C699" s="73"/>
      <x:c r="D699" s="73"/>
      <x:c r="E699" s="73"/>
      <x:c r="F699" s="73"/>
      <x:c r="G699" s="73"/>
      <x:c r="H699" s="73"/>
      <x:c r="I699" s="75"/>
      <x:c r="J699" s="73"/>
      <x:c r="K699" s="73"/>
      <x:c r="L699" s="76"/>
      <x:c r="M699" s="73"/>
      <x:c r="N699" s="73"/>
      <x:c r="O699" s="73"/>
      <x:c r="P699" s="73"/>
      <x:c r="Q699" s="76"/>
      <x:c r="R699" s="73"/>
      <x:c r="S699" s="73"/>
      <x:c r="T699" s="73"/>
      <x:c r="U699" s="73"/>
      <x:c r="V699" s="73"/>
      <x:c r="W699" s="73"/>
      <x:c r="X699" s="73"/>
      <x:c r="Y699" s="73"/>
      <x:c r="Z699" s="73"/>
      <x:c r="AA699" s="73"/>
      <x:c r="AB699" s="76" t="str">
        <x:f>IF(A699="","",IF(OR(NOT(ISNUMBER(I699)),I699&lt;0,NOT(ISNUMBER(AP699)),AP699&lt;0,NOT(ISNUMBER(L699)),L699&lt;1,L699&gt;5,L699&lt;&gt;INT(L699),AND(J699&lt;&gt;"Public",J699&lt;&gt;"Partner",J699&lt;&gt;"Internal",J699&lt;&gt;"None"),AND(K699&lt;&gt;"High",K699&lt;&gt;"Medium",K699&lt;&gt;"Low",K699&lt;&gt;"None"),AND(W699&lt;&gt;"Hard-coded",W699&lt;&gt;"Configurable",W699&lt;&gt;"Policy-managed",W699&lt;&gt;"API/Library abstraction",W699&lt;&gt;"Automated"),AND(Z699&lt;&gt;"Y",Z699&lt;&gt;"N"),AND(AA699&lt;&gt;"Y",AA699&lt;&gt;"N")),"Incomplete",IF(Z699="Y",20,0)+L699*5+IF(AA699="Y",15,0)+IF(J699="Public",10,IF(J699="Partner",7,IF(J699="Internal",3,0)))+IF(W699="Hard-coded",10,IF(W699="Configurable",3,0))+IF(MAX(I699,AP699)&gt;=10,10,IF(MAX(I699,AP699)&gt;=5,7,IF(MAX(I699,AP699)&gt;=2,3,0)))+IF(K699="High",10,IF(K699="Medium",5,0))))</x:f>
      </x:c>
      <x:c r="AC699" s="73" t="str">
        <x:f>IF(A699="","",IF(NOT(ISNUMBER(AB699)),"Review inputs",IF(AB699&gt;=70,"P0 - Immediate",IF(AB699&gt;=50,"P1 - High",IF(AB699&gt;=30,"P2 - Medium",IF(AB699&gt;=15,"P3 - Low","P4 - Monitor"))))))</x:f>
      </x:c>
      <x:c r="AD699" s="73"/>
      <x:c r="AE699" s="73"/>
      <x:c r="AF699" s="73"/>
      <x:c r="AG699" s="77"/>
      <x:c r="AH699" s="73"/>
      <x:c r="AI699" s="91"/>
      <x:c r="AJ699" s="91"/>
      <x:c r="AK699" s="91"/>
      <x:c r="AL699" s="92"/>
      <x:c r="AM699" s="91"/>
      <x:c r="AN699" s="91"/>
      <x:c r="AO699" s="93"/>
      <x:c r="AP699" s="94"/>
      <x:c r="AQ699" s="91"/>
      <x:c r="AR699" s="91"/>
      <x:c r="AS699" s="91"/>
      <x:c r="AT699" s="91"/>
      <x:c r="AU699" s="91"/>
      <x:c r="AV699" s="91"/>
      <x:c r="AW699" s="91"/>
      <x:c r="AX699" s="91"/>
      <x:c r="AY699" s="91"/>
      <x:c r="AZ699" s="92"/>
      <x:c r="BA699" s="94"/>
      <x:c r="BB699" s="91"/>
      <x:c r="BC699" s="92"/>
      <x:c r="BD699" s="92"/>
      <x:c r="BE699" s="91"/>
      <x:c r="BF699" s="91"/>
      <x:c r="BG699" s="91"/>
      <x:c r="BH699" s="91"/>
      <x:c r="BI699" s="91"/>
      <x:c r="BJ699" s="91"/>
      <x:c r="BK699" s="91"/>
      <x:c r="BL699" s="91"/>
      <x:c r="BM699" s="73" t="str">
        <x:f>IF(A699="","",IF(AI699="Example","Example only",IF(AI699&lt;&gt;"Actual","Set record type",IF(COUNTIF($A$2:$A$1001,A699)&gt;1,"Duplicate record ID",IF(OR(D699="",E699="",AF699="",NOT(ISNUMBER(AG699)),AJ699="",AK699="",NOT(ISNUMBER(AL699)),AND(AM699&lt;&gt;"Observed",AM699&lt;&gt;"Corroborated",AM699&lt;&gt;"Declared"),OR(AN699="",AN699="Unknown"),OR(AQ699="",AQ699="Unknown"),OR(AR699="",AR699="Unknown",AR699="TBD"),OR(BC699="",NOT(ISNUMBER(BC699)))),"Evidence incomplete","Evidence recorded; review scope")))))</x:f>
      </x:c>
      <x:c r="BN699" s="73"/>
    </x:row>
    <x:row r="700" ht="34" customHeight="1">
      <x:c r="A700" s="73"/>
      <x:c r="B700" s="73"/>
      <x:c r="C700" s="73"/>
      <x:c r="D700" s="73"/>
      <x:c r="E700" s="73"/>
      <x:c r="F700" s="73"/>
      <x:c r="G700" s="73"/>
      <x:c r="H700" s="73"/>
      <x:c r="I700" s="75"/>
      <x:c r="J700" s="73"/>
      <x:c r="K700" s="73"/>
      <x:c r="L700" s="76"/>
      <x:c r="M700" s="73"/>
      <x:c r="N700" s="73"/>
      <x:c r="O700" s="73"/>
      <x:c r="P700" s="73"/>
      <x:c r="Q700" s="76"/>
      <x:c r="R700" s="73"/>
      <x:c r="S700" s="73"/>
      <x:c r="T700" s="73"/>
      <x:c r="U700" s="73"/>
      <x:c r="V700" s="73"/>
      <x:c r="W700" s="73"/>
      <x:c r="X700" s="73"/>
      <x:c r="Y700" s="73"/>
      <x:c r="Z700" s="73"/>
      <x:c r="AA700" s="73"/>
      <x:c r="AB700" s="76" t="str">
        <x:f>IF(A700="","",IF(OR(NOT(ISNUMBER(I700)),I700&lt;0,NOT(ISNUMBER(AP700)),AP700&lt;0,NOT(ISNUMBER(L700)),L700&lt;1,L700&gt;5,L700&lt;&gt;INT(L700),AND(J700&lt;&gt;"Public",J700&lt;&gt;"Partner",J700&lt;&gt;"Internal",J700&lt;&gt;"None"),AND(K700&lt;&gt;"High",K700&lt;&gt;"Medium",K700&lt;&gt;"Low",K700&lt;&gt;"None"),AND(W700&lt;&gt;"Hard-coded",W700&lt;&gt;"Configurable",W700&lt;&gt;"Policy-managed",W700&lt;&gt;"API/Library abstraction",W700&lt;&gt;"Automated"),AND(Z700&lt;&gt;"Y",Z700&lt;&gt;"N"),AND(AA700&lt;&gt;"Y",AA700&lt;&gt;"N")),"Incomplete",IF(Z700="Y",20,0)+L700*5+IF(AA700="Y",15,0)+IF(J700="Public",10,IF(J700="Partner",7,IF(J700="Internal",3,0)))+IF(W700="Hard-coded",10,IF(W700="Configurable",3,0))+IF(MAX(I700,AP700)&gt;=10,10,IF(MAX(I700,AP700)&gt;=5,7,IF(MAX(I700,AP700)&gt;=2,3,0)))+IF(K700="High",10,IF(K700="Medium",5,0))))</x:f>
      </x:c>
      <x:c r="AC700" s="73" t="str">
        <x:f>IF(A700="","",IF(NOT(ISNUMBER(AB700)),"Review inputs",IF(AB700&gt;=70,"P0 - Immediate",IF(AB700&gt;=50,"P1 - High",IF(AB700&gt;=30,"P2 - Medium",IF(AB700&gt;=15,"P3 - Low","P4 - Monitor"))))))</x:f>
      </x:c>
      <x:c r="AD700" s="73"/>
      <x:c r="AE700" s="73"/>
      <x:c r="AF700" s="73"/>
      <x:c r="AG700" s="77"/>
      <x:c r="AH700" s="73"/>
      <x:c r="AI700" s="91"/>
      <x:c r="AJ700" s="91"/>
      <x:c r="AK700" s="91"/>
      <x:c r="AL700" s="92"/>
      <x:c r="AM700" s="91"/>
      <x:c r="AN700" s="91"/>
      <x:c r="AO700" s="93"/>
      <x:c r="AP700" s="94"/>
      <x:c r="AQ700" s="91"/>
      <x:c r="AR700" s="91"/>
      <x:c r="AS700" s="91"/>
      <x:c r="AT700" s="91"/>
      <x:c r="AU700" s="91"/>
      <x:c r="AV700" s="91"/>
      <x:c r="AW700" s="91"/>
      <x:c r="AX700" s="91"/>
      <x:c r="AY700" s="91"/>
      <x:c r="AZ700" s="92"/>
      <x:c r="BA700" s="94"/>
      <x:c r="BB700" s="91"/>
      <x:c r="BC700" s="92"/>
      <x:c r="BD700" s="92"/>
      <x:c r="BE700" s="91"/>
      <x:c r="BF700" s="91"/>
      <x:c r="BG700" s="91"/>
      <x:c r="BH700" s="91"/>
      <x:c r="BI700" s="91"/>
      <x:c r="BJ700" s="91"/>
      <x:c r="BK700" s="91"/>
      <x:c r="BL700" s="91"/>
      <x:c r="BM700" s="73" t="str">
        <x:f>IF(A700="","",IF(AI700="Example","Example only",IF(AI700&lt;&gt;"Actual","Set record type",IF(COUNTIF($A$2:$A$1001,A700)&gt;1,"Duplicate record ID",IF(OR(D700="",E700="",AF700="",NOT(ISNUMBER(AG700)),AJ700="",AK700="",NOT(ISNUMBER(AL700)),AND(AM700&lt;&gt;"Observed",AM700&lt;&gt;"Corroborated",AM700&lt;&gt;"Declared"),OR(AN700="",AN700="Unknown"),OR(AQ700="",AQ700="Unknown"),OR(AR700="",AR700="Unknown",AR700="TBD"),OR(BC700="",NOT(ISNUMBER(BC700)))),"Evidence incomplete","Evidence recorded; review scope")))))</x:f>
      </x:c>
      <x:c r="BN700" s="73"/>
    </x:row>
    <x:row r="701" ht="34" customHeight="1">
      <x:c r="A701" s="73"/>
      <x:c r="B701" s="73"/>
      <x:c r="C701" s="73"/>
      <x:c r="D701" s="73"/>
      <x:c r="E701" s="73"/>
      <x:c r="F701" s="73"/>
      <x:c r="G701" s="73"/>
      <x:c r="H701" s="73"/>
      <x:c r="I701" s="75"/>
      <x:c r="J701" s="73"/>
      <x:c r="K701" s="73"/>
      <x:c r="L701" s="76"/>
      <x:c r="M701" s="73"/>
      <x:c r="N701" s="73"/>
      <x:c r="O701" s="73"/>
      <x:c r="P701" s="73"/>
      <x:c r="Q701" s="76"/>
      <x:c r="R701" s="73"/>
      <x:c r="S701" s="73"/>
      <x:c r="T701" s="73"/>
      <x:c r="U701" s="73"/>
      <x:c r="V701" s="73"/>
      <x:c r="W701" s="73"/>
      <x:c r="X701" s="73"/>
      <x:c r="Y701" s="73"/>
      <x:c r="Z701" s="73"/>
      <x:c r="AA701" s="73"/>
      <x:c r="AB701" s="76" t="str">
        <x:f>IF(A701="","",IF(OR(NOT(ISNUMBER(I701)),I701&lt;0,NOT(ISNUMBER(AP701)),AP701&lt;0,NOT(ISNUMBER(L701)),L701&lt;1,L701&gt;5,L701&lt;&gt;INT(L701),AND(J701&lt;&gt;"Public",J701&lt;&gt;"Partner",J701&lt;&gt;"Internal",J701&lt;&gt;"None"),AND(K701&lt;&gt;"High",K701&lt;&gt;"Medium",K701&lt;&gt;"Low",K701&lt;&gt;"None"),AND(W701&lt;&gt;"Hard-coded",W701&lt;&gt;"Configurable",W701&lt;&gt;"Policy-managed",W701&lt;&gt;"API/Library abstraction",W701&lt;&gt;"Automated"),AND(Z701&lt;&gt;"Y",Z701&lt;&gt;"N"),AND(AA701&lt;&gt;"Y",AA701&lt;&gt;"N")),"Incomplete",IF(Z701="Y",20,0)+L701*5+IF(AA701="Y",15,0)+IF(J701="Public",10,IF(J701="Partner",7,IF(J701="Internal",3,0)))+IF(W701="Hard-coded",10,IF(W701="Configurable",3,0))+IF(MAX(I701,AP701)&gt;=10,10,IF(MAX(I701,AP701)&gt;=5,7,IF(MAX(I701,AP701)&gt;=2,3,0)))+IF(K701="High",10,IF(K701="Medium",5,0))))</x:f>
      </x:c>
      <x:c r="AC701" s="73" t="str">
        <x:f>IF(A701="","",IF(NOT(ISNUMBER(AB701)),"Review inputs",IF(AB701&gt;=70,"P0 - Immediate",IF(AB701&gt;=50,"P1 - High",IF(AB701&gt;=30,"P2 - Medium",IF(AB701&gt;=15,"P3 - Low","P4 - Monitor"))))))</x:f>
      </x:c>
      <x:c r="AD701" s="73"/>
      <x:c r="AE701" s="73"/>
      <x:c r="AF701" s="73"/>
      <x:c r="AG701" s="77"/>
      <x:c r="AH701" s="73"/>
      <x:c r="AI701" s="91"/>
      <x:c r="AJ701" s="91"/>
      <x:c r="AK701" s="91"/>
      <x:c r="AL701" s="92"/>
      <x:c r="AM701" s="91"/>
      <x:c r="AN701" s="91"/>
      <x:c r="AO701" s="93"/>
      <x:c r="AP701" s="94"/>
      <x:c r="AQ701" s="91"/>
      <x:c r="AR701" s="91"/>
      <x:c r="AS701" s="91"/>
      <x:c r="AT701" s="91"/>
      <x:c r="AU701" s="91"/>
      <x:c r="AV701" s="91"/>
      <x:c r="AW701" s="91"/>
      <x:c r="AX701" s="91"/>
      <x:c r="AY701" s="91"/>
      <x:c r="AZ701" s="92"/>
      <x:c r="BA701" s="94"/>
      <x:c r="BB701" s="91"/>
      <x:c r="BC701" s="92"/>
      <x:c r="BD701" s="92"/>
      <x:c r="BE701" s="91"/>
      <x:c r="BF701" s="91"/>
      <x:c r="BG701" s="91"/>
      <x:c r="BH701" s="91"/>
      <x:c r="BI701" s="91"/>
      <x:c r="BJ701" s="91"/>
      <x:c r="BK701" s="91"/>
      <x:c r="BL701" s="91"/>
      <x:c r="BM701" s="73" t="str">
        <x:f>IF(A701="","",IF(AI701="Example","Example only",IF(AI701&lt;&gt;"Actual","Set record type",IF(COUNTIF($A$2:$A$1001,A701)&gt;1,"Duplicate record ID",IF(OR(D701="",E701="",AF701="",NOT(ISNUMBER(AG701)),AJ701="",AK701="",NOT(ISNUMBER(AL701)),AND(AM701&lt;&gt;"Observed",AM701&lt;&gt;"Corroborated",AM701&lt;&gt;"Declared"),OR(AN701="",AN701="Unknown"),OR(AQ701="",AQ701="Unknown"),OR(AR701="",AR701="Unknown",AR701="TBD"),OR(BC701="",NOT(ISNUMBER(BC701)))),"Evidence incomplete","Evidence recorded; review scope")))))</x:f>
      </x:c>
      <x:c r="BN701" s="73"/>
    </x:row>
    <x:row r="702" ht="34" customHeight="1">
      <x:c r="A702" s="73"/>
      <x:c r="B702" s="73"/>
      <x:c r="C702" s="73"/>
      <x:c r="D702" s="73"/>
      <x:c r="E702" s="73"/>
      <x:c r="F702" s="73"/>
      <x:c r="G702" s="73"/>
      <x:c r="H702" s="73"/>
      <x:c r="I702" s="75"/>
      <x:c r="J702" s="73"/>
      <x:c r="K702" s="73"/>
      <x:c r="L702" s="76"/>
      <x:c r="M702" s="73"/>
      <x:c r="N702" s="73"/>
      <x:c r="O702" s="73"/>
      <x:c r="P702" s="73"/>
      <x:c r="Q702" s="76"/>
      <x:c r="R702" s="73"/>
      <x:c r="S702" s="73"/>
      <x:c r="T702" s="73"/>
      <x:c r="U702" s="73"/>
      <x:c r="V702" s="73"/>
      <x:c r="W702" s="73"/>
      <x:c r="X702" s="73"/>
      <x:c r="Y702" s="73"/>
      <x:c r="Z702" s="73"/>
      <x:c r="AA702" s="73"/>
      <x:c r="AB702" s="76" t="str">
        <x:f>IF(A702="","",IF(OR(NOT(ISNUMBER(I702)),I702&lt;0,NOT(ISNUMBER(AP702)),AP702&lt;0,NOT(ISNUMBER(L702)),L702&lt;1,L702&gt;5,L702&lt;&gt;INT(L702),AND(J702&lt;&gt;"Public",J702&lt;&gt;"Partner",J702&lt;&gt;"Internal",J702&lt;&gt;"None"),AND(K702&lt;&gt;"High",K702&lt;&gt;"Medium",K702&lt;&gt;"Low",K702&lt;&gt;"None"),AND(W702&lt;&gt;"Hard-coded",W702&lt;&gt;"Configurable",W702&lt;&gt;"Policy-managed",W702&lt;&gt;"API/Library abstraction",W702&lt;&gt;"Automated"),AND(Z702&lt;&gt;"Y",Z702&lt;&gt;"N"),AND(AA702&lt;&gt;"Y",AA702&lt;&gt;"N")),"Incomplete",IF(Z702="Y",20,0)+L702*5+IF(AA702="Y",15,0)+IF(J702="Public",10,IF(J702="Partner",7,IF(J702="Internal",3,0)))+IF(W702="Hard-coded",10,IF(W702="Configurable",3,0))+IF(MAX(I702,AP702)&gt;=10,10,IF(MAX(I702,AP702)&gt;=5,7,IF(MAX(I702,AP702)&gt;=2,3,0)))+IF(K702="High",10,IF(K702="Medium",5,0))))</x:f>
      </x:c>
      <x:c r="AC702" s="73" t="str">
        <x:f>IF(A702="","",IF(NOT(ISNUMBER(AB702)),"Review inputs",IF(AB702&gt;=70,"P0 - Immediate",IF(AB702&gt;=50,"P1 - High",IF(AB702&gt;=30,"P2 - Medium",IF(AB702&gt;=15,"P3 - Low","P4 - Monitor"))))))</x:f>
      </x:c>
      <x:c r="AD702" s="73"/>
      <x:c r="AE702" s="73"/>
      <x:c r="AF702" s="73"/>
      <x:c r="AG702" s="77"/>
      <x:c r="AH702" s="73"/>
      <x:c r="AI702" s="91"/>
      <x:c r="AJ702" s="91"/>
      <x:c r="AK702" s="91"/>
      <x:c r="AL702" s="92"/>
      <x:c r="AM702" s="91"/>
      <x:c r="AN702" s="91"/>
      <x:c r="AO702" s="93"/>
      <x:c r="AP702" s="94"/>
      <x:c r="AQ702" s="91"/>
      <x:c r="AR702" s="91"/>
      <x:c r="AS702" s="91"/>
      <x:c r="AT702" s="91"/>
      <x:c r="AU702" s="91"/>
      <x:c r="AV702" s="91"/>
      <x:c r="AW702" s="91"/>
      <x:c r="AX702" s="91"/>
      <x:c r="AY702" s="91"/>
      <x:c r="AZ702" s="92"/>
      <x:c r="BA702" s="94"/>
      <x:c r="BB702" s="91"/>
      <x:c r="BC702" s="92"/>
      <x:c r="BD702" s="92"/>
      <x:c r="BE702" s="91"/>
      <x:c r="BF702" s="91"/>
      <x:c r="BG702" s="91"/>
      <x:c r="BH702" s="91"/>
      <x:c r="BI702" s="91"/>
      <x:c r="BJ702" s="91"/>
      <x:c r="BK702" s="91"/>
      <x:c r="BL702" s="91"/>
      <x:c r="BM702" s="73" t="str">
        <x:f>IF(A702="","",IF(AI702="Example","Example only",IF(AI702&lt;&gt;"Actual","Set record type",IF(COUNTIF($A$2:$A$1001,A702)&gt;1,"Duplicate record ID",IF(OR(D702="",E702="",AF702="",NOT(ISNUMBER(AG702)),AJ702="",AK702="",NOT(ISNUMBER(AL702)),AND(AM702&lt;&gt;"Observed",AM702&lt;&gt;"Corroborated",AM702&lt;&gt;"Declared"),OR(AN702="",AN702="Unknown"),OR(AQ702="",AQ702="Unknown"),OR(AR702="",AR702="Unknown",AR702="TBD"),OR(BC702="",NOT(ISNUMBER(BC702)))),"Evidence incomplete","Evidence recorded; review scope")))))</x:f>
      </x:c>
      <x:c r="BN702" s="73"/>
    </x:row>
    <x:row r="703" ht="34" customHeight="1">
      <x:c r="A703" s="73"/>
      <x:c r="B703" s="73"/>
      <x:c r="C703" s="73"/>
      <x:c r="D703" s="73"/>
      <x:c r="E703" s="73"/>
      <x:c r="F703" s="73"/>
      <x:c r="G703" s="73"/>
      <x:c r="H703" s="73"/>
      <x:c r="I703" s="75"/>
      <x:c r="J703" s="73"/>
      <x:c r="K703" s="73"/>
      <x:c r="L703" s="76"/>
      <x:c r="M703" s="73"/>
      <x:c r="N703" s="73"/>
      <x:c r="O703" s="73"/>
      <x:c r="P703" s="73"/>
      <x:c r="Q703" s="76"/>
      <x:c r="R703" s="73"/>
      <x:c r="S703" s="73"/>
      <x:c r="T703" s="73"/>
      <x:c r="U703" s="73"/>
      <x:c r="V703" s="73"/>
      <x:c r="W703" s="73"/>
      <x:c r="X703" s="73"/>
      <x:c r="Y703" s="73"/>
      <x:c r="Z703" s="73"/>
      <x:c r="AA703" s="73"/>
      <x:c r="AB703" s="76" t="str">
        <x:f>IF(A703="","",IF(OR(NOT(ISNUMBER(I703)),I703&lt;0,NOT(ISNUMBER(AP703)),AP703&lt;0,NOT(ISNUMBER(L703)),L703&lt;1,L703&gt;5,L703&lt;&gt;INT(L703),AND(J703&lt;&gt;"Public",J703&lt;&gt;"Partner",J703&lt;&gt;"Internal",J703&lt;&gt;"None"),AND(K703&lt;&gt;"High",K703&lt;&gt;"Medium",K703&lt;&gt;"Low",K703&lt;&gt;"None"),AND(W703&lt;&gt;"Hard-coded",W703&lt;&gt;"Configurable",W703&lt;&gt;"Policy-managed",W703&lt;&gt;"API/Library abstraction",W703&lt;&gt;"Automated"),AND(Z703&lt;&gt;"Y",Z703&lt;&gt;"N"),AND(AA703&lt;&gt;"Y",AA703&lt;&gt;"N")),"Incomplete",IF(Z703="Y",20,0)+L703*5+IF(AA703="Y",15,0)+IF(J703="Public",10,IF(J703="Partner",7,IF(J703="Internal",3,0)))+IF(W703="Hard-coded",10,IF(W703="Configurable",3,0))+IF(MAX(I703,AP703)&gt;=10,10,IF(MAX(I703,AP703)&gt;=5,7,IF(MAX(I703,AP703)&gt;=2,3,0)))+IF(K703="High",10,IF(K703="Medium",5,0))))</x:f>
      </x:c>
      <x:c r="AC703" s="73" t="str">
        <x:f>IF(A703="","",IF(NOT(ISNUMBER(AB703)),"Review inputs",IF(AB703&gt;=70,"P0 - Immediate",IF(AB703&gt;=50,"P1 - High",IF(AB703&gt;=30,"P2 - Medium",IF(AB703&gt;=15,"P3 - Low","P4 - Monitor"))))))</x:f>
      </x:c>
      <x:c r="AD703" s="73"/>
      <x:c r="AE703" s="73"/>
      <x:c r="AF703" s="73"/>
      <x:c r="AG703" s="77"/>
      <x:c r="AH703" s="73"/>
      <x:c r="AI703" s="91"/>
      <x:c r="AJ703" s="91"/>
      <x:c r="AK703" s="91"/>
      <x:c r="AL703" s="92"/>
      <x:c r="AM703" s="91"/>
      <x:c r="AN703" s="91"/>
      <x:c r="AO703" s="93"/>
      <x:c r="AP703" s="94"/>
      <x:c r="AQ703" s="91"/>
      <x:c r="AR703" s="91"/>
      <x:c r="AS703" s="91"/>
      <x:c r="AT703" s="91"/>
      <x:c r="AU703" s="91"/>
      <x:c r="AV703" s="91"/>
      <x:c r="AW703" s="91"/>
      <x:c r="AX703" s="91"/>
      <x:c r="AY703" s="91"/>
      <x:c r="AZ703" s="92"/>
      <x:c r="BA703" s="94"/>
      <x:c r="BB703" s="91"/>
      <x:c r="BC703" s="92"/>
      <x:c r="BD703" s="92"/>
      <x:c r="BE703" s="91"/>
      <x:c r="BF703" s="91"/>
      <x:c r="BG703" s="91"/>
      <x:c r="BH703" s="91"/>
      <x:c r="BI703" s="91"/>
      <x:c r="BJ703" s="91"/>
      <x:c r="BK703" s="91"/>
      <x:c r="BL703" s="91"/>
      <x:c r="BM703" s="73" t="str">
        <x:f>IF(A703="","",IF(AI703="Example","Example only",IF(AI703&lt;&gt;"Actual","Set record type",IF(COUNTIF($A$2:$A$1001,A703)&gt;1,"Duplicate record ID",IF(OR(D703="",E703="",AF703="",NOT(ISNUMBER(AG703)),AJ703="",AK703="",NOT(ISNUMBER(AL703)),AND(AM703&lt;&gt;"Observed",AM703&lt;&gt;"Corroborated",AM703&lt;&gt;"Declared"),OR(AN703="",AN703="Unknown"),OR(AQ703="",AQ703="Unknown"),OR(AR703="",AR703="Unknown",AR703="TBD"),OR(BC703="",NOT(ISNUMBER(BC703)))),"Evidence incomplete","Evidence recorded; review scope")))))</x:f>
      </x:c>
      <x:c r="BN703" s="73"/>
    </x:row>
    <x:row r="704" ht="34" customHeight="1">
      <x:c r="A704" s="73"/>
      <x:c r="B704" s="73"/>
      <x:c r="C704" s="73"/>
      <x:c r="D704" s="73"/>
      <x:c r="E704" s="73"/>
      <x:c r="F704" s="73"/>
      <x:c r="G704" s="73"/>
      <x:c r="H704" s="73"/>
      <x:c r="I704" s="75"/>
      <x:c r="J704" s="73"/>
      <x:c r="K704" s="73"/>
      <x:c r="L704" s="76"/>
      <x:c r="M704" s="73"/>
      <x:c r="N704" s="73"/>
      <x:c r="O704" s="73"/>
      <x:c r="P704" s="73"/>
      <x:c r="Q704" s="76"/>
      <x:c r="R704" s="73"/>
      <x:c r="S704" s="73"/>
      <x:c r="T704" s="73"/>
      <x:c r="U704" s="73"/>
      <x:c r="V704" s="73"/>
      <x:c r="W704" s="73"/>
      <x:c r="X704" s="73"/>
      <x:c r="Y704" s="73"/>
      <x:c r="Z704" s="73"/>
      <x:c r="AA704" s="73"/>
      <x:c r="AB704" s="76" t="str">
        <x:f>IF(A704="","",IF(OR(NOT(ISNUMBER(I704)),I704&lt;0,NOT(ISNUMBER(AP704)),AP704&lt;0,NOT(ISNUMBER(L704)),L704&lt;1,L704&gt;5,L704&lt;&gt;INT(L704),AND(J704&lt;&gt;"Public",J704&lt;&gt;"Partner",J704&lt;&gt;"Internal",J704&lt;&gt;"None"),AND(K704&lt;&gt;"High",K704&lt;&gt;"Medium",K704&lt;&gt;"Low",K704&lt;&gt;"None"),AND(W704&lt;&gt;"Hard-coded",W704&lt;&gt;"Configurable",W704&lt;&gt;"Policy-managed",W704&lt;&gt;"API/Library abstraction",W704&lt;&gt;"Automated"),AND(Z704&lt;&gt;"Y",Z704&lt;&gt;"N"),AND(AA704&lt;&gt;"Y",AA704&lt;&gt;"N")),"Incomplete",IF(Z704="Y",20,0)+L704*5+IF(AA704="Y",15,0)+IF(J704="Public",10,IF(J704="Partner",7,IF(J704="Internal",3,0)))+IF(W704="Hard-coded",10,IF(W704="Configurable",3,0))+IF(MAX(I704,AP704)&gt;=10,10,IF(MAX(I704,AP704)&gt;=5,7,IF(MAX(I704,AP704)&gt;=2,3,0)))+IF(K704="High",10,IF(K704="Medium",5,0))))</x:f>
      </x:c>
      <x:c r="AC704" s="73" t="str">
        <x:f>IF(A704="","",IF(NOT(ISNUMBER(AB704)),"Review inputs",IF(AB704&gt;=70,"P0 - Immediate",IF(AB704&gt;=50,"P1 - High",IF(AB704&gt;=30,"P2 - Medium",IF(AB704&gt;=15,"P3 - Low","P4 - Monitor"))))))</x:f>
      </x:c>
      <x:c r="AD704" s="73"/>
      <x:c r="AE704" s="73"/>
      <x:c r="AF704" s="73"/>
      <x:c r="AG704" s="77"/>
      <x:c r="AH704" s="73"/>
      <x:c r="AI704" s="91"/>
      <x:c r="AJ704" s="91"/>
      <x:c r="AK704" s="91"/>
      <x:c r="AL704" s="92"/>
      <x:c r="AM704" s="91"/>
      <x:c r="AN704" s="91"/>
      <x:c r="AO704" s="93"/>
      <x:c r="AP704" s="94"/>
      <x:c r="AQ704" s="91"/>
      <x:c r="AR704" s="91"/>
      <x:c r="AS704" s="91"/>
      <x:c r="AT704" s="91"/>
      <x:c r="AU704" s="91"/>
      <x:c r="AV704" s="91"/>
      <x:c r="AW704" s="91"/>
      <x:c r="AX704" s="91"/>
      <x:c r="AY704" s="91"/>
      <x:c r="AZ704" s="92"/>
      <x:c r="BA704" s="94"/>
      <x:c r="BB704" s="91"/>
      <x:c r="BC704" s="92"/>
      <x:c r="BD704" s="92"/>
      <x:c r="BE704" s="91"/>
      <x:c r="BF704" s="91"/>
      <x:c r="BG704" s="91"/>
      <x:c r="BH704" s="91"/>
      <x:c r="BI704" s="91"/>
      <x:c r="BJ704" s="91"/>
      <x:c r="BK704" s="91"/>
      <x:c r="BL704" s="91"/>
      <x:c r="BM704" s="73" t="str">
        <x:f>IF(A704="","",IF(AI704="Example","Example only",IF(AI704&lt;&gt;"Actual","Set record type",IF(COUNTIF($A$2:$A$1001,A704)&gt;1,"Duplicate record ID",IF(OR(D704="",E704="",AF704="",NOT(ISNUMBER(AG704)),AJ704="",AK704="",NOT(ISNUMBER(AL704)),AND(AM704&lt;&gt;"Observed",AM704&lt;&gt;"Corroborated",AM704&lt;&gt;"Declared"),OR(AN704="",AN704="Unknown"),OR(AQ704="",AQ704="Unknown"),OR(AR704="",AR704="Unknown",AR704="TBD"),OR(BC704="",NOT(ISNUMBER(BC704)))),"Evidence incomplete","Evidence recorded; review scope")))))</x:f>
      </x:c>
      <x:c r="BN704" s="73"/>
    </x:row>
    <x:row r="705" ht="34" customHeight="1">
      <x:c r="A705" s="73"/>
      <x:c r="B705" s="73"/>
      <x:c r="C705" s="73"/>
      <x:c r="D705" s="73"/>
      <x:c r="E705" s="73"/>
      <x:c r="F705" s="73"/>
      <x:c r="G705" s="73"/>
      <x:c r="H705" s="73"/>
      <x:c r="I705" s="75"/>
      <x:c r="J705" s="73"/>
      <x:c r="K705" s="73"/>
      <x:c r="L705" s="76"/>
      <x:c r="M705" s="73"/>
      <x:c r="N705" s="73"/>
      <x:c r="O705" s="73"/>
      <x:c r="P705" s="73"/>
      <x:c r="Q705" s="76"/>
      <x:c r="R705" s="73"/>
      <x:c r="S705" s="73"/>
      <x:c r="T705" s="73"/>
      <x:c r="U705" s="73"/>
      <x:c r="V705" s="73"/>
      <x:c r="W705" s="73"/>
      <x:c r="X705" s="73"/>
      <x:c r="Y705" s="73"/>
      <x:c r="Z705" s="73"/>
      <x:c r="AA705" s="73"/>
      <x:c r="AB705" s="76" t="str">
        <x:f>IF(A705="","",IF(OR(NOT(ISNUMBER(I705)),I705&lt;0,NOT(ISNUMBER(AP705)),AP705&lt;0,NOT(ISNUMBER(L705)),L705&lt;1,L705&gt;5,L705&lt;&gt;INT(L705),AND(J705&lt;&gt;"Public",J705&lt;&gt;"Partner",J705&lt;&gt;"Internal",J705&lt;&gt;"None"),AND(K705&lt;&gt;"High",K705&lt;&gt;"Medium",K705&lt;&gt;"Low",K705&lt;&gt;"None"),AND(W705&lt;&gt;"Hard-coded",W705&lt;&gt;"Configurable",W705&lt;&gt;"Policy-managed",W705&lt;&gt;"API/Library abstraction",W705&lt;&gt;"Automated"),AND(Z705&lt;&gt;"Y",Z705&lt;&gt;"N"),AND(AA705&lt;&gt;"Y",AA705&lt;&gt;"N")),"Incomplete",IF(Z705="Y",20,0)+L705*5+IF(AA705="Y",15,0)+IF(J705="Public",10,IF(J705="Partner",7,IF(J705="Internal",3,0)))+IF(W705="Hard-coded",10,IF(W705="Configurable",3,0))+IF(MAX(I705,AP705)&gt;=10,10,IF(MAX(I705,AP705)&gt;=5,7,IF(MAX(I705,AP705)&gt;=2,3,0)))+IF(K705="High",10,IF(K705="Medium",5,0))))</x:f>
      </x:c>
      <x:c r="AC705" s="73" t="str">
        <x:f>IF(A705="","",IF(NOT(ISNUMBER(AB705)),"Review inputs",IF(AB705&gt;=70,"P0 - Immediate",IF(AB705&gt;=50,"P1 - High",IF(AB705&gt;=30,"P2 - Medium",IF(AB705&gt;=15,"P3 - Low","P4 - Monitor"))))))</x:f>
      </x:c>
      <x:c r="AD705" s="73"/>
      <x:c r="AE705" s="73"/>
      <x:c r="AF705" s="73"/>
      <x:c r="AG705" s="77"/>
      <x:c r="AH705" s="73"/>
      <x:c r="AI705" s="91"/>
      <x:c r="AJ705" s="91"/>
      <x:c r="AK705" s="91"/>
      <x:c r="AL705" s="92"/>
      <x:c r="AM705" s="91"/>
      <x:c r="AN705" s="91"/>
      <x:c r="AO705" s="93"/>
      <x:c r="AP705" s="94"/>
      <x:c r="AQ705" s="91"/>
      <x:c r="AR705" s="91"/>
      <x:c r="AS705" s="91"/>
      <x:c r="AT705" s="91"/>
      <x:c r="AU705" s="91"/>
      <x:c r="AV705" s="91"/>
      <x:c r="AW705" s="91"/>
      <x:c r="AX705" s="91"/>
      <x:c r="AY705" s="91"/>
      <x:c r="AZ705" s="92"/>
      <x:c r="BA705" s="94"/>
      <x:c r="BB705" s="91"/>
      <x:c r="BC705" s="92"/>
      <x:c r="BD705" s="92"/>
      <x:c r="BE705" s="91"/>
      <x:c r="BF705" s="91"/>
      <x:c r="BG705" s="91"/>
      <x:c r="BH705" s="91"/>
      <x:c r="BI705" s="91"/>
      <x:c r="BJ705" s="91"/>
      <x:c r="BK705" s="91"/>
      <x:c r="BL705" s="91"/>
      <x:c r="BM705" s="73" t="str">
        <x:f>IF(A705="","",IF(AI705="Example","Example only",IF(AI705&lt;&gt;"Actual","Set record type",IF(COUNTIF($A$2:$A$1001,A705)&gt;1,"Duplicate record ID",IF(OR(D705="",E705="",AF705="",NOT(ISNUMBER(AG705)),AJ705="",AK705="",NOT(ISNUMBER(AL705)),AND(AM705&lt;&gt;"Observed",AM705&lt;&gt;"Corroborated",AM705&lt;&gt;"Declared"),OR(AN705="",AN705="Unknown"),OR(AQ705="",AQ705="Unknown"),OR(AR705="",AR705="Unknown",AR705="TBD"),OR(BC705="",NOT(ISNUMBER(BC705)))),"Evidence incomplete","Evidence recorded; review scope")))))</x:f>
      </x:c>
      <x:c r="BN705" s="73"/>
    </x:row>
    <x:row r="706" ht="34" customHeight="1">
      <x:c r="A706" s="73"/>
      <x:c r="B706" s="73"/>
      <x:c r="C706" s="73"/>
      <x:c r="D706" s="73"/>
      <x:c r="E706" s="73"/>
      <x:c r="F706" s="73"/>
      <x:c r="G706" s="73"/>
      <x:c r="H706" s="73"/>
      <x:c r="I706" s="75"/>
      <x:c r="J706" s="73"/>
      <x:c r="K706" s="73"/>
      <x:c r="L706" s="76"/>
      <x:c r="M706" s="73"/>
      <x:c r="N706" s="73"/>
      <x:c r="O706" s="73"/>
      <x:c r="P706" s="73"/>
      <x:c r="Q706" s="76"/>
      <x:c r="R706" s="73"/>
      <x:c r="S706" s="73"/>
      <x:c r="T706" s="73"/>
      <x:c r="U706" s="73"/>
      <x:c r="V706" s="73"/>
      <x:c r="W706" s="73"/>
      <x:c r="X706" s="73"/>
      <x:c r="Y706" s="73"/>
      <x:c r="Z706" s="73"/>
      <x:c r="AA706" s="73"/>
      <x:c r="AB706" s="76" t="str">
        <x:f>IF(A706="","",IF(OR(NOT(ISNUMBER(I706)),I706&lt;0,NOT(ISNUMBER(AP706)),AP706&lt;0,NOT(ISNUMBER(L706)),L706&lt;1,L706&gt;5,L706&lt;&gt;INT(L706),AND(J706&lt;&gt;"Public",J706&lt;&gt;"Partner",J706&lt;&gt;"Internal",J706&lt;&gt;"None"),AND(K706&lt;&gt;"High",K706&lt;&gt;"Medium",K706&lt;&gt;"Low",K706&lt;&gt;"None"),AND(W706&lt;&gt;"Hard-coded",W706&lt;&gt;"Configurable",W706&lt;&gt;"Policy-managed",W706&lt;&gt;"API/Library abstraction",W706&lt;&gt;"Automated"),AND(Z706&lt;&gt;"Y",Z706&lt;&gt;"N"),AND(AA706&lt;&gt;"Y",AA706&lt;&gt;"N")),"Incomplete",IF(Z706="Y",20,0)+L706*5+IF(AA706="Y",15,0)+IF(J706="Public",10,IF(J706="Partner",7,IF(J706="Internal",3,0)))+IF(W706="Hard-coded",10,IF(W706="Configurable",3,0))+IF(MAX(I706,AP706)&gt;=10,10,IF(MAX(I706,AP706)&gt;=5,7,IF(MAX(I706,AP706)&gt;=2,3,0)))+IF(K706="High",10,IF(K706="Medium",5,0))))</x:f>
      </x:c>
      <x:c r="AC706" s="73" t="str">
        <x:f>IF(A706="","",IF(NOT(ISNUMBER(AB706)),"Review inputs",IF(AB706&gt;=70,"P0 - Immediate",IF(AB706&gt;=50,"P1 - High",IF(AB706&gt;=30,"P2 - Medium",IF(AB706&gt;=15,"P3 - Low","P4 - Monitor"))))))</x:f>
      </x:c>
      <x:c r="AD706" s="73"/>
      <x:c r="AE706" s="73"/>
      <x:c r="AF706" s="73"/>
      <x:c r="AG706" s="77"/>
      <x:c r="AH706" s="73"/>
      <x:c r="AI706" s="91"/>
      <x:c r="AJ706" s="91"/>
      <x:c r="AK706" s="91"/>
      <x:c r="AL706" s="92"/>
      <x:c r="AM706" s="91"/>
      <x:c r="AN706" s="91"/>
      <x:c r="AO706" s="93"/>
      <x:c r="AP706" s="94"/>
      <x:c r="AQ706" s="91"/>
      <x:c r="AR706" s="91"/>
      <x:c r="AS706" s="91"/>
      <x:c r="AT706" s="91"/>
      <x:c r="AU706" s="91"/>
      <x:c r="AV706" s="91"/>
      <x:c r="AW706" s="91"/>
      <x:c r="AX706" s="91"/>
      <x:c r="AY706" s="91"/>
      <x:c r="AZ706" s="92"/>
      <x:c r="BA706" s="94"/>
      <x:c r="BB706" s="91"/>
      <x:c r="BC706" s="92"/>
      <x:c r="BD706" s="92"/>
      <x:c r="BE706" s="91"/>
      <x:c r="BF706" s="91"/>
      <x:c r="BG706" s="91"/>
      <x:c r="BH706" s="91"/>
      <x:c r="BI706" s="91"/>
      <x:c r="BJ706" s="91"/>
      <x:c r="BK706" s="91"/>
      <x:c r="BL706" s="91"/>
      <x:c r="BM706" s="73" t="str">
        <x:f>IF(A706="","",IF(AI706="Example","Example only",IF(AI706&lt;&gt;"Actual","Set record type",IF(COUNTIF($A$2:$A$1001,A706)&gt;1,"Duplicate record ID",IF(OR(D706="",E706="",AF706="",NOT(ISNUMBER(AG706)),AJ706="",AK706="",NOT(ISNUMBER(AL706)),AND(AM706&lt;&gt;"Observed",AM706&lt;&gt;"Corroborated",AM706&lt;&gt;"Declared"),OR(AN706="",AN706="Unknown"),OR(AQ706="",AQ706="Unknown"),OR(AR706="",AR706="Unknown",AR706="TBD"),OR(BC706="",NOT(ISNUMBER(BC706)))),"Evidence incomplete","Evidence recorded; review scope")))))</x:f>
      </x:c>
      <x:c r="BN706" s="73"/>
    </x:row>
    <x:row r="707" ht="34" customHeight="1">
      <x:c r="A707" s="73"/>
      <x:c r="B707" s="73"/>
      <x:c r="C707" s="73"/>
      <x:c r="D707" s="73"/>
      <x:c r="E707" s="73"/>
      <x:c r="F707" s="73"/>
      <x:c r="G707" s="73"/>
      <x:c r="H707" s="73"/>
      <x:c r="I707" s="75"/>
      <x:c r="J707" s="73"/>
      <x:c r="K707" s="73"/>
      <x:c r="L707" s="76"/>
      <x:c r="M707" s="73"/>
      <x:c r="N707" s="73"/>
      <x:c r="O707" s="73"/>
      <x:c r="P707" s="73"/>
      <x:c r="Q707" s="76"/>
      <x:c r="R707" s="73"/>
      <x:c r="S707" s="73"/>
      <x:c r="T707" s="73"/>
      <x:c r="U707" s="73"/>
      <x:c r="V707" s="73"/>
      <x:c r="W707" s="73"/>
      <x:c r="X707" s="73"/>
      <x:c r="Y707" s="73"/>
      <x:c r="Z707" s="73"/>
      <x:c r="AA707" s="73"/>
      <x:c r="AB707" s="76" t="str">
        <x:f>IF(A707="","",IF(OR(NOT(ISNUMBER(I707)),I707&lt;0,NOT(ISNUMBER(AP707)),AP707&lt;0,NOT(ISNUMBER(L707)),L707&lt;1,L707&gt;5,L707&lt;&gt;INT(L707),AND(J707&lt;&gt;"Public",J707&lt;&gt;"Partner",J707&lt;&gt;"Internal",J707&lt;&gt;"None"),AND(K707&lt;&gt;"High",K707&lt;&gt;"Medium",K707&lt;&gt;"Low",K707&lt;&gt;"None"),AND(W707&lt;&gt;"Hard-coded",W707&lt;&gt;"Configurable",W707&lt;&gt;"Policy-managed",W707&lt;&gt;"API/Library abstraction",W707&lt;&gt;"Automated"),AND(Z707&lt;&gt;"Y",Z707&lt;&gt;"N"),AND(AA707&lt;&gt;"Y",AA707&lt;&gt;"N")),"Incomplete",IF(Z707="Y",20,0)+L707*5+IF(AA707="Y",15,0)+IF(J707="Public",10,IF(J707="Partner",7,IF(J707="Internal",3,0)))+IF(W707="Hard-coded",10,IF(W707="Configurable",3,0))+IF(MAX(I707,AP707)&gt;=10,10,IF(MAX(I707,AP707)&gt;=5,7,IF(MAX(I707,AP707)&gt;=2,3,0)))+IF(K707="High",10,IF(K707="Medium",5,0))))</x:f>
      </x:c>
      <x:c r="AC707" s="73" t="str">
        <x:f>IF(A707="","",IF(NOT(ISNUMBER(AB707)),"Review inputs",IF(AB707&gt;=70,"P0 - Immediate",IF(AB707&gt;=50,"P1 - High",IF(AB707&gt;=30,"P2 - Medium",IF(AB707&gt;=15,"P3 - Low","P4 - Monitor"))))))</x:f>
      </x:c>
      <x:c r="AD707" s="73"/>
      <x:c r="AE707" s="73"/>
      <x:c r="AF707" s="73"/>
      <x:c r="AG707" s="77"/>
      <x:c r="AH707" s="73"/>
      <x:c r="AI707" s="91"/>
      <x:c r="AJ707" s="91"/>
      <x:c r="AK707" s="91"/>
      <x:c r="AL707" s="92"/>
      <x:c r="AM707" s="91"/>
      <x:c r="AN707" s="91"/>
      <x:c r="AO707" s="93"/>
      <x:c r="AP707" s="94"/>
      <x:c r="AQ707" s="91"/>
      <x:c r="AR707" s="91"/>
      <x:c r="AS707" s="91"/>
      <x:c r="AT707" s="91"/>
      <x:c r="AU707" s="91"/>
      <x:c r="AV707" s="91"/>
      <x:c r="AW707" s="91"/>
      <x:c r="AX707" s="91"/>
      <x:c r="AY707" s="91"/>
      <x:c r="AZ707" s="92"/>
      <x:c r="BA707" s="94"/>
      <x:c r="BB707" s="91"/>
      <x:c r="BC707" s="92"/>
      <x:c r="BD707" s="92"/>
      <x:c r="BE707" s="91"/>
      <x:c r="BF707" s="91"/>
      <x:c r="BG707" s="91"/>
      <x:c r="BH707" s="91"/>
      <x:c r="BI707" s="91"/>
      <x:c r="BJ707" s="91"/>
      <x:c r="BK707" s="91"/>
      <x:c r="BL707" s="91"/>
      <x:c r="BM707" s="73" t="str">
        <x:f>IF(A707="","",IF(AI707="Example","Example only",IF(AI707&lt;&gt;"Actual","Set record type",IF(COUNTIF($A$2:$A$1001,A707)&gt;1,"Duplicate record ID",IF(OR(D707="",E707="",AF707="",NOT(ISNUMBER(AG707)),AJ707="",AK707="",NOT(ISNUMBER(AL707)),AND(AM707&lt;&gt;"Observed",AM707&lt;&gt;"Corroborated",AM707&lt;&gt;"Declared"),OR(AN707="",AN707="Unknown"),OR(AQ707="",AQ707="Unknown"),OR(AR707="",AR707="Unknown",AR707="TBD"),OR(BC707="",NOT(ISNUMBER(BC707)))),"Evidence incomplete","Evidence recorded; review scope")))))</x:f>
      </x:c>
      <x:c r="BN707" s="73"/>
    </x:row>
    <x:row r="708" ht="34" customHeight="1">
      <x:c r="A708" s="73"/>
      <x:c r="B708" s="73"/>
      <x:c r="C708" s="73"/>
      <x:c r="D708" s="73"/>
      <x:c r="E708" s="73"/>
      <x:c r="F708" s="73"/>
      <x:c r="G708" s="73"/>
      <x:c r="H708" s="73"/>
      <x:c r="I708" s="75"/>
      <x:c r="J708" s="73"/>
      <x:c r="K708" s="73"/>
      <x:c r="L708" s="76"/>
      <x:c r="M708" s="73"/>
      <x:c r="N708" s="73"/>
      <x:c r="O708" s="73"/>
      <x:c r="P708" s="73"/>
      <x:c r="Q708" s="76"/>
      <x:c r="R708" s="73"/>
      <x:c r="S708" s="73"/>
      <x:c r="T708" s="73"/>
      <x:c r="U708" s="73"/>
      <x:c r="V708" s="73"/>
      <x:c r="W708" s="73"/>
      <x:c r="X708" s="73"/>
      <x:c r="Y708" s="73"/>
      <x:c r="Z708" s="73"/>
      <x:c r="AA708" s="73"/>
      <x:c r="AB708" s="76" t="str">
        <x:f>IF(A708="","",IF(OR(NOT(ISNUMBER(I708)),I708&lt;0,NOT(ISNUMBER(AP708)),AP708&lt;0,NOT(ISNUMBER(L708)),L708&lt;1,L708&gt;5,L708&lt;&gt;INT(L708),AND(J708&lt;&gt;"Public",J708&lt;&gt;"Partner",J708&lt;&gt;"Internal",J708&lt;&gt;"None"),AND(K708&lt;&gt;"High",K708&lt;&gt;"Medium",K708&lt;&gt;"Low",K708&lt;&gt;"None"),AND(W708&lt;&gt;"Hard-coded",W708&lt;&gt;"Configurable",W708&lt;&gt;"Policy-managed",W708&lt;&gt;"API/Library abstraction",W708&lt;&gt;"Automated"),AND(Z708&lt;&gt;"Y",Z708&lt;&gt;"N"),AND(AA708&lt;&gt;"Y",AA708&lt;&gt;"N")),"Incomplete",IF(Z708="Y",20,0)+L708*5+IF(AA708="Y",15,0)+IF(J708="Public",10,IF(J708="Partner",7,IF(J708="Internal",3,0)))+IF(W708="Hard-coded",10,IF(W708="Configurable",3,0))+IF(MAX(I708,AP708)&gt;=10,10,IF(MAX(I708,AP708)&gt;=5,7,IF(MAX(I708,AP708)&gt;=2,3,0)))+IF(K708="High",10,IF(K708="Medium",5,0))))</x:f>
      </x:c>
      <x:c r="AC708" s="73" t="str">
        <x:f>IF(A708="","",IF(NOT(ISNUMBER(AB708)),"Review inputs",IF(AB708&gt;=70,"P0 - Immediate",IF(AB708&gt;=50,"P1 - High",IF(AB708&gt;=30,"P2 - Medium",IF(AB708&gt;=15,"P3 - Low","P4 - Monitor"))))))</x:f>
      </x:c>
      <x:c r="AD708" s="73"/>
      <x:c r="AE708" s="73"/>
      <x:c r="AF708" s="73"/>
      <x:c r="AG708" s="77"/>
      <x:c r="AH708" s="73"/>
      <x:c r="AI708" s="91"/>
      <x:c r="AJ708" s="91"/>
      <x:c r="AK708" s="91"/>
      <x:c r="AL708" s="92"/>
      <x:c r="AM708" s="91"/>
      <x:c r="AN708" s="91"/>
      <x:c r="AO708" s="93"/>
      <x:c r="AP708" s="94"/>
      <x:c r="AQ708" s="91"/>
      <x:c r="AR708" s="91"/>
      <x:c r="AS708" s="91"/>
      <x:c r="AT708" s="91"/>
      <x:c r="AU708" s="91"/>
      <x:c r="AV708" s="91"/>
      <x:c r="AW708" s="91"/>
      <x:c r="AX708" s="91"/>
      <x:c r="AY708" s="91"/>
      <x:c r="AZ708" s="92"/>
      <x:c r="BA708" s="94"/>
      <x:c r="BB708" s="91"/>
      <x:c r="BC708" s="92"/>
      <x:c r="BD708" s="92"/>
      <x:c r="BE708" s="91"/>
      <x:c r="BF708" s="91"/>
      <x:c r="BG708" s="91"/>
      <x:c r="BH708" s="91"/>
      <x:c r="BI708" s="91"/>
      <x:c r="BJ708" s="91"/>
      <x:c r="BK708" s="91"/>
      <x:c r="BL708" s="91"/>
      <x:c r="BM708" s="73" t="str">
        <x:f>IF(A708="","",IF(AI708="Example","Example only",IF(AI708&lt;&gt;"Actual","Set record type",IF(COUNTIF($A$2:$A$1001,A708)&gt;1,"Duplicate record ID",IF(OR(D708="",E708="",AF708="",NOT(ISNUMBER(AG708)),AJ708="",AK708="",NOT(ISNUMBER(AL708)),AND(AM708&lt;&gt;"Observed",AM708&lt;&gt;"Corroborated",AM708&lt;&gt;"Declared"),OR(AN708="",AN708="Unknown"),OR(AQ708="",AQ708="Unknown"),OR(AR708="",AR708="Unknown",AR708="TBD"),OR(BC708="",NOT(ISNUMBER(BC708)))),"Evidence incomplete","Evidence recorded; review scope")))))</x:f>
      </x:c>
      <x:c r="BN708" s="73"/>
    </x:row>
    <x:row r="709" ht="34" customHeight="1">
      <x:c r="A709" s="73"/>
      <x:c r="B709" s="73"/>
      <x:c r="C709" s="73"/>
      <x:c r="D709" s="73"/>
      <x:c r="E709" s="73"/>
      <x:c r="F709" s="73"/>
      <x:c r="G709" s="73"/>
      <x:c r="H709" s="73"/>
      <x:c r="I709" s="75"/>
      <x:c r="J709" s="73"/>
      <x:c r="K709" s="73"/>
      <x:c r="L709" s="76"/>
      <x:c r="M709" s="73"/>
      <x:c r="N709" s="73"/>
      <x:c r="O709" s="73"/>
      <x:c r="P709" s="73"/>
      <x:c r="Q709" s="76"/>
      <x:c r="R709" s="73"/>
      <x:c r="S709" s="73"/>
      <x:c r="T709" s="73"/>
      <x:c r="U709" s="73"/>
      <x:c r="V709" s="73"/>
      <x:c r="W709" s="73"/>
      <x:c r="X709" s="73"/>
      <x:c r="Y709" s="73"/>
      <x:c r="Z709" s="73"/>
      <x:c r="AA709" s="73"/>
      <x:c r="AB709" s="76" t="str">
        <x:f>IF(A709="","",IF(OR(NOT(ISNUMBER(I709)),I709&lt;0,NOT(ISNUMBER(AP709)),AP709&lt;0,NOT(ISNUMBER(L709)),L709&lt;1,L709&gt;5,L709&lt;&gt;INT(L709),AND(J709&lt;&gt;"Public",J709&lt;&gt;"Partner",J709&lt;&gt;"Internal",J709&lt;&gt;"None"),AND(K709&lt;&gt;"High",K709&lt;&gt;"Medium",K709&lt;&gt;"Low",K709&lt;&gt;"None"),AND(W709&lt;&gt;"Hard-coded",W709&lt;&gt;"Configurable",W709&lt;&gt;"Policy-managed",W709&lt;&gt;"API/Library abstraction",W709&lt;&gt;"Automated"),AND(Z709&lt;&gt;"Y",Z709&lt;&gt;"N"),AND(AA709&lt;&gt;"Y",AA709&lt;&gt;"N")),"Incomplete",IF(Z709="Y",20,0)+L709*5+IF(AA709="Y",15,0)+IF(J709="Public",10,IF(J709="Partner",7,IF(J709="Internal",3,0)))+IF(W709="Hard-coded",10,IF(W709="Configurable",3,0))+IF(MAX(I709,AP709)&gt;=10,10,IF(MAX(I709,AP709)&gt;=5,7,IF(MAX(I709,AP709)&gt;=2,3,0)))+IF(K709="High",10,IF(K709="Medium",5,0))))</x:f>
      </x:c>
      <x:c r="AC709" s="73" t="str">
        <x:f>IF(A709="","",IF(NOT(ISNUMBER(AB709)),"Review inputs",IF(AB709&gt;=70,"P0 - Immediate",IF(AB709&gt;=50,"P1 - High",IF(AB709&gt;=30,"P2 - Medium",IF(AB709&gt;=15,"P3 - Low","P4 - Monitor"))))))</x:f>
      </x:c>
      <x:c r="AD709" s="73"/>
      <x:c r="AE709" s="73"/>
      <x:c r="AF709" s="73"/>
      <x:c r="AG709" s="77"/>
      <x:c r="AH709" s="73"/>
      <x:c r="AI709" s="91"/>
      <x:c r="AJ709" s="91"/>
      <x:c r="AK709" s="91"/>
      <x:c r="AL709" s="92"/>
      <x:c r="AM709" s="91"/>
      <x:c r="AN709" s="91"/>
      <x:c r="AO709" s="93"/>
      <x:c r="AP709" s="94"/>
      <x:c r="AQ709" s="91"/>
      <x:c r="AR709" s="91"/>
      <x:c r="AS709" s="91"/>
      <x:c r="AT709" s="91"/>
      <x:c r="AU709" s="91"/>
      <x:c r="AV709" s="91"/>
      <x:c r="AW709" s="91"/>
      <x:c r="AX709" s="91"/>
      <x:c r="AY709" s="91"/>
      <x:c r="AZ709" s="92"/>
      <x:c r="BA709" s="94"/>
      <x:c r="BB709" s="91"/>
      <x:c r="BC709" s="92"/>
      <x:c r="BD709" s="92"/>
      <x:c r="BE709" s="91"/>
      <x:c r="BF709" s="91"/>
      <x:c r="BG709" s="91"/>
      <x:c r="BH709" s="91"/>
      <x:c r="BI709" s="91"/>
      <x:c r="BJ709" s="91"/>
      <x:c r="BK709" s="91"/>
      <x:c r="BL709" s="91"/>
      <x:c r="BM709" s="73" t="str">
        <x:f>IF(A709="","",IF(AI709="Example","Example only",IF(AI709&lt;&gt;"Actual","Set record type",IF(COUNTIF($A$2:$A$1001,A709)&gt;1,"Duplicate record ID",IF(OR(D709="",E709="",AF709="",NOT(ISNUMBER(AG709)),AJ709="",AK709="",NOT(ISNUMBER(AL709)),AND(AM709&lt;&gt;"Observed",AM709&lt;&gt;"Corroborated",AM709&lt;&gt;"Declared"),OR(AN709="",AN709="Unknown"),OR(AQ709="",AQ709="Unknown"),OR(AR709="",AR709="Unknown",AR709="TBD"),OR(BC709="",NOT(ISNUMBER(BC709)))),"Evidence incomplete","Evidence recorded; review scope")))))</x:f>
      </x:c>
      <x:c r="BN709" s="73"/>
    </x:row>
    <x:row r="710" ht="34" customHeight="1">
      <x:c r="A710" s="73"/>
      <x:c r="B710" s="73"/>
      <x:c r="C710" s="73"/>
      <x:c r="D710" s="73"/>
      <x:c r="E710" s="73"/>
      <x:c r="F710" s="73"/>
      <x:c r="G710" s="73"/>
      <x:c r="H710" s="73"/>
      <x:c r="I710" s="75"/>
      <x:c r="J710" s="73"/>
      <x:c r="K710" s="73"/>
      <x:c r="L710" s="76"/>
      <x:c r="M710" s="73"/>
      <x:c r="N710" s="73"/>
      <x:c r="O710" s="73"/>
      <x:c r="P710" s="73"/>
      <x:c r="Q710" s="76"/>
      <x:c r="R710" s="73"/>
      <x:c r="S710" s="73"/>
      <x:c r="T710" s="73"/>
      <x:c r="U710" s="73"/>
      <x:c r="V710" s="73"/>
      <x:c r="W710" s="73"/>
      <x:c r="X710" s="73"/>
      <x:c r="Y710" s="73"/>
      <x:c r="Z710" s="73"/>
      <x:c r="AA710" s="73"/>
      <x:c r="AB710" s="76" t="str">
        <x:f>IF(A710="","",IF(OR(NOT(ISNUMBER(I710)),I710&lt;0,NOT(ISNUMBER(AP710)),AP710&lt;0,NOT(ISNUMBER(L710)),L710&lt;1,L710&gt;5,L710&lt;&gt;INT(L710),AND(J710&lt;&gt;"Public",J710&lt;&gt;"Partner",J710&lt;&gt;"Internal",J710&lt;&gt;"None"),AND(K710&lt;&gt;"High",K710&lt;&gt;"Medium",K710&lt;&gt;"Low",K710&lt;&gt;"None"),AND(W710&lt;&gt;"Hard-coded",W710&lt;&gt;"Configurable",W710&lt;&gt;"Policy-managed",W710&lt;&gt;"API/Library abstraction",W710&lt;&gt;"Automated"),AND(Z710&lt;&gt;"Y",Z710&lt;&gt;"N"),AND(AA710&lt;&gt;"Y",AA710&lt;&gt;"N")),"Incomplete",IF(Z710="Y",20,0)+L710*5+IF(AA710="Y",15,0)+IF(J710="Public",10,IF(J710="Partner",7,IF(J710="Internal",3,0)))+IF(W710="Hard-coded",10,IF(W710="Configurable",3,0))+IF(MAX(I710,AP710)&gt;=10,10,IF(MAX(I710,AP710)&gt;=5,7,IF(MAX(I710,AP710)&gt;=2,3,0)))+IF(K710="High",10,IF(K710="Medium",5,0))))</x:f>
      </x:c>
      <x:c r="AC710" s="73" t="str">
        <x:f>IF(A710="","",IF(NOT(ISNUMBER(AB710)),"Review inputs",IF(AB710&gt;=70,"P0 - Immediate",IF(AB710&gt;=50,"P1 - High",IF(AB710&gt;=30,"P2 - Medium",IF(AB710&gt;=15,"P3 - Low","P4 - Monitor"))))))</x:f>
      </x:c>
      <x:c r="AD710" s="73"/>
      <x:c r="AE710" s="73"/>
      <x:c r="AF710" s="73"/>
      <x:c r="AG710" s="77"/>
      <x:c r="AH710" s="73"/>
      <x:c r="AI710" s="91"/>
      <x:c r="AJ710" s="91"/>
      <x:c r="AK710" s="91"/>
      <x:c r="AL710" s="92"/>
      <x:c r="AM710" s="91"/>
      <x:c r="AN710" s="91"/>
      <x:c r="AO710" s="93"/>
      <x:c r="AP710" s="94"/>
      <x:c r="AQ710" s="91"/>
      <x:c r="AR710" s="91"/>
      <x:c r="AS710" s="91"/>
      <x:c r="AT710" s="91"/>
      <x:c r="AU710" s="91"/>
      <x:c r="AV710" s="91"/>
      <x:c r="AW710" s="91"/>
      <x:c r="AX710" s="91"/>
      <x:c r="AY710" s="91"/>
      <x:c r="AZ710" s="92"/>
      <x:c r="BA710" s="94"/>
      <x:c r="BB710" s="91"/>
      <x:c r="BC710" s="92"/>
      <x:c r="BD710" s="92"/>
      <x:c r="BE710" s="91"/>
      <x:c r="BF710" s="91"/>
      <x:c r="BG710" s="91"/>
      <x:c r="BH710" s="91"/>
      <x:c r="BI710" s="91"/>
      <x:c r="BJ710" s="91"/>
      <x:c r="BK710" s="91"/>
      <x:c r="BL710" s="91"/>
      <x:c r="BM710" s="73" t="str">
        <x:f>IF(A710="","",IF(AI710="Example","Example only",IF(AI710&lt;&gt;"Actual","Set record type",IF(COUNTIF($A$2:$A$1001,A710)&gt;1,"Duplicate record ID",IF(OR(D710="",E710="",AF710="",NOT(ISNUMBER(AG710)),AJ710="",AK710="",NOT(ISNUMBER(AL710)),AND(AM710&lt;&gt;"Observed",AM710&lt;&gt;"Corroborated",AM710&lt;&gt;"Declared"),OR(AN710="",AN710="Unknown"),OR(AQ710="",AQ710="Unknown"),OR(AR710="",AR710="Unknown",AR710="TBD"),OR(BC710="",NOT(ISNUMBER(BC710)))),"Evidence incomplete","Evidence recorded; review scope")))))</x:f>
      </x:c>
      <x:c r="BN710" s="73"/>
    </x:row>
    <x:row r="711" ht="34" customHeight="1">
      <x:c r="A711" s="73"/>
      <x:c r="B711" s="73"/>
      <x:c r="C711" s="73"/>
      <x:c r="D711" s="73"/>
      <x:c r="E711" s="73"/>
      <x:c r="F711" s="73"/>
      <x:c r="G711" s="73"/>
      <x:c r="H711" s="73"/>
      <x:c r="I711" s="75"/>
      <x:c r="J711" s="73"/>
      <x:c r="K711" s="73"/>
      <x:c r="L711" s="76"/>
      <x:c r="M711" s="73"/>
      <x:c r="N711" s="73"/>
      <x:c r="O711" s="73"/>
      <x:c r="P711" s="73"/>
      <x:c r="Q711" s="76"/>
      <x:c r="R711" s="73"/>
      <x:c r="S711" s="73"/>
      <x:c r="T711" s="73"/>
      <x:c r="U711" s="73"/>
      <x:c r="V711" s="73"/>
      <x:c r="W711" s="73"/>
      <x:c r="X711" s="73"/>
      <x:c r="Y711" s="73"/>
      <x:c r="Z711" s="73"/>
      <x:c r="AA711" s="73"/>
      <x:c r="AB711" s="76" t="str">
        <x:f>IF(A711="","",IF(OR(NOT(ISNUMBER(I711)),I711&lt;0,NOT(ISNUMBER(AP711)),AP711&lt;0,NOT(ISNUMBER(L711)),L711&lt;1,L711&gt;5,L711&lt;&gt;INT(L711),AND(J711&lt;&gt;"Public",J711&lt;&gt;"Partner",J711&lt;&gt;"Internal",J711&lt;&gt;"None"),AND(K711&lt;&gt;"High",K711&lt;&gt;"Medium",K711&lt;&gt;"Low",K711&lt;&gt;"None"),AND(W711&lt;&gt;"Hard-coded",W711&lt;&gt;"Configurable",W711&lt;&gt;"Policy-managed",W711&lt;&gt;"API/Library abstraction",W711&lt;&gt;"Automated"),AND(Z711&lt;&gt;"Y",Z711&lt;&gt;"N"),AND(AA711&lt;&gt;"Y",AA711&lt;&gt;"N")),"Incomplete",IF(Z711="Y",20,0)+L711*5+IF(AA711="Y",15,0)+IF(J711="Public",10,IF(J711="Partner",7,IF(J711="Internal",3,0)))+IF(W711="Hard-coded",10,IF(W711="Configurable",3,0))+IF(MAX(I711,AP711)&gt;=10,10,IF(MAX(I711,AP711)&gt;=5,7,IF(MAX(I711,AP711)&gt;=2,3,0)))+IF(K711="High",10,IF(K711="Medium",5,0))))</x:f>
      </x:c>
      <x:c r="AC711" s="73" t="str">
        <x:f>IF(A711="","",IF(NOT(ISNUMBER(AB711)),"Review inputs",IF(AB711&gt;=70,"P0 - Immediate",IF(AB711&gt;=50,"P1 - High",IF(AB711&gt;=30,"P2 - Medium",IF(AB711&gt;=15,"P3 - Low","P4 - Monitor"))))))</x:f>
      </x:c>
      <x:c r="AD711" s="73"/>
      <x:c r="AE711" s="73"/>
      <x:c r="AF711" s="73"/>
      <x:c r="AG711" s="77"/>
      <x:c r="AH711" s="73"/>
      <x:c r="AI711" s="91"/>
      <x:c r="AJ711" s="91"/>
      <x:c r="AK711" s="91"/>
      <x:c r="AL711" s="92"/>
      <x:c r="AM711" s="91"/>
      <x:c r="AN711" s="91"/>
      <x:c r="AO711" s="93"/>
      <x:c r="AP711" s="94"/>
      <x:c r="AQ711" s="91"/>
      <x:c r="AR711" s="91"/>
      <x:c r="AS711" s="91"/>
      <x:c r="AT711" s="91"/>
      <x:c r="AU711" s="91"/>
      <x:c r="AV711" s="91"/>
      <x:c r="AW711" s="91"/>
      <x:c r="AX711" s="91"/>
      <x:c r="AY711" s="91"/>
      <x:c r="AZ711" s="92"/>
      <x:c r="BA711" s="94"/>
      <x:c r="BB711" s="91"/>
      <x:c r="BC711" s="92"/>
      <x:c r="BD711" s="92"/>
      <x:c r="BE711" s="91"/>
      <x:c r="BF711" s="91"/>
      <x:c r="BG711" s="91"/>
      <x:c r="BH711" s="91"/>
      <x:c r="BI711" s="91"/>
      <x:c r="BJ711" s="91"/>
      <x:c r="BK711" s="91"/>
      <x:c r="BL711" s="91"/>
      <x:c r="BM711" s="73" t="str">
        <x:f>IF(A711="","",IF(AI711="Example","Example only",IF(AI711&lt;&gt;"Actual","Set record type",IF(COUNTIF($A$2:$A$1001,A711)&gt;1,"Duplicate record ID",IF(OR(D711="",E711="",AF711="",NOT(ISNUMBER(AG711)),AJ711="",AK711="",NOT(ISNUMBER(AL711)),AND(AM711&lt;&gt;"Observed",AM711&lt;&gt;"Corroborated",AM711&lt;&gt;"Declared"),OR(AN711="",AN711="Unknown"),OR(AQ711="",AQ711="Unknown"),OR(AR711="",AR711="Unknown",AR711="TBD"),OR(BC711="",NOT(ISNUMBER(BC711)))),"Evidence incomplete","Evidence recorded; review scope")))))</x:f>
      </x:c>
      <x:c r="BN711" s="73"/>
    </x:row>
    <x:row r="712" ht="34" customHeight="1">
      <x:c r="A712" s="73"/>
      <x:c r="B712" s="73"/>
      <x:c r="C712" s="73"/>
      <x:c r="D712" s="73"/>
      <x:c r="E712" s="73"/>
      <x:c r="F712" s="73"/>
      <x:c r="G712" s="73"/>
      <x:c r="H712" s="73"/>
      <x:c r="I712" s="75"/>
      <x:c r="J712" s="73"/>
      <x:c r="K712" s="73"/>
      <x:c r="L712" s="76"/>
      <x:c r="M712" s="73"/>
      <x:c r="N712" s="73"/>
      <x:c r="O712" s="73"/>
      <x:c r="P712" s="73"/>
      <x:c r="Q712" s="76"/>
      <x:c r="R712" s="73"/>
      <x:c r="S712" s="73"/>
      <x:c r="T712" s="73"/>
      <x:c r="U712" s="73"/>
      <x:c r="V712" s="73"/>
      <x:c r="W712" s="73"/>
      <x:c r="X712" s="73"/>
      <x:c r="Y712" s="73"/>
      <x:c r="Z712" s="73"/>
      <x:c r="AA712" s="73"/>
      <x:c r="AB712" s="76" t="str">
        <x:f>IF(A712="","",IF(OR(NOT(ISNUMBER(I712)),I712&lt;0,NOT(ISNUMBER(AP712)),AP712&lt;0,NOT(ISNUMBER(L712)),L712&lt;1,L712&gt;5,L712&lt;&gt;INT(L712),AND(J712&lt;&gt;"Public",J712&lt;&gt;"Partner",J712&lt;&gt;"Internal",J712&lt;&gt;"None"),AND(K712&lt;&gt;"High",K712&lt;&gt;"Medium",K712&lt;&gt;"Low",K712&lt;&gt;"None"),AND(W712&lt;&gt;"Hard-coded",W712&lt;&gt;"Configurable",W712&lt;&gt;"Policy-managed",W712&lt;&gt;"API/Library abstraction",W712&lt;&gt;"Automated"),AND(Z712&lt;&gt;"Y",Z712&lt;&gt;"N"),AND(AA712&lt;&gt;"Y",AA712&lt;&gt;"N")),"Incomplete",IF(Z712="Y",20,0)+L712*5+IF(AA712="Y",15,0)+IF(J712="Public",10,IF(J712="Partner",7,IF(J712="Internal",3,0)))+IF(W712="Hard-coded",10,IF(W712="Configurable",3,0))+IF(MAX(I712,AP712)&gt;=10,10,IF(MAX(I712,AP712)&gt;=5,7,IF(MAX(I712,AP712)&gt;=2,3,0)))+IF(K712="High",10,IF(K712="Medium",5,0))))</x:f>
      </x:c>
      <x:c r="AC712" s="73" t="str">
        <x:f>IF(A712="","",IF(NOT(ISNUMBER(AB712)),"Review inputs",IF(AB712&gt;=70,"P0 - Immediate",IF(AB712&gt;=50,"P1 - High",IF(AB712&gt;=30,"P2 - Medium",IF(AB712&gt;=15,"P3 - Low","P4 - Monitor"))))))</x:f>
      </x:c>
      <x:c r="AD712" s="73"/>
      <x:c r="AE712" s="73"/>
      <x:c r="AF712" s="73"/>
      <x:c r="AG712" s="77"/>
      <x:c r="AH712" s="73"/>
      <x:c r="AI712" s="91"/>
      <x:c r="AJ712" s="91"/>
      <x:c r="AK712" s="91"/>
      <x:c r="AL712" s="92"/>
      <x:c r="AM712" s="91"/>
      <x:c r="AN712" s="91"/>
      <x:c r="AO712" s="93"/>
      <x:c r="AP712" s="94"/>
      <x:c r="AQ712" s="91"/>
      <x:c r="AR712" s="91"/>
      <x:c r="AS712" s="91"/>
      <x:c r="AT712" s="91"/>
      <x:c r="AU712" s="91"/>
      <x:c r="AV712" s="91"/>
      <x:c r="AW712" s="91"/>
      <x:c r="AX712" s="91"/>
      <x:c r="AY712" s="91"/>
      <x:c r="AZ712" s="92"/>
      <x:c r="BA712" s="94"/>
      <x:c r="BB712" s="91"/>
      <x:c r="BC712" s="92"/>
      <x:c r="BD712" s="92"/>
      <x:c r="BE712" s="91"/>
      <x:c r="BF712" s="91"/>
      <x:c r="BG712" s="91"/>
      <x:c r="BH712" s="91"/>
      <x:c r="BI712" s="91"/>
      <x:c r="BJ712" s="91"/>
      <x:c r="BK712" s="91"/>
      <x:c r="BL712" s="91"/>
      <x:c r="BM712" s="73" t="str">
        <x:f>IF(A712="","",IF(AI712="Example","Example only",IF(AI712&lt;&gt;"Actual","Set record type",IF(COUNTIF($A$2:$A$1001,A712)&gt;1,"Duplicate record ID",IF(OR(D712="",E712="",AF712="",NOT(ISNUMBER(AG712)),AJ712="",AK712="",NOT(ISNUMBER(AL712)),AND(AM712&lt;&gt;"Observed",AM712&lt;&gt;"Corroborated",AM712&lt;&gt;"Declared"),OR(AN712="",AN712="Unknown"),OR(AQ712="",AQ712="Unknown"),OR(AR712="",AR712="Unknown",AR712="TBD"),OR(BC712="",NOT(ISNUMBER(BC712)))),"Evidence incomplete","Evidence recorded; review scope")))))</x:f>
      </x:c>
      <x:c r="BN712" s="73"/>
    </x:row>
    <x:row r="713" ht="34" customHeight="1">
      <x:c r="A713" s="73"/>
      <x:c r="B713" s="73"/>
      <x:c r="C713" s="73"/>
      <x:c r="D713" s="73"/>
      <x:c r="E713" s="73"/>
      <x:c r="F713" s="73"/>
      <x:c r="G713" s="73"/>
      <x:c r="H713" s="73"/>
      <x:c r="I713" s="75"/>
      <x:c r="J713" s="73"/>
      <x:c r="K713" s="73"/>
      <x:c r="L713" s="76"/>
      <x:c r="M713" s="73"/>
      <x:c r="N713" s="73"/>
      <x:c r="O713" s="73"/>
      <x:c r="P713" s="73"/>
      <x:c r="Q713" s="76"/>
      <x:c r="R713" s="73"/>
      <x:c r="S713" s="73"/>
      <x:c r="T713" s="73"/>
      <x:c r="U713" s="73"/>
      <x:c r="V713" s="73"/>
      <x:c r="W713" s="73"/>
      <x:c r="X713" s="73"/>
      <x:c r="Y713" s="73"/>
      <x:c r="Z713" s="73"/>
      <x:c r="AA713" s="73"/>
      <x:c r="AB713" s="76" t="str">
        <x:f>IF(A713="","",IF(OR(NOT(ISNUMBER(I713)),I713&lt;0,NOT(ISNUMBER(AP713)),AP713&lt;0,NOT(ISNUMBER(L713)),L713&lt;1,L713&gt;5,L713&lt;&gt;INT(L713),AND(J713&lt;&gt;"Public",J713&lt;&gt;"Partner",J713&lt;&gt;"Internal",J713&lt;&gt;"None"),AND(K713&lt;&gt;"High",K713&lt;&gt;"Medium",K713&lt;&gt;"Low",K713&lt;&gt;"None"),AND(W713&lt;&gt;"Hard-coded",W713&lt;&gt;"Configurable",W713&lt;&gt;"Policy-managed",W713&lt;&gt;"API/Library abstraction",W713&lt;&gt;"Automated"),AND(Z713&lt;&gt;"Y",Z713&lt;&gt;"N"),AND(AA713&lt;&gt;"Y",AA713&lt;&gt;"N")),"Incomplete",IF(Z713="Y",20,0)+L713*5+IF(AA713="Y",15,0)+IF(J713="Public",10,IF(J713="Partner",7,IF(J713="Internal",3,0)))+IF(W713="Hard-coded",10,IF(W713="Configurable",3,0))+IF(MAX(I713,AP713)&gt;=10,10,IF(MAX(I713,AP713)&gt;=5,7,IF(MAX(I713,AP713)&gt;=2,3,0)))+IF(K713="High",10,IF(K713="Medium",5,0))))</x:f>
      </x:c>
      <x:c r="AC713" s="73" t="str">
        <x:f>IF(A713="","",IF(NOT(ISNUMBER(AB713)),"Review inputs",IF(AB713&gt;=70,"P0 - Immediate",IF(AB713&gt;=50,"P1 - High",IF(AB713&gt;=30,"P2 - Medium",IF(AB713&gt;=15,"P3 - Low","P4 - Monitor"))))))</x:f>
      </x:c>
      <x:c r="AD713" s="73"/>
      <x:c r="AE713" s="73"/>
      <x:c r="AF713" s="73"/>
      <x:c r="AG713" s="77"/>
      <x:c r="AH713" s="73"/>
      <x:c r="AI713" s="91"/>
      <x:c r="AJ713" s="91"/>
      <x:c r="AK713" s="91"/>
      <x:c r="AL713" s="92"/>
      <x:c r="AM713" s="91"/>
      <x:c r="AN713" s="91"/>
      <x:c r="AO713" s="93"/>
      <x:c r="AP713" s="94"/>
      <x:c r="AQ713" s="91"/>
      <x:c r="AR713" s="91"/>
      <x:c r="AS713" s="91"/>
      <x:c r="AT713" s="91"/>
      <x:c r="AU713" s="91"/>
      <x:c r="AV713" s="91"/>
      <x:c r="AW713" s="91"/>
      <x:c r="AX713" s="91"/>
      <x:c r="AY713" s="91"/>
      <x:c r="AZ713" s="92"/>
      <x:c r="BA713" s="94"/>
      <x:c r="BB713" s="91"/>
      <x:c r="BC713" s="92"/>
      <x:c r="BD713" s="92"/>
      <x:c r="BE713" s="91"/>
      <x:c r="BF713" s="91"/>
      <x:c r="BG713" s="91"/>
      <x:c r="BH713" s="91"/>
      <x:c r="BI713" s="91"/>
      <x:c r="BJ713" s="91"/>
      <x:c r="BK713" s="91"/>
      <x:c r="BL713" s="91"/>
      <x:c r="BM713" s="73" t="str">
        <x:f>IF(A713="","",IF(AI713="Example","Example only",IF(AI713&lt;&gt;"Actual","Set record type",IF(COUNTIF($A$2:$A$1001,A713)&gt;1,"Duplicate record ID",IF(OR(D713="",E713="",AF713="",NOT(ISNUMBER(AG713)),AJ713="",AK713="",NOT(ISNUMBER(AL713)),AND(AM713&lt;&gt;"Observed",AM713&lt;&gt;"Corroborated",AM713&lt;&gt;"Declared"),OR(AN713="",AN713="Unknown"),OR(AQ713="",AQ713="Unknown"),OR(AR713="",AR713="Unknown",AR713="TBD"),OR(BC713="",NOT(ISNUMBER(BC713)))),"Evidence incomplete","Evidence recorded; review scope")))))</x:f>
      </x:c>
      <x:c r="BN713" s="73"/>
    </x:row>
    <x:row r="714" ht="34" customHeight="1">
      <x:c r="A714" s="73"/>
      <x:c r="B714" s="73"/>
      <x:c r="C714" s="73"/>
      <x:c r="D714" s="73"/>
      <x:c r="E714" s="73"/>
      <x:c r="F714" s="73"/>
      <x:c r="G714" s="73"/>
      <x:c r="H714" s="73"/>
      <x:c r="I714" s="75"/>
      <x:c r="J714" s="73"/>
      <x:c r="K714" s="73"/>
      <x:c r="L714" s="76"/>
      <x:c r="M714" s="73"/>
      <x:c r="N714" s="73"/>
      <x:c r="O714" s="73"/>
      <x:c r="P714" s="73"/>
      <x:c r="Q714" s="76"/>
      <x:c r="R714" s="73"/>
      <x:c r="S714" s="73"/>
      <x:c r="T714" s="73"/>
      <x:c r="U714" s="73"/>
      <x:c r="V714" s="73"/>
      <x:c r="W714" s="73"/>
      <x:c r="X714" s="73"/>
      <x:c r="Y714" s="73"/>
      <x:c r="Z714" s="73"/>
      <x:c r="AA714" s="73"/>
      <x:c r="AB714" s="76" t="str">
        <x:f>IF(A714="","",IF(OR(NOT(ISNUMBER(I714)),I714&lt;0,NOT(ISNUMBER(AP714)),AP714&lt;0,NOT(ISNUMBER(L714)),L714&lt;1,L714&gt;5,L714&lt;&gt;INT(L714),AND(J714&lt;&gt;"Public",J714&lt;&gt;"Partner",J714&lt;&gt;"Internal",J714&lt;&gt;"None"),AND(K714&lt;&gt;"High",K714&lt;&gt;"Medium",K714&lt;&gt;"Low",K714&lt;&gt;"None"),AND(W714&lt;&gt;"Hard-coded",W714&lt;&gt;"Configurable",W714&lt;&gt;"Policy-managed",W714&lt;&gt;"API/Library abstraction",W714&lt;&gt;"Automated"),AND(Z714&lt;&gt;"Y",Z714&lt;&gt;"N"),AND(AA714&lt;&gt;"Y",AA714&lt;&gt;"N")),"Incomplete",IF(Z714="Y",20,0)+L714*5+IF(AA714="Y",15,0)+IF(J714="Public",10,IF(J714="Partner",7,IF(J714="Internal",3,0)))+IF(W714="Hard-coded",10,IF(W714="Configurable",3,0))+IF(MAX(I714,AP714)&gt;=10,10,IF(MAX(I714,AP714)&gt;=5,7,IF(MAX(I714,AP714)&gt;=2,3,0)))+IF(K714="High",10,IF(K714="Medium",5,0))))</x:f>
      </x:c>
      <x:c r="AC714" s="73" t="str">
        <x:f>IF(A714="","",IF(NOT(ISNUMBER(AB714)),"Review inputs",IF(AB714&gt;=70,"P0 - Immediate",IF(AB714&gt;=50,"P1 - High",IF(AB714&gt;=30,"P2 - Medium",IF(AB714&gt;=15,"P3 - Low","P4 - Monitor"))))))</x:f>
      </x:c>
      <x:c r="AD714" s="73"/>
      <x:c r="AE714" s="73"/>
      <x:c r="AF714" s="73"/>
      <x:c r="AG714" s="77"/>
      <x:c r="AH714" s="73"/>
      <x:c r="AI714" s="91"/>
      <x:c r="AJ714" s="91"/>
      <x:c r="AK714" s="91"/>
      <x:c r="AL714" s="92"/>
      <x:c r="AM714" s="91"/>
      <x:c r="AN714" s="91"/>
      <x:c r="AO714" s="93"/>
      <x:c r="AP714" s="94"/>
      <x:c r="AQ714" s="91"/>
      <x:c r="AR714" s="91"/>
      <x:c r="AS714" s="91"/>
      <x:c r="AT714" s="91"/>
      <x:c r="AU714" s="91"/>
      <x:c r="AV714" s="91"/>
      <x:c r="AW714" s="91"/>
      <x:c r="AX714" s="91"/>
      <x:c r="AY714" s="91"/>
      <x:c r="AZ714" s="92"/>
      <x:c r="BA714" s="94"/>
      <x:c r="BB714" s="91"/>
      <x:c r="BC714" s="92"/>
      <x:c r="BD714" s="92"/>
      <x:c r="BE714" s="91"/>
      <x:c r="BF714" s="91"/>
      <x:c r="BG714" s="91"/>
      <x:c r="BH714" s="91"/>
      <x:c r="BI714" s="91"/>
      <x:c r="BJ714" s="91"/>
      <x:c r="BK714" s="91"/>
      <x:c r="BL714" s="91"/>
      <x:c r="BM714" s="73" t="str">
        <x:f>IF(A714="","",IF(AI714="Example","Example only",IF(AI714&lt;&gt;"Actual","Set record type",IF(COUNTIF($A$2:$A$1001,A714)&gt;1,"Duplicate record ID",IF(OR(D714="",E714="",AF714="",NOT(ISNUMBER(AG714)),AJ714="",AK714="",NOT(ISNUMBER(AL714)),AND(AM714&lt;&gt;"Observed",AM714&lt;&gt;"Corroborated",AM714&lt;&gt;"Declared"),OR(AN714="",AN714="Unknown"),OR(AQ714="",AQ714="Unknown"),OR(AR714="",AR714="Unknown",AR714="TBD"),OR(BC714="",NOT(ISNUMBER(BC714)))),"Evidence incomplete","Evidence recorded; review scope")))))</x:f>
      </x:c>
      <x:c r="BN714" s="73"/>
    </x:row>
    <x:row r="715" ht="34" customHeight="1">
      <x:c r="A715" s="73"/>
      <x:c r="B715" s="73"/>
      <x:c r="C715" s="73"/>
      <x:c r="D715" s="73"/>
      <x:c r="E715" s="73"/>
      <x:c r="F715" s="73"/>
      <x:c r="G715" s="73"/>
      <x:c r="H715" s="73"/>
      <x:c r="I715" s="75"/>
      <x:c r="J715" s="73"/>
      <x:c r="K715" s="73"/>
      <x:c r="L715" s="76"/>
      <x:c r="M715" s="73"/>
      <x:c r="N715" s="73"/>
      <x:c r="O715" s="73"/>
      <x:c r="P715" s="73"/>
      <x:c r="Q715" s="76"/>
      <x:c r="R715" s="73"/>
      <x:c r="S715" s="73"/>
      <x:c r="T715" s="73"/>
      <x:c r="U715" s="73"/>
      <x:c r="V715" s="73"/>
      <x:c r="W715" s="73"/>
      <x:c r="X715" s="73"/>
      <x:c r="Y715" s="73"/>
      <x:c r="Z715" s="73"/>
      <x:c r="AA715" s="73"/>
      <x:c r="AB715" s="76" t="str">
        <x:f>IF(A715="","",IF(OR(NOT(ISNUMBER(I715)),I715&lt;0,NOT(ISNUMBER(AP715)),AP715&lt;0,NOT(ISNUMBER(L715)),L715&lt;1,L715&gt;5,L715&lt;&gt;INT(L715),AND(J715&lt;&gt;"Public",J715&lt;&gt;"Partner",J715&lt;&gt;"Internal",J715&lt;&gt;"None"),AND(K715&lt;&gt;"High",K715&lt;&gt;"Medium",K715&lt;&gt;"Low",K715&lt;&gt;"None"),AND(W715&lt;&gt;"Hard-coded",W715&lt;&gt;"Configurable",W715&lt;&gt;"Policy-managed",W715&lt;&gt;"API/Library abstraction",W715&lt;&gt;"Automated"),AND(Z715&lt;&gt;"Y",Z715&lt;&gt;"N"),AND(AA715&lt;&gt;"Y",AA715&lt;&gt;"N")),"Incomplete",IF(Z715="Y",20,0)+L715*5+IF(AA715="Y",15,0)+IF(J715="Public",10,IF(J715="Partner",7,IF(J715="Internal",3,0)))+IF(W715="Hard-coded",10,IF(W715="Configurable",3,0))+IF(MAX(I715,AP715)&gt;=10,10,IF(MAX(I715,AP715)&gt;=5,7,IF(MAX(I715,AP715)&gt;=2,3,0)))+IF(K715="High",10,IF(K715="Medium",5,0))))</x:f>
      </x:c>
      <x:c r="AC715" s="73" t="str">
        <x:f>IF(A715="","",IF(NOT(ISNUMBER(AB715)),"Review inputs",IF(AB715&gt;=70,"P0 - Immediate",IF(AB715&gt;=50,"P1 - High",IF(AB715&gt;=30,"P2 - Medium",IF(AB715&gt;=15,"P3 - Low","P4 - Monitor"))))))</x:f>
      </x:c>
      <x:c r="AD715" s="73"/>
      <x:c r="AE715" s="73"/>
      <x:c r="AF715" s="73"/>
      <x:c r="AG715" s="77"/>
      <x:c r="AH715" s="73"/>
      <x:c r="AI715" s="91"/>
      <x:c r="AJ715" s="91"/>
      <x:c r="AK715" s="91"/>
      <x:c r="AL715" s="92"/>
      <x:c r="AM715" s="91"/>
      <x:c r="AN715" s="91"/>
      <x:c r="AO715" s="93"/>
      <x:c r="AP715" s="94"/>
      <x:c r="AQ715" s="91"/>
      <x:c r="AR715" s="91"/>
      <x:c r="AS715" s="91"/>
      <x:c r="AT715" s="91"/>
      <x:c r="AU715" s="91"/>
      <x:c r="AV715" s="91"/>
      <x:c r="AW715" s="91"/>
      <x:c r="AX715" s="91"/>
      <x:c r="AY715" s="91"/>
      <x:c r="AZ715" s="92"/>
      <x:c r="BA715" s="94"/>
      <x:c r="BB715" s="91"/>
      <x:c r="BC715" s="92"/>
      <x:c r="BD715" s="92"/>
      <x:c r="BE715" s="91"/>
      <x:c r="BF715" s="91"/>
      <x:c r="BG715" s="91"/>
      <x:c r="BH715" s="91"/>
      <x:c r="BI715" s="91"/>
      <x:c r="BJ715" s="91"/>
      <x:c r="BK715" s="91"/>
      <x:c r="BL715" s="91"/>
      <x:c r="BM715" s="73" t="str">
        <x:f>IF(A715="","",IF(AI715="Example","Example only",IF(AI715&lt;&gt;"Actual","Set record type",IF(COUNTIF($A$2:$A$1001,A715)&gt;1,"Duplicate record ID",IF(OR(D715="",E715="",AF715="",NOT(ISNUMBER(AG715)),AJ715="",AK715="",NOT(ISNUMBER(AL715)),AND(AM715&lt;&gt;"Observed",AM715&lt;&gt;"Corroborated",AM715&lt;&gt;"Declared"),OR(AN715="",AN715="Unknown"),OR(AQ715="",AQ715="Unknown"),OR(AR715="",AR715="Unknown",AR715="TBD"),OR(BC715="",NOT(ISNUMBER(BC715)))),"Evidence incomplete","Evidence recorded; review scope")))))</x:f>
      </x:c>
      <x:c r="BN715" s="73"/>
    </x:row>
    <x:row r="716" ht="34" customHeight="1">
      <x:c r="A716" s="73"/>
      <x:c r="B716" s="73"/>
      <x:c r="C716" s="73"/>
      <x:c r="D716" s="73"/>
      <x:c r="E716" s="73"/>
      <x:c r="F716" s="73"/>
      <x:c r="G716" s="73"/>
      <x:c r="H716" s="73"/>
      <x:c r="I716" s="75"/>
      <x:c r="J716" s="73"/>
      <x:c r="K716" s="73"/>
      <x:c r="L716" s="76"/>
      <x:c r="M716" s="73"/>
      <x:c r="N716" s="73"/>
      <x:c r="O716" s="73"/>
      <x:c r="P716" s="73"/>
      <x:c r="Q716" s="76"/>
      <x:c r="R716" s="73"/>
      <x:c r="S716" s="73"/>
      <x:c r="T716" s="73"/>
      <x:c r="U716" s="73"/>
      <x:c r="V716" s="73"/>
      <x:c r="W716" s="73"/>
      <x:c r="X716" s="73"/>
      <x:c r="Y716" s="73"/>
      <x:c r="Z716" s="73"/>
      <x:c r="AA716" s="73"/>
      <x:c r="AB716" s="76" t="str">
        <x:f>IF(A716="","",IF(OR(NOT(ISNUMBER(I716)),I716&lt;0,NOT(ISNUMBER(AP716)),AP716&lt;0,NOT(ISNUMBER(L716)),L716&lt;1,L716&gt;5,L716&lt;&gt;INT(L716),AND(J716&lt;&gt;"Public",J716&lt;&gt;"Partner",J716&lt;&gt;"Internal",J716&lt;&gt;"None"),AND(K716&lt;&gt;"High",K716&lt;&gt;"Medium",K716&lt;&gt;"Low",K716&lt;&gt;"None"),AND(W716&lt;&gt;"Hard-coded",W716&lt;&gt;"Configurable",W716&lt;&gt;"Policy-managed",W716&lt;&gt;"API/Library abstraction",W716&lt;&gt;"Automated"),AND(Z716&lt;&gt;"Y",Z716&lt;&gt;"N"),AND(AA716&lt;&gt;"Y",AA716&lt;&gt;"N")),"Incomplete",IF(Z716="Y",20,0)+L716*5+IF(AA716="Y",15,0)+IF(J716="Public",10,IF(J716="Partner",7,IF(J716="Internal",3,0)))+IF(W716="Hard-coded",10,IF(W716="Configurable",3,0))+IF(MAX(I716,AP716)&gt;=10,10,IF(MAX(I716,AP716)&gt;=5,7,IF(MAX(I716,AP716)&gt;=2,3,0)))+IF(K716="High",10,IF(K716="Medium",5,0))))</x:f>
      </x:c>
      <x:c r="AC716" s="73" t="str">
        <x:f>IF(A716="","",IF(NOT(ISNUMBER(AB716)),"Review inputs",IF(AB716&gt;=70,"P0 - Immediate",IF(AB716&gt;=50,"P1 - High",IF(AB716&gt;=30,"P2 - Medium",IF(AB716&gt;=15,"P3 - Low","P4 - Monitor"))))))</x:f>
      </x:c>
      <x:c r="AD716" s="73"/>
      <x:c r="AE716" s="73"/>
      <x:c r="AF716" s="73"/>
      <x:c r="AG716" s="77"/>
      <x:c r="AH716" s="73"/>
      <x:c r="AI716" s="91"/>
      <x:c r="AJ716" s="91"/>
      <x:c r="AK716" s="91"/>
      <x:c r="AL716" s="92"/>
      <x:c r="AM716" s="91"/>
      <x:c r="AN716" s="91"/>
      <x:c r="AO716" s="93"/>
      <x:c r="AP716" s="94"/>
      <x:c r="AQ716" s="91"/>
      <x:c r="AR716" s="91"/>
      <x:c r="AS716" s="91"/>
      <x:c r="AT716" s="91"/>
      <x:c r="AU716" s="91"/>
      <x:c r="AV716" s="91"/>
      <x:c r="AW716" s="91"/>
      <x:c r="AX716" s="91"/>
      <x:c r="AY716" s="91"/>
      <x:c r="AZ716" s="92"/>
      <x:c r="BA716" s="94"/>
      <x:c r="BB716" s="91"/>
      <x:c r="BC716" s="92"/>
      <x:c r="BD716" s="92"/>
      <x:c r="BE716" s="91"/>
      <x:c r="BF716" s="91"/>
      <x:c r="BG716" s="91"/>
      <x:c r="BH716" s="91"/>
      <x:c r="BI716" s="91"/>
      <x:c r="BJ716" s="91"/>
      <x:c r="BK716" s="91"/>
      <x:c r="BL716" s="91"/>
      <x:c r="BM716" s="73" t="str">
        <x:f>IF(A716="","",IF(AI716="Example","Example only",IF(AI716&lt;&gt;"Actual","Set record type",IF(COUNTIF($A$2:$A$1001,A716)&gt;1,"Duplicate record ID",IF(OR(D716="",E716="",AF716="",NOT(ISNUMBER(AG716)),AJ716="",AK716="",NOT(ISNUMBER(AL716)),AND(AM716&lt;&gt;"Observed",AM716&lt;&gt;"Corroborated",AM716&lt;&gt;"Declared"),OR(AN716="",AN716="Unknown"),OR(AQ716="",AQ716="Unknown"),OR(AR716="",AR716="Unknown",AR716="TBD"),OR(BC716="",NOT(ISNUMBER(BC716)))),"Evidence incomplete","Evidence recorded; review scope")))))</x:f>
      </x:c>
      <x:c r="BN716" s="73"/>
    </x:row>
    <x:row r="717" ht="34" customHeight="1">
      <x:c r="A717" s="73"/>
      <x:c r="B717" s="73"/>
      <x:c r="C717" s="73"/>
      <x:c r="D717" s="73"/>
      <x:c r="E717" s="73"/>
      <x:c r="F717" s="73"/>
      <x:c r="G717" s="73"/>
      <x:c r="H717" s="73"/>
      <x:c r="I717" s="75"/>
      <x:c r="J717" s="73"/>
      <x:c r="K717" s="73"/>
      <x:c r="L717" s="76"/>
      <x:c r="M717" s="73"/>
      <x:c r="N717" s="73"/>
      <x:c r="O717" s="73"/>
      <x:c r="P717" s="73"/>
      <x:c r="Q717" s="76"/>
      <x:c r="R717" s="73"/>
      <x:c r="S717" s="73"/>
      <x:c r="T717" s="73"/>
      <x:c r="U717" s="73"/>
      <x:c r="V717" s="73"/>
      <x:c r="W717" s="73"/>
      <x:c r="X717" s="73"/>
      <x:c r="Y717" s="73"/>
      <x:c r="Z717" s="73"/>
      <x:c r="AA717" s="73"/>
      <x:c r="AB717" s="76" t="str">
        <x:f>IF(A717="","",IF(OR(NOT(ISNUMBER(I717)),I717&lt;0,NOT(ISNUMBER(AP717)),AP717&lt;0,NOT(ISNUMBER(L717)),L717&lt;1,L717&gt;5,L717&lt;&gt;INT(L717),AND(J717&lt;&gt;"Public",J717&lt;&gt;"Partner",J717&lt;&gt;"Internal",J717&lt;&gt;"None"),AND(K717&lt;&gt;"High",K717&lt;&gt;"Medium",K717&lt;&gt;"Low",K717&lt;&gt;"None"),AND(W717&lt;&gt;"Hard-coded",W717&lt;&gt;"Configurable",W717&lt;&gt;"Policy-managed",W717&lt;&gt;"API/Library abstraction",W717&lt;&gt;"Automated"),AND(Z717&lt;&gt;"Y",Z717&lt;&gt;"N"),AND(AA717&lt;&gt;"Y",AA717&lt;&gt;"N")),"Incomplete",IF(Z717="Y",20,0)+L717*5+IF(AA717="Y",15,0)+IF(J717="Public",10,IF(J717="Partner",7,IF(J717="Internal",3,0)))+IF(W717="Hard-coded",10,IF(W717="Configurable",3,0))+IF(MAX(I717,AP717)&gt;=10,10,IF(MAX(I717,AP717)&gt;=5,7,IF(MAX(I717,AP717)&gt;=2,3,0)))+IF(K717="High",10,IF(K717="Medium",5,0))))</x:f>
      </x:c>
      <x:c r="AC717" s="73" t="str">
        <x:f>IF(A717="","",IF(NOT(ISNUMBER(AB717)),"Review inputs",IF(AB717&gt;=70,"P0 - Immediate",IF(AB717&gt;=50,"P1 - High",IF(AB717&gt;=30,"P2 - Medium",IF(AB717&gt;=15,"P3 - Low","P4 - Monitor"))))))</x:f>
      </x:c>
      <x:c r="AD717" s="73"/>
      <x:c r="AE717" s="73"/>
      <x:c r="AF717" s="73"/>
      <x:c r="AG717" s="77"/>
      <x:c r="AH717" s="73"/>
      <x:c r="AI717" s="91"/>
      <x:c r="AJ717" s="91"/>
      <x:c r="AK717" s="91"/>
      <x:c r="AL717" s="92"/>
      <x:c r="AM717" s="91"/>
      <x:c r="AN717" s="91"/>
      <x:c r="AO717" s="93"/>
      <x:c r="AP717" s="94"/>
      <x:c r="AQ717" s="91"/>
      <x:c r="AR717" s="91"/>
      <x:c r="AS717" s="91"/>
      <x:c r="AT717" s="91"/>
      <x:c r="AU717" s="91"/>
      <x:c r="AV717" s="91"/>
      <x:c r="AW717" s="91"/>
      <x:c r="AX717" s="91"/>
      <x:c r="AY717" s="91"/>
      <x:c r="AZ717" s="92"/>
      <x:c r="BA717" s="94"/>
      <x:c r="BB717" s="91"/>
      <x:c r="BC717" s="92"/>
      <x:c r="BD717" s="92"/>
      <x:c r="BE717" s="91"/>
      <x:c r="BF717" s="91"/>
      <x:c r="BG717" s="91"/>
      <x:c r="BH717" s="91"/>
      <x:c r="BI717" s="91"/>
      <x:c r="BJ717" s="91"/>
      <x:c r="BK717" s="91"/>
      <x:c r="BL717" s="91"/>
      <x:c r="BM717" s="73" t="str">
        <x:f>IF(A717="","",IF(AI717="Example","Example only",IF(AI717&lt;&gt;"Actual","Set record type",IF(COUNTIF($A$2:$A$1001,A717)&gt;1,"Duplicate record ID",IF(OR(D717="",E717="",AF717="",NOT(ISNUMBER(AG717)),AJ717="",AK717="",NOT(ISNUMBER(AL717)),AND(AM717&lt;&gt;"Observed",AM717&lt;&gt;"Corroborated",AM717&lt;&gt;"Declared"),OR(AN717="",AN717="Unknown"),OR(AQ717="",AQ717="Unknown"),OR(AR717="",AR717="Unknown",AR717="TBD"),OR(BC717="",NOT(ISNUMBER(BC717)))),"Evidence incomplete","Evidence recorded; review scope")))))</x:f>
      </x:c>
      <x:c r="BN717" s="73"/>
    </x:row>
    <x:row r="718" ht="34" customHeight="1">
      <x:c r="A718" s="73"/>
      <x:c r="B718" s="73"/>
      <x:c r="C718" s="73"/>
      <x:c r="D718" s="73"/>
      <x:c r="E718" s="73"/>
      <x:c r="F718" s="73"/>
      <x:c r="G718" s="73"/>
      <x:c r="H718" s="73"/>
      <x:c r="I718" s="75"/>
      <x:c r="J718" s="73"/>
      <x:c r="K718" s="73"/>
      <x:c r="L718" s="76"/>
      <x:c r="M718" s="73"/>
      <x:c r="N718" s="73"/>
      <x:c r="O718" s="73"/>
      <x:c r="P718" s="73"/>
      <x:c r="Q718" s="76"/>
      <x:c r="R718" s="73"/>
      <x:c r="S718" s="73"/>
      <x:c r="T718" s="73"/>
      <x:c r="U718" s="73"/>
      <x:c r="V718" s="73"/>
      <x:c r="W718" s="73"/>
      <x:c r="X718" s="73"/>
      <x:c r="Y718" s="73"/>
      <x:c r="Z718" s="73"/>
      <x:c r="AA718" s="73"/>
      <x:c r="AB718" s="76" t="str">
        <x:f>IF(A718="","",IF(OR(NOT(ISNUMBER(I718)),I718&lt;0,NOT(ISNUMBER(AP718)),AP718&lt;0,NOT(ISNUMBER(L718)),L718&lt;1,L718&gt;5,L718&lt;&gt;INT(L718),AND(J718&lt;&gt;"Public",J718&lt;&gt;"Partner",J718&lt;&gt;"Internal",J718&lt;&gt;"None"),AND(K718&lt;&gt;"High",K718&lt;&gt;"Medium",K718&lt;&gt;"Low",K718&lt;&gt;"None"),AND(W718&lt;&gt;"Hard-coded",W718&lt;&gt;"Configurable",W718&lt;&gt;"Policy-managed",W718&lt;&gt;"API/Library abstraction",W718&lt;&gt;"Automated"),AND(Z718&lt;&gt;"Y",Z718&lt;&gt;"N"),AND(AA718&lt;&gt;"Y",AA718&lt;&gt;"N")),"Incomplete",IF(Z718="Y",20,0)+L718*5+IF(AA718="Y",15,0)+IF(J718="Public",10,IF(J718="Partner",7,IF(J718="Internal",3,0)))+IF(W718="Hard-coded",10,IF(W718="Configurable",3,0))+IF(MAX(I718,AP718)&gt;=10,10,IF(MAX(I718,AP718)&gt;=5,7,IF(MAX(I718,AP718)&gt;=2,3,0)))+IF(K718="High",10,IF(K718="Medium",5,0))))</x:f>
      </x:c>
      <x:c r="AC718" s="73" t="str">
        <x:f>IF(A718="","",IF(NOT(ISNUMBER(AB718)),"Review inputs",IF(AB718&gt;=70,"P0 - Immediate",IF(AB718&gt;=50,"P1 - High",IF(AB718&gt;=30,"P2 - Medium",IF(AB718&gt;=15,"P3 - Low","P4 - Monitor"))))))</x:f>
      </x:c>
      <x:c r="AD718" s="73"/>
      <x:c r="AE718" s="73"/>
      <x:c r="AF718" s="73"/>
      <x:c r="AG718" s="77"/>
      <x:c r="AH718" s="73"/>
      <x:c r="AI718" s="91"/>
      <x:c r="AJ718" s="91"/>
      <x:c r="AK718" s="91"/>
      <x:c r="AL718" s="92"/>
      <x:c r="AM718" s="91"/>
      <x:c r="AN718" s="91"/>
      <x:c r="AO718" s="93"/>
      <x:c r="AP718" s="94"/>
      <x:c r="AQ718" s="91"/>
      <x:c r="AR718" s="91"/>
      <x:c r="AS718" s="91"/>
      <x:c r="AT718" s="91"/>
      <x:c r="AU718" s="91"/>
      <x:c r="AV718" s="91"/>
      <x:c r="AW718" s="91"/>
      <x:c r="AX718" s="91"/>
      <x:c r="AY718" s="91"/>
      <x:c r="AZ718" s="92"/>
      <x:c r="BA718" s="94"/>
      <x:c r="BB718" s="91"/>
      <x:c r="BC718" s="92"/>
      <x:c r="BD718" s="92"/>
      <x:c r="BE718" s="91"/>
      <x:c r="BF718" s="91"/>
      <x:c r="BG718" s="91"/>
      <x:c r="BH718" s="91"/>
      <x:c r="BI718" s="91"/>
      <x:c r="BJ718" s="91"/>
      <x:c r="BK718" s="91"/>
      <x:c r="BL718" s="91"/>
      <x:c r="BM718" s="73" t="str">
        <x:f>IF(A718="","",IF(AI718="Example","Example only",IF(AI718&lt;&gt;"Actual","Set record type",IF(COUNTIF($A$2:$A$1001,A718)&gt;1,"Duplicate record ID",IF(OR(D718="",E718="",AF718="",NOT(ISNUMBER(AG718)),AJ718="",AK718="",NOT(ISNUMBER(AL718)),AND(AM718&lt;&gt;"Observed",AM718&lt;&gt;"Corroborated",AM718&lt;&gt;"Declared"),OR(AN718="",AN718="Unknown"),OR(AQ718="",AQ718="Unknown"),OR(AR718="",AR718="Unknown",AR718="TBD"),OR(BC718="",NOT(ISNUMBER(BC718)))),"Evidence incomplete","Evidence recorded; review scope")))))</x:f>
      </x:c>
      <x:c r="BN718" s="73"/>
    </x:row>
    <x:row r="719" ht="34" customHeight="1">
      <x:c r="A719" s="73"/>
      <x:c r="B719" s="73"/>
      <x:c r="C719" s="73"/>
      <x:c r="D719" s="73"/>
      <x:c r="E719" s="73"/>
      <x:c r="F719" s="73"/>
      <x:c r="G719" s="73"/>
      <x:c r="H719" s="73"/>
      <x:c r="I719" s="75"/>
      <x:c r="J719" s="73"/>
      <x:c r="K719" s="73"/>
      <x:c r="L719" s="76"/>
      <x:c r="M719" s="73"/>
      <x:c r="N719" s="73"/>
      <x:c r="O719" s="73"/>
      <x:c r="P719" s="73"/>
      <x:c r="Q719" s="76"/>
      <x:c r="R719" s="73"/>
      <x:c r="S719" s="73"/>
      <x:c r="T719" s="73"/>
      <x:c r="U719" s="73"/>
      <x:c r="V719" s="73"/>
      <x:c r="W719" s="73"/>
      <x:c r="X719" s="73"/>
      <x:c r="Y719" s="73"/>
      <x:c r="Z719" s="73"/>
      <x:c r="AA719" s="73"/>
      <x:c r="AB719" s="76" t="str">
        <x:f>IF(A719="","",IF(OR(NOT(ISNUMBER(I719)),I719&lt;0,NOT(ISNUMBER(AP719)),AP719&lt;0,NOT(ISNUMBER(L719)),L719&lt;1,L719&gt;5,L719&lt;&gt;INT(L719),AND(J719&lt;&gt;"Public",J719&lt;&gt;"Partner",J719&lt;&gt;"Internal",J719&lt;&gt;"None"),AND(K719&lt;&gt;"High",K719&lt;&gt;"Medium",K719&lt;&gt;"Low",K719&lt;&gt;"None"),AND(W719&lt;&gt;"Hard-coded",W719&lt;&gt;"Configurable",W719&lt;&gt;"Policy-managed",W719&lt;&gt;"API/Library abstraction",W719&lt;&gt;"Automated"),AND(Z719&lt;&gt;"Y",Z719&lt;&gt;"N"),AND(AA719&lt;&gt;"Y",AA719&lt;&gt;"N")),"Incomplete",IF(Z719="Y",20,0)+L719*5+IF(AA719="Y",15,0)+IF(J719="Public",10,IF(J719="Partner",7,IF(J719="Internal",3,0)))+IF(W719="Hard-coded",10,IF(W719="Configurable",3,0))+IF(MAX(I719,AP719)&gt;=10,10,IF(MAX(I719,AP719)&gt;=5,7,IF(MAX(I719,AP719)&gt;=2,3,0)))+IF(K719="High",10,IF(K719="Medium",5,0))))</x:f>
      </x:c>
      <x:c r="AC719" s="73" t="str">
        <x:f>IF(A719="","",IF(NOT(ISNUMBER(AB719)),"Review inputs",IF(AB719&gt;=70,"P0 - Immediate",IF(AB719&gt;=50,"P1 - High",IF(AB719&gt;=30,"P2 - Medium",IF(AB719&gt;=15,"P3 - Low","P4 - Monitor"))))))</x:f>
      </x:c>
      <x:c r="AD719" s="73"/>
      <x:c r="AE719" s="73"/>
      <x:c r="AF719" s="73"/>
      <x:c r="AG719" s="77"/>
      <x:c r="AH719" s="73"/>
      <x:c r="AI719" s="91"/>
      <x:c r="AJ719" s="91"/>
      <x:c r="AK719" s="91"/>
      <x:c r="AL719" s="92"/>
      <x:c r="AM719" s="91"/>
      <x:c r="AN719" s="91"/>
      <x:c r="AO719" s="93"/>
      <x:c r="AP719" s="94"/>
      <x:c r="AQ719" s="91"/>
      <x:c r="AR719" s="91"/>
      <x:c r="AS719" s="91"/>
      <x:c r="AT719" s="91"/>
      <x:c r="AU719" s="91"/>
      <x:c r="AV719" s="91"/>
      <x:c r="AW719" s="91"/>
      <x:c r="AX719" s="91"/>
      <x:c r="AY719" s="91"/>
      <x:c r="AZ719" s="92"/>
      <x:c r="BA719" s="94"/>
      <x:c r="BB719" s="91"/>
      <x:c r="BC719" s="92"/>
      <x:c r="BD719" s="92"/>
      <x:c r="BE719" s="91"/>
      <x:c r="BF719" s="91"/>
      <x:c r="BG719" s="91"/>
      <x:c r="BH719" s="91"/>
      <x:c r="BI719" s="91"/>
      <x:c r="BJ719" s="91"/>
      <x:c r="BK719" s="91"/>
      <x:c r="BL719" s="91"/>
      <x:c r="BM719" s="73" t="str">
        <x:f>IF(A719="","",IF(AI719="Example","Example only",IF(AI719&lt;&gt;"Actual","Set record type",IF(COUNTIF($A$2:$A$1001,A719)&gt;1,"Duplicate record ID",IF(OR(D719="",E719="",AF719="",NOT(ISNUMBER(AG719)),AJ719="",AK719="",NOT(ISNUMBER(AL719)),AND(AM719&lt;&gt;"Observed",AM719&lt;&gt;"Corroborated",AM719&lt;&gt;"Declared"),OR(AN719="",AN719="Unknown"),OR(AQ719="",AQ719="Unknown"),OR(AR719="",AR719="Unknown",AR719="TBD"),OR(BC719="",NOT(ISNUMBER(BC719)))),"Evidence incomplete","Evidence recorded; review scope")))))</x:f>
      </x:c>
      <x:c r="BN719" s="73"/>
    </x:row>
    <x:row r="720" ht="34" customHeight="1">
      <x:c r="A720" s="73"/>
      <x:c r="B720" s="73"/>
      <x:c r="C720" s="73"/>
      <x:c r="D720" s="73"/>
      <x:c r="E720" s="73"/>
      <x:c r="F720" s="73"/>
      <x:c r="G720" s="73"/>
      <x:c r="H720" s="73"/>
      <x:c r="I720" s="75"/>
      <x:c r="J720" s="73"/>
      <x:c r="K720" s="73"/>
      <x:c r="L720" s="76"/>
      <x:c r="M720" s="73"/>
      <x:c r="N720" s="73"/>
      <x:c r="O720" s="73"/>
      <x:c r="P720" s="73"/>
      <x:c r="Q720" s="76"/>
      <x:c r="R720" s="73"/>
      <x:c r="S720" s="73"/>
      <x:c r="T720" s="73"/>
      <x:c r="U720" s="73"/>
      <x:c r="V720" s="73"/>
      <x:c r="W720" s="73"/>
      <x:c r="X720" s="73"/>
      <x:c r="Y720" s="73"/>
      <x:c r="Z720" s="73"/>
      <x:c r="AA720" s="73"/>
      <x:c r="AB720" s="76" t="str">
        <x:f>IF(A720="","",IF(OR(NOT(ISNUMBER(I720)),I720&lt;0,NOT(ISNUMBER(AP720)),AP720&lt;0,NOT(ISNUMBER(L720)),L720&lt;1,L720&gt;5,L720&lt;&gt;INT(L720),AND(J720&lt;&gt;"Public",J720&lt;&gt;"Partner",J720&lt;&gt;"Internal",J720&lt;&gt;"None"),AND(K720&lt;&gt;"High",K720&lt;&gt;"Medium",K720&lt;&gt;"Low",K720&lt;&gt;"None"),AND(W720&lt;&gt;"Hard-coded",W720&lt;&gt;"Configurable",W720&lt;&gt;"Policy-managed",W720&lt;&gt;"API/Library abstraction",W720&lt;&gt;"Automated"),AND(Z720&lt;&gt;"Y",Z720&lt;&gt;"N"),AND(AA720&lt;&gt;"Y",AA720&lt;&gt;"N")),"Incomplete",IF(Z720="Y",20,0)+L720*5+IF(AA720="Y",15,0)+IF(J720="Public",10,IF(J720="Partner",7,IF(J720="Internal",3,0)))+IF(W720="Hard-coded",10,IF(W720="Configurable",3,0))+IF(MAX(I720,AP720)&gt;=10,10,IF(MAX(I720,AP720)&gt;=5,7,IF(MAX(I720,AP720)&gt;=2,3,0)))+IF(K720="High",10,IF(K720="Medium",5,0))))</x:f>
      </x:c>
      <x:c r="AC720" s="73" t="str">
        <x:f>IF(A720="","",IF(NOT(ISNUMBER(AB720)),"Review inputs",IF(AB720&gt;=70,"P0 - Immediate",IF(AB720&gt;=50,"P1 - High",IF(AB720&gt;=30,"P2 - Medium",IF(AB720&gt;=15,"P3 - Low","P4 - Monitor"))))))</x:f>
      </x:c>
      <x:c r="AD720" s="73"/>
      <x:c r="AE720" s="73"/>
      <x:c r="AF720" s="73"/>
      <x:c r="AG720" s="77"/>
      <x:c r="AH720" s="73"/>
      <x:c r="AI720" s="91"/>
      <x:c r="AJ720" s="91"/>
      <x:c r="AK720" s="91"/>
      <x:c r="AL720" s="92"/>
      <x:c r="AM720" s="91"/>
      <x:c r="AN720" s="91"/>
      <x:c r="AO720" s="93"/>
      <x:c r="AP720" s="94"/>
      <x:c r="AQ720" s="91"/>
      <x:c r="AR720" s="91"/>
      <x:c r="AS720" s="91"/>
      <x:c r="AT720" s="91"/>
      <x:c r="AU720" s="91"/>
      <x:c r="AV720" s="91"/>
      <x:c r="AW720" s="91"/>
      <x:c r="AX720" s="91"/>
      <x:c r="AY720" s="91"/>
      <x:c r="AZ720" s="92"/>
      <x:c r="BA720" s="94"/>
      <x:c r="BB720" s="91"/>
      <x:c r="BC720" s="92"/>
      <x:c r="BD720" s="92"/>
      <x:c r="BE720" s="91"/>
      <x:c r="BF720" s="91"/>
      <x:c r="BG720" s="91"/>
      <x:c r="BH720" s="91"/>
      <x:c r="BI720" s="91"/>
      <x:c r="BJ720" s="91"/>
      <x:c r="BK720" s="91"/>
      <x:c r="BL720" s="91"/>
      <x:c r="BM720" s="73" t="str">
        <x:f>IF(A720="","",IF(AI720="Example","Example only",IF(AI720&lt;&gt;"Actual","Set record type",IF(COUNTIF($A$2:$A$1001,A720)&gt;1,"Duplicate record ID",IF(OR(D720="",E720="",AF720="",NOT(ISNUMBER(AG720)),AJ720="",AK720="",NOT(ISNUMBER(AL720)),AND(AM720&lt;&gt;"Observed",AM720&lt;&gt;"Corroborated",AM720&lt;&gt;"Declared"),OR(AN720="",AN720="Unknown"),OR(AQ720="",AQ720="Unknown"),OR(AR720="",AR720="Unknown",AR720="TBD"),OR(BC720="",NOT(ISNUMBER(BC720)))),"Evidence incomplete","Evidence recorded; review scope")))))</x:f>
      </x:c>
      <x:c r="BN720" s="73"/>
    </x:row>
    <x:row r="721" ht="34" customHeight="1">
      <x:c r="A721" s="73"/>
      <x:c r="B721" s="73"/>
      <x:c r="C721" s="73"/>
      <x:c r="D721" s="73"/>
      <x:c r="E721" s="73"/>
      <x:c r="F721" s="73"/>
      <x:c r="G721" s="73"/>
      <x:c r="H721" s="73"/>
      <x:c r="I721" s="75"/>
      <x:c r="J721" s="73"/>
      <x:c r="K721" s="73"/>
      <x:c r="L721" s="76"/>
      <x:c r="M721" s="73"/>
      <x:c r="N721" s="73"/>
      <x:c r="O721" s="73"/>
      <x:c r="P721" s="73"/>
      <x:c r="Q721" s="76"/>
      <x:c r="R721" s="73"/>
      <x:c r="S721" s="73"/>
      <x:c r="T721" s="73"/>
      <x:c r="U721" s="73"/>
      <x:c r="V721" s="73"/>
      <x:c r="W721" s="73"/>
      <x:c r="X721" s="73"/>
      <x:c r="Y721" s="73"/>
      <x:c r="Z721" s="73"/>
      <x:c r="AA721" s="73"/>
      <x:c r="AB721" s="76" t="str">
        <x:f>IF(A721="","",IF(OR(NOT(ISNUMBER(I721)),I721&lt;0,NOT(ISNUMBER(AP721)),AP721&lt;0,NOT(ISNUMBER(L721)),L721&lt;1,L721&gt;5,L721&lt;&gt;INT(L721),AND(J721&lt;&gt;"Public",J721&lt;&gt;"Partner",J721&lt;&gt;"Internal",J721&lt;&gt;"None"),AND(K721&lt;&gt;"High",K721&lt;&gt;"Medium",K721&lt;&gt;"Low",K721&lt;&gt;"None"),AND(W721&lt;&gt;"Hard-coded",W721&lt;&gt;"Configurable",W721&lt;&gt;"Policy-managed",W721&lt;&gt;"API/Library abstraction",W721&lt;&gt;"Automated"),AND(Z721&lt;&gt;"Y",Z721&lt;&gt;"N"),AND(AA721&lt;&gt;"Y",AA721&lt;&gt;"N")),"Incomplete",IF(Z721="Y",20,0)+L721*5+IF(AA721="Y",15,0)+IF(J721="Public",10,IF(J721="Partner",7,IF(J721="Internal",3,0)))+IF(W721="Hard-coded",10,IF(W721="Configurable",3,0))+IF(MAX(I721,AP721)&gt;=10,10,IF(MAX(I721,AP721)&gt;=5,7,IF(MAX(I721,AP721)&gt;=2,3,0)))+IF(K721="High",10,IF(K721="Medium",5,0))))</x:f>
      </x:c>
      <x:c r="AC721" s="73" t="str">
        <x:f>IF(A721="","",IF(NOT(ISNUMBER(AB721)),"Review inputs",IF(AB721&gt;=70,"P0 - Immediate",IF(AB721&gt;=50,"P1 - High",IF(AB721&gt;=30,"P2 - Medium",IF(AB721&gt;=15,"P3 - Low","P4 - Monitor"))))))</x:f>
      </x:c>
      <x:c r="AD721" s="73"/>
      <x:c r="AE721" s="73"/>
      <x:c r="AF721" s="73"/>
      <x:c r="AG721" s="77"/>
      <x:c r="AH721" s="73"/>
      <x:c r="AI721" s="91"/>
      <x:c r="AJ721" s="91"/>
      <x:c r="AK721" s="91"/>
      <x:c r="AL721" s="92"/>
      <x:c r="AM721" s="91"/>
      <x:c r="AN721" s="91"/>
      <x:c r="AO721" s="93"/>
      <x:c r="AP721" s="94"/>
      <x:c r="AQ721" s="91"/>
      <x:c r="AR721" s="91"/>
      <x:c r="AS721" s="91"/>
      <x:c r="AT721" s="91"/>
      <x:c r="AU721" s="91"/>
      <x:c r="AV721" s="91"/>
      <x:c r="AW721" s="91"/>
      <x:c r="AX721" s="91"/>
      <x:c r="AY721" s="91"/>
      <x:c r="AZ721" s="92"/>
      <x:c r="BA721" s="94"/>
      <x:c r="BB721" s="91"/>
      <x:c r="BC721" s="92"/>
      <x:c r="BD721" s="92"/>
      <x:c r="BE721" s="91"/>
      <x:c r="BF721" s="91"/>
      <x:c r="BG721" s="91"/>
      <x:c r="BH721" s="91"/>
      <x:c r="BI721" s="91"/>
      <x:c r="BJ721" s="91"/>
      <x:c r="BK721" s="91"/>
      <x:c r="BL721" s="91"/>
      <x:c r="BM721" s="73" t="str">
        <x:f>IF(A721="","",IF(AI721="Example","Example only",IF(AI721&lt;&gt;"Actual","Set record type",IF(COUNTIF($A$2:$A$1001,A721)&gt;1,"Duplicate record ID",IF(OR(D721="",E721="",AF721="",NOT(ISNUMBER(AG721)),AJ721="",AK721="",NOT(ISNUMBER(AL721)),AND(AM721&lt;&gt;"Observed",AM721&lt;&gt;"Corroborated",AM721&lt;&gt;"Declared"),OR(AN721="",AN721="Unknown"),OR(AQ721="",AQ721="Unknown"),OR(AR721="",AR721="Unknown",AR721="TBD"),OR(BC721="",NOT(ISNUMBER(BC721)))),"Evidence incomplete","Evidence recorded; review scope")))))</x:f>
      </x:c>
      <x:c r="BN721" s="73"/>
    </x:row>
    <x:row r="722" ht="34" customHeight="1">
      <x:c r="A722" s="73"/>
      <x:c r="B722" s="73"/>
      <x:c r="C722" s="73"/>
      <x:c r="D722" s="73"/>
      <x:c r="E722" s="73"/>
      <x:c r="F722" s="73"/>
      <x:c r="G722" s="73"/>
      <x:c r="H722" s="73"/>
      <x:c r="I722" s="75"/>
      <x:c r="J722" s="73"/>
      <x:c r="K722" s="73"/>
      <x:c r="L722" s="76"/>
      <x:c r="M722" s="73"/>
      <x:c r="N722" s="73"/>
      <x:c r="O722" s="73"/>
      <x:c r="P722" s="73"/>
      <x:c r="Q722" s="76"/>
      <x:c r="R722" s="73"/>
      <x:c r="S722" s="73"/>
      <x:c r="T722" s="73"/>
      <x:c r="U722" s="73"/>
      <x:c r="V722" s="73"/>
      <x:c r="W722" s="73"/>
      <x:c r="X722" s="73"/>
      <x:c r="Y722" s="73"/>
      <x:c r="Z722" s="73"/>
      <x:c r="AA722" s="73"/>
      <x:c r="AB722" s="76" t="str">
        <x:f>IF(A722="","",IF(OR(NOT(ISNUMBER(I722)),I722&lt;0,NOT(ISNUMBER(AP722)),AP722&lt;0,NOT(ISNUMBER(L722)),L722&lt;1,L722&gt;5,L722&lt;&gt;INT(L722),AND(J722&lt;&gt;"Public",J722&lt;&gt;"Partner",J722&lt;&gt;"Internal",J722&lt;&gt;"None"),AND(K722&lt;&gt;"High",K722&lt;&gt;"Medium",K722&lt;&gt;"Low",K722&lt;&gt;"None"),AND(W722&lt;&gt;"Hard-coded",W722&lt;&gt;"Configurable",W722&lt;&gt;"Policy-managed",W722&lt;&gt;"API/Library abstraction",W722&lt;&gt;"Automated"),AND(Z722&lt;&gt;"Y",Z722&lt;&gt;"N"),AND(AA722&lt;&gt;"Y",AA722&lt;&gt;"N")),"Incomplete",IF(Z722="Y",20,0)+L722*5+IF(AA722="Y",15,0)+IF(J722="Public",10,IF(J722="Partner",7,IF(J722="Internal",3,0)))+IF(W722="Hard-coded",10,IF(W722="Configurable",3,0))+IF(MAX(I722,AP722)&gt;=10,10,IF(MAX(I722,AP722)&gt;=5,7,IF(MAX(I722,AP722)&gt;=2,3,0)))+IF(K722="High",10,IF(K722="Medium",5,0))))</x:f>
      </x:c>
      <x:c r="AC722" s="73" t="str">
        <x:f>IF(A722="","",IF(NOT(ISNUMBER(AB722)),"Review inputs",IF(AB722&gt;=70,"P0 - Immediate",IF(AB722&gt;=50,"P1 - High",IF(AB722&gt;=30,"P2 - Medium",IF(AB722&gt;=15,"P3 - Low","P4 - Monitor"))))))</x:f>
      </x:c>
      <x:c r="AD722" s="73"/>
      <x:c r="AE722" s="73"/>
      <x:c r="AF722" s="73"/>
      <x:c r="AG722" s="77"/>
      <x:c r="AH722" s="73"/>
      <x:c r="AI722" s="91"/>
      <x:c r="AJ722" s="91"/>
      <x:c r="AK722" s="91"/>
      <x:c r="AL722" s="92"/>
      <x:c r="AM722" s="91"/>
      <x:c r="AN722" s="91"/>
      <x:c r="AO722" s="93"/>
      <x:c r="AP722" s="94"/>
      <x:c r="AQ722" s="91"/>
      <x:c r="AR722" s="91"/>
      <x:c r="AS722" s="91"/>
      <x:c r="AT722" s="91"/>
      <x:c r="AU722" s="91"/>
      <x:c r="AV722" s="91"/>
      <x:c r="AW722" s="91"/>
      <x:c r="AX722" s="91"/>
      <x:c r="AY722" s="91"/>
      <x:c r="AZ722" s="92"/>
      <x:c r="BA722" s="94"/>
      <x:c r="BB722" s="91"/>
      <x:c r="BC722" s="92"/>
      <x:c r="BD722" s="92"/>
      <x:c r="BE722" s="91"/>
      <x:c r="BF722" s="91"/>
      <x:c r="BG722" s="91"/>
      <x:c r="BH722" s="91"/>
      <x:c r="BI722" s="91"/>
      <x:c r="BJ722" s="91"/>
      <x:c r="BK722" s="91"/>
      <x:c r="BL722" s="91"/>
      <x:c r="BM722" s="73" t="str">
        <x:f>IF(A722="","",IF(AI722="Example","Example only",IF(AI722&lt;&gt;"Actual","Set record type",IF(COUNTIF($A$2:$A$1001,A722)&gt;1,"Duplicate record ID",IF(OR(D722="",E722="",AF722="",NOT(ISNUMBER(AG722)),AJ722="",AK722="",NOT(ISNUMBER(AL722)),AND(AM722&lt;&gt;"Observed",AM722&lt;&gt;"Corroborated",AM722&lt;&gt;"Declared"),OR(AN722="",AN722="Unknown"),OR(AQ722="",AQ722="Unknown"),OR(AR722="",AR722="Unknown",AR722="TBD"),OR(BC722="",NOT(ISNUMBER(BC722)))),"Evidence incomplete","Evidence recorded; review scope")))))</x:f>
      </x:c>
      <x:c r="BN722" s="73"/>
    </x:row>
    <x:row r="723" ht="34" customHeight="1">
      <x:c r="A723" s="73"/>
      <x:c r="B723" s="73"/>
      <x:c r="C723" s="73"/>
      <x:c r="D723" s="73"/>
      <x:c r="E723" s="73"/>
      <x:c r="F723" s="73"/>
      <x:c r="G723" s="73"/>
      <x:c r="H723" s="73"/>
      <x:c r="I723" s="75"/>
      <x:c r="J723" s="73"/>
      <x:c r="K723" s="73"/>
      <x:c r="L723" s="76"/>
      <x:c r="M723" s="73"/>
      <x:c r="N723" s="73"/>
      <x:c r="O723" s="73"/>
      <x:c r="P723" s="73"/>
      <x:c r="Q723" s="76"/>
      <x:c r="R723" s="73"/>
      <x:c r="S723" s="73"/>
      <x:c r="T723" s="73"/>
      <x:c r="U723" s="73"/>
      <x:c r="V723" s="73"/>
      <x:c r="W723" s="73"/>
      <x:c r="X723" s="73"/>
      <x:c r="Y723" s="73"/>
      <x:c r="Z723" s="73"/>
      <x:c r="AA723" s="73"/>
      <x:c r="AB723" s="76" t="str">
        <x:f>IF(A723="","",IF(OR(NOT(ISNUMBER(I723)),I723&lt;0,NOT(ISNUMBER(AP723)),AP723&lt;0,NOT(ISNUMBER(L723)),L723&lt;1,L723&gt;5,L723&lt;&gt;INT(L723),AND(J723&lt;&gt;"Public",J723&lt;&gt;"Partner",J723&lt;&gt;"Internal",J723&lt;&gt;"None"),AND(K723&lt;&gt;"High",K723&lt;&gt;"Medium",K723&lt;&gt;"Low",K723&lt;&gt;"None"),AND(W723&lt;&gt;"Hard-coded",W723&lt;&gt;"Configurable",W723&lt;&gt;"Policy-managed",W723&lt;&gt;"API/Library abstraction",W723&lt;&gt;"Automated"),AND(Z723&lt;&gt;"Y",Z723&lt;&gt;"N"),AND(AA723&lt;&gt;"Y",AA723&lt;&gt;"N")),"Incomplete",IF(Z723="Y",20,0)+L723*5+IF(AA723="Y",15,0)+IF(J723="Public",10,IF(J723="Partner",7,IF(J723="Internal",3,0)))+IF(W723="Hard-coded",10,IF(W723="Configurable",3,0))+IF(MAX(I723,AP723)&gt;=10,10,IF(MAX(I723,AP723)&gt;=5,7,IF(MAX(I723,AP723)&gt;=2,3,0)))+IF(K723="High",10,IF(K723="Medium",5,0))))</x:f>
      </x:c>
      <x:c r="AC723" s="73" t="str">
        <x:f>IF(A723="","",IF(NOT(ISNUMBER(AB723)),"Review inputs",IF(AB723&gt;=70,"P0 - Immediate",IF(AB723&gt;=50,"P1 - High",IF(AB723&gt;=30,"P2 - Medium",IF(AB723&gt;=15,"P3 - Low","P4 - Monitor"))))))</x:f>
      </x:c>
      <x:c r="AD723" s="73"/>
      <x:c r="AE723" s="73"/>
      <x:c r="AF723" s="73"/>
      <x:c r="AG723" s="77"/>
      <x:c r="AH723" s="73"/>
      <x:c r="AI723" s="91"/>
      <x:c r="AJ723" s="91"/>
      <x:c r="AK723" s="91"/>
      <x:c r="AL723" s="92"/>
      <x:c r="AM723" s="91"/>
      <x:c r="AN723" s="91"/>
      <x:c r="AO723" s="93"/>
      <x:c r="AP723" s="94"/>
      <x:c r="AQ723" s="91"/>
      <x:c r="AR723" s="91"/>
      <x:c r="AS723" s="91"/>
      <x:c r="AT723" s="91"/>
      <x:c r="AU723" s="91"/>
      <x:c r="AV723" s="91"/>
      <x:c r="AW723" s="91"/>
      <x:c r="AX723" s="91"/>
      <x:c r="AY723" s="91"/>
      <x:c r="AZ723" s="92"/>
      <x:c r="BA723" s="94"/>
      <x:c r="BB723" s="91"/>
      <x:c r="BC723" s="92"/>
      <x:c r="BD723" s="92"/>
      <x:c r="BE723" s="91"/>
      <x:c r="BF723" s="91"/>
      <x:c r="BG723" s="91"/>
      <x:c r="BH723" s="91"/>
      <x:c r="BI723" s="91"/>
      <x:c r="BJ723" s="91"/>
      <x:c r="BK723" s="91"/>
      <x:c r="BL723" s="91"/>
      <x:c r="BM723" s="73" t="str">
        <x:f>IF(A723="","",IF(AI723="Example","Example only",IF(AI723&lt;&gt;"Actual","Set record type",IF(COUNTIF($A$2:$A$1001,A723)&gt;1,"Duplicate record ID",IF(OR(D723="",E723="",AF723="",NOT(ISNUMBER(AG723)),AJ723="",AK723="",NOT(ISNUMBER(AL723)),AND(AM723&lt;&gt;"Observed",AM723&lt;&gt;"Corroborated",AM723&lt;&gt;"Declared"),OR(AN723="",AN723="Unknown"),OR(AQ723="",AQ723="Unknown"),OR(AR723="",AR723="Unknown",AR723="TBD"),OR(BC723="",NOT(ISNUMBER(BC723)))),"Evidence incomplete","Evidence recorded; review scope")))))</x:f>
      </x:c>
      <x:c r="BN723" s="73"/>
    </x:row>
    <x:row r="724" ht="34" customHeight="1">
      <x:c r="A724" s="73"/>
      <x:c r="B724" s="73"/>
      <x:c r="C724" s="73"/>
      <x:c r="D724" s="73"/>
      <x:c r="E724" s="73"/>
      <x:c r="F724" s="73"/>
      <x:c r="G724" s="73"/>
      <x:c r="H724" s="73"/>
      <x:c r="I724" s="75"/>
      <x:c r="J724" s="73"/>
      <x:c r="K724" s="73"/>
      <x:c r="L724" s="76"/>
      <x:c r="M724" s="73"/>
      <x:c r="N724" s="73"/>
      <x:c r="O724" s="73"/>
      <x:c r="P724" s="73"/>
      <x:c r="Q724" s="76"/>
      <x:c r="R724" s="73"/>
      <x:c r="S724" s="73"/>
      <x:c r="T724" s="73"/>
      <x:c r="U724" s="73"/>
      <x:c r="V724" s="73"/>
      <x:c r="W724" s="73"/>
      <x:c r="X724" s="73"/>
      <x:c r="Y724" s="73"/>
      <x:c r="Z724" s="73"/>
      <x:c r="AA724" s="73"/>
      <x:c r="AB724" s="76" t="str">
        <x:f>IF(A724="","",IF(OR(NOT(ISNUMBER(I724)),I724&lt;0,NOT(ISNUMBER(AP724)),AP724&lt;0,NOT(ISNUMBER(L724)),L724&lt;1,L724&gt;5,L724&lt;&gt;INT(L724),AND(J724&lt;&gt;"Public",J724&lt;&gt;"Partner",J724&lt;&gt;"Internal",J724&lt;&gt;"None"),AND(K724&lt;&gt;"High",K724&lt;&gt;"Medium",K724&lt;&gt;"Low",K724&lt;&gt;"None"),AND(W724&lt;&gt;"Hard-coded",W724&lt;&gt;"Configurable",W724&lt;&gt;"Policy-managed",W724&lt;&gt;"API/Library abstraction",W724&lt;&gt;"Automated"),AND(Z724&lt;&gt;"Y",Z724&lt;&gt;"N"),AND(AA724&lt;&gt;"Y",AA724&lt;&gt;"N")),"Incomplete",IF(Z724="Y",20,0)+L724*5+IF(AA724="Y",15,0)+IF(J724="Public",10,IF(J724="Partner",7,IF(J724="Internal",3,0)))+IF(W724="Hard-coded",10,IF(W724="Configurable",3,0))+IF(MAX(I724,AP724)&gt;=10,10,IF(MAX(I724,AP724)&gt;=5,7,IF(MAX(I724,AP724)&gt;=2,3,0)))+IF(K724="High",10,IF(K724="Medium",5,0))))</x:f>
      </x:c>
      <x:c r="AC724" s="73" t="str">
        <x:f>IF(A724="","",IF(NOT(ISNUMBER(AB724)),"Review inputs",IF(AB724&gt;=70,"P0 - Immediate",IF(AB724&gt;=50,"P1 - High",IF(AB724&gt;=30,"P2 - Medium",IF(AB724&gt;=15,"P3 - Low","P4 - Monitor"))))))</x:f>
      </x:c>
      <x:c r="AD724" s="73"/>
      <x:c r="AE724" s="73"/>
      <x:c r="AF724" s="73"/>
      <x:c r="AG724" s="77"/>
      <x:c r="AH724" s="73"/>
      <x:c r="AI724" s="91"/>
      <x:c r="AJ724" s="91"/>
      <x:c r="AK724" s="91"/>
      <x:c r="AL724" s="92"/>
      <x:c r="AM724" s="91"/>
      <x:c r="AN724" s="91"/>
      <x:c r="AO724" s="93"/>
      <x:c r="AP724" s="94"/>
      <x:c r="AQ724" s="91"/>
      <x:c r="AR724" s="91"/>
      <x:c r="AS724" s="91"/>
      <x:c r="AT724" s="91"/>
      <x:c r="AU724" s="91"/>
      <x:c r="AV724" s="91"/>
      <x:c r="AW724" s="91"/>
      <x:c r="AX724" s="91"/>
      <x:c r="AY724" s="91"/>
      <x:c r="AZ724" s="92"/>
      <x:c r="BA724" s="94"/>
      <x:c r="BB724" s="91"/>
      <x:c r="BC724" s="92"/>
      <x:c r="BD724" s="92"/>
      <x:c r="BE724" s="91"/>
      <x:c r="BF724" s="91"/>
      <x:c r="BG724" s="91"/>
      <x:c r="BH724" s="91"/>
      <x:c r="BI724" s="91"/>
      <x:c r="BJ724" s="91"/>
      <x:c r="BK724" s="91"/>
      <x:c r="BL724" s="91"/>
      <x:c r="BM724" s="73" t="str">
        <x:f>IF(A724="","",IF(AI724="Example","Example only",IF(AI724&lt;&gt;"Actual","Set record type",IF(COUNTIF($A$2:$A$1001,A724)&gt;1,"Duplicate record ID",IF(OR(D724="",E724="",AF724="",NOT(ISNUMBER(AG724)),AJ724="",AK724="",NOT(ISNUMBER(AL724)),AND(AM724&lt;&gt;"Observed",AM724&lt;&gt;"Corroborated",AM724&lt;&gt;"Declared"),OR(AN724="",AN724="Unknown"),OR(AQ724="",AQ724="Unknown"),OR(AR724="",AR724="Unknown",AR724="TBD"),OR(BC724="",NOT(ISNUMBER(BC724)))),"Evidence incomplete","Evidence recorded; review scope")))))</x:f>
      </x:c>
      <x:c r="BN724" s="73"/>
    </x:row>
    <x:row r="725" ht="34" customHeight="1">
      <x:c r="A725" s="73"/>
      <x:c r="B725" s="73"/>
      <x:c r="C725" s="73"/>
      <x:c r="D725" s="73"/>
      <x:c r="E725" s="73"/>
      <x:c r="F725" s="73"/>
      <x:c r="G725" s="73"/>
      <x:c r="H725" s="73"/>
      <x:c r="I725" s="75"/>
      <x:c r="J725" s="73"/>
      <x:c r="K725" s="73"/>
      <x:c r="L725" s="76"/>
      <x:c r="M725" s="73"/>
      <x:c r="N725" s="73"/>
      <x:c r="O725" s="73"/>
      <x:c r="P725" s="73"/>
      <x:c r="Q725" s="76"/>
      <x:c r="R725" s="73"/>
      <x:c r="S725" s="73"/>
      <x:c r="T725" s="73"/>
      <x:c r="U725" s="73"/>
      <x:c r="V725" s="73"/>
      <x:c r="W725" s="73"/>
      <x:c r="X725" s="73"/>
      <x:c r="Y725" s="73"/>
      <x:c r="Z725" s="73"/>
      <x:c r="AA725" s="73"/>
      <x:c r="AB725" s="76" t="str">
        <x:f>IF(A725="","",IF(OR(NOT(ISNUMBER(I725)),I725&lt;0,NOT(ISNUMBER(AP725)),AP725&lt;0,NOT(ISNUMBER(L725)),L725&lt;1,L725&gt;5,L725&lt;&gt;INT(L725),AND(J725&lt;&gt;"Public",J725&lt;&gt;"Partner",J725&lt;&gt;"Internal",J725&lt;&gt;"None"),AND(K725&lt;&gt;"High",K725&lt;&gt;"Medium",K725&lt;&gt;"Low",K725&lt;&gt;"None"),AND(W725&lt;&gt;"Hard-coded",W725&lt;&gt;"Configurable",W725&lt;&gt;"Policy-managed",W725&lt;&gt;"API/Library abstraction",W725&lt;&gt;"Automated"),AND(Z725&lt;&gt;"Y",Z725&lt;&gt;"N"),AND(AA725&lt;&gt;"Y",AA725&lt;&gt;"N")),"Incomplete",IF(Z725="Y",20,0)+L725*5+IF(AA725="Y",15,0)+IF(J725="Public",10,IF(J725="Partner",7,IF(J725="Internal",3,0)))+IF(W725="Hard-coded",10,IF(W725="Configurable",3,0))+IF(MAX(I725,AP725)&gt;=10,10,IF(MAX(I725,AP725)&gt;=5,7,IF(MAX(I725,AP725)&gt;=2,3,0)))+IF(K725="High",10,IF(K725="Medium",5,0))))</x:f>
      </x:c>
      <x:c r="AC725" s="73" t="str">
        <x:f>IF(A725="","",IF(NOT(ISNUMBER(AB725)),"Review inputs",IF(AB725&gt;=70,"P0 - Immediate",IF(AB725&gt;=50,"P1 - High",IF(AB725&gt;=30,"P2 - Medium",IF(AB725&gt;=15,"P3 - Low","P4 - Monitor"))))))</x:f>
      </x:c>
      <x:c r="AD725" s="73"/>
      <x:c r="AE725" s="73"/>
      <x:c r="AF725" s="73"/>
      <x:c r="AG725" s="77"/>
      <x:c r="AH725" s="73"/>
      <x:c r="AI725" s="91"/>
      <x:c r="AJ725" s="91"/>
      <x:c r="AK725" s="91"/>
      <x:c r="AL725" s="92"/>
      <x:c r="AM725" s="91"/>
      <x:c r="AN725" s="91"/>
      <x:c r="AO725" s="93"/>
      <x:c r="AP725" s="94"/>
      <x:c r="AQ725" s="91"/>
      <x:c r="AR725" s="91"/>
      <x:c r="AS725" s="91"/>
      <x:c r="AT725" s="91"/>
      <x:c r="AU725" s="91"/>
      <x:c r="AV725" s="91"/>
      <x:c r="AW725" s="91"/>
      <x:c r="AX725" s="91"/>
      <x:c r="AY725" s="91"/>
      <x:c r="AZ725" s="92"/>
      <x:c r="BA725" s="94"/>
      <x:c r="BB725" s="91"/>
      <x:c r="BC725" s="92"/>
      <x:c r="BD725" s="92"/>
      <x:c r="BE725" s="91"/>
      <x:c r="BF725" s="91"/>
      <x:c r="BG725" s="91"/>
      <x:c r="BH725" s="91"/>
      <x:c r="BI725" s="91"/>
      <x:c r="BJ725" s="91"/>
      <x:c r="BK725" s="91"/>
      <x:c r="BL725" s="91"/>
      <x:c r="BM725" s="73" t="str">
        <x:f>IF(A725="","",IF(AI725="Example","Example only",IF(AI725&lt;&gt;"Actual","Set record type",IF(COUNTIF($A$2:$A$1001,A725)&gt;1,"Duplicate record ID",IF(OR(D725="",E725="",AF725="",NOT(ISNUMBER(AG725)),AJ725="",AK725="",NOT(ISNUMBER(AL725)),AND(AM725&lt;&gt;"Observed",AM725&lt;&gt;"Corroborated",AM725&lt;&gt;"Declared"),OR(AN725="",AN725="Unknown"),OR(AQ725="",AQ725="Unknown"),OR(AR725="",AR725="Unknown",AR725="TBD"),OR(BC725="",NOT(ISNUMBER(BC725)))),"Evidence incomplete","Evidence recorded; review scope")))))</x:f>
      </x:c>
      <x:c r="BN725" s="73"/>
    </x:row>
    <x:row r="726" ht="34" customHeight="1">
      <x:c r="A726" s="73"/>
      <x:c r="B726" s="73"/>
      <x:c r="C726" s="73"/>
      <x:c r="D726" s="73"/>
      <x:c r="E726" s="73"/>
      <x:c r="F726" s="73"/>
      <x:c r="G726" s="73"/>
      <x:c r="H726" s="73"/>
      <x:c r="I726" s="75"/>
      <x:c r="J726" s="73"/>
      <x:c r="K726" s="73"/>
      <x:c r="L726" s="76"/>
      <x:c r="M726" s="73"/>
      <x:c r="N726" s="73"/>
      <x:c r="O726" s="73"/>
      <x:c r="P726" s="73"/>
      <x:c r="Q726" s="76"/>
      <x:c r="R726" s="73"/>
      <x:c r="S726" s="73"/>
      <x:c r="T726" s="73"/>
      <x:c r="U726" s="73"/>
      <x:c r="V726" s="73"/>
      <x:c r="W726" s="73"/>
      <x:c r="X726" s="73"/>
      <x:c r="Y726" s="73"/>
      <x:c r="Z726" s="73"/>
      <x:c r="AA726" s="73"/>
      <x:c r="AB726" s="76" t="str">
        <x:f>IF(A726="","",IF(OR(NOT(ISNUMBER(I726)),I726&lt;0,NOT(ISNUMBER(AP726)),AP726&lt;0,NOT(ISNUMBER(L726)),L726&lt;1,L726&gt;5,L726&lt;&gt;INT(L726),AND(J726&lt;&gt;"Public",J726&lt;&gt;"Partner",J726&lt;&gt;"Internal",J726&lt;&gt;"None"),AND(K726&lt;&gt;"High",K726&lt;&gt;"Medium",K726&lt;&gt;"Low",K726&lt;&gt;"None"),AND(W726&lt;&gt;"Hard-coded",W726&lt;&gt;"Configurable",W726&lt;&gt;"Policy-managed",W726&lt;&gt;"API/Library abstraction",W726&lt;&gt;"Automated"),AND(Z726&lt;&gt;"Y",Z726&lt;&gt;"N"),AND(AA726&lt;&gt;"Y",AA726&lt;&gt;"N")),"Incomplete",IF(Z726="Y",20,0)+L726*5+IF(AA726="Y",15,0)+IF(J726="Public",10,IF(J726="Partner",7,IF(J726="Internal",3,0)))+IF(W726="Hard-coded",10,IF(W726="Configurable",3,0))+IF(MAX(I726,AP726)&gt;=10,10,IF(MAX(I726,AP726)&gt;=5,7,IF(MAX(I726,AP726)&gt;=2,3,0)))+IF(K726="High",10,IF(K726="Medium",5,0))))</x:f>
      </x:c>
      <x:c r="AC726" s="73" t="str">
        <x:f>IF(A726="","",IF(NOT(ISNUMBER(AB726)),"Review inputs",IF(AB726&gt;=70,"P0 - Immediate",IF(AB726&gt;=50,"P1 - High",IF(AB726&gt;=30,"P2 - Medium",IF(AB726&gt;=15,"P3 - Low","P4 - Monitor"))))))</x:f>
      </x:c>
      <x:c r="AD726" s="73"/>
      <x:c r="AE726" s="73"/>
      <x:c r="AF726" s="73"/>
      <x:c r="AG726" s="77"/>
      <x:c r="AH726" s="73"/>
      <x:c r="AI726" s="91"/>
      <x:c r="AJ726" s="91"/>
      <x:c r="AK726" s="91"/>
      <x:c r="AL726" s="92"/>
      <x:c r="AM726" s="91"/>
      <x:c r="AN726" s="91"/>
      <x:c r="AO726" s="93"/>
      <x:c r="AP726" s="94"/>
      <x:c r="AQ726" s="91"/>
      <x:c r="AR726" s="91"/>
      <x:c r="AS726" s="91"/>
      <x:c r="AT726" s="91"/>
      <x:c r="AU726" s="91"/>
      <x:c r="AV726" s="91"/>
      <x:c r="AW726" s="91"/>
      <x:c r="AX726" s="91"/>
      <x:c r="AY726" s="91"/>
      <x:c r="AZ726" s="92"/>
      <x:c r="BA726" s="94"/>
      <x:c r="BB726" s="91"/>
      <x:c r="BC726" s="92"/>
      <x:c r="BD726" s="92"/>
      <x:c r="BE726" s="91"/>
      <x:c r="BF726" s="91"/>
      <x:c r="BG726" s="91"/>
      <x:c r="BH726" s="91"/>
      <x:c r="BI726" s="91"/>
      <x:c r="BJ726" s="91"/>
      <x:c r="BK726" s="91"/>
      <x:c r="BL726" s="91"/>
      <x:c r="BM726" s="73" t="str">
        <x:f>IF(A726="","",IF(AI726="Example","Example only",IF(AI726&lt;&gt;"Actual","Set record type",IF(COUNTIF($A$2:$A$1001,A726)&gt;1,"Duplicate record ID",IF(OR(D726="",E726="",AF726="",NOT(ISNUMBER(AG726)),AJ726="",AK726="",NOT(ISNUMBER(AL726)),AND(AM726&lt;&gt;"Observed",AM726&lt;&gt;"Corroborated",AM726&lt;&gt;"Declared"),OR(AN726="",AN726="Unknown"),OR(AQ726="",AQ726="Unknown"),OR(AR726="",AR726="Unknown",AR726="TBD"),OR(BC726="",NOT(ISNUMBER(BC726)))),"Evidence incomplete","Evidence recorded; review scope")))))</x:f>
      </x:c>
      <x:c r="BN726" s="73"/>
    </x:row>
    <x:row r="727" ht="34" customHeight="1">
      <x:c r="A727" s="73"/>
      <x:c r="B727" s="73"/>
      <x:c r="C727" s="73"/>
      <x:c r="D727" s="73"/>
      <x:c r="E727" s="73"/>
      <x:c r="F727" s="73"/>
      <x:c r="G727" s="73"/>
      <x:c r="H727" s="73"/>
      <x:c r="I727" s="75"/>
      <x:c r="J727" s="73"/>
      <x:c r="K727" s="73"/>
      <x:c r="L727" s="76"/>
      <x:c r="M727" s="73"/>
      <x:c r="N727" s="73"/>
      <x:c r="O727" s="73"/>
      <x:c r="P727" s="73"/>
      <x:c r="Q727" s="76"/>
      <x:c r="R727" s="73"/>
      <x:c r="S727" s="73"/>
      <x:c r="T727" s="73"/>
      <x:c r="U727" s="73"/>
      <x:c r="V727" s="73"/>
      <x:c r="W727" s="73"/>
      <x:c r="X727" s="73"/>
      <x:c r="Y727" s="73"/>
      <x:c r="Z727" s="73"/>
      <x:c r="AA727" s="73"/>
      <x:c r="AB727" s="76" t="str">
        <x:f>IF(A727="","",IF(OR(NOT(ISNUMBER(I727)),I727&lt;0,NOT(ISNUMBER(AP727)),AP727&lt;0,NOT(ISNUMBER(L727)),L727&lt;1,L727&gt;5,L727&lt;&gt;INT(L727),AND(J727&lt;&gt;"Public",J727&lt;&gt;"Partner",J727&lt;&gt;"Internal",J727&lt;&gt;"None"),AND(K727&lt;&gt;"High",K727&lt;&gt;"Medium",K727&lt;&gt;"Low",K727&lt;&gt;"None"),AND(W727&lt;&gt;"Hard-coded",W727&lt;&gt;"Configurable",W727&lt;&gt;"Policy-managed",W727&lt;&gt;"API/Library abstraction",W727&lt;&gt;"Automated"),AND(Z727&lt;&gt;"Y",Z727&lt;&gt;"N"),AND(AA727&lt;&gt;"Y",AA727&lt;&gt;"N")),"Incomplete",IF(Z727="Y",20,0)+L727*5+IF(AA727="Y",15,0)+IF(J727="Public",10,IF(J727="Partner",7,IF(J727="Internal",3,0)))+IF(W727="Hard-coded",10,IF(W727="Configurable",3,0))+IF(MAX(I727,AP727)&gt;=10,10,IF(MAX(I727,AP727)&gt;=5,7,IF(MAX(I727,AP727)&gt;=2,3,0)))+IF(K727="High",10,IF(K727="Medium",5,0))))</x:f>
      </x:c>
      <x:c r="AC727" s="73" t="str">
        <x:f>IF(A727="","",IF(NOT(ISNUMBER(AB727)),"Review inputs",IF(AB727&gt;=70,"P0 - Immediate",IF(AB727&gt;=50,"P1 - High",IF(AB727&gt;=30,"P2 - Medium",IF(AB727&gt;=15,"P3 - Low","P4 - Monitor"))))))</x:f>
      </x:c>
      <x:c r="AD727" s="73"/>
      <x:c r="AE727" s="73"/>
      <x:c r="AF727" s="73"/>
      <x:c r="AG727" s="77"/>
      <x:c r="AH727" s="73"/>
      <x:c r="AI727" s="91"/>
      <x:c r="AJ727" s="91"/>
      <x:c r="AK727" s="91"/>
      <x:c r="AL727" s="92"/>
      <x:c r="AM727" s="91"/>
      <x:c r="AN727" s="91"/>
      <x:c r="AO727" s="93"/>
      <x:c r="AP727" s="94"/>
      <x:c r="AQ727" s="91"/>
      <x:c r="AR727" s="91"/>
      <x:c r="AS727" s="91"/>
      <x:c r="AT727" s="91"/>
      <x:c r="AU727" s="91"/>
      <x:c r="AV727" s="91"/>
      <x:c r="AW727" s="91"/>
      <x:c r="AX727" s="91"/>
      <x:c r="AY727" s="91"/>
      <x:c r="AZ727" s="92"/>
      <x:c r="BA727" s="94"/>
      <x:c r="BB727" s="91"/>
      <x:c r="BC727" s="92"/>
      <x:c r="BD727" s="92"/>
      <x:c r="BE727" s="91"/>
      <x:c r="BF727" s="91"/>
      <x:c r="BG727" s="91"/>
      <x:c r="BH727" s="91"/>
      <x:c r="BI727" s="91"/>
      <x:c r="BJ727" s="91"/>
      <x:c r="BK727" s="91"/>
      <x:c r="BL727" s="91"/>
      <x:c r="BM727" s="73" t="str">
        <x:f>IF(A727="","",IF(AI727="Example","Example only",IF(AI727&lt;&gt;"Actual","Set record type",IF(COUNTIF($A$2:$A$1001,A727)&gt;1,"Duplicate record ID",IF(OR(D727="",E727="",AF727="",NOT(ISNUMBER(AG727)),AJ727="",AK727="",NOT(ISNUMBER(AL727)),AND(AM727&lt;&gt;"Observed",AM727&lt;&gt;"Corroborated",AM727&lt;&gt;"Declared"),OR(AN727="",AN727="Unknown"),OR(AQ727="",AQ727="Unknown"),OR(AR727="",AR727="Unknown",AR727="TBD"),OR(BC727="",NOT(ISNUMBER(BC727)))),"Evidence incomplete","Evidence recorded; review scope")))))</x:f>
      </x:c>
      <x:c r="BN727" s="73"/>
    </x:row>
    <x:row r="728" ht="34" customHeight="1">
      <x:c r="A728" s="73"/>
      <x:c r="B728" s="73"/>
      <x:c r="C728" s="73"/>
      <x:c r="D728" s="73"/>
      <x:c r="E728" s="73"/>
      <x:c r="F728" s="73"/>
      <x:c r="G728" s="73"/>
      <x:c r="H728" s="73"/>
      <x:c r="I728" s="75"/>
      <x:c r="J728" s="73"/>
      <x:c r="K728" s="73"/>
      <x:c r="L728" s="76"/>
      <x:c r="M728" s="73"/>
      <x:c r="N728" s="73"/>
      <x:c r="O728" s="73"/>
      <x:c r="P728" s="73"/>
      <x:c r="Q728" s="76"/>
      <x:c r="R728" s="73"/>
      <x:c r="S728" s="73"/>
      <x:c r="T728" s="73"/>
      <x:c r="U728" s="73"/>
      <x:c r="V728" s="73"/>
      <x:c r="W728" s="73"/>
      <x:c r="X728" s="73"/>
      <x:c r="Y728" s="73"/>
      <x:c r="Z728" s="73"/>
      <x:c r="AA728" s="73"/>
      <x:c r="AB728" s="76" t="str">
        <x:f>IF(A728="","",IF(OR(NOT(ISNUMBER(I728)),I728&lt;0,NOT(ISNUMBER(AP728)),AP728&lt;0,NOT(ISNUMBER(L728)),L728&lt;1,L728&gt;5,L728&lt;&gt;INT(L728),AND(J728&lt;&gt;"Public",J728&lt;&gt;"Partner",J728&lt;&gt;"Internal",J728&lt;&gt;"None"),AND(K728&lt;&gt;"High",K728&lt;&gt;"Medium",K728&lt;&gt;"Low",K728&lt;&gt;"None"),AND(W728&lt;&gt;"Hard-coded",W728&lt;&gt;"Configurable",W728&lt;&gt;"Policy-managed",W728&lt;&gt;"API/Library abstraction",W728&lt;&gt;"Automated"),AND(Z728&lt;&gt;"Y",Z728&lt;&gt;"N"),AND(AA728&lt;&gt;"Y",AA728&lt;&gt;"N")),"Incomplete",IF(Z728="Y",20,0)+L728*5+IF(AA728="Y",15,0)+IF(J728="Public",10,IF(J728="Partner",7,IF(J728="Internal",3,0)))+IF(W728="Hard-coded",10,IF(W728="Configurable",3,0))+IF(MAX(I728,AP728)&gt;=10,10,IF(MAX(I728,AP728)&gt;=5,7,IF(MAX(I728,AP728)&gt;=2,3,0)))+IF(K728="High",10,IF(K728="Medium",5,0))))</x:f>
      </x:c>
      <x:c r="AC728" s="73" t="str">
        <x:f>IF(A728="","",IF(NOT(ISNUMBER(AB728)),"Review inputs",IF(AB728&gt;=70,"P0 - Immediate",IF(AB728&gt;=50,"P1 - High",IF(AB728&gt;=30,"P2 - Medium",IF(AB728&gt;=15,"P3 - Low","P4 - Monitor"))))))</x:f>
      </x:c>
      <x:c r="AD728" s="73"/>
      <x:c r="AE728" s="73"/>
      <x:c r="AF728" s="73"/>
      <x:c r="AG728" s="77"/>
      <x:c r="AH728" s="73"/>
      <x:c r="AI728" s="91"/>
      <x:c r="AJ728" s="91"/>
      <x:c r="AK728" s="91"/>
      <x:c r="AL728" s="92"/>
      <x:c r="AM728" s="91"/>
      <x:c r="AN728" s="91"/>
      <x:c r="AO728" s="93"/>
      <x:c r="AP728" s="94"/>
      <x:c r="AQ728" s="91"/>
      <x:c r="AR728" s="91"/>
      <x:c r="AS728" s="91"/>
      <x:c r="AT728" s="91"/>
      <x:c r="AU728" s="91"/>
      <x:c r="AV728" s="91"/>
      <x:c r="AW728" s="91"/>
      <x:c r="AX728" s="91"/>
      <x:c r="AY728" s="91"/>
      <x:c r="AZ728" s="92"/>
      <x:c r="BA728" s="94"/>
      <x:c r="BB728" s="91"/>
      <x:c r="BC728" s="92"/>
      <x:c r="BD728" s="92"/>
      <x:c r="BE728" s="91"/>
      <x:c r="BF728" s="91"/>
      <x:c r="BG728" s="91"/>
      <x:c r="BH728" s="91"/>
      <x:c r="BI728" s="91"/>
      <x:c r="BJ728" s="91"/>
      <x:c r="BK728" s="91"/>
      <x:c r="BL728" s="91"/>
      <x:c r="BM728" s="73" t="str">
        <x:f>IF(A728="","",IF(AI728="Example","Example only",IF(AI728&lt;&gt;"Actual","Set record type",IF(COUNTIF($A$2:$A$1001,A728)&gt;1,"Duplicate record ID",IF(OR(D728="",E728="",AF728="",NOT(ISNUMBER(AG728)),AJ728="",AK728="",NOT(ISNUMBER(AL728)),AND(AM728&lt;&gt;"Observed",AM728&lt;&gt;"Corroborated",AM728&lt;&gt;"Declared"),OR(AN728="",AN728="Unknown"),OR(AQ728="",AQ728="Unknown"),OR(AR728="",AR728="Unknown",AR728="TBD"),OR(BC728="",NOT(ISNUMBER(BC728)))),"Evidence incomplete","Evidence recorded; review scope")))))</x:f>
      </x:c>
      <x:c r="BN728" s="73"/>
    </x:row>
    <x:row r="729" ht="34" customHeight="1">
      <x:c r="A729" s="73"/>
      <x:c r="B729" s="73"/>
      <x:c r="C729" s="73"/>
      <x:c r="D729" s="73"/>
      <x:c r="E729" s="73"/>
      <x:c r="F729" s="73"/>
      <x:c r="G729" s="73"/>
      <x:c r="H729" s="73"/>
      <x:c r="I729" s="75"/>
      <x:c r="J729" s="73"/>
      <x:c r="K729" s="73"/>
      <x:c r="L729" s="76"/>
      <x:c r="M729" s="73"/>
      <x:c r="N729" s="73"/>
      <x:c r="O729" s="73"/>
      <x:c r="P729" s="73"/>
      <x:c r="Q729" s="76"/>
      <x:c r="R729" s="73"/>
      <x:c r="S729" s="73"/>
      <x:c r="T729" s="73"/>
      <x:c r="U729" s="73"/>
      <x:c r="V729" s="73"/>
      <x:c r="W729" s="73"/>
      <x:c r="X729" s="73"/>
      <x:c r="Y729" s="73"/>
      <x:c r="Z729" s="73"/>
      <x:c r="AA729" s="73"/>
      <x:c r="AB729" s="76" t="str">
        <x:f>IF(A729="","",IF(OR(NOT(ISNUMBER(I729)),I729&lt;0,NOT(ISNUMBER(AP729)),AP729&lt;0,NOT(ISNUMBER(L729)),L729&lt;1,L729&gt;5,L729&lt;&gt;INT(L729),AND(J729&lt;&gt;"Public",J729&lt;&gt;"Partner",J729&lt;&gt;"Internal",J729&lt;&gt;"None"),AND(K729&lt;&gt;"High",K729&lt;&gt;"Medium",K729&lt;&gt;"Low",K729&lt;&gt;"None"),AND(W729&lt;&gt;"Hard-coded",W729&lt;&gt;"Configurable",W729&lt;&gt;"Policy-managed",W729&lt;&gt;"API/Library abstraction",W729&lt;&gt;"Automated"),AND(Z729&lt;&gt;"Y",Z729&lt;&gt;"N"),AND(AA729&lt;&gt;"Y",AA729&lt;&gt;"N")),"Incomplete",IF(Z729="Y",20,0)+L729*5+IF(AA729="Y",15,0)+IF(J729="Public",10,IF(J729="Partner",7,IF(J729="Internal",3,0)))+IF(W729="Hard-coded",10,IF(W729="Configurable",3,0))+IF(MAX(I729,AP729)&gt;=10,10,IF(MAX(I729,AP729)&gt;=5,7,IF(MAX(I729,AP729)&gt;=2,3,0)))+IF(K729="High",10,IF(K729="Medium",5,0))))</x:f>
      </x:c>
      <x:c r="AC729" s="73" t="str">
        <x:f>IF(A729="","",IF(NOT(ISNUMBER(AB729)),"Review inputs",IF(AB729&gt;=70,"P0 - Immediate",IF(AB729&gt;=50,"P1 - High",IF(AB729&gt;=30,"P2 - Medium",IF(AB729&gt;=15,"P3 - Low","P4 - Monitor"))))))</x:f>
      </x:c>
      <x:c r="AD729" s="73"/>
      <x:c r="AE729" s="73"/>
      <x:c r="AF729" s="73"/>
      <x:c r="AG729" s="77"/>
      <x:c r="AH729" s="73"/>
      <x:c r="AI729" s="91"/>
      <x:c r="AJ729" s="91"/>
      <x:c r="AK729" s="91"/>
      <x:c r="AL729" s="92"/>
      <x:c r="AM729" s="91"/>
      <x:c r="AN729" s="91"/>
      <x:c r="AO729" s="93"/>
      <x:c r="AP729" s="94"/>
      <x:c r="AQ729" s="91"/>
      <x:c r="AR729" s="91"/>
      <x:c r="AS729" s="91"/>
      <x:c r="AT729" s="91"/>
      <x:c r="AU729" s="91"/>
      <x:c r="AV729" s="91"/>
      <x:c r="AW729" s="91"/>
      <x:c r="AX729" s="91"/>
      <x:c r="AY729" s="91"/>
      <x:c r="AZ729" s="92"/>
      <x:c r="BA729" s="94"/>
      <x:c r="BB729" s="91"/>
      <x:c r="BC729" s="92"/>
      <x:c r="BD729" s="92"/>
      <x:c r="BE729" s="91"/>
      <x:c r="BF729" s="91"/>
      <x:c r="BG729" s="91"/>
      <x:c r="BH729" s="91"/>
      <x:c r="BI729" s="91"/>
      <x:c r="BJ729" s="91"/>
      <x:c r="BK729" s="91"/>
      <x:c r="BL729" s="91"/>
      <x:c r="BM729" s="73" t="str">
        <x:f>IF(A729="","",IF(AI729="Example","Example only",IF(AI729&lt;&gt;"Actual","Set record type",IF(COUNTIF($A$2:$A$1001,A729)&gt;1,"Duplicate record ID",IF(OR(D729="",E729="",AF729="",NOT(ISNUMBER(AG729)),AJ729="",AK729="",NOT(ISNUMBER(AL729)),AND(AM729&lt;&gt;"Observed",AM729&lt;&gt;"Corroborated",AM729&lt;&gt;"Declared"),OR(AN729="",AN729="Unknown"),OR(AQ729="",AQ729="Unknown"),OR(AR729="",AR729="Unknown",AR729="TBD"),OR(BC729="",NOT(ISNUMBER(BC729)))),"Evidence incomplete","Evidence recorded; review scope")))))</x:f>
      </x:c>
      <x:c r="BN729" s="73"/>
    </x:row>
    <x:row r="730" ht="34" customHeight="1">
      <x:c r="A730" s="73"/>
      <x:c r="B730" s="73"/>
      <x:c r="C730" s="73"/>
      <x:c r="D730" s="73"/>
      <x:c r="E730" s="73"/>
      <x:c r="F730" s="73"/>
      <x:c r="G730" s="73"/>
      <x:c r="H730" s="73"/>
      <x:c r="I730" s="75"/>
      <x:c r="J730" s="73"/>
      <x:c r="K730" s="73"/>
      <x:c r="L730" s="76"/>
      <x:c r="M730" s="73"/>
      <x:c r="N730" s="73"/>
      <x:c r="O730" s="73"/>
      <x:c r="P730" s="73"/>
      <x:c r="Q730" s="76"/>
      <x:c r="R730" s="73"/>
      <x:c r="S730" s="73"/>
      <x:c r="T730" s="73"/>
      <x:c r="U730" s="73"/>
      <x:c r="V730" s="73"/>
      <x:c r="W730" s="73"/>
      <x:c r="X730" s="73"/>
      <x:c r="Y730" s="73"/>
      <x:c r="Z730" s="73"/>
      <x:c r="AA730" s="73"/>
      <x:c r="AB730" s="76" t="str">
        <x:f>IF(A730="","",IF(OR(NOT(ISNUMBER(I730)),I730&lt;0,NOT(ISNUMBER(AP730)),AP730&lt;0,NOT(ISNUMBER(L730)),L730&lt;1,L730&gt;5,L730&lt;&gt;INT(L730),AND(J730&lt;&gt;"Public",J730&lt;&gt;"Partner",J730&lt;&gt;"Internal",J730&lt;&gt;"None"),AND(K730&lt;&gt;"High",K730&lt;&gt;"Medium",K730&lt;&gt;"Low",K730&lt;&gt;"None"),AND(W730&lt;&gt;"Hard-coded",W730&lt;&gt;"Configurable",W730&lt;&gt;"Policy-managed",W730&lt;&gt;"API/Library abstraction",W730&lt;&gt;"Automated"),AND(Z730&lt;&gt;"Y",Z730&lt;&gt;"N"),AND(AA730&lt;&gt;"Y",AA730&lt;&gt;"N")),"Incomplete",IF(Z730="Y",20,0)+L730*5+IF(AA730="Y",15,0)+IF(J730="Public",10,IF(J730="Partner",7,IF(J730="Internal",3,0)))+IF(W730="Hard-coded",10,IF(W730="Configurable",3,0))+IF(MAX(I730,AP730)&gt;=10,10,IF(MAX(I730,AP730)&gt;=5,7,IF(MAX(I730,AP730)&gt;=2,3,0)))+IF(K730="High",10,IF(K730="Medium",5,0))))</x:f>
      </x:c>
      <x:c r="AC730" s="73" t="str">
        <x:f>IF(A730="","",IF(NOT(ISNUMBER(AB730)),"Review inputs",IF(AB730&gt;=70,"P0 - Immediate",IF(AB730&gt;=50,"P1 - High",IF(AB730&gt;=30,"P2 - Medium",IF(AB730&gt;=15,"P3 - Low","P4 - Monitor"))))))</x:f>
      </x:c>
      <x:c r="AD730" s="73"/>
      <x:c r="AE730" s="73"/>
      <x:c r="AF730" s="73"/>
      <x:c r="AG730" s="77"/>
      <x:c r="AH730" s="73"/>
      <x:c r="AI730" s="91"/>
      <x:c r="AJ730" s="91"/>
      <x:c r="AK730" s="91"/>
      <x:c r="AL730" s="92"/>
      <x:c r="AM730" s="91"/>
      <x:c r="AN730" s="91"/>
      <x:c r="AO730" s="93"/>
      <x:c r="AP730" s="94"/>
      <x:c r="AQ730" s="91"/>
      <x:c r="AR730" s="91"/>
      <x:c r="AS730" s="91"/>
      <x:c r="AT730" s="91"/>
      <x:c r="AU730" s="91"/>
      <x:c r="AV730" s="91"/>
      <x:c r="AW730" s="91"/>
      <x:c r="AX730" s="91"/>
      <x:c r="AY730" s="91"/>
      <x:c r="AZ730" s="92"/>
      <x:c r="BA730" s="94"/>
      <x:c r="BB730" s="91"/>
      <x:c r="BC730" s="92"/>
      <x:c r="BD730" s="92"/>
      <x:c r="BE730" s="91"/>
      <x:c r="BF730" s="91"/>
      <x:c r="BG730" s="91"/>
      <x:c r="BH730" s="91"/>
      <x:c r="BI730" s="91"/>
      <x:c r="BJ730" s="91"/>
      <x:c r="BK730" s="91"/>
      <x:c r="BL730" s="91"/>
      <x:c r="BM730" s="73" t="str">
        <x:f>IF(A730="","",IF(AI730="Example","Example only",IF(AI730&lt;&gt;"Actual","Set record type",IF(COUNTIF($A$2:$A$1001,A730)&gt;1,"Duplicate record ID",IF(OR(D730="",E730="",AF730="",NOT(ISNUMBER(AG730)),AJ730="",AK730="",NOT(ISNUMBER(AL730)),AND(AM730&lt;&gt;"Observed",AM730&lt;&gt;"Corroborated",AM730&lt;&gt;"Declared"),OR(AN730="",AN730="Unknown"),OR(AQ730="",AQ730="Unknown"),OR(AR730="",AR730="Unknown",AR730="TBD"),OR(BC730="",NOT(ISNUMBER(BC730)))),"Evidence incomplete","Evidence recorded; review scope")))))</x:f>
      </x:c>
      <x:c r="BN730" s="73"/>
    </x:row>
    <x:row r="731" ht="34" customHeight="1">
      <x:c r="A731" s="73"/>
      <x:c r="B731" s="73"/>
      <x:c r="C731" s="73"/>
      <x:c r="D731" s="73"/>
      <x:c r="E731" s="73"/>
      <x:c r="F731" s="73"/>
      <x:c r="G731" s="73"/>
      <x:c r="H731" s="73"/>
      <x:c r="I731" s="75"/>
      <x:c r="J731" s="73"/>
      <x:c r="K731" s="73"/>
      <x:c r="L731" s="76"/>
      <x:c r="M731" s="73"/>
      <x:c r="N731" s="73"/>
      <x:c r="O731" s="73"/>
      <x:c r="P731" s="73"/>
      <x:c r="Q731" s="76"/>
      <x:c r="R731" s="73"/>
      <x:c r="S731" s="73"/>
      <x:c r="T731" s="73"/>
      <x:c r="U731" s="73"/>
      <x:c r="V731" s="73"/>
      <x:c r="W731" s="73"/>
      <x:c r="X731" s="73"/>
      <x:c r="Y731" s="73"/>
      <x:c r="Z731" s="73"/>
      <x:c r="AA731" s="73"/>
      <x:c r="AB731" s="76" t="str">
        <x:f>IF(A731="","",IF(OR(NOT(ISNUMBER(I731)),I731&lt;0,NOT(ISNUMBER(AP731)),AP731&lt;0,NOT(ISNUMBER(L731)),L731&lt;1,L731&gt;5,L731&lt;&gt;INT(L731),AND(J731&lt;&gt;"Public",J731&lt;&gt;"Partner",J731&lt;&gt;"Internal",J731&lt;&gt;"None"),AND(K731&lt;&gt;"High",K731&lt;&gt;"Medium",K731&lt;&gt;"Low",K731&lt;&gt;"None"),AND(W731&lt;&gt;"Hard-coded",W731&lt;&gt;"Configurable",W731&lt;&gt;"Policy-managed",W731&lt;&gt;"API/Library abstraction",W731&lt;&gt;"Automated"),AND(Z731&lt;&gt;"Y",Z731&lt;&gt;"N"),AND(AA731&lt;&gt;"Y",AA731&lt;&gt;"N")),"Incomplete",IF(Z731="Y",20,0)+L731*5+IF(AA731="Y",15,0)+IF(J731="Public",10,IF(J731="Partner",7,IF(J731="Internal",3,0)))+IF(W731="Hard-coded",10,IF(W731="Configurable",3,0))+IF(MAX(I731,AP731)&gt;=10,10,IF(MAX(I731,AP731)&gt;=5,7,IF(MAX(I731,AP731)&gt;=2,3,0)))+IF(K731="High",10,IF(K731="Medium",5,0))))</x:f>
      </x:c>
      <x:c r="AC731" s="73" t="str">
        <x:f>IF(A731="","",IF(NOT(ISNUMBER(AB731)),"Review inputs",IF(AB731&gt;=70,"P0 - Immediate",IF(AB731&gt;=50,"P1 - High",IF(AB731&gt;=30,"P2 - Medium",IF(AB731&gt;=15,"P3 - Low","P4 - Monitor"))))))</x:f>
      </x:c>
      <x:c r="AD731" s="73"/>
      <x:c r="AE731" s="73"/>
      <x:c r="AF731" s="73"/>
      <x:c r="AG731" s="77"/>
      <x:c r="AH731" s="73"/>
      <x:c r="AI731" s="91"/>
      <x:c r="AJ731" s="91"/>
      <x:c r="AK731" s="91"/>
      <x:c r="AL731" s="92"/>
      <x:c r="AM731" s="91"/>
      <x:c r="AN731" s="91"/>
      <x:c r="AO731" s="93"/>
      <x:c r="AP731" s="94"/>
      <x:c r="AQ731" s="91"/>
      <x:c r="AR731" s="91"/>
      <x:c r="AS731" s="91"/>
      <x:c r="AT731" s="91"/>
      <x:c r="AU731" s="91"/>
      <x:c r="AV731" s="91"/>
      <x:c r="AW731" s="91"/>
      <x:c r="AX731" s="91"/>
      <x:c r="AY731" s="91"/>
      <x:c r="AZ731" s="92"/>
      <x:c r="BA731" s="94"/>
      <x:c r="BB731" s="91"/>
      <x:c r="BC731" s="92"/>
      <x:c r="BD731" s="92"/>
      <x:c r="BE731" s="91"/>
      <x:c r="BF731" s="91"/>
      <x:c r="BG731" s="91"/>
      <x:c r="BH731" s="91"/>
      <x:c r="BI731" s="91"/>
      <x:c r="BJ731" s="91"/>
      <x:c r="BK731" s="91"/>
      <x:c r="BL731" s="91"/>
      <x:c r="BM731" s="73" t="str">
        <x:f>IF(A731="","",IF(AI731="Example","Example only",IF(AI731&lt;&gt;"Actual","Set record type",IF(COUNTIF($A$2:$A$1001,A731)&gt;1,"Duplicate record ID",IF(OR(D731="",E731="",AF731="",NOT(ISNUMBER(AG731)),AJ731="",AK731="",NOT(ISNUMBER(AL731)),AND(AM731&lt;&gt;"Observed",AM731&lt;&gt;"Corroborated",AM731&lt;&gt;"Declared"),OR(AN731="",AN731="Unknown"),OR(AQ731="",AQ731="Unknown"),OR(AR731="",AR731="Unknown",AR731="TBD"),OR(BC731="",NOT(ISNUMBER(BC731)))),"Evidence incomplete","Evidence recorded; review scope")))))</x:f>
      </x:c>
      <x:c r="BN731" s="73"/>
    </x:row>
    <x:row r="732" ht="34" customHeight="1">
      <x:c r="A732" s="73"/>
      <x:c r="B732" s="73"/>
      <x:c r="C732" s="73"/>
      <x:c r="D732" s="73"/>
      <x:c r="E732" s="73"/>
      <x:c r="F732" s="73"/>
      <x:c r="G732" s="73"/>
      <x:c r="H732" s="73"/>
      <x:c r="I732" s="75"/>
      <x:c r="J732" s="73"/>
      <x:c r="K732" s="73"/>
      <x:c r="L732" s="76"/>
      <x:c r="M732" s="73"/>
      <x:c r="N732" s="73"/>
      <x:c r="O732" s="73"/>
      <x:c r="P732" s="73"/>
      <x:c r="Q732" s="76"/>
      <x:c r="R732" s="73"/>
      <x:c r="S732" s="73"/>
      <x:c r="T732" s="73"/>
      <x:c r="U732" s="73"/>
      <x:c r="V732" s="73"/>
      <x:c r="W732" s="73"/>
      <x:c r="X732" s="73"/>
      <x:c r="Y732" s="73"/>
      <x:c r="Z732" s="73"/>
      <x:c r="AA732" s="73"/>
      <x:c r="AB732" s="76" t="str">
        <x:f>IF(A732="","",IF(OR(NOT(ISNUMBER(I732)),I732&lt;0,NOT(ISNUMBER(AP732)),AP732&lt;0,NOT(ISNUMBER(L732)),L732&lt;1,L732&gt;5,L732&lt;&gt;INT(L732),AND(J732&lt;&gt;"Public",J732&lt;&gt;"Partner",J732&lt;&gt;"Internal",J732&lt;&gt;"None"),AND(K732&lt;&gt;"High",K732&lt;&gt;"Medium",K732&lt;&gt;"Low",K732&lt;&gt;"None"),AND(W732&lt;&gt;"Hard-coded",W732&lt;&gt;"Configurable",W732&lt;&gt;"Policy-managed",W732&lt;&gt;"API/Library abstraction",W732&lt;&gt;"Automated"),AND(Z732&lt;&gt;"Y",Z732&lt;&gt;"N"),AND(AA732&lt;&gt;"Y",AA732&lt;&gt;"N")),"Incomplete",IF(Z732="Y",20,0)+L732*5+IF(AA732="Y",15,0)+IF(J732="Public",10,IF(J732="Partner",7,IF(J732="Internal",3,0)))+IF(W732="Hard-coded",10,IF(W732="Configurable",3,0))+IF(MAX(I732,AP732)&gt;=10,10,IF(MAX(I732,AP732)&gt;=5,7,IF(MAX(I732,AP732)&gt;=2,3,0)))+IF(K732="High",10,IF(K732="Medium",5,0))))</x:f>
      </x:c>
      <x:c r="AC732" s="73" t="str">
        <x:f>IF(A732="","",IF(NOT(ISNUMBER(AB732)),"Review inputs",IF(AB732&gt;=70,"P0 - Immediate",IF(AB732&gt;=50,"P1 - High",IF(AB732&gt;=30,"P2 - Medium",IF(AB732&gt;=15,"P3 - Low","P4 - Monitor"))))))</x:f>
      </x:c>
      <x:c r="AD732" s="73"/>
      <x:c r="AE732" s="73"/>
      <x:c r="AF732" s="73"/>
      <x:c r="AG732" s="77"/>
      <x:c r="AH732" s="73"/>
      <x:c r="AI732" s="91"/>
      <x:c r="AJ732" s="91"/>
      <x:c r="AK732" s="91"/>
      <x:c r="AL732" s="92"/>
      <x:c r="AM732" s="91"/>
      <x:c r="AN732" s="91"/>
      <x:c r="AO732" s="93"/>
      <x:c r="AP732" s="94"/>
      <x:c r="AQ732" s="91"/>
      <x:c r="AR732" s="91"/>
      <x:c r="AS732" s="91"/>
      <x:c r="AT732" s="91"/>
      <x:c r="AU732" s="91"/>
      <x:c r="AV732" s="91"/>
      <x:c r="AW732" s="91"/>
      <x:c r="AX732" s="91"/>
      <x:c r="AY732" s="91"/>
      <x:c r="AZ732" s="92"/>
      <x:c r="BA732" s="94"/>
      <x:c r="BB732" s="91"/>
      <x:c r="BC732" s="92"/>
      <x:c r="BD732" s="92"/>
      <x:c r="BE732" s="91"/>
      <x:c r="BF732" s="91"/>
      <x:c r="BG732" s="91"/>
      <x:c r="BH732" s="91"/>
      <x:c r="BI732" s="91"/>
      <x:c r="BJ732" s="91"/>
      <x:c r="BK732" s="91"/>
      <x:c r="BL732" s="91"/>
      <x:c r="BM732" s="73" t="str">
        <x:f>IF(A732="","",IF(AI732="Example","Example only",IF(AI732&lt;&gt;"Actual","Set record type",IF(COUNTIF($A$2:$A$1001,A732)&gt;1,"Duplicate record ID",IF(OR(D732="",E732="",AF732="",NOT(ISNUMBER(AG732)),AJ732="",AK732="",NOT(ISNUMBER(AL732)),AND(AM732&lt;&gt;"Observed",AM732&lt;&gt;"Corroborated",AM732&lt;&gt;"Declared"),OR(AN732="",AN732="Unknown"),OR(AQ732="",AQ732="Unknown"),OR(AR732="",AR732="Unknown",AR732="TBD"),OR(BC732="",NOT(ISNUMBER(BC732)))),"Evidence incomplete","Evidence recorded; review scope")))))</x:f>
      </x:c>
      <x:c r="BN732" s="73"/>
    </x:row>
    <x:row r="733" ht="34" customHeight="1">
      <x:c r="A733" s="73"/>
      <x:c r="B733" s="73"/>
      <x:c r="C733" s="73"/>
      <x:c r="D733" s="73"/>
      <x:c r="E733" s="73"/>
      <x:c r="F733" s="73"/>
      <x:c r="G733" s="73"/>
      <x:c r="H733" s="73"/>
      <x:c r="I733" s="75"/>
      <x:c r="J733" s="73"/>
      <x:c r="K733" s="73"/>
      <x:c r="L733" s="76"/>
      <x:c r="M733" s="73"/>
      <x:c r="N733" s="73"/>
      <x:c r="O733" s="73"/>
      <x:c r="P733" s="73"/>
      <x:c r="Q733" s="76"/>
      <x:c r="R733" s="73"/>
      <x:c r="S733" s="73"/>
      <x:c r="T733" s="73"/>
      <x:c r="U733" s="73"/>
      <x:c r="V733" s="73"/>
      <x:c r="W733" s="73"/>
      <x:c r="X733" s="73"/>
      <x:c r="Y733" s="73"/>
      <x:c r="Z733" s="73"/>
      <x:c r="AA733" s="73"/>
      <x:c r="AB733" s="76" t="str">
        <x:f>IF(A733="","",IF(OR(NOT(ISNUMBER(I733)),I733&lt;0,NOT(ISNUMBER(AP733)),AP733&lt;0,NOT(ISNUMBER(L733)),L733&lt;1,L733&gt;5,L733&lt;&gt;INT(L733),AND(J733&lt;&gt;"Public",J733&lt;&gt;"Partner",J733&lt;&gt;"Internal",J733&lt;&gt;"None"),AND(K733&lt;&gt;"High",K733&lt;&gt;"Medium",K733&lt;&gt;"Low",K733&lt;&gt;"None"),AND(W733&lt;&gt;"Hard-coded",W733&lt;&gt;"Configurable",W733&lt;&gt;"Policy-managed",W733&lt;&gt;"API/Library abstraction",W733&lt;&gt;"Automated"),AND(Z733&lt;&gt;"Y",Z733&lt;&gt;"N"),AND(AA733&lt;&gt;"Y",AA733&lt;&gt;"N")),"Incomplete",IF(Z733="Y",20,0)+L733*5+IF(AA733="Y",15,0)+IF(J733="Public",10,IF(J733="Partner",7,IF(J733="Internal",3,0)))+IF(W733="Hard-coded",10,IF(W733="Configurable",3,0))+IF(MAX(I733,AP733)&gt;=10,10,IF(MAX(I733,AP733)&gt;=5,7,IF(MAX(I733,AP733)&gt;=2,3,0)))+IF(K733="High",10,IF(K733="Medium",5,0))))</x:f>
      </x:c>
      <x:c r="AC733" s="73" t="str">
        <x:f>IF(A733="","",IF(NOT(ISNUMBER(AB733)),"Review inputs",IF(AB733&gt;=70,"P0 - Immediate",IF(AB733&gt;=50,"P1 - High",IF(AB733&gt;=30,"P2 - Medium",IF(AB733&gt;=15,"P3 - Low","P4 - Monitor"))))))</x:f>
      </x:c>
      <x:c r="AD733" s="73"/>
      <x:c r="AE733" s="73"/>
      <x:c r="AF733" s="73"/>
      <x:c r="AG733" s="77"/>
      <x:c r="AH733" s="73"/>
      <x:c r="AI733" s="91"/>
      <x:c r="AJ733" s="91"/>
      <x:c r="AK733" s="91"/>
      <x:c r="AL733" s="92"/>
      <x:c r="AM733" s="91"/>
      <x:c r="AN733" s="91"/>
      <x:c r="AO733" s="93"/>
      <x:c r="AP733" s="94"/>
      <x:c r="AQ733" s="91"/>
      <x:c r="AR733" s="91"/>
      <x:c r="AS733" s="91"/>
      <x:c r="AT733" s="91"/>
      <x:c r="AU733" s="91"/>
      <x:c r="AV733" s="91"/>
      <x:c r="AW733" s="91"/>
      <x:c r="AX733" s="91"/>
      <x:c r="AY733" s="91"/>
      <x:c r="AZ733" s="92"/>
      <x:c r="BA733" s="94"/>
      <x:c r="BB733" s="91"/>
      <x:c r="BC733" s="92"/>
      <x:c r="BD733" s="92"/>
      <x:c r="BE733" s="91"/>
      <x:c r="BF733" s="91"/>
      <x:c r="BG733" s="91"/>
      <x:c r="BH733" s="91"/>
      <x:c r="BI733" s="91"/>
      <x:c r="BJ733" s="91"/>
      <x:c r="BK733" s="91"/>
      <x:c r="BL733" s="91"/>
      <x:c r="BM733" s="73" t="str">
        <x:f>IF(A733="","",IF(AI733="Example","Example only",IF(AI733&lt;&gt;"Actual","Set record type",IF(COUNTIF($A$2:$A$1001,A733)&gt;1,"Duplicate record ID",IF(OR(D733="",E733="",AF733="",NOT(ISNUMBER(AG733)),AJ733="",AK733="",NOT(ISNUMBER(AL733)),AND(AM733&lt;&gt;"Observed",AM733&lt;&gt;"Corroborated",AM733&lt;&gt;"Declared"),OR(AN733="",AN733="Unknown"),OR(AQ733="",AQ733="Unknown"),OR(AR733="",AR733="Unknown",AR733="TBD"),OR(BC733="",NOT(ISNUMBER(BC733)))),"Evidence incomplete","Evidence recorded; review scope")))))</x:f>
      </x:c>
      <x:c r="BN733" s="73"/>
    </x:row>
    <x:row r="734" ht="34" customHeight="1">
      <x:c r="A734" s="73"/>
      <x:c r="B734" s="73"/>
      <x:c r="C734" s="73"/>
      <x:c r="D734" s="73"/>
      <x:c r="E734" s="73"/>
      <x:c r="F734" s="73"/>
      <x:c r="G734" s="73"/>
      <x:c r="H734" s="73"/>
      <x:c r="I734" s="75"/>
      <x:c r="J734" s="73"/>
      <x:c r="K734" s="73"/>
      <x:c r="L734" s="76"/>
      <x:c r="M734" s="73"/>
      <x:c r="N734" s="73"/>
      <x:c r="O734" s="73"/>
      <x:c r="P734" s="73"/>
      <x:c r="Q734" s="76"/>
      <x:c r="R734" s="73"/>
      <x:c r="S734" s="73"/>
      <x:c r="T734" s="73"/>
      <x:c r="U734" s="73"/>
      <x:c r="V734" s="73"/>
      <x:c r="W734" s="73"/>
      <x:c r="X734" s="73"/>
      <x:c r="Y734" s="73"/>
      <x:c r="Z734" s="73"/>
      <x:c r="AA734" s="73"/>
      <x:c r="AB734" s="76" t="str">
        <x:f>IF(A734="","",IF(OR(NOT(ISNUMBER(I734)),I734&lt;0,NOT(ISNUMBER(AP734)),AP734&lt;0,NOT(ISNUMBER(L734)),L734&lt;1,L734&gt;5,L734&lt;&gt;INT(L734),AND(J734&lt;&gt;"Public",J734&lt;&gt;"Partner",J734&lt;&gt;"Internal",J734&lt;&gt;"None"),AND(K734&lt;&gt;"High",K734&lt;&gt;"Medium",K734&lt;&gt;"Low",K734&lt;&gt;"None"),AND(W734&lt;&gt;"Hard-coded",W734&lt;&gt;"Configurable",W734&lt;&gt;"Policy-managed",W734&lt;&gt;"API/Library abstraction",W734&lt;&gt;"Automated"),AND(Z734&lt;&gt;"Y",Z734&lt;&gt;"N"),AND(AA734&lt;&gt;"Y",AA734&lt;&gt;"N")),"Incomplete",IF(Z734="Y",20,0)+L734*5+IF(AA734="Y",15,0)+IF(J734="Public",10,IF(J734="Partner",7,IF(J734="Internal",3,0)))+IF(W734="Hard-coded",10,IF(W734="Configurable",3,0))+IF(MAX(I734,AP734)&gt;=10,10,IF(MAX(I734,AP734)&gt;=5,7,IF(MAX(I734,AP734)&gt;=2,3,0)))+IF(K734="High",10,IF(K734="Medium",5,0))))</x:f>
      </x:c>
      <x:c r="AC734" s="73" t="str">
        <x:f>IF(A734="","",IF(NOT(ISNUMBER(AB734)),"Review inputs",IF(AB734&gt;=70,"P0 - Immediate",IF(AB734&gt;=50,"P1 - High",IF(AB734&gt;=30,"P2 - Medium",IF(AB734&gt;=15,"P3 - Low","P4 - Monitor"))))))</x:f>
      </x:c>
      <x:c r="AD734" s="73"/>
      <x:c r="AE734" s="73"/>
      <x:c r="AF734" s="73"/>
      <x:c r="AG734" s="77"/>
      <x:c r="AH734" s="73"/>
      <x:c r="AI734" s="91"/>
      <x:c r="AJ734" s="91"/>
      <x:c r="AK734" s="91"/>
      <x:c r="AL734" s="92"/>
      <x:c r="AM734" s="91"/>
      <x:c r="AN734" s="91"/>
      <x:c r="AO734" s="93"/>
      <x:c r="AP734" s="94"/>
      <x:c r="AQ734" s="91"/>
      <x:c r="AR734" s="91"/>
      <x:c r="AS734" s="91"/>
      <x:c r="AT734" s="91"/>
      <x:c r="AU734" s="91"/>
      <x:c r="AV734" s="91"/>
      <x:c r="AW734" s="91"/>
      <x:c r="AX734" s="91"/>
      <x:c r="AY734" s="91"/>
      <x:c r="AZ734" s="92"/>
      <x:c r="BA734" s="94"/>
      <x:c r="BB734" s="91"/>
      <x:c r="BC734" s="92"/>
      <x:c r="BD734" s="92"/>
      <x:c r="BE734" s="91"/>
      <x:c r="BF734" s="91"/>
      <x:c r="BG734" s="91"/>
      <x:c r="BH734" s="91"/>
      <x:c r="BI734" s="91"/>
      <x:c r="BJ734" s="91"/>
      <x:c r="BK734" s="91"/>
      <x:c r="BL734" s="91"/>
      <x:c r="BM734" s="73" t="str">
        <x:f>IF(A734="","",IF(AI734="Example","Example only",IF(AI734&lt;&gt;"Actual","Set record type",IF(COUNTIF($A$2:$A$1001,A734)&gt;1,"Duplicate record ID",IF(OR(D734="",E734="",AF734="",NOT(ISNUMBER(AG734)),AJ734="",AK734="",NOT(ISNUMBER(AL734)),AND(AM734&lt;&gt;"Observed",AM734&lt;&gt;"Corroborated",AM734&lt;&gt;"Declared"),OR(AN734="",AN734="Unknown"),OR(AQ734="",AQ734="Unknown"),OR(AR734="",AR734="Unknown",AR734="TBD"),OR(BC734="",NOT(ISNUMBER(BC734)))),"Evidence incomplete","Evidence recorded; review scope")))))</x:f>
      </x:c>
      <x:c r="BN734" s="73"/>
    </x:row>
    <x:row r="735" ht="34" customHeight="1">
      <x:c r="A735" s="73"/>
      <x:c r="B735" s="73"/>
      <x:c r="C735" s="73"/>
      <x:c r="D735" s="73"/>
      <x:c r="E735" s="73"/>
      <x:c r="F735" s="73"/>
      <x:c r="G735" s="73"/>
      <x:c r="H735" s="73"/>
      <x:c r="I735" s="75"/>
      <x:c r="J735" s="73"/>
      <x:c r="K735" s="73"/>
      <x:c r="L735" s="76"/>
      <x:c r="M735" s="73"/>
      <x:c r="N735" s="73"/>
      <x:c r="O735" s="73"/>
      <x:c r="P735" s="73"/>
      <x:c r="Q735" s="76"/>
      <x:c r="R735" s="73"/>
      <x:c r="S735" s="73"/>
      <x:c r="T735" s="73"/>
      <x:c r="U735" s="73"/>
      <x:c r="V735" s="73"/>
      <x:c r="W735" s="73"/>
      <x:c r="X735" s="73"/>
      <x:c r="Y735" s="73"/>
      <x:c r="Z735" s="73"/>
      <x:c r="AA735" s="73"/>
      <x:c r="AB735" s="76" t="str">
        <x:f>IF(A735="","",IF(OR(NOT(ISNUMBER(I735)),I735&lt;0,NOT(ISNUMBER(AP735)),AP735&lt;0,NOT(ISNUMBER(L735)),L735&lt;1,L735&gt;5,L735&lt;&gt;INT(L735),AND(J735&lt;&gt;"Public",J735&lt;&gt;"Partner",J735&lt;&gt;"Internal",J735&lt;&gt;"None"),AND(K735&lt;&gt;"High",K735&lt;&gt;"Medium",K735&lt;&gt;"Low",K735&lt;&gt;"None"),AND(W735&lt;&gt;"Hard-coded",W735&lt;&gt;"Configurable",W735&lt;&gt;"Policy-managed",W735&lt;&gt;"API/Library abstraction",W735&lt;&gt;"Automated"),AND(Z735&lt;&gt;"Y",Z735&lt;&gt;"N"),AND(AA735&lt;&gt;"Y",AA735&lt;&gt;"N")),"Incomplete",IF(Z735="Y",20,0)+L735*5+IF(AA735="Y",15,0)+IF(J735="Public",10,IF(J735="Partner",7,IF(J735="Internal",3,0)))+IF(W735="Hard-coded",10,IF(W735="Configurable",3,0))+IF(MAX(I735,AP735)&gt;=10,10,IF(MAX(I735,AP735)&gt;=5,7,IF(MAX(I735,AP735)&gt;=2,3,0)))+IF(K735="High",10,IF(K735="Medium",5,0))))</x:f>
      </x:c>
      <x:c r="AC735" s="73" t="str">
        <x:f>IF(A735="","",IF(NOT(ISNUMBER(AB735)),"Review inputs",IF(AB735&gt;=70,"P0 - Immediate",IF(AB735&gt;=50,"P1 - High",IF(AB735&gt;=30,"P2 - Medium",IF(AB735&gt;=15,"P3 - Low","P4 - Monitor"))))))</x:f>
      </x:c>
      <x:c r="AD735" s="73"/>
      <x:c r="AE735" s="73"/>
      <x:c r="AF735" s="73"/>
      <x:c r="AG735" s="77"/>
      <x:c r="AH735" s="73"/>
      <x:c r="AI735" s="91"/>
      <x:c r="AJ735" s="91"/>
      <x:c r="AK735" s="91"/>
      <x:c r="AL735" s="92"/>
      <x:c r="AM735" s="91"/>
      <x:c r="AN735" s="91"/>
      <x:c r="AO735" s="93"/>
      <x:c r="AP735" s="94"/>
      <x:c r="AQ735" s="91"/>
      <x:c r="AR735" s="91"/>
      <x:c r="AS735" s="91"/>
      <x:c r="AT735" s="91"/>
      <x:c r="AU735" s="91"/>
      <x:c r="AV735" s="91"/>
      <x:c r="AW735" s="91"/>
      <x:c r="AX735" s="91"/>
      <x:c r="AY735" s="91"/>
      <x:c r="AZ735" s="92"/>
      <x:c r="BA735" s="94"/>
      <x:c r="BB735" s="91"/>
      <x:c r="BC735" s="92"/>
      <x:c r="BD735" s="92"/>
      <x:c r="BE735" s="91"/>
      <x:c r="BF735" s="91"/>
      <x:c r="BG735" s="91"/>
      <x:c r="BH735" s="91"/>
      <x:c r="BI735" s="91"/>
      <x:c r="BJ735" s="91"/>
      <x:c r="BK735" s="91"/>
      <x:c r="BL735" s="91"/>
      <x:c r="BM735" s="73" t="str">
        <x:f>IF(A735="","",IF(AI735="Example","Example only",IF(AI735&lt;&gt;"Actual","Set record type",IF(COUNTIF($A$2:$A$1001,A735)&gt;1,"Duplicate record ID",IF(OR(D735="",E735="",AF735="",NOT(ISNUMBER(AG735)),AJ735="",AK735="",NOT(ISNUMBER(AL735)),AND(AM735&lt;&gt;"Observed",AM735&lt;&gt;"Corroborated",AM735&lt;&gt;"Declared"),OR(AN735="",AN735="Unknown"),OR(AQ735="",AQ735="Unknown"),OR(AR735="",AR735="Unknown",AR735="TBD"),OR(BC735="",NOT(ISNUMBER(BC735)))),"Evidence incomplete","Evidence recorded; review scope")))))</x:f>
      </x:c>
      <x:c r="BN735" s="73"/>
    </x:row>
    <x:row r="736" ht="34" customHeight="1">
      <x:c r="A736" s="73"/>
      <x:c r="B736" s="73"/>
      <x:c r="C736" s="73"/>
      <x:c r="D736" s="73"/>
      <x:c r="E736" s="73"/>
      <x:c r="F736" s="73"/>
      <x:c r="G736" s="73"/>
      <x:c r="H736" s="73"/>
      <x:c r="I736" s="75"/>
      <x:c r="J736" s="73"/>
      <x:c r="K736" s="73"/>
      <x:c r="L736" s="76"/>
      <x:c r="M736" s="73"/>
      <x:c r="N736" s="73"/>
      <x:c r="O736" s="73"/>
      <x:c r="P736" s="73"/>
      <x:c r="Q736" s="76"/>
      <x:c r="R736" s="73"/>
      <x:c r="S736" s="73"/>
      <x:c r="T736" s="73"/>
      <x:c r="U736" s="73"/>
      <x:c r="V736" s="73"/>
      <x:c r="W736" s="73"/>
      <x:c r="X736" s="73"/>
      <x:c r="Y736" s="73"/>
      <x:c r="Z736" s="73"/>
      <x:c r="AA736" s="73"/>
      <x:c r="AB736" s="76" t="str">
        <x:f>IF(A736="","",IF(OR(NOT(ISNUMBER(I736)),I736&lt;0,NOT(ISNUMBER(AP736)),AP736&lt;0,NOT(ISNUMBER(L736)),L736&lt;1,L736&gt;5,L736&lt;&gt;INT(L736),AND(J736&lt;&gt;"Public",J736&lt;&gt;"Partner",J736&lt;&gt;"Internal",J736&lt;&gt;"None"),AND(K736&lt;&gt;"High",K736&lt;&gt;"Medium",K736&lt;&gt;"Low",K736&lt;&gt;"None"),AND(W736&lt;&gt;"Hard-coded",W736&lt;&gt;"Configurable",W736&lt;&gt;"Policy-managed",W736&lt;&gt;"API/Library abstraction",W736&lt;&gt;"Automated"),AND(Z736&lt;&gt;"Y",Z736&lt;&gt;"N"),AND(AA736&lt;&gt;"Y",AA736&lt;&gt;"N")),"Incomplete",IF(Z736="Y",20,0)+L736*5+IF(AA736="Y",15,0)+IF(J736="Public",10,IF(J736="Partner",7,IF(J736="Internal",3,0)))+IF(W736="Hard-coded",10,IF(W736="Configurable",3,0))+IF(MAX(I736,AP736)&gt;=10,10,IF(MAX(I736,AP736)&gt;=5,7,IF(MAX(I736,AP736)&gt;=2,3,0)))+IF(K736="High",10,IF(K736="Medium",5,0))))</x:f>
      </x:c>
      <x:c r="AC736" s="73" t="str">
        <x:f>IF(A736="","",IF(NOT(ISNUMBER(AB736)),"Review inputs",IF(AB736&gt;=70,"P0 - Immediate",IF(AB736&gt;=50,"P1 - High",IF(AB736&gt;=30,"P2 - Medium",IF(AB736&gt;=15,"P3 - Low","P4 - Monitor"))))))</x:f>
      </x:c>
      <x:c r="AD736" s="73"/>
      <x:c r="AE736" s="73"/>
      <x:c r="AF736" s="73"/>
      <x:c r="AG736" s="77"/>
      <x:c r="AH736" s="73"/>
      <x:c r="AI736" s="91"/>
      <x:c r="AJ736" s="91"/>
      <x:c r="AK736" s="91"/>
      <x:c r="AL736" s="92"/>
      <x:c r="AM736" s="91"/>
      <x:c r="AN736" s="91"/>
      <x:c r="AO736" s="93"/>
      <x:c r="AP736" s="94"/>
      <x:c r="AQ736" s="91"/>
      <x:c r="AR736" s="91"/>
      <x:c r="AS736" s="91"/>
      <x:c r="AT736" s="91"/>
      <x:c r="AU736" s="91"/>
      <x:c r="AV736" s="91"/>
      <x:c r="AW736" s="91"/>
      <x:c r="AX736" s="91"/>
      <x:c r="AY736" s="91"/>
      <x:c r="AZ736" s="92"/>
      <x:c r="BA736" s="94"/>
      <x:c r="BB736" s="91"/>
      <x:c r="BC736" s="92"/>
      <x:c r="BD736" s="92"/>
      <x:c r="BE736" s="91"/>
      <x:c r="BF736" s="91"/>
      <x:c r="BG736" s="91"/>
      <x:c r="BH736" s="91"/>
      <x:c r="BI736" s="91"/>
      <x:c r="BJ736" s="91"/>
      <x:c r="BK736" s="91"/>
      <x:c r="BL736" s="91"/>
      <x:c r="BM736" s="73" t="str">
        <x:f>IF(A736="","",IF(AI736="Example","Example only",IF(AI736&lt;&gt;"Actual","Set record type",IF(COUNTIF($A$2:$A$1001,A736)&gt;1,"Duplicate record ID",IF(OR(D736="",E736="",AF736="",NOT(ISNUMBER(AG736)),AJ736="",AK736="",NOT(ISNUMBER(AL736)),AND(AM736&lt;&gt;"Observed",AM736&lt;&gt;"Corroborated",AM736&lt;&gt;"Declared"),OR(AN736="",AN736="Unknown"),OR(AQ736="",AQ736="Unknown"),OR(AR736="",AR736="Unknown",AR736="TBD"),OR(BC736="",NOT(ISNUMBER(BC736)))),"Evidence incomplete","Evidence recorded; review scope")))))</x:f>
      </x:c>
      <x:c r="BN736" s="73"/>
    </x:row>
    <x:row r="737" ht="34" customHeight="1">
      <x:c r="A737" s="73"/>
      <x:c r="B737" s="73"/>
      <x:c r="C737" s="73"/>
      <x:c r="D737" s="73"/>
      <x:c r="E737" s="73"/>
      <x:c r="F737" s="73"/>
      <x:c r="G737" s="73"/>
      <x:c r="H737" s="73"/>
      <x:c r="I737" s="75"/>
      <x:c r="J737" s="73"/>
      <x:c r="K737" s="73"/>
      <x:c r="L737" s="76"/>
      <x:c r="M737" s="73"/>
      <x:c r="N737" s="73"/>
      <x:c r="O737" s="73"/>
      <x:c r="P737" s="73"/>
      <x:c r="Q737" s="76"/>
      <x:c r="R737" s="73"/>
      <x:c r="S737" s="73"/>
      <x:c r="T737" s="73"/>
      <x:c r="U737" s="73"/>
      <x:c r="V737" s="73"/>
      <x:c r="W737" s="73"/>
      <x:c r="X737" s="73"/>
      <x:c r="Y737" s="73"/>
      <x:c r="Z737" s="73"/>
      <x:c r="AA737" s="73"/>
      <x:c r="AB737" s="76" t="str">
        <x:f>IF(A737="","",IF(OR(NOT(ISNUMBER(I737)),I737&lt;0,NOT(ISNUMBER(AP737)),AP737&lt;0,NOT(ISNUMBER(L737)),L737&lt;1,L737&gt;5,L737&lt;&gt;INT(L737),AND(J737&lt;&gt;"Public",J737&lt;&gt;"Partner",J737&lt;&gt;"Internal",J737&lt;&gt;"None"),AND(K737&lt;&gt;"High",K737&lt;&gt;"Medium",K737&lt;&gt;"Low",K737&lt;&gt;"None"),AND(W737&lt;&gt;"Hard-coded",W737&lt;&gt;"Configurable",W737&lt;&gt;"Policy-managed",W737&lt;&gt;"API/Library abstraction",W737&lt;&gt;"Automated"),AND(Z737&lt;&gt;"Y",Z737&lt;&gt;"N"),AND(AA737&lt;&gt;"Y",AA737&lt;&gt;"N")),"Incomplete",IF(Z737="Y",20,0)+L737*5+IF(AA737="Y",15,0)+IF(J737="Public",10,IF(J737="Partner",7,IF(J737="Internal",3,0)))+IF(W737="Hard-coded",10,IF(W737="Configurable",3,0))+IF(MAX(I737,AP737)&gt;=10,10,IF(MAX(I737,AP737)&gt;=5,7,IF(MAX(I737,AP737)&gt;=2,3,0)))+IF(K737="High",10,IF(K737="Medium",5,0))))</x:f>
      </x:c>
      <x:c r="AC737" s="73" t="str">
        <x:f>IF(A737="","",IF(NOT(ISNUMBER(AB737)),"Review inputs",IF(AB737&gt;=70,"P0 - Immediate",IF(AB737&gt;=50,"P1 - High",IF(AB737&gt;=30,"P2 - Medium",IF(AB737&gt;=15,"P3 - Low","P4 - Monitor"))))))</x:f>
      </x:c>
      <x:c r="AD737" s="73"/>
      <x:c r="AE737" s="73"/>
      <x:c r="AF737" s="73"/>
      <x:c r="AG737" s="77"/>
      <x:c r="AH737" s="73"/>
      <x:c r="AI737" s="91"/>
      <x:c r="AJ737" s="91"/>
      <x:c r="AK737" s="91"/>
      <x:c r="AL737" s="92"/>
      <x:c r="AM737" s="91"/>
      <x:c r="AN737" s="91"/>
      <x:c r="AO737" s="93"/>
      <x:c r="AP737" s="94"/>
      <x:c r="AQ737" s="91"/>
      <x:c r="AR737" s="91"/>
      <x:c r="AS737" s="91"/>
      <x:c r="AT737" s="91"/>
      <x:c r="AU737" s="91"/>
      <x:c r="AV737" s="91"/>
      <x:c r="AW737" s="91"/>
      <x:c r="AX737" s="91"/>
      <x:c r="AY737" s="91"/>
      <x:c r="AZ737" s="92"/>
      <x:c r="BA737" s="94"/>
      <x:c r="BB737" s="91"/>
      <x:c r="BC737" s="92"/>
      <x:c r="BD737" s="92"/>
      <x:c r="BE737" s="91"/>
      <x:c r="BF737" s="91"/>
      <x:c r="BG737" s="91"/>
      <x:c r="BH737" s="91"/>
      <x:c r="BI737" s="91"/>
      <x:c r="BJ737" s="91"/>
      <x:c r="BK737" s="91"/>
      <x:c r="BL737" s="91"/>
      <x:c r="BM737" s="73" t="str">
        <x:f>IF(A737="","",IF(AI737="Example","Example only",IF(AI737&lt;&gt;"Actual","Set record type",IF(COUNTIF($A$2:$A$1001,A737)&gt;1,"Duplicate record ID",IF(OR(D737="",E737="",AF737="",NOT(ISNUMBER(AG737)),AJ737="",AK737="",NOT(ISNUMBER(AL737)),AND(AM737&lt;&gt;"Observed",AM737&lt;&gt;"Corroborated",AM737&lt;&gt;"Declared"),OR(AN737="",AN737="Unknown"),OR(AQ737="",AQ737="Unknown"),OR(AR737="",AR737="Unknown",AR737="TBD"),OR(BC737="",NOT(ISNUMBER(BC737)))),"Evidence incomplete","Evidence recorded; review scope")))))</x:f>
      </x:c>
      <x:c r="BN737" s="73"/>
    </x:row>
    <x:row r="738" ht="34" customHeight="1">
      <x:c r="A738" s="73"/>
      <x:c r="B738" s="73"/>
      <x:c r="C738" s="73"/>
      <x:c r="D738" s="73"/>
      <x:c r="E738" s="73"/>
      <x:c r="F738" s="73"/>
      <x:c r="G738" s="73"/>
      <x:c r="H738" s="73"/>
      <x:c r="I738" s="75"/>
      <x:c r="J738" s="73"/>
      <x:c r="K738" s="73"/>
      <x:c r="L738" s="76"/>
      <x:c r="M738" s="73"/>
      <x:c r="N738" s="73"/>
      <x:c r="O738" s="73"/>
      <x:c r="P738" s="73"/>
      <x:c r="Q738" s="76"/>
      <x:c r="R738" s="73"/>
      <x:c r="S738" s="73"/>
      <x:c r="T738" s="73"/>
      <x:c r="U738" s="73"/>
      <x:c r="V738" s="73"/>
      <x:c r="W738" s="73"/>
      <x:c r="X738" s="73"/>
      <x:c r="Y738" s="73"/>
      <x:c r="Z738" s="73"/>
      <x:c r="AA738" s="73"/>
      <x:c r="AB738" s="76" t="str">
        <x:f>IF(A738="","",IF(OR(NOT(ISNUMBER(I738)),I738&lt;0,NOT(ISNUMBER(AP738)),AP738&lt;0,NOT(ISNUMBER(L738)),L738&lt;1,L738&gt;5,L738&lt;&gt;INT(L738),AND(J738&lt;&gt;"Public",J738&lt;&gt;"Partner",J738&lt;&gt;"Internal",J738&lt;&gt;"None"),AND(K738&lt;&gt;"High",K738&lt;&gt;"Medium",K738&lt;&gt;"Low",K738&lt;&gt;"None"),AND(W738&lt;&gt;"Hard-coded",W738&lt;&gt;"Configurable",W738&lt;&gt;"Policy-managed",W738&lt;&gt;"API/Library abstraction",W738&lt;&gt;"Automated"),AND(Z738&lt;&gt;"Y",Z738&lt;&gt;"N"),AND(AA738&lt;&gt;"Y",AA738&lt;&gt;"N")),"Incomplete",IF(Z738="Y",20,0)+L738*5+IF(AA738="Y",15,0)+IF(J738="Public",10,IF(J738="Partner",7,IF(J738="Internal",3,0)))+IF(W738="Hard-coded",10,IF(W738="Configurable",3,0))+IF(MAX(I738,AP738)&gt;=10,10,IF(MAX(I738,AP738)&gt;=5,7,IF(MAX(I738,AP738)&gt;=2,3,0)))+IF(K738="High",10,IF(K738="Medium",5,0))))</x:f>
      </x:c>
      <x:c r="AC738" s="73" t="str">
        <x:f>IF(A738="","",IF(NOT(ISNUMBER(AB738)),"Review inputs",IF(AB738&gt;=70,"P0 - Immediate",IF(AB738&gt;=50,"P1 - High",IF(AB738&gt;=30,"P2 - Medium",IF(AB738&gt;=15,"P3 - Low","P4 - Monitor"))))))</x:f>
      </x:c>
      <x:c r="AD738" s="73"/>
      <x:c r="AE738" s="73"/>
      <x:c r="AF738" s="73"/>
      <x:c r="AG738" s="77"/>
      <x:c r="AH738" s="73"/>
      <x:c r="AI738" s="91"/>
      <x:c r="AJ738" s="91"/>
      <x:c r="AK738" s="91"/>
      <x:c r="AL738" s="92"/>
      <x:c r="AM738" s="91"/>
      <x:c r="AN738" s="91"/>
      <x:c r="AO738" s="93"/>
      <x:c r="AP738" s="94"/>
      <x:c r="AQ738" s="91"/>
      <x:c r="AR738" s="91"/>
      <x:c r="AS738" s="91"/>
      <x:c r="AT738" s="91"/>
      <x:c r="AU738" s="91"/>
      <x:c r="AV738" s="91"/>
      <x:c r="AW738" s="91"/>
      <x:c r="AX738" s="91"/>
      <x:c r="AY738" s="91"/>
      <x:c r="AZ738" s="92"/>
      <x:c r="BA738" s="94"/>
      <x:c r="BB738" s="91"/>
      <x:c r="BC738" s="92"/>
      <x:c r="BD738" s="92"/>
      <x:c r="BE738" s="91"/>
      <x:c r="BF738" s="91"/>
      <x:c r="BG738" s="91"/>
      <x:c r="BH738" s="91"/>
      <x:c r="BI738" s="91"/>
      <x:c r="BJ738" s="91"/>
      <x:c r="BK738" s="91"/>
      <x:c r="BL738" s="91"/>
      <x:c r="BM738" s="73" t="str">
        <x:f>IF(A738="","",IF(AI738="Example","Example only",IF(AI738&lt;&gt;"Actual","Set record type",IF(COUNTIF($A$2:$A$1001,A738)&gt;1,"Duplicate record ID",IF(OR(D738="",E738="",AF738="",NOT(ISNUMBER(AG738)),AJ738="",AK738="",NOT(ISNUMBER(AL738)),AND(AM738&lt;&gt;"Observed",AM738&lt;&gt;"Corroborated",AM738&lt;&gt;"Declared"),OR(AN738="",AN738="Unknown"),OR(AQ738="",AQ738="Unknown"),OR(AR738="",AR738="Unknown",AR738="TBD"),OR(BC738="",NOT(ISNUMBER(BC738)))),"Evidence incomplete","Evidence recorded; review scope")))))</x:f>
      </x:c>
      <x:c r="BN738" s="73"/>
    </x:row>
    <x:row r="739" ht="34" customHeight="1">
      <x:c r="A739" s="73"/>
      <x:c r="B739" s="73"/>
      <x:c r="C739" s="73"/>
      <x:c r="D739" s="73"/>
      <x:c r="E739" s="73"/>
      <x:c r="F739" s="73"/>
      <x:c r="G739" s="73"/>
      <x:c r="H739" s="73"/>
      <x:c r="I739" s="75"/>
      <x:c r="J739" s="73"/>
      <x:c r="K739" s="73"/>
      <x:c r="L739" s="76"/>
      <x:c r="M739" s="73"/>
      <x:c r="N739" s="73"/>
      <x:c r="O739" s="73"/>
      <x:c r="P739" s="73"/>
      <x:c r="Q739" s="76"/>
      <x:c r="R739" s="73"/>
      <x:c r="S739" s="73"/>
      <x:c r="T739" s="73"/>
      <x:c r="U739" s="73"/>
      <x:c r="V739" s="73"/>
      <x:c r="W739" s="73"/>
      <x:c r="X739" s="73"/>
      <x:c r="Y739" s="73"/>
      <x:c r="Z739" s="73"/>
      <x:c r="AA739" s="73"/>
      <x:c r="AB739" s="76" t="str">
        <x:f>IF(A739="","",IF(OR(NOT(ISNUMBER(I739)),I739&lt;0,NOT(ISNUMBER(AP739)),AP739&lt;0,NOT(ISNUMBER(L739)),L739&lt;1,L739&gt;5,L739&lt;&gt;INT(L739),AND(J739&lt;&gt;"Public",J739&lt;&gt;"Partner",J739&lt;&gt;"Internal",J739&lt;&gt;"None"),AND(K739&lt;&gt;"High",K739&lt;&gt;"Medium",K739&lt;&gt;"Low",K739&lt;&gt;"None"),AND(W739&lt;&gt;"Hard-coded",W739&lt;&gt;"Configurable",W739&lt;&gt;"Policy-managed",W739&lt;&gt;"API/Library abstraction",W739&lt;&gt;"Automated"),AND(Z739&lt;&gt;"Y",Z739&lt;&gt;"N"),AND(AA739&lt;&gt;"Y",AA739&lt;&gt;"N")),"Incomplete",IF(Z739="Y",20,0)+L739*5+IF(AA739="Y",15,0)+IF(J739="Public",10,IF(J739="Partner",7,IF(J739="Internal",3,0)))+IF(W739="Hard-coded",10,IF(W739="Configurable",3,0))+IF(MAX(I739,AP739)&gt;=10,10,IF(MAX(I739,AP739)&gt;=5,7,IF(MAX(I739,AP739)&gt;=2,3,0)))+IF(K739="High",10,IF(K739="Medium",5,0))))</x:f>
      </x:c>
      <x:c r="AC739" s="73" t="str">
        <x:f>IF(A739="","",IF(NOT(ISNUMBER(AB739)),"Review inputs",IF(AB739&gt;=70,"P0 - Immediate",IF(AB739&gt;=50,"P1 - High",IF(AB739&gt;=30,"P2 - Medium",IF(AB739&gt;=15,"P3 - Low","P4 - Monitor"))))))</x:f>
      </x:c>
      <x:c r="AD739" s="73"/>
      <x:c r="AE739" s="73"/>
      <x:c r="AF739" s="73"/>
      <x:c r="AG739" s="77"/>
      <x:c r="AH739" s="73"/>
      <x:c r="AI739" s="91"/>
      <x:c r="AJ739" s="91"/>
      <x:c r="AK739" s="91"/>
      <x:c r="AL739" s="92"/>
      <x:c r="AM739" s="91"/>
      <x:c r="AN739" s="91"/>
      <x:c r="AO739" s="93"/>
      <x:c r="AP739" s="94"/>
      <x:c r="AQ739" s="91"/>
      <x:c r="AR739" s="91"/>
      <x:c r="AS739" s="91"/>
      <x:c r="AT739" s="91"/>
      <x:c r="AU739" s="91"/>
      <x:c r="AV739" s="91"/>
      <x:c r="AW739" s="91"/>
      <x:c r="AX739" s="91"/>
      <x:c r="AY739" s="91"/>
      <x:c r="AZ739" s="92"/>
      <x:c r="BA739" s="94"/>
      <x:c r="BB739" s="91"/>
      <x:c r="BC739" s="92"/>
      <x:c r="BD739" s="92"/>
      <x:c r="BE739" s="91"/>
      <x:c r="BF739" s="91"/>
      <x:c r="BG739" s="91"/>
      <x:c r="BH739" s="91"/>
      <x:c r="BI739" s="91"/>
      <x:c r="BJ739" s="91"/>
      <x:c r="BK739" s="91"/>
      <x:c r="BL739" s="91"/>
      <x:c r="BM739" s="73" t="str">
        <x:f>IF(A739="","",IF(AI739="Example","Example only",IF(AI739&lt;&gt;"Actual","Set record type",IF(COUNTIF($A$2:$A$1001,A739)&gt;1,"Duplicate record ID",IF(OR(D739="",E739="",AF739="",NOT(ISNUMBER(AG739)),AJ739="",AK739="",NOT(ISNUMBER(AL739)),AND(AM739&lt;&gt;"Observed",AM739&lt;&gt;"Corroborated",AM739&lt;&gt;"Declared"),OR(AN739="",AN739="Unknown"),OR(AQ739="",AQ739="Unknown"),OR(AR739="",AR739="Unknown",AR739="TBD"),OR(BC739="",NOT(ISNUMBER(BC739)))),"Evidence incomplete","Evidence recorded; review scope")))))</x:f>
      </x:c>
      <x:c r="BN739" s="73"/>
    </x:row>
    <x:row r="740" ht="34" customHeight="1">
      <x:c r="A740" s="73"/>
      <x:c r="B740" s="73"/>
      <x:c r="C740" s="73"/>
      <x:c r="D740" s="73"/>
      <x:c r="E740" s="73"/>
      <x:c r="F740" s="73"/>
      <x:c r="G740" s="73"/>
      <x:c r="H740" s="73"/>
      <x:c r="I740" s="75"/>
      <x:c r="J740" s="73"/>
      <x:c r="K740" s="73"/>
      <x:c r="L740" s="76"/>
      <x:c r="M740" s="73"/>
      <x:c r="N740" s="73"/>
      <x:c r="O740" s="73"/>
      <x:c r="P740" s="73"/>
      <x:c r="Q740" s="76"/>
      <x:c r="R740" s="73"/>
      <x:c r="S740" s="73"/>
      <x:c r="T740" s="73"/>
      <x:c r="U740" s="73"/>
      <x:c r="V740" s="73"/>
      <x:c r="W740" s="73"/>
      <x:c r="X740" s="73"/>
      <x:c r="Y740" s="73"/>
      <x:c r="Z740" s="73"/>
      <x:c r="AA740" s="73"/>
      <x:c r="AB740" s="76" t="str">
        <x:f>IF(A740="","",IF(OR(NOT(ISNUMBER(I740)),I740&lt;0,NOT(ISNUMBER(AP740)),AP740&lt;0,NOT(ISNUMBER(L740)),L740&lt;1,L740&gt;5,L740&lt;&gt;INT(L740),AND(J740&lt;&gt;"Public",J740&lt;&gt;"Partner",J740&lt;&gt;"Internal",J740&lt;&gt;"None"),AND(K740&lt;&gt;"High",K740&lt;&gt;"Medium",K740&lt;&gt;"Low",K740&lt;&gt;"None"),AND(W740&lt;&gt;"Hard-coded",W740&lt;&gt;"Configurable",W740&lt;&gt;"Policy-managed",W740&lt;&gt;"API/Library abstraction",W740&lt;&gt;"Automated"),AND(Z740&lt;&gt;"Y",Z740&lt;&gt;"N"),AND(AA740&lt;&gt;"Y",AA740&lt;&gt;"N")),"Incomplete",IF(Z740="Y",20,0)+L740*5+IF(AA740="Y",15,0)+IF(J740="Public",10,IF(J740="Partner",7,IF(J740="Internal",3,0)))+IF(W740="Hard-coded",10,IF(W740="Configurable",3,0))+IF(MAX(I740,AP740)&gt;=10,10,IF(MAX(I740,AP740)&gt;=5,7,IF(MAX(I740,AP740)&gt;=2,3,0)))+IF(K740="High",10,IF(K740="Medium",5,0))))</x:f>
      </x:c>
      <x:c r="AC740" s="73" t="str">
        <x:f>IF(A740="","",IF(NOT(ISNUMBER(AB740)),"Review inputs",IF(AB740&gt;=70,"P0 - Immediate",IF(AB740&gt;=50,"P1 - High",IF(AB740&gt;=30,"P2 - Medium",IF(AB740&gt;=15,"P3 - Low","P4 - Monitor"))))))</x:f>
      </x:c>
      <x:c r="AD740" s="73"/>
      <x:c r="AE740" s="73"/>
      <x:c r="AF740" s="73"/>
      <x:c r="AG740" s="77"/>
      <x:c r="AH740" s="73"/>
      <x:c r="AI740" s="91"/>
      <x:c r="AJ740" s="91"/>
      <x:c r="AK740" s="91"/>
      <x:c r="AL740" s="92"/>
      <x:c r="AM740" s="91"/>
      <x:c r="AN740" s="91"/>
      <x:c r="AO740" s="93"/>
      <x:c r="AP740" s="94"/>
      <x:c r="AQ740" s="91"/>
      <x:c r="AR740" s="91"/>
      <x:c r="AS740" s="91"/>
      <x:c r="AT740" s="91"/>
      <x:c r="AU740" s="91"/>
      <x:c r="AV740" s="91"/>
      <x:c r="AW740" s="91"/>
      <x:c r="AX740" s="91"/>
      <x:c r="AY740" s="91"/>
      <x:c r="AZ740" s="92"/>
      <x:c r="BA740" s="94"/>
      <x:c r="BB740" s="91"/>
      <x:c r="BC740" s="92"/>
      <x:c r="BD740" s="92"/>
      <x:c r="BE740" s="91"/>
      <x:c r="BF740" s="91"/>
      <x:c r="BG740" s="91"/>
      <x:c r="BH740" s="91"/>
      <x:c r="BI740" s="91"/>
      <x:c r="BJ740" s="91"/>
      <x:c r="BK740" s="91"/>
      <x:c r="BL740" s="91"/>
      <x:c r="BM740" s="73" t="str">
        <x:f>IF(A740="","",IF(AI740="Example","Example only",IF(AI740&lt;&gt;"Actual","Set record type",IF(COUNTIF($A$2:$A$1001,A740)&gt;1,"Duplicate record ID",IF(OR(D740="",E740="",AF740="",NOT(ISNUMBER(AG740)),AJ740="",AK740="",NOT(ISNUMBER(AL740)),AND(AM740&lt;&gt;"Observed",AM740&lt;&gt;"Corroborated",AM740&lt;&gt;"Declared"),OR(AN740="",AN740="Unknown"),OR(AQ740="",AQ740="Unknown"),OR(AR740="",AR740="Unknown",AR740="TBD"),OR(BC740="",NOT(ISNUMBER(BC740)))),"Evidence incomplete","Evidence recorded; review scope")))))</x:f>
      </x:c>
      <x:c r="BN740" s="73"/>
    </x:row>
    <x:row r="741" ht="34" customHeight="1">
      <x:c r="A741" s="73"/>
      <x:c r="B741" s="73"/>
      <x:c r="C741" s="73"/>
      <x:c r="D741" s="73"/>
      <x:c r="E741" s="73"/>
      <x:c r="F741" s="73"/>
      <x:c r="G741" s="73"/>
      <x:c r="H741" s="73"/>
      <x:c r="I741" s="75"/>
      <x:c r="J741" s="73"/>
      <x:c r="K741" s="73"/>
      <x:c r="L741" s="76"/>
      <x:c r="M741" s="73"/>
      <x:c r="N741" s="73"/>
      <x:c r="O741" s="73"/>
      <x:c r="P741" s="73"/>
      <x:c r="Q741" s="76"/>
      <x:c r="R741" s="73"/>
      <x:c r="S741" s="73"/>
      <x:c r="T741" s="73"/>
      <x:c r="U741" s="73"/>
      <x:c r="V741" s="73"/>
      <x:c r="W741" s="73"/>
      <x:c r="X741" s="73"/>
      <x:c r="Y741" s="73"/>
      <x:c r="Z741" s="73"/>
      <x:c r="AA741" s="73"/>
      <x:c r="AB741" s="76" t="str">
        <x:f>IF(A741="","",IF(OR(NOT(ISNUMBER(I741)),I741&lt;0,NOT(ISNUMBER(AP741)),AP741&lt;0,NOT(ISNUMBER(L741)),L741&lt;1,L741&gt;5,L741&lt;&gt;INT(L741),AND(J741&lt;&gt;"Public",J741&lt;&gt;"Partner",J741&lt;&gt;"Internal",J741&lt;&gt;"None"),AND(K741&lt;&gt;"High",K741&lt;&gt;"Medium",K741&lt;&gt;"Low",K741&lt;&gt;"None"),AND(W741&lt;&gt;"Hard-coded",W741&lt;&gt;"Configurable",W741&lt;&gt;"Policy-managed",W741&lt;&gt;"API/Library abstraction",W741&lt;&gt;"Automated"),AND(Z741&lt;&gt;"Y",Z741&lt;&gt;"N"),AND(AA741&lt;&gt;"Y",AA741&lt;&gt;"N")),"Incomplete",IF(Z741="Y",20,0)+L741*5+IF(AA741="Y",15,0)+IF(J741="Public",10,IF(J741="Partner",7,IF(J741="Internal",3,0)))+IF(W741="Hard-coded",10,IF(W741="Configurable",3,0))+IF(MAX(I741,AP741)&gt;=10,10,IF(MAX(I741,AP741)&gt;=5,7,IF(MAX(I741,AP741)&gt;=2,3,0)))+IF(K741="High",10,IF(K741="Medium",5,0))))</x:f>
      </x:c>
      <x:c r="AC741" s="73" t="str">
        <x:f>IF(A741="","",IF(NOT(ISNUMBER(AB741)),"Review inputs",IF(AB741&gt;=70,"P0 - Immediate",IF(AB741&gt;=50,"P1 - High",IF(AB741&gt;=30,"P2 - Medium",IF(AB741&gt;=15,"P3 - Low","P4 - Monitor"))))))</x:f>
      </x:c>
      <x:c r="AD741" s="73"/>
      <x:c r="AE741" s="73"/>
      <x:c r="AF741" s="73"/>
      <x:c r="AG741" s="77"/>
      <x:c r="AH741" s="73"/>
      <x:c r="AI741" s="91"/>
      <x:c r="AJ741" s="91"/>
      <x:c r="AK741" s="91"/>
      <x:c r="AL741" s="92"/>
      <x:c r="AM741" s="91"/>
      <x:c r="AN741" s="91"/>
      <x:c r="AO741" s="93"/>
      <x:c r="AP741" s="94"/>
      <x:c r="AQ741" s="91"/>
      <x:c r="AR741" s="91"/>
      <x:c r="AS741" s="91"/>
      <x:c r="AT741" s="91"/>
      <x:c r="AU741" s="91"/>
      <x:c r="AV741" s="91"/>
      <x:c r="AW741" s="91"/>
      <x:c r="AX741" s="91"/>
      <x:c r="AY741" s="91"/>
      <x:c r="AZ741" s="92"/>
      <x:c r="BA741" s="94"/>
      <x:c r="BB741" s="91"/>
      <x:c r="BC741" s="92"/>
      <x:c r="BD741" s="92"/>
      <x:c r="BE741" s="91"/>
      <x:c r="BF741" s="91"/>
      <x:c r="BG741" s="91"/>
      <x:c r="BH741" s="91"/>
      <x:c r="BI741" s="91"/>
      <x:c r="BJ741" s="91"/>
      <x:c r="BK741" s="91"/>
      <x:c r="BL741" s="91"/>
      <x:c r="BM741" s="73" t="str">
        <x:f>IF(A741="","",IF(AI741="Example","Example only",IF(AI741&lt;&gt;"Actual","Set record type",IF(COUNTIF($A$2:$A$1001,A741)&gt;1,"Duplicate record ID",IF(OR(D741="",E741="",AF741="",NOT(ISNUMBER(AG741)),AJ741="",AK741="",NOT(ISNUMBER(AL741)),AND(AM741&lt;&gt;"Observed",AM741&lt;&gt;"Corroborated",AM741&lt;&gt;"Declared"),OR(AN741="",AN741="Unknown"),OR(AQ741="",AQ741="Unknown"),OR(AR741="",AR741="Unknown",AR741="TBD"),OR(BC741="",NOT(ISNUMBER(BC741)))),"Evidence incomplete","Evidence recorded; review scope")))))</x:f>
      </x:c>
      <x:c r="BN741" s="73"/>
    </x:row>
    <x:row r="742" ht="34" customHeight="1">
      <x:c r="A742" s="73"/>
      <x:c r="B742" s="73"/>
      <x:c r="C742" s="73"/>
      <x:c r="D742" s="73"/>
      <x:c r="E742" s="73"/>
      <x:c r="F742" s="73"/>
      <x:c r="G742" s="73"/>
      <x:c r="H742" s="73"/>
      <x:c r="I742" s="75"/>
      <x:c r="J742" s="73"/>
      <x:c r="K742" s="73"/>
      <x:c r="L742" s="76"/>
      <x:c r="M742" s="73"/>
      <x:c r="N742" s="73"/>
      <x:c r="O742" s="73"/>
      <x:c r="P742" s="73"/>
      <x:c r="Q742" s="76"/>
      <x:c r="R742" s="73"/>
      <x:c r="S742" s="73"/>
      <x:c r="T742" s="73"/>
      <x:c r="U742" s="73"/>
      <x:c r="V742" s="73"/>
      <x:c r="W742" s="73"/>
      <x:c r="X742" s="73"/>
      <x:c r="Y742" s="73"/>
      <x:c r="Z742" s="73"/>
      <x:c r="AA742" s="73"/>
      <x:c r="AB742" s="76" t="str">
        <x:f>IF(A742="","",IF(OR(NOT(ISNUMBER(I742)),I742&lt;0,NOT(ISNUMBER(AP742)),AP742&lt;0,NOT(ISNUMBER(L742)),L742&lt;1,L742&gt;5,L742&lt;&gt;INT(L742),AND(J742&lt;&gt;"Public",J742&lt;&gt;"Partner",J742&lt;&gt;"Internal",J742&lt;&gt;"None"),AND(K742&lt;&gt;"High",K742&lt;&gt;"Medium",K742&lt;&gt;"Low",K742&lt;&gt;"None"),AND(W742&lt;&gt;"Hard-coded",W742&lt;&gt;"Configurable",W742&lt;&gt;"Policy-managed",W742&lt;&gt;"API/Library abstraction",W742&lt;&gt;"Automated"),AND(Z742&lt;&gt;"Y",Z742&lt;&gt;"N"),AND(AA742&lt;&gt;"Y",AA742&lt;&gt;"N")),"Incomplete",IF(Z742="Y",20,0)+L742*5+IF(AA742="Y",15,0)+IF(J742="Public",10,IF(J742="Partner",7,IF(J742="Internal",3,0)))+IF(W742="Hard-coded",10,IF(W742="Configurable",3,0))+IF(MAX(I742,AP742)&gt;=10,10,IF(MAX(I742,AP742)&gt;=5,7,IF(MAX(I742,AP742)&gt;=2,3,0)))+IF(K742="High",10,IF(K742="Medium",5,0))))</x:f>
      </x:c>
      <x:c r="AC742" s="73" t="str">
        <x:f>IF(A742="","",IF(NOT(ISNUMBER(AB742)),"Review inputs",IF(AB742&gt;=70,"P0 - Immediate",IF(AB742&gt;=50,"P1 - High",IF(AB742&gt;=30,"P2 - Medium",IF(AB742&gt;=15,"P3 - Low","P4 - Monitor"))))))</x:f>
      </x:c>
      <x:c r="AD742" s="73"/>
      <x:c r="AE742" s="73"/>
      <x:c r="AF742" s="73"/>
      <x:c r="AG742" s="77"/>
      <x:c r="AH742" s="73"/>
      <x:c r="AI742" s="91"/>
      <x:c r="AJ742" s="91"/>
      <x:c r="AK742" s="91"/>
      <x:c r="AL742" s="92"/>
      <x:c r="AM742" s="91"/>
      <x:c r="AN742" s="91"/>
      <x:c r="AO742" s="93"/>
      <x:c r="AP742" s="94"/>
      <x:c r="AQ742" s="91"/>
      <x:c r="AR742" s="91"/>
      <x:c r="AS742" s="91"/>
      <x:c r="AT742" s="91"/>
      <x:c r="AU742" s="91"/>
      <x:c r="AV742" s="91"/>
      <x:c r="AW742" s="91"/>
      <x:c r="AX742" s="91"/>
      <x:c r="AY742" s="91"/>
      <x:c r="AZ742" s="92"/>
      <x:c r="BA742" s="94"/>
      <x:c r="BB742" s="91"/>
      <x:c r="BC742" s="92"/>
      <x:c r="BD742" s="92"/>
      <x:c r="BE742" s="91"/>
      <x:c r="BF742" s="91"/>
      <x:c r="BG742" s="91"/>
      <x:c r="BH742" s="91"/>
      <x:c r="BI742" s="91"/>
      <x:c r="BJ742" s="91"/>
      <x:c r="BK742" s="91"/>
      <x:c r="BL742" s="91"/>
      <x:c r="BM742" s="73" t="str">
        <x:f>IF(A742="","",IF(AI742="Example","Example only",IF(AI742&lt;&gt;"Actual","Set record type",IF(COUNTIF($A$2:$A$1001,A742)&gt;1,"Duplicate record ID",IF(OR(D742="",E742="",AF742="",NOT(ISNUMBER(AG742)),AJ742="",AK742="",NOT(ISNUMBER(AL742)),AND(AM742&lt;&gt;"Observed",AM742&lt;&gt;"Corroborated",AM742&lt;&gt;"Declared"),OR(AN742="",AN742="Unknown"),OR(AQ742="",AQ742="Unknown"),OR(AR742="",AR742="Unknown",AR742="TBD"),OR(BC742="",NOT(ISNUMBER(BC742)))),"Evidence incomplete","Evidence recorded; review scope")))))</x:f>
      </x:c>
      <x:c r="BN742" s="73"/>
    </x:row>
    <x:row r="743" ht="34" customHeight="1">
      <x:c r="A743" s="73"/>
      <x:c r="B743" s="73"/>
      <x:c r="C743" s="73"/>
      <x:c r="D743" s="73"/>
      <x:c r="E743" s="73"/>
      <x:c r="F743" s="73"/>
      <x:c r="G743" s="73"/>
      <x:c r="H743" s="73"/>
      <x:c r="I743" s="75"/>
      <x:c r="J743" s="73"/>
      <x:c r="K743" s="73"/>
      <x:c r="L743" s="76"/>
      <x:c r="M743" s="73"/>
      <x:c r="N743" s="73"/>
      <x:c r="O743" s="73"/>
      <x:c r="P743" s="73"/>
      <x:c r="Q743" s="76"/>
      <x:c r="R743" s="73"/>
      <x:c r="S743" s="73"/>
      <x:c r="T743" s="73"/>
      <x:c r="U743" s="73"/>
      <x:c r="V743" s="73"/>
      <x:c r="W743" s="73"/>
      <x:c r="X743" s="73"/>
      <x:c r="Y743" s="73"/>
      <x:c r="Z743" s="73"/>
      <x:c r="AA743" s="73"/>
      <x:c r="AB743" s="76" t="str">
        <x:f>IF(A743="","",IF(OR(NOT(ISNUMBER(I743)),I743&lt;0,NOT(ISNUMBER(AP743)),AP743&lt;0,NOT(ISNUMBER(L743)),L743&lt;1,L743&gt;5,L743&lt;&gt;INT(L743),AND(J743&lt;&gt;"Public",J743&lt;&gt;"Partner",J743&lt;&gt;"Internal",J743&lt;&gt;"None"),AND(K743&lt;&gt;"High",K743&lt;&gt;"Medium",K743&lt;&gt;"Low",K743&lt;&gt;"None"),AND(W743&lt;&gt;"Hard-coded",W743&lt;&gt;"Configurable",W743&lt;&gt;"Policy-managed",W743&lt;&gt;"API/Library abstraction",W743&lt;&gt;"Automated"),AND(Z743&lt;&gt;"Y",Z743&lt;&gt;"N"),AND(AA743&lt;&gt;"Y",AA743&lt;&gt;"N")),"Incomplete",IF(Z743="Y",20,0)+L743*5+IF(AA743="Y",15,0)+IF(J743="Public",10,IF(J743="Partner",7,IF(J743="Internal",3,0)))+IF(W743="Hard-coded",10,IF(W743="Configurable",3,0))+IF(MAX(I743,AP743)&gt;=10,10,IF(MAX(I743,AP743)&gt;=5,7,IF(MAX(I743,AP743)&gt;=2,3,0)))+IF(K743="High",10,IF(K743="Medium",5,0))))</x:f>
      </x:c>
      <x:c r="AC743" s="73" t="str">
        <x:f>IF(A743="","",IF(NOT(ISNUMBER(AB743)),"Review inputs",IF(AB743&gt;=70,"P0 - Immediate",IF(AB743&gt;=50,"P1 - High",IF(AB743&gt;=30,"P2 - Medium",IF(AB743&gt;=15,"P3 - Low","P4 - Monitor"))))))</x:f>
      </x:c>
      <x:c r="AD743" s="73"/>
      <x:c r="AE743" s="73"/>
      <x:c r="AF743" s="73"/>
      <x:c r="AG743" s="77"/>
      <x:c r="AH743" s="73"/>
      <x:c r="AI743" s="91"/>
      <x:c r="AJ743" s="91"/>
      <x:c r="AK743" s="91"/>
      <x:c r="AL743" s="92"/>
      <x:c r="AM743" s="91"/>
      <x:c r="AN743" s="91"/>
      <x:c r="AO743" s="93"/>
      <x:c r="AP743" s="94"/>
      <x:c r="AQ743" s="91"/>
      <x:c r="AR743" s="91"/>
      <x:c r="AS743" s="91"/>
      <x:c r="AT743" s="91"/>
      <x:c r="AU743" s="91"/>
      <x:c r="AV743" s="91"/>
      <x:c r="AW743" s="91"/>
      <x:c r="AX743" s="91"/>
      <x:c r="AY743" s="91"/>
      <x:c r="AZ743" s="92"/>
      <x:c r="BA743" s="94"/>
      <x:c r="BB743" s="91"/>
      <x:c r="BC743" s="92"/>
      <x:c r="BD743" s="92"/>
      <x:c r="BE743" s="91"/>
      <x:c r="BF743" s="91"/>
      <x:c r="BG743" s="91"/>
      <x:c r="BH743" s="91"/>
      <x:c r="BI743" s="91"/>
      <x:c r="BJ743" s="91"/>
      <x:c r="BK743" s="91"/>
      <x:c r="BL743" s="91"/>
      <x:c r="BM743" s="73" t="str">
        <x:f>IF(A743="","",IF(AI743="Example","Example only",IF(AI743&lt;&gt;"Actual","Set record type",IF(COUNTIF($A$2:$A$1001,A743)&gt;1,"Duplicate record ID",IF(OR(D743="",E743="",AF743="",NOT(ISNUMBER(AG743)),AJ743="",AK743="",NOT(ISNUMBER(AL743)),AND(AM743&lt;&gt;"Observed",AM743&lt;&gt;"Corroborated",AM743&lt;&gt;"Declared"),OR(AN743="",AN743="Unknown"),OR(AQ743="",AQ743="Unknown"),OR(AR743="",AR743="Unknown",AR743="TBD"),OR(BC743="",NOT(ISNUMBER(BC743)))),"Evidence incomplete","Evidence recorded; review scope")))))</x:f>
      </x:c>
      <x:c r="BN743" s="73"/>
    </x:row>
    <x:row r="744" ht="34" customHeight="1">
      <x:c r="A744" s="73"/>
      <x:c r="B744" s="73"/>
      <x:c r="C744" s="73"/>
      <x:c r="D744" s="73"/>
      <x:c r="E744" s="73"/>
      <x:c r="F744" s="73"/>
      <x:c r="G744" s="73"/>
      <x:c r="H744" s="73"/>
      <x:c r="I744" s="75"/>
      <x:c r="J744" s="73"/>
      <x:c r="K744" s="73"/>
      <x:c r="L744" s="76"/>
      <x:c r="M744" s="73"/>
      <x:c r="N744" s="73"/>
      <x:c r="O744" s="73"/>
      <x:c r="P744" s="73"/>
      <x:c r="Q744" s="76"/>
      <x:c r="R744" s="73"/>
      <x:c r="S744" s="73"/>
      <x:c r="T744" s="73"/>
      <x:c r="U744" s="73"/>
      <x:c r="V744" s="73"/>
      <x:c r="W744" s="73"/>
      <x:c r="X744" s="73"/>
      <x:c r="Y744" s="73"/>
      <x:c r="Z744" s="73"/>
      <x:c r="AA744" s="73"/>
      <x:c r="AB744" s="76" t="str">
        <x:f>IF(A744="","",IF(OR(NOT(ISNUMBER(I744)),I744&lt;0,NOT(ISNUMBER(AP744)),AP744&lt;0,NOT(ISNUMBER(L744)),L744&lt;1,L744&gt;5,L744&lt;&gt;INT(L744),AND(J744&lt;&gt;"Public",J744&lt;&gt;"Partner",J744&lt;&gt;"Internal",J744&lt;&gt;"None"),AND(K744&lt;&gt;"High",K744&lt;&gt;"Medium",K744&lt;&gt;"Low",K744&lt;&gt;"None"),AND(W744&lt;&gt;"Hard-coded",W744&lt;&gt;"Configurable",W744&lt;&gt;"Policy-managed",W744&lt;&gt;"API/Library abstraction",W744&lt;&gt;"Automated"),AND(Z744&lt;&gt;"Y",Z744&lt;&gt;"N"),AND(AA744&lt;&gt;"Y",AA744&lt;&gt;"N")),"Incomplete",IF(Z744="Y",20,0)+L744*5+IF(AA744="Y",15,0)+IF(J744="Public",10,IF(J744="Partner",7,IF(J744="Internal",3,0)))+IF(W744="Hard-coded",10,IF(W744="Configurable",3,0))+IF(MAX(I744,AP744)&gt;=10,10,IF(MAX(I744,AP744)&gt;=5,7,IF(MAX(I744,AP744)&gt;=2,3,0)))+IF(K744="High",10,IF(K744="Medium",5,0))))</x:f>
      </x:c>
      <x:c r="AC744" s="73" t="str">
        <x:f>IF(A744="","",IF(NOT(ISNUMBER(AB744)),"Review inputs",IF(AB744&gt;=70,"P0 - Immediate",IF(AB744&gt;=50,"P1 - High",IF(AB744&gt;=30,"P2 - Medium",IF(AB744&gt;=15,"P3 - Low","P4 - Monitor"))))))</x:f>
      </x:c>
      <x:c r="AD744" s="73"/>
      <x:c r="AE744" s="73"/>
      <x:c r="AF744" s="73"/>
      <x:c r="AG744" s="77"/>
      <x:c r="AH744" s="73"/>
      <x:c r="AI744" s="91"/>
      <x:c r="AJ744" s="91"/>
      <x:c r="AK744" s="91"/>
      <x:c r="AL744" s="92"/>
      <x:c r="AM744" s="91"/>
      <x:c r="AN744" s="91"/>
      <x:c r="AO744" s="93"/>
      <x:c r="AP744" s="94"/>
      <x:c r="AQ744" s="91"/>
      <x:c r="AR744" s="91"/>
      <x:c r="AS744" s="91"/>
      <x:c r="AT744" s="91"/>
      <x:c r="AU744" s="91"/>
      <x:c r="AV744" s="91"/>
      <x:c r="AW744" s="91"/>
      <x:c r="AX744" s="91"/>
      <x:c r="AY744" s="91"/>
      <x:c r="AZ744" s="92"/>
      <x:c r="BA744" s="94"/>
      <x:c r="BB744" s="91"/>
      <x:c r="BC744" s="92"/>
      <x:c r="BD744" s="92"/>
      <x:c r="BE744" s="91"/>
      <x:c r="BF744" s="91"/>
      <x:c r="BG744" s="91"/>
      <x:c r="BH744" s="91"/>
      <x:c r="BI744" s="91"/>
      <x:c r="BJ744" s="91"/>
      <x:c r="BK744" s="91"/>
      <x:c r="BL744" s="91"/>
      <x:c r="BM744" s="73" t="str">
        <x:f>IF(A744="","",IF(AI744="Example","Example only",IF(AI744&lt;&gt;"Actual","Set record type",IF(COUNTIF($A$2:$A$1001,A744)&gt;1,"Duplicate record ID",IF(OR(D744="",E744="",AF744="",NOT(ISNUMBER(AG744)),AJ744="",AK744="",NOT(ISNUMBER(AL744)),AND(AM744&lt;&gt;"Observed",AM744&lt;&gt;"Corroborated",AM744&lt;&gt;"Declared"),OR(AN744="",AN744="Unknown"),OR(AQ744="",AQ744="Unknown"),OR(AR744="",AR744="Unknown",AR744="TBD"),OR(BC744="",NOT(ISNUMBER(BC744)))),"Evidence incomplete","Evidence recorded; review scope")))))</x:f>
      </x:c>
      <x:c r="BN744" s="73"/>
    </x:row>
    <x:row r="745" ht="34" customHeight="1">
      <x:c r="A745" s="73"/>
      <x:c r="B745" s="73"/>
      <x:c r="C745" s="73"/>
      <x:c r="D745" s="73"/>
      <x:c r="E745" s="73"/>
      <x:c r="F745" s="73"/>
      <x:c r="G745" s="73"/>
      <x:c r="H745" s="73"/>
      <x:c r="I745" s="75"/>
      <x:c r="J745" s="73"/>
      <x:c r="K745" s="73"/>
      <x:c r="L745" s="76"/>
      <x:c r="M745" s="73"/>
      <x:c r="N745" s="73"/>
      <x:c r="O745" s="73"/>
      <x:c r="P745" s="73"/>
      <x:c r="Q745" s="76"/>
      <x:c r="R745" s="73"/>
      <x:c r="S745" s="73"/>
      <x:c r="T745" s="73"/>
      <x:c r="U745" s="73"/>
      <x:c r="V745" s="73"/>
      <x:c r="W745" s="73"/>
      <x:c r="X745" s="73"/>
      <x:c r="Y745" s="73"/>
      <x:c r="Z745" s="73"/>
      <x:c r="AA745" s="73"/>
      <x:c r="AB745" s="76" t="str">
        <x:f>IF(A745="","",IF(OR(NOT(ISNUMBER(I745)),I745&lt;0,NOT(ISNUMBER(AP745)),AP745&lt;0,NOT(ISNUMBER(L745)),L745&lt;1,L745&gt;5,L745&lt;&gt;INT(L745),AND(J745&lt;&gt;"Public",J745&lt;&gt;"Partner",J745&lt;&gt;"Internal",J745&lt;&gt;"None"),AND(K745&lt;&gt;"High",K745&lt;&gt;"Medium",K745&lt;&gt;"Low",K745&lt;&gt;"None"),AND(W745&lt;&gt;"Hard-coded",W745&lt;&gt;"Configurable",W745&lt;&gt;"Policy-managed",W745&lt;&gt;"API/Library abstraction",W745&lt;&gt;"Automated"),AND(Z745&lt;&gt;"Y",Z745&lt;&gt;"N"),AND(AA745&lt;&gt;"Y",AA745&lt;&gt;"N")),"Incomplete",IF(Z745="Y",20,0)+L745*5+IF(AA745="Y",15,0)+IF(J745="Public",10,IF(J745="Partner",7,IF(J745="Internal",3,0)))+IF(W745="Hard-coded",10,IF(W745="Configurable",3,0))+IF(MAX(I745,AP745)&gt;=10,10,IF(MAX(I745,AP745)&gt;=5,7,IF(MAX(I745,AP745)&gt;=2,3,0)))+IF(K745="High",10,IF(K745="Medium",5,0))))</x:f>
      </x:c>
      <x:c r="AC745" s="73" t="str">
        <x:f>IF(A745="","",IF(NOT(ISNUMBER(AB745)),"Review inputs",IF(AB745&gt;=70,"P0 - Immediate",IF(AB745&gt;=50,"P1 - High",IF(AB745&gt;=30,"P2 - Medium",IF(AB745&gt;=15,"P3 - Low","P4 - Monitor"))))))</x:f>
      </x:c>
      <x:c r="AD745" s="73"/>
      <x:c r="AE745" s="73"/>
      <x:c r="AF745" s="73"/>
      <x:c r="AG745" s="77"/>
      <x:c r="AH745" s="73"/>
      <x:c r="AI745" s="91"/>
      <x:c r="AJ745" s="91"/>
      <x:c r="AK745" s="91"/>
      <x:c r="AL745" s="92"/>
      <x:c r="AM745" s="91"/>
      <x:c r="AN745" s="91"/>
      <x:c r="AO745" s="93"/>
      <x:c r="AP745" s="94"/>
      <x:c r="AQ745" s="91"/>
      <x:c r="AR745" s="91"/>
      <x:c r="AS745" s="91"/>
      <x:c r="AT745" s="91"/>
      <x:c r="AU745" s="91"/>
      <x:c r="AV745" s="91"/>
      <x:c r="AW745" s="91"/>
      <x:c r="AX745" s="91"/>
      <x:c r="AY745" s="91"/>
      <x:c r="AZ745" s="92"/>
      <x:c r="BA745" s="94"/>
      <x:c r="BB745" s="91"/>
      <x:c r="BC745" s="92"/>
      <x:c r="BD745" s="92"/>
      <x:c r="BE745" s="91"/>
      <x:c r="BF745" s="91"/>
      <x:c r="BG745" s="91"/>
      <x:c r="BH745" s="91"/>
      <x:c r="BI745" s="91"/>
      <x:c r="BJ745" s="91"/>
      <x:c r="BK745" s="91"/>
      <x:c r="BL745" s="91"/>
      <x:c r="BM745" s="73" t="str">
        <x:f>IF(A745="","",IF(AI745="Example","Example only",IF(AI745&lt;&gt;"Actual","Set record type",IF(COUNTIF($A$2:$A$1001,A745)&gt;1,"Duplicate record ID",IF(OR(D745="",E745="",AF745="",NOT(ISNUMBER(AG745)),AJ745="",AK745="",NOT(ISNUMBER(AL745)),AND(AM745&lt;&gt;"Observed",AM745&lt;&gt;"Corroborated",AM745&lt;&gt;"Declared"),OR(AN745="",AN745="Unknown"),OR(AQ745="",AQ745="Unknown"),OR(AR745="",AR745="Unknown",AR745="TBD"),OR(BC745="",NOT(ISNUMBER(BC745)))),"Evidence incomplete","Evidence recorded; review scope")))))</x:f>
      </x:c>
      <x:c r="BN745" s="73"/>
    </x:row>
    <x:row r="746" ht="34" customHeight="1">
      <x:c r="A746" s="73"/>
      <x:c r="B746" s="73"/>
      <x:c r="C746" s="73"/>
      <x:c r="D746" s="73"/>
      <x:c r="E746" s="73"/>
      <x:c r="F746" s="73"/>
      <x:c r="G746" s="73"/>
      <x:c r="H746" s="73"/>
      <x:c r="I746" s="75"/>
      <x:c r="J746" s="73"/>
      <x:c r="K746" s="73"/>
      <x:c r="L746" s="76"/>
      <x:c r="M746" s="73"/>
      <x:c r="N746" s="73"/>
      <x:c r="O746" s="73"/>
      <x:c r="P746" s="73"/>
      <x:c r="Q746" s="76"/>
      <x:c r="R746" s="73"/>
      <x:c r="S746" s="73"/>
      <x:c r="T746" s="73"/>
      <x:c r="U746" s="73"/>
      <x:c r="V746" s="73"/>
      <x:c r="W746" s="73"/>
      <x:c r="X746" s="73"/>
      <x:c r="Y746" s="73"/>
      <x:c r="Z746" s="73"/>
      <x:c r="AA746" s="73"/>
      <x:c r="AB746" s="76" t="str">
        <x:f>IF(A746="","",IF(OR(NOT(ISNUMBER(I746)),I746&lt;0,NOT(ISNUMBER(AP746)),AP746&lt;0,NOT(ISNUMBER(L746)),L746&lt;1,L746&gt;5,L746&lt;&gt;INT(L746),AND(J746&lt;&gt;"Public",J746&lt;&gt;"Partner",J746&lt;&gt;"Internal",J746&lt;&gt;"None"),AND(K746&lt;&gt;"High",K746&lt;&gt;"Medium",K746&lt;&gt;"Low",K746&lt;&gt;"None"),AND(W746&lt;&gt;"Hard-coded",W746&lt;&gt;"Configurable",W746&lt;&gt;"Policy-managed",W746&lt;&gt;"API/Library abstraction",W746&lt;&gt;"Automated"),AND(Z746&lt;&gt;"Y",Z746&lt;&gt;"N"),AND(AA746&lt;&gt;"Y",AA746&lt;&gt;"N")),"Incomplete",IF(Z746="Y",20,0)+L746*5+IF(AA746="Y",15,0)+IF(J746="Public",10,IF(J746="Partner",7,IF(J746="Internal",3,0)))+IF(W746="Hard-coded",10,IF(W746="Configurable",3,0))+IF(MAX(I746,AP746)&gt;=10,10,IF(MAX(I746,AP746)&gt;=5,7,IF(MAX(I746,AP746)&gt;=2,3,0)))+IF(K746="High",10,IF(K746="Medium",5,0))))</x:f>
      </x:c>
      <x:c r="AC746" s="73" t="str">
        <x:f>IF(A746="","",IF(NOT(ISNUMBER(AB746)),"Review inputs",IF(AB746&gt;=70,"P0 - Immediate",IF(AB746&gt;=50,"P1 - High",IF(AB746&gt;=30,"P2 - Medium",IF(AB746&gt;=15,"P3 - Low","P4 - Monitor"))))))</x:f>
      </x:c>
      <x:c r="AD746" s="73"/>
      <x:c r="AE746" s="73"/>
      <x:c r="AF746" s="73"/>
      <x:c r="AG746" s="77"/>
      <x:c r="AH746" s="73"/>
      <x:c r="AI746" s="91"/>
      <x:c r="AJ746" s="91"/>
      <x:c r="AK746" s="91"/>
      <x:c r="AL746" s="92"/>
      <x:c r="AM746" s="91"/>
      <x:c r="AN746" s="91"/>
      <x:c r="AO746" s="93"/>
      <x:c r="AP746" s="94"/>
      <x:c r="AQ746" s="91"/>
      <x:c r="AR746" s="91"/>
      <x:c r="AS746" s="91"/>
      <x:c r="AT746" s="91"/>
      <x:c r="AU746" s="91"/>
      <x:c r="AV746" s="91"/>
      <x:c r="AW746" s="91"/>
      <x:c r="AX746" s="91"/>
      <x:c r="AY746" s="91"/>
      <x:c r="AZ746" s="92"/>
      <x:c r="BA746" s="94"/>
      <x:c r="BB746" s="91"/>
      <x:c r="BC746" s="92"/>
      <x:c r="BD746" s="92"/>
      <x:c r="BE746" s="91"/>
      <x:c r="BF746" s="91"/>
      <x:c r="BG746" s="91"/>
      <x:c r="BH746" s="91"/>
      <x:c r="BI746" s="91"/>
      <x:c r="BJ746" s="91"/>
      <x:c r="BK746" s="91"/>
      <x:c r="BL746" s="91"/>
      <x:c r="BM746" s="73" t="str">
        <x:f>IF(A746="","",IF(AI746="Example","Example only",IF(AI746&lt;&gt;"Actual","Set record type",IF(COUNTIF($A$2:$A$1001,A746)&gt;1,"Duplicate record ID",IF(OR(D746="",E746="",AF746="",NOT(ISNUMBER(AG746)),AJ746="",AK746="",NOT(ISNUMBER(AL746)),AND(AM746&lt;&gt;"Observed",AM746&lt;&gt;"Corroborated",AM746&lt;&gt;"Declared"),OR(AN746="",AN746="Unknown"),OR(AQ746="",AQ746="Unknown"),OR(AR746="",AR746="Unknown",AR746="TBD"),OR(BC746="",NOT(ISNUMBER(BC746)))),"Evidence incomplete","Evidence recorded; review scope")))))</x:f>
      </x:c>
      <x:c r="BN746" s="73"/>
    </x:row>
    <x:row r="747" ht="34" customHeight="1">
      <x:c r="A747" s="73"/>
      <x:c r="B747" s="73"/>
      <x:c r="C747" s="73"/>
      <x:c r="D747" s="73"/>
      <x:c r="E747" s="73"/>
      <x:c r="F747" s="73"/>
      <x:c r="G747" s="73"/>
      <x:c r="H747" s="73"/>
      <x:c r="I747" s="75"/>
      <x:c r="J747" s="73"/>
      <x:c r="K747" s="73"/>
      <x:c r="L747" s="76"/>
      <x:c r="M747" s="73"/>
      <x:c r="N747" s="73"/>
      <x:c r="O747" s="73"/>
      <x:c r="P747" s="73"/>
      <x:c r="Q747" s="76"/>
      <x:c r="R747" s="73"/>
      <x:c r="S747" s="73"/>
      <x:c r="T747" s="73"/>
      <x:c r="U747" s="73"/>
      <x:c r="V747" s="73"/>
      <x:c r="W747" s="73"/>
      <x:c r="X747" s="73"/>
      <x:c r="Y747" s="73"/>
      <x:c r="Z747" s="73"/>
      <x:c r="AA747" s="73"/>
      <x:c r="AB747" s="76" t="str">
        <x:f>IF(A747="","",IF(OR(NOT(ISNUMBER(I747)),I747&lt;0,NOT(ISNUMBER(AP747)),AP747&lt;0,NOT(ISNUMBER(L747)),L747&lt;1,L747&gt;5,L747&lt;&gt;INT(L747),AND(J747&lt;&gt;"Public",J747&lt;&gt;"Partner",J747&lt;&gt;"Internal",J747&lt;&gt;"None"),AND(K747&lt;&gt;"High",K747&lt;&gt;"Medium",K747&lt;&gt;"Low",K747&lt;&gt;"None"),AND(W747&lt;&gt;"Hard-coded",W747&lt;&gt;"Configurable",W747&lt;&gt;"Policy-managed",W747&lt;&gt;"API/Library abstraction",W747&lt;&gt;"Automated"),AND(Z747&lt;&gt;"Y",Z747&lt;&gt;"N"),AND(AA747&lt;&gt;"Y",AA747&lt;&gt;"N")),"Incomplete",IF(Z747="Y",20,0)+L747*5+IF(AA747="Y",15,0)+IF(J747="Public",10,IF(J747="Partner",7,IF(J747="Internal",3,0)))+IF(W747="Hard-coded",10,IF(W747="Configurable",3,0))+IF(MAX(I747,AP747)&gt;=10,10,IF(MAX(I747,AP747)&gt;=5,7,IF(MAX(I747,AP747)&gt;=2,3,0)))+IF(K747="High",10,IF(K747="Medium",5,0))))</x:f>
      </x:c>
      <x:c r="AC747" s="73" t="str">
        <x:f>IF(A747="","",IF(NOT(ISNUMBER(AB747)),"Review inputs",IF(AB747&gt;=70,"P0 - Immediate",IF(AB747&gt;=50,"P1 - High",IF(AB747&gt;=30,"P2 - Medium",IF(AB747&gt;=15,"P3 - Low","P4 - Monitor"))))))</x:f>
      </x:c>
      <x:c r="AD747" s="73"/>
      <x:c r="AE747" s="73"/>
      <x:c r="AF747" s="73"/>
      <x:c r="AG747" s="77"/>
      <x:c r="AH747" s="73"/>
      <x:c r="AI747" s="91"/>
      <x:c r="AJ747" s="91"/>
      <x:c r="AK747" s="91"/>
      <x:c r="AL747" s="92"/>
      <x:c r="AM747" s="91"/>
      <x:c r="AN747" s="91"/>
      <x:c r="AO747" s="93"/>
      <x:c r="AP747" s="94"/>
      <x:c r="AQ747" s="91"/>
      <x:c r="AR747" s="91"/>
      <x:c r="AS747" s="91"/>
      <x:c r="AT747" s="91"/>
      <x:c r="AU747" s="91"/>
      <x:c r="AV747" s="91"/>
      <x:c r="AW747" s="91"/>
      <x:c r="AX747" s="91"/>
      <x:c r="AY747" s="91"/>
      <x:c r="AZ747" s="92"/>
      <x:c r="BA747" s="94"/>
      <x:c r="BB747" s="91"/>
      <x:c r="BC747" s="92"/>
      <x:c r="BD747" s="92"/>
      <x:c r="BE747" s="91"/>
      <x:c r="BF747" s="91"/>
      <x:c r="BG747" s="91"/>
      <x:c r="BH747" s="91"/>
      <x:c r="BI747" s="91"/>
      <x:c r="BJ747" s="91"/>
      <x:c r="BK747" s="91"/>
      <x:c r="BL747" s="91"/>
      <x:c r="BM747" s="73" t="str">
        <x:f>IF(A747="","",IF(AI747="Example","Example only",IF(AI747&lt;&gt;"Actual","Set record type",IF(COUNTIF($A$2:$A$1001,A747)&gt;1,"Duplicate record ID",IF(OR(D747="",E747="",AF747="",NOT(ISNUMBER(AG747)),AJ747="",AK747="",NOT(ISNUMBER(AL747)),AND(AM747&lt;&gt;"Observed",AM747&lt;&gt;"Corroborated",AM747&lt;&gt;"Declared"),OR(AN747="",AN747="Unknown"),OR(AQ747="",AQ747="Unknown"),OR(AR747="",AR747="Unknown",AR747="TBD"),OR(BC747="",NOT(ISNUMBER(BC747)))),"Evidence incomplete","Evidence recorded; review scope")))))</x:f>
      </x:c>
      <x:c r="BN747" s="73"/>
    </x:row>
    <x:row r="748" ht="34" customHeight="1">
      <x:c r="A748" s="73"/>
      <x:c r="B748" s="73"/>
      <x:c r="C748" s="73"/>
      <x:c r="D748" s="73"/>
      <x:c r="E748" s="73"/>
      <x:c r="F748" s="73"/>
      <x:c r="G748" s="73"/>
      <x:c r="H748" s="73"/>
      <x:c r="I748" s="75"/>
      <x:c r="J748" s="73"/>
      <x:c r="K748" s="73"/>
      <x:c r="L748" s="76"/>
      <x:c r="M748" s="73"/>
      <x:c r="N748" s="73"/>
      <x:c r="O748" s="73"/>
      <x:c r="P748" s="73"/>
      <x:c r="Q748" s="76"/>
      <x:c r="R748" s="73"/>
      <x:c r="S748" s="73"/>
      <x:c r="T748" s="73"/>
      <x:c r="U748" s="73"/>
      <x:c r="V748" s="73"/>
      <x:c r="W748" s="73"/>
      <x:c r="X748" s="73"/>
      <x:c r="Y748" s="73"/>
      <x:c r="Z748" s="73"/>
      <x:c r="AA748" s="73"/>
      <x:c r="AB748" s="76" t="str">
        <x:f>IF(A748="","",IF(OR(NOT(ISNUMBER(I748)),I748&lt;0,NOT(ISNUMBER(AP748)),AP748&lt;0,NOT(ISNUMBER(L748)),L748&lt;1,L748&gt;5,L748&lt;&gt;INT(L748),AND(J748&lt;&gt;"Public",J748&lt;&gt;"Partner",J748&lt;&gt;"Internal",J748&lt;&gt;"None"),AND(K748&lt;&gt;"High",K748&lt;&gt;"Medium",K748&lt;&gt;"Low",K748&lt;&gt;"None"),AND(W748&lt;&gt;"Hard-coded",W748&lt;&gt;"Configurable",W748&lt;&gt;"Policy-managed",W748&lt;&gt;"API/Library abstraction",W748&lt;&gt;"Automated"),AND(Z748&lt;&gt;"Y",Z748&lt;&gt;"N"),AND(AA748&lt;&gt;"Y",AA748&lt;&gt;"N")),"Incomplete",IF(Z748="Y",20,0)+L748*5+IF(AA748="Y",15,0)+IF(J748="Public",10,IF(J748="Partner",7,IF(J748="Internal",3,0)))+IF(W748="Hard-coded",10,IF(W748="Configurable",3,0))+IF(MAX(I748,AP748)&gt;=10,10,IF(MAX(I748,AP748)&gt;=5,7,IF(MAX(I748,AP748)&gt;=2,3,0)))+IF(K748="High",10,IF(K748="Medium",5,0))))</x:f>
      </x:c>
      <x:c r="AC748" s="73" t="str">
        <x:f>IF(A748="","",IF(NOT(ISNUMBER(AB748)),"Review inputs",IF(AB748&gt;=70,"P0 - Immediate",IF(AB748&gt;=50,"P1 - High",IF(AB748&gt;=30,"P2 - Medium",IF(AB748&gt;=15,"P3 - Low","P4 - Monitor"))))))</x:f>
      </x:c>
      <x:c r="AD748" s="73"/>
      <x:c r="AE748" s="73"/>
      <x:c r="AF748" s="73"/>
      <x:c r="AG748" s="77"/>
      <x:c r="AH748" s="73"/>
      <x:c r="AI748" s="91"/>
      <x:c r="AJ748" s="91"/>
      <x:c r="AK748" s="91"/>
      <x:c r="AL748" s="92"/>
      <x:c r="AM748" s="91"/>
      <x:c r="AN748" s="91"/>
      <x:c r="AO748" s="93"/>
      <x:c r="AP748" s="94"/>
      <x:c r="AQ748" s="91"/>
      <x:c r="AR748" s="91"/>
      <x:c r="AS748" s="91"/>
      <x:c r="AT748" s="91"/>
      <x:c r="AU748" s="91"/>
      <x:c r="AV748" s="91"/>
      <x:c r="AW748" s="91"/>
      <x:c r="AX748" s="91"/>
      <x:c r="AY748" s="91"/>
      <x:c r="AZ748" s="92"/>
      <x:c r="BA748" s="94"/>
      <x:c r="BB748" s="91"/>
      <x:c r="BC748" s="92"/>
      <x:c r="BD748" s="92"/>
      <x:c r="BE748" s="91"/>
      <x:c r="BF748" s="91"/>
      <x:c r="BG748" s="91"/>
      <x:c r="BH748" s="91"/>
      <x:c r="BI748" s="91"/>
      <x:c r="BJ748" s="91"/>
      <x:c r="BK748" s="91"/>
      <x:c r="BL748" s="91"/>
      <x:c r="BM748" s="73" t="str">
        <x:f>IF(A748="","",IF(AI748="Example","Example only",IF(AI748&lt;&gt;"Actual","Set record type",IF(COUNTIF($A$2:$A$1001,A748)&gt;1,"Duplicate record ID",IF(OR(D748="",E748="",AF748="",NOT(ISNUMBER(AG748)),AJ748="",AK748="",NOT(ISNUMBER(AL748)),AND(AM748&lt;&gt;"Observed",AM748&lt;&gt;"Corroborated",AM748&lt;&gt;"Declared"),OR(AN748="",AN748="Unknown"),OR(AQ748="",AQ748="Unknown"),OR(AR748="",AR748="Unknown",AR748="TBD"),OR(BC748="",NOT(ISNUMBER(BC748)))),"Evidence incomplete","Evidence recorded; review scope")))))</x:f>
      </x:c>
      <x:c r="BN748" s="73"/>
    </x:row>
    <x:row r="749" ht="34" customHeight="1">
      <x:c r="A749" s="73"/>
      <x:c r="B749" s="73"/>
      <x:c r="C749" s="73"/>
      <x:c r="D749" s="73"/>
      <x:c r="E749" s="73"/>
      <x:c r="F749" s="73"/>
      <x:c r="G749" s="73"/>
      <x:c r="H749" s="73"/>
      <x:c r="I749" s="75"/>
      <x:c r="J749" s="73"/>
      <x:c r="K749" s="73"/>
      <x:c r="L749" s="76"/>
      <x:c r="M749" s="73"/>
      <x:c r="N749" s="73"/>
      <x:c r="O749" s="73"/>
      <x:c r="P749" s="73"/>
      <x:c r="Q749" s="76"/>
      <x:c r="R749" s="73"/>
      <x:c r="S749" s="73"/>
      <x:c r="T749" s="73"/>
      <x:c r="U749" s="73"/>
      <x:c r="V749" s="73"/>
      <x:c r="W749" s="73"/>
      <x:c r="X749" s="73"/>
      <x:c r="Y749" s="73"/>
      <x:c r="Z749" s="73"/>
      <x:c r="AA749" s="73"/>
      <x:c r="AB749" s="76" t="str">
        <x:f>IF(A749="","",IF(OR(NOT(ISNUMBER(I749)),I749&lt;0,NOT(ISNUMBER(AP749)),AP749&lt;0,NOT(ISNUMBER(L749)),L749&lt;1,L749&gt;5,L749&lt;&gt;INT(L749),AND(J749&lt;&gt;"Public",J749&lt;&gt;"Partner",J749&lt;&gt;"Internal",J749&lt;&gt;"None"),AND(K749&lt;&gt;"High",K749&lt;&gt;"Medium",K749&lt;&gt;"Low",K749&lt;&gt;"None"),AND(W749&lt;&gt;"Hard-coded",W749&lt;&gt;"Configurable",W749&lt;&gt;"Policy-managed",W749&lt;&gt;"API/Library abstraction",W749&lt;&gt;"Automated"),AND(Z749&lt;&gt;"Y",Z749&lt;&gt;"N"),AND(AA749&lt;&gt;"Y",AA749&lt;&gt;"N")),"Incomplete",IF(Z749="Y",20,0)+L749*5+IF(AA749="Y",15,0)+IF(J749="Public",10,IF(J749="Partner",7,IF(J749="Internal",3,0)))+IF(W749="Hard-coded",10,IF(W749="Configurable",3,0))+IF(MAX(I749,AP749)&gt;=10,10,IF(MAX(I749,AP749)&gt;=5,7,IF(MAX(I749,AP749)&gt;=2,3,0)))+IF(K749="High",10,IF(K749="Medium",5,0))))</x:f>
      </x:c>
      <x:c r="AC749" s="73" t="str">
        <x:f>IF(A749="","",IF(NOT(ISNUMBER(AB749)),"Review inputs",IF(AB749&gt;=70,"P0 - Immediate",IF(AB749&gt;=50,"P1 - High",IF(AB749&gt;=30,"P2 - Medium",IF(AB749&gt;=15,"P3 - Low","P4 - Monitor"))))))</x:f>
      </x:c>
      <x:c r="AD749" s="73"/>
      <x:c r="AE749" s="73"/>
      <x:c r="AF749" s="73"/>
      <x:c r="AG749" s="77"/>
      <x:c r="AH749" s="73"/>
      <x:c r="AI749" s="91"/>
      <x:c r="AJ749" s="91"/>
      <x:c r="AK749" s="91"/>
      <x:c r="AL749" s="92"/>
      <x:c r="AM749" s="91"/>
      <x:c r="AN749" s="91"/>
      <x:c r="AO749" s="93"/>
      <x:c r="AP749" s="94"/>
      <x:c r="AQ749" s="91"/>
      <x:c r="AR749" s="91"/>
      <x:c r="AS749" s="91"/>
      <x:c r="AT749" s="91"/>
      <x:c r="AU749" s="91"/>
      <x:c r="AV749" s="91"/>
      <x:c r="AW749" s="91"/>
      <x:c r="AX749" s="91"/>
      <x:c r="AY749" s="91"/>
      <x:c r="AZ749" s="92"/>
      <x:c r="BA749" s="94"/>
      <x:c r="BB749" s="91"/>
      <x:c r="BC749" s="92"/>
      <x:c r="BD749" s="92"/>
      <x:c r="BE749" s="91"/>
      <x:c r="BF749" s="91"/>
      <x:c r="BG749" s="91"/>
      <x:c r="BH749" s="91"/>
      <x:c r="BI749" s="91"/>
      <x:c r="BJ749" s="91"/>
      <x:c r="BK749" s="91"/>
      <x:c r="BL749" s="91"/>
      <x:c r="BM749" s="73" t="str">
        <x:f>IF(A749="","",IF(AI749="Example","Example only",IF(AI749&lt;&gt;"Actual","Set record type",IF(COUNTIF($A$2:$A$1001,A749)&gt;1,"Duplicate record ID",IF(OR(D749="",E749="",AF749="",NOT(ISNUMBER(AG749)),AJ749="",AK749="",NOT(ISNUMBER(AL749)),AND(AM749&lt;&gt;"Observed",AM749&lt;&gt;"Corroborated",AM749&lt;&gt;"Declared"),OR(AN749="",AN749="Unknown"),OR(AQ749="",AQ749="Unknown"),OR(AR749="",AR749="Unknown",AR749="TBD"),OR(BC749="",NOT(ISNUMBER(BC749)))),"Evidence incomplete","Evidence recorded; review scope")))))</x:f>
      </x:c>
      <x:c r="BN749" s="73"/>
    </x:row>
    <x:row r="750" ht="34" customHeight="1">
      <x:c r="A750" s="73"/>
      <x:c r="B750" s="73"/>
      <x:c r="C750" s="73"/>
      <x:c r="D750" s="73"/>
      <x:c r="E750" s="73"/>
      <x:c r="F750" s="73"/>
      <x:c r="G750" s="73"/>
      <x:c r="H750" s="73"/>
      <x:c r="I750" s="75"/>
      <x:c r="J750" s="73"/>
      <x:c r="K750" s="73"/>
      <x:c r="L750" s="76"/>
      <x:c r="M750" s="73"/>
      <x:c r="N750" s="73"/>
      <x:c r="O750" s="73"/>
      <x:c r="P750" s="73"/>
      <x:c r="Q750" s="76"/>
      <x:c r="R750" s="73"/>
      <x:c r="S750" s="73"/>
      <x:c r="T750" s="73"/>
      <x:c r="U750" s="73"/>
      <x:c r="V750" s="73"/>
      <x:c r="W750" s="73"/>
      <x:c r="X750" s="73"/>
      <x:c r="Y750" s="73"/>
      <x:c r="Z750" s="73"/>
      <x:c r="AA750" s="73"/>
      <x:c r="AB750" s="76" t="str">
        <x:f>IF(A750="","",IF(OR(NOT(ISNUMBER(I750)),I750&lt;0,NOT(ISNUMBER(AP750)),AP750&lt;0,NOT(ISNUMBER(L750)),L750&lt;1,L750&gt;5,L750&lt;&gt;INT(L750),AND(J750&lt;&gt;"Public",J750&lt;&gt;"Partner",J750&lt;&gt;"Internal",J750&lt;&gt;"None"),AND(K750&lt;&gt;"High",K750&lt;&gt;"Medium",K750&lt;&gt;"Low",K750&lt;&gt;"None"),AND(W750&lt;&gt;"Hard-coded",W750&lt;&gt;"Configurable",W750&lt;&gt;"Policy-managed",W750&lt;&gt;"API/Library abstraction",W750&lt;&gt;"Automated"),AND(Z750&lt;&gt;"Y",Z750&lt;&gt;"N"),AND(AA750&lt;&gt;"Y",AA750&lt;&gt;"N")),"Incomplete",IF(Z750="Y",20,0)+L750*5+IF(AA750="Y",15,0)+IF(J750="Public",10,IF(J750="Partner",7,IF(J750="Internal",3,0)))+IF(W750="Hard-coded",10,IF(W750="Configurable",3,0))+IF(MAX(I750,AP750)&gt;=10,10,IF(MAX(I750,AP750)&gt;=5,7,IF(MAX(I750,AP750)&gt;=2,3,0)))+IF(K750="High",10,IF(K750="Medium",5,0))))</x:f>
      </x:c>
      <x:c r="AC750" s="73" t="str">
        <x:f>IF(A750="","",IF(NOT(ISNUMBER(AB750)),"Review inputs",IF(AB750&gt;=70,"P0 - Immediate",IF(AB750&gt;=50,"P1 - High",IF(AB750&gt;=30,"P2 - Medium",IF(AB750&gt;=15,"P3 - Low","P4 - Monitor"))))))</x:f>
      </x:c>
      <x:c r="AD750" s="73"/>
      <x:c r="AE750" s="73"/>
      <x:c r="AF750" s="73"/>
      <x:c r="AG750" s="77"/>
      <x:c r="AH750" s="73"/>
      <x:c r="AI750" s="91"/>
      <x:c r="AJ750" s="91"/>
      <x:c r="AK750" s="91"/>
      <x:c r="AL750" s="92"/>
      <x:c r="AM750" s="91"/>
      <x:c r="AN750" s="91"/>
      <x:c r="AO750" s="93"/>
      <x:c r="AP750" s="94"/>
      <x:c r="AQ750" s="91"/>
      <x:c r="AR750" s="91"/>
      <x:c r="AS750" s="91"/>
      <x:c r="AT750" s="91"/>
      <x:c r="AU750" s="91"/>
      <x:c r="AV750" s="91"/>
      <x:c r="AW750" s="91"/>
      <x:c r="AX750" s="91"/>
      <x:c r="AY750" s="91"/>
      <x:c r="AZ750" s="92"/>
      <x:c r="BA750" s="94"/>
      <x:c r="BB750" s="91"/>
      <x:c r="BC750" s="92"/>
      <x:c r="BD750" s="92"/>
      <x:c r="BE750" s="91"/>
      <x:c r="BF750" s="91"/>
      <x:c r="BG750" s="91"/>
      <x:c r="BH750" s="91"/>
      <x:c r="BI750" s="91"/>
      <x:c r="BJ750" s="91"/>
      <x:c r="BK750" s="91"/>
      <x:c r="BL750" s="91"/>
      <x:c r="BM750" s="73" t="str">
        <x:f>IF(A750="","",IF(AI750="Example","Example only",IF(AI750&lt;&gt;"Actual","Set record type",IF(COUNTIF($A$2:$A$1001,A750)&gt;1,"Duplicate record ID",IF(OR(D750="",E750="",AF750="",NOT(ISNUMBER(AG750)),AJ750="",AK750="",NOT(ISNUMBER(AL750)),AND(AM750&lt;&gt;"Observed",AM750&lt;&gt;"Corroborated",AM750&lt;&gt;"Declared"),OR(AN750="",AN750="Unknown"),OR(AQ750="",AQ750="Unknown"),OR(AR750="",AR750="Unknown",AR750="TBD"),OR(BC750="",NOT(ISNUMBER(BC750)))),"Evidence incomplete","Evidence recorded; review scope")))))</x:f>
      </x:c>
      <x:c r="BN750" s="73"/>
    </x:row>
    <x:row r="751" ht="34" customHeight="1">
      <x:c r="A751" s="73"/>
      <x:c r="B751" s="73"/>
      <x:c r="C751" s="73"/>
      <x:c r="D751" s="73"/>
      <x:c r="E751" s="73"/>
      <x:c r="F751" s="73"/>
      <x:c r="G751" s="73"/>
      <x:c r="H751" s="73"/>
      <x:c r="I751" s="75"/>
      <x:c r="J751" s="73"/>
      <x:c r="K751" s="73"/>
      <x:c r="L751" s="76"/>
      <x:c r="M751" s="73"/>
      <x:c r="N751" s="73"/>
      <x:c r="O751" s="73"/>
      <x:c r="P751" s="73"/>
      <x:c r="Q751" s="76"/>
      <x:c r="R751" s="73"/>
      <x:c r="S751" s="73"/>
      <x:c r="T751" s="73"/>
      <x:c r="U751" s="73"/>
      <x:c r="V751" s="73"/>
      <x:c r="W751" s="73"/>
      <x:c r="X751" s="73"/>
      <x:c r="Y751" s="73"/>
      <x:c r="Z751" s="73"/>
      <x:c r="AA751" s="73"/>
      <x:c r="AB751" s="76" t="str">
        <x:f>IF(A751="","",IF(OR(NOT(ISNUMBER(I751)),I751&lt;0,NOT(ISNUMBER(AP751)),AP751&lt;0,NOT(ISNUMBER(L751)),L751&lt;1,L751&gt;5,L751&lt;&gt;INT(L751),AND(J751&lt;&gt;"Public",J751&lt;&gt;"Partner",J751&lt;&gt;"Internal",J751&lt;&gt;"None"),AND(K751&lt;&gt;"High",K751&lt;&gt;"Medium",K751&lt;&gt;"Low",K751&lt;&gt;"None"),AND(W751&lt;&gt;"Hard-coded",W751&lt;&gt;"Configurable",W751&lt;&gt;"Policy-managed",W751&lt;&gt;"API/Library abstraction",W751&lt;&gt;"Automated"),AND(Z751&lt;&gt;"Y",Z751&lt;&gt;"N"),AND(AA751&lt;&gt;"Y",AA751&lt;&gt;"N")),"Incomplete",IF(Z751="Y",20,0)+L751*5+IF(AA751="Y",15,0)+IF(J751="Public",10,IF(J751="Partner",7,IF(J751="Internal",3,0)))+IF(W751="Hard-coded",10,IF(W751="Configurable",3,0))+IF(MAX(I751,AP751)&gt;=10,10,IF(MAX(I751,AP751)&gt;=5,7,IF(MAX(I751,AP751)&gt;=2,3,0)))+IF(K751="High",10,IF(K751="Medium",5,0))))</x:f>
      </x:c>
      <x:c r="AC751" s="73" t="str">
        <x:f>IF(A751="","",IF(NOT(ISNUMBER(AB751)),"Review inputs",IF(AB751&gt;=70,"P0 - Immediate",IF(AB751&gt;=50,"P1 - High",IF(AB751&gt;=30,"P2 - Medium",IF(AB751&gt;=15,"P3 - Low","P4 - Monitor"))))))</x:f>
      </x:c>
      <x:c r="AD751" s="73"/>
      <x:c r="AE751" s="73"/>
      <x:c r="AF751" s="73"/>
      <x:c r="AG751" s="77"/>
      <x:c r="AH751" s="73"/>
      <x:c r="AI751" s="91"/>
      <x:c r="AJ751" s="91"/>
      <x:c r="AK751" s="91"/>
      <x:c r="AL751" s="92"/>
      <x:c r="AM751" s="91"/>
      <x:c r="AN751" s="91"/>
      <x:c r="AO751" s="93"/>
      <x:c r="AP751" s="94"/>
      <x:c r="AQ751" s="91"/>
      <x:c r="AR751" s="91"/>
      <x:c r="AS751" s="91"/>
      <x:c r="AT751" s="91"/>
      <x:c r="AU751" s="91"/>
      <x:c r="AV751" s="91"/>
      <x:c r="AW751" s="91"/>
      <x:c r="AX751" s="91"/>
      <x:c r="AY751" s="91"/>
      <x:c r="AZ751" s="92"/>
      <x:c r="BA751" s="94"/>
      <x:c r="BB751" s="91"/>
      <x:c r="BC751" s="92"/>
      <x:c r="BD751" s="92"/>
      <x:c r="BE751" s="91"/>
      <x:c r="BF751" s="91"/>
      <x:c r="BG751" s="91"/>
      <x:c r="BH751" s="91"/>
      <x:c r="BI751" s="91"/>
      <x:c r="BJ751" s="91"/>
      <x:c r="BK751" s="91"/>
      <x:c r="BL751" s="91"/>
      <x:c r="BM751" s="73" t="str">
        <x:f>IF(A751="","",IF(AI751="Example","Example only",IF(AI751&lt;&gt;"Actual","Set record type",IF(COUNTIF($A$2:$A$1001,A751)&gt;1,"Duplicate record ID",IF(OR(D751="",E751="",AF751="",NOT(ISNUMBER(AG751)),AJ751="",AK751="",NOT(ISNUMBER(AL751)),AND(AM751&lt;&gt;"Observed",AM751&lt;&gt;"Corroborated",AM751&lt;&gt;"Declared"),OR(AN751="",AN751="Unknown"),OR(AQ751="",AQ751="Unknown"),OR(AR751="",AR751="Unknown",AR751="TBD"),OR(BC751="",NOT(ISNUMBER(BC751)))),"Evidence incomplete","Evidence recorded; review scope")))))</x:f>
      </x:c>
      <x:c r="BN751" s="73"/>
    </x:row>
    <x:row r="752" ht="34" customHeight="1">
      <x:c r="A752" s="73"/>
      <x:c r="B752" s="73"/>
      <x:c r="C752" s="73"/>
      <x:c r="D752" s="73"/>
      <x:c r="E752" s="73"/>
      <x:c r="F752" s="73"/>
      <x:c r="G752" s="73"/>
      <x:c r="H752" s="73"/>
      <x:c r="I752" s="75"/>
      <x:c r="J752" s="73"/>
      <x:c r="K752" s="73"/>
      <x:c r="L752" s="76"/>
      <x:c r="M752" s="73"/>
      <x:c r="N752" s="73"/>
      <x:c r="O752" s="73"/>
      <x:c r="P752" s="73"/>
      <x:c r="Q752" s="76"/>
      <x:c r="R752" s="73"/>
      <x:c r="S752" s="73"/>
      <x:c r="T752" s="73"/>
      <x:c r="U752" s="73"/>
      <x:c r="V752" s="73"/>
      <x:c r="W752" s="73"/>
      <x:c r="X752" s="73"/>
      <x:c r="Y752" s="73"/>
      <x:c r="Z752" s="73"/>
      <x:c r="AA752" s="73"/>
      <x:c r="AB752" s="76" t="str">
        <x:f>IF(A752="","",IF(OR(NOT(ISNUMBER(I752)),I752&lt;0,NOT(ISNUMBER(AP752)),AP752&lt;0,NOT(ISNUMBER(L752)),L752&lt;1,L752&gt;5,L752&lt;&gt;INT(L752),AND(J752&lt;&gt;"Public",J752&lt;&gt;"Partner",J752&lt;&gt;"Internal",J752&lt;&gt;"None"),AND(K752&lt;&gt;"High",K752&lt;&gt;"Medium",K752&lt;&gt;"Low",K752&lt;&gt;"None"),AND(W752&lt;&gt;"Hard-coded",W752&lt;&gt;"Configurable",W752&lt;&gt;"Policy-managed",W752&lt;&gt;"API/Library abstraction",W752&lt;&gt;"Automated"),AND(Z752&lt;&gt;"Y",Z752&lt;&gt;"N"),AND(AA752&lt;&gt;"Y",AA752&lt;&gt;"N")),"Incomplete",IF(Z752="Y",20,0)+L752*5+IF(AA752="Y",15,0)+IF(J752="Public",10,IF(J752="Partner",7,IF(J752="Internal",3,0)))+IF(W752="Hard-coded",10,IF(W752="Configurable",3,0))+IF(MAX(I752,AP752)&gt;=10,10,IF(MAX(I752,AP752)&gt;=5,7,IF(MAX(I752,AP752)&gt;=2,3,0)))+IF(K752="High",10,IF(K752="Medium",5,0))))</x:f>
      </x:c>
      <x:c r="AC752" s="73" t="str">
        <x:f>IF(A752="","",IF(NOT(ISNUMBER(AB752)),"Review inputs",IF(AB752&gt;=70,"P0 - Immediate",IF(AB752&gt;=50,"P1 - High",IF(AB752&gt;=30,"P2 - Medium",IF(AB752&gt;=15,"P3 - Low","P4 - Monitor"))))))</x:f>
      </x:c>
      <x:c r="AD752" s="73"/>
      <x:c r="AE752" s="73"/>
      <x:c r="AF752" s="73"/>
      <x:c r="AG752" s="77"/>
      <x:c r="AH752" s="73"/>
      <x:c r="AI752" s="91"/>
      <x:c r="AJ752" s="91"/>
      <x:c r="AK752" s="91"/>
      <x:c r="AL752" s="92"/>
      <x:c r="AM752" s="91"/>
      <x:c r="AN752" s="91"/>
      <x:c r="AO752" s="93"/>
      <x:c r="AP752" s="94"/>
      <x:c r="AQ752" s="91"/>
      <x:c r="AR752" s="91"/>
      <x:c r="AS752" s="91"/>
      <x:c r="AT752" s="91"/>
      <x:c r="AU752" s="91"/>
      <x:c r="AV752" s="91"/>
      <x:c r="AW752" s="91"/>
      <x:c r="AX752" s="91"/>
      <x:c r="AY752" s="91"/>
      <x:c r="AZ752" s="92"/>
      <x:c r="BA752" s="94"/>
      <x:c r="BB752" s="91"/>
      <x:c r="BC752" s="92"/>
      <x:c r="BD752" s="92"/>
      <x:c r="BE752" s="91"/>
      <x:c r="BF752" s="91"/>
      <x:c r="BG752" s="91"/>
      <x:c r="BH752" s="91"/>
      <x:c r="BI752" s="91"/>
      <x:c r="BJ752" s="91"/>
      <x:c r="BK752" s="91"/>
      <x:c r="BL752" s="91"/>
      <x:c r="BM752" s="73" t="str">
        <x:f>IF(A752="","",IF(AI752="Example","Example only",IF(AI752&lt;&gt;"Actual","Set record type",IF(COUNTIF($A$2:$A$1001,A752)&gt;1,"Duplicate record ID",IF(OR(D752="",E752="",AF752="",NOT(ISNUMBER(AG752)),AJ752="",AK752="",NOT(ISNUMBER(AL752)),AND(AM752&lt;&gt;"Observed",AM752&lt;&gt;"Corroborated",AM752&lt;&gt;"Declared"),OR(AN752="",AN752="Unknown"),OR(AQ752="",AQ752="Unknown"),OR(AR752="",AR752="Unknown",AR752="TBD"),OR(BC752="",NOT(ISNUMBER(BC752)))),"Evidence incomplete","Evidence recorded; review scope")))))</x:f>
      </x:c>
      <x:c r="BN752" s="73"/>
    </x:row>
    <x:row r="753" ht="34" customHeight="1">
      <x:c r="A753" s="73"/>
      <x:c r="B753" s="73"/>
      <x:c r="C753" s="73"/>
      <x:c r="D753" s="73"/>
      <x:c r="E753" s="73"/>
      <x:c r="F753" s="73"/>
      <x:c r="G753" s="73"/>
      <x:c r="H753" s="73"/>
      <x:c r="I753" s="75"/>
      <x:c r="J753" s="73"/>
      <x:c r="K753" s="73"/>
      <x:c r="L753" s="76"/>
      <x:c r="M753" s="73"/>
      <x:c r="N753" s="73"/>
      <x:c r="O753" s="73"/>
      <x:c r="P753" s="73"/>
      <x:c r="Q753" s="76"/>
      <x:c r="R753" s="73"/>
      <x:c r="S753" s="73"/>
      <x:c r="T753" s="73"/>
      <x:c r="U753" s="73"/>
      <x:c r="V753" s="73"/>
      <x:c r="W753" s="73"/>
      <x:c r="X753" s="73"/>
      <x:c r="Y753" s="73"/>
      <x:c r="Z753" s="73"/>
      <x:c r="AA753" s="73"/>
      <x:c r="AB753" s="76" t="str">
        <x:f>IF(A753="","",IF(OR(NOT(ISNUMBER(I753)),I753&lt;0,NOT(ISNUMBER(AP753)),AP753&lt;0,NOT(ISNUMBER(L753)),L753&lt;1,L753&gt;5,L753&lt;&gt;INT(L753),AND(J753&lt;&gt;"Public",J753&lt;&gt;"Partner",J753&lt;&gt;"Internal",J753&lt;&gt;"None"),AND(K753&lt;&gt;"High",K753&lt;&gt;"Medium",K753&lt;&gt;"Low",K753&lt;&gt;"None"),AND(W753&lt;&gt;"Hard-coded",W753&lt;&gt;"Configurable",W753&lt;&gt;"Policy-managed",W753&lt;&gt;"API/Library abstraction",W753&lt;&gt;"Automated"),AND(Z753&lt;&gt;"Y",Z753&lt;&gt;"N"),AND(AA753&lt;&gt;"Y",AA753&lt;&gt;"N")),"Incomplete",IF(Z753="Y",20,0)+L753*5+IF(AA753="Y",15,0)+IF(J753="Public",10,IF(J753="Partner",7,IF(J753="Internal",3,0)))+IF(W753="Hard-coded",10,IF(W753="Configurable",3,0))+IF(MAX(I753,AP753)&gt;=10,10,IF(MAX(I753,AP753)&gt;=5,7,IF(MAX(I753,AP753)&gt;=2,3,0)))+IF(K753="High",10,IF(K753="Medium",5,0))))</x:f>
      </x:c>
      <x:c r="AC753" s="73" t="str">
        <x:f>IF(A753="","",IF(NOT(ISNUMBER(AB753)),"Review inputs",IF(AB753&gt;=70,"P0 - Immediate",IF(AB753&gt;=50,"P1 - High",IF(AB753&gt;=30,"P2 - Medium",IF(AB753&gt;=15,"P3 - Low","P4 - Monitor"))))))</x:f>
      </x:c>
      <x:c r="AD753" s="73"/>
      <x:c r="AE753" s="73"/>
      <x:c r="AF753" s="73"/>
      <x:c r="AG753" s="77"/>
      <x:c r="AH753" s="73"/>
      <x:c r="AI753" s="91"/>
      <x:c r="AJ753" s="91"/>
      <x:c r="AK753" s="91"/>
      <x:c r="AL753" s="92"/>
      <x:c r="AM753" s="91"/>
      <x:c r="AN753" s="91"/>
      <x:c r="AO753" s="93"/>
      <x:c r="AP753" s="94"/>
      <x:c r="AQ753" s="91"/>
      <x:c r="AR753" s="91"/>
      <x:c r="AS753" s="91"/>
      <x:c r="AT753" s="91"/>
      <x:c r="AU753" s="91"/>
      <x:c r="AV753" s="91"/>
      <x:c r="AW753" s="91"/>
      <x:c r="AX753" s="91"/>
      <x:c r="AY753" s="91"/>
      <x:c r="AZ753" s="92"/>
      <x:c r="BA753" s="94"/>
      <x:c r="BB753" s="91"/>
      <x:c r="BC753" s="92"/>
      <x:c r="BD753" s="92"/>
      <x:c r="BE753" s="91"/>
      <x:c r="BF753" s="91"/>
      <x:c r="BG753" s="91"/>
      <x:c r="BH753" s="91"/>
      <x:c r="BI753" s="91"/>
      <x:c r="BJ753" s="91"/>
      <x:c r="BK753" s="91"/>
      <x:c r="BL753" s="91"/>
      <x:c r="BM753" s="73" t="str">
        <x:f>IF(A753="","",IF(AI753="Example","Example only",IF(AI753&lt;&gt;"Actual","Set record type",IF(COUNTIF($A$2:$A$1001,A753)&gt;1,"Duplicate record ID",IF(OR(D753="",E753="",AF753="",NOT(ISNUMBER(AG753)),AJ753="",AK753="",NOT(ISNUMBER(AL753)),AND(AM753&lt;&gt;"Observed",AM753&lt;&gt;"Corroborated",AM753&lt;&gt;"Declared"),OR(AN753="",AN753="Unknown"),OR(AQ753="",AQ753="Unknown"),OR(AR753="",AR753="Unknown",AR753="TBD"),OR(BC753="",NOT(ISNUMBER(BC753)))),"Evidence incomplete","Evidence recorded; review scope")))))</x:f>
      </x:c>
      <x:c r="BN753" s="73"/>
    </x:row>
    <x:row r="754" ht="34" customHeight="1">
      <x:c r="A754" s="73"/>
      <x:c r="B754" s="73"/>
      <x:c r="C754" s="73"/>
      <x:c r="D754" s="73"/>
      <x:c r="E754" s="73"/>
      <x:c r="F754" s="73"/>
      <x:c r="G754" s="73"/>
      <x:c r="H754" s="73"/>
      <x:c r="I754" s="75"/>
      <x:c r="J754" s="73"/>
      <x:c r="K754" s="73"/>
      <x:c r="L754" s="76"/>
      <x:c r="M754" s="73"/>
      <x:c r="N754" s="73"/>
      <x:c r="O754" s="73"/>
      <x:c r="P754" s="73"/>
      <x:c r="Q754" s="76"/>
      <x:c r="R754" s="73"/>
      <x:c r="S754" s="73"/>
      <x:c r="T754" s="73"/>
      <x:c r="U754" s="73"/>
      <x:c r="V754" s="73"/>
      <x:c r="W754" s="73"/>
      <x:c r="X754" s="73"/>
      <x:c r="Y754" s="73"/>
      <x:c r="Z754" s="73"/>
      <x:c r="AA754" s="73"/>
      <x:c r="AB754" s="76" t="str">
        <x:f>IF(A754="","",IF(OR(NOT(ISNUMBER(I754)),I754&lt;0,NOT(ISNUMBER(AP754)),AP754&lt;0,NOT(ISNUMBER(L754)),L754&lt;1,L754&gt;5,L754&lt;&gt;INT(L754),AND(J754&lt;&gt;"Public",J754&lt;&gt;"Partner",J754&lt;&gt;"Internal",J754&lt;&gt;"None"),AND(K754&lt;&gt;"High",K754&lt;&gt;"Medium",K754&lt;&gt;"Low",K754&lt;&gt;"None"),AND(W754&lt;&gt;"Hard-coded",W754&lt;&gt;"Configurable",W754&lt;&gt;"Policy-managed",W754&lt;&gt;"API/Library abstraction",W754&lt;&gt;"Automated"),AND(Z754&lt;&gt;"Y",Z754&lt;&gt;"N"),AND(AA754&lt;&gt;"Y",AA754&lt;&gt;"N")),"Incomplete",IF(Z754="Y",20,0)+L754*5+IF(AA754="Y",15,0)+IF(J754="Public",10,IF(J754="Partner",7,IF(J754="Internal",3,0)))+IF(W754="Hard-coded",10,IF(W754="Configurable",3,0))+IF(MAX(I754,AP754)&gt;=10,10,IF(MAX(I754,AP754)&gt;=5,7,IF(MAX(I754,AP754)&gt;=2,3,0)))+IF(K754="High",10,IF(K754="Medium",5,0))))</x:f>
      </x:c>
      <x:c r="AC754" s="73" t="str">
        <x:f>IF(A754="","",IF(NOT(ISNUMBER(AB754)),"Review inputs",IF(AB754&gt;=70,"P0 - Immediate",IF(AB754&gt;=50,"P1 - High",IF(AB754&gt;=30,"P2 - Medium",IF(AB754&gt;=15,"P3 - Low","P4 - Monitor"))))))</x:f>
      </x:c>
      <x:c r="AD754" s="73"/>
      <x:c r="AE754" s="73"/>
      <x:c r="AF754" s="73"/>
      <x:c r="AG754" s="77"/>
      <x:c r="AH754" s="73"/>
      <x:c r="AI754" s="91"/>
      <x:c r="AJ754" s="91"/>
      <x:c r="AK754" s="91"/>
      <x:c r="AL754" s="92"/>
      <x:c r="AM754" s="91"/>
      <x:c r="AN754" s="91"/>
      <x:c r="AO754" s="93"/>
      <x:c r="AP754" s="94"/>
      <x:c r="AQ754" s="91"/>
      <x:c r="AR754" s="91"/>
      <x:c r="AS754" s="91"/>
      <x:c r="AT754" s="91"/>
      <x:c r="AU754" s="91"/>
      <x:c r="AV754" s="91"/>
      <x:c r="AW754" s="91"/>
      <x:c r="AX754" s="91"/>
      <x:c r="AY754" s="91"/>
      <x:c r="AZ754" s="92"/>
      <x:c r="BA754" s="94"/>
      <x:c r="BB754" s="91"/>
      <x:c r="BC754" s="92"/>
      <x:c r="BD754" s="92"/>
      <x:c r="BE754" s="91"/>
      <x:c r="BF754" s="91"/>
      <x:c r="BG754" s="91"/>
      <x:c r="BH754" s="91"/>
      <x:c r="BI754" s="91"/>
      <x:c r="BJ754" s="91"/>
      <x:c r="BK754" s="91"/>
      <x:c r="BL754" s="91"/>
      <x:c r="BM754" s="73" t="str">
        <x:f>IF(A754="","",IF(AI754="Example","Example only",IF(AI754&lt;&gt;"Actual","Set record type",IF(COUNTIF($A$2:$A$1001,A754)&gt;1,"Duplicate record ID",IF(OR(D754="",E754="",AF754="",NOT(ISNUMBER(AG754)),AJ754="",AK754="",NOT(ISNUMBER(AL754)),AND(AM754&lt;&gt;"Observed",AM754&lt;&gt;"Corroborated",AM754&lt;&gt;"Declared"),OR(AN754="",AN754="Unknown"),OR(AQ754="",AQ754="Unknown"),OR(AR754="",AR754="Unknown",AR754="TBD"),OR(BC754="",NOT(ISNUMBER(BC754)))),"Evidence incomplete","Evidence recorded; review scope")))))</x:f>
      </x:c>
      <x:c r="BN754" s="73"/>
    </x:row>
    <x:row r="755" ht="34" customHeight="1">
      <x:c r="A755" s="73"/>
      <x:c r="B755" s="73"/>
      <x:c r="C755" s="73"/>
      <x:c r="D755" s="73"/>
      <x:c r="E755" s="73"/>
      <x:c r="F755" s="73"/>
      <x:c r="G755" s="73"/>
      <x:c r="H755" s="73"/>
      <x:c r="I755" s="75"/>
      <x:c r="J755" s="73"/>
      <x:c r="K755" s="73"/>
      <x:c r="L755" s="76"/>
      <x:c r="M755" s="73"/>
      <x:c r="N755" s="73"/>
      <x:c r="O755" s="73"/>
      <x:c r="P755" s="73"/>
      <x:c r="Q755" s="76"/>
      <x:c r="R755" s="73"/>
      <x:c r="S755" s="73"/>
      <x:c r="T755" s="73"/>
      <x:c r="U755" s="73"/>
      <x:c r="V755" s="73"/>
      <x:c r="W755" s="73"/>
      <x:c r="X755" s="73"/>
      <x:c r="Y755" s="73"/>
      <x:c r="Z755" s="73"/>
      <x:c r="AA755" s="73"/>
      <x:c r="AB755" s="76" t="str">
        <x:f>IF(A755="","",IF(OR(NOT(ISNUMBER(I755)),I755&lt;0,NOT(ISNUMBER(AP755)),AP755&lt;0,NOT(ISNUMBER(L755)),L755&lt;1,L755&gt;5,L755&lt;&gt;INT(L755),AND(J755&lt;&gt;"Public",J755&lt;&gt;"Partner",J755&lt;&gt;"Internal",J755&lt;&gt;"None"),AND(K755&lt;&gt;"High",K755&lt;&gt;"Medium",K755&lt;&gt;"Low",K755&lt;&gt;"None"),AND(W755&lt;&gt;"Hard-coded",W755&lt;&gt;"Configurable",W755&lt;&gt;"Policy-managed",W755&lt;&gt;"API/Library abstraction",W755&lt;&gt;"Automated"),AND(Z755&lt;&gt;"Y",Z755&lt;&gt;"N"),AND(AA755&lt;&gt;"Y",AA755&lt;&gt;"N")),"Incomplete",IF(Z755="Y",20,0)+L755*5+IF(AA755="Y",15,0)+IF(J755="Public",10,IF(J755="Partner",7,IF(J755="Internal",3,0)))+IF(W755="Hard-coded",10,IF(W755="Configurable",3,0))+IF(MAX(I755,AP755)&gt;=10,10,IF(MAX(I755,AP755)&gt;=5,7,IF(MAX(I755,AP755)&gt;=2,3,0)))+IF(K755="High",10,IF(K755="Medium",5,0))))</x:f>
      </x:c>
      <x:c r="AC755" s="73" t="str">
        <x:f>IF(A755="","",IF(NOT(ISNUMBER(AB755)),"Review inputs",IF(AB755&gt;=70,"P0 - Immediate",IF(AB755&gt;=50,"P1 - High",IF(AB755&gt;=30,"P2 - Medium",IF(AB755&gt;=15,"P3 - Low","P4 - Monitor"))))))</x:f>
      </x:c>
      <x:c r="AD755" s="73"/>
      <x:c r="AE755" s="73"/>
      <x:c r="AF755" s="73"/>
      <x:c r="AG755" s="77"/>
      <x:c r="AH755" s="73"/>
      <x:c r="AI755" s="91"/>
      <x:c r="AJ755" s="91"/>
      <x:c r="AK755" s="91"/>
      <x:c r="AL755" s="92"/>
      <x:c r="AM755" s="91"/>
      <x:c r="AN755" s="91"/>
      <x:c r="AO755" s="93"/>
      <x:c r="AP755" s="94"/>
      <x:c r="AQ755" s="91"/>
      <x:c r="AR755" s="91"/>
      <x:c r="AS755" s="91"/>
      <x:c r="AT755" s="91"/>
      <x:c r="AU755" s="91"/>
      <x:c r="AV755" s="91"/>
      <x:c r="AW755" s="91"/>
      <x:c r="AX755" s="91"/>
      <x:c r="AY755" s="91"/>
      <x:c r="AZ755" s="92"/>
      <x:c r="BA755" s="94"/>
      <x:c r="BB755" s="91"/>
      <x:c r="BC755" s="92"/>
      <x:c r="BD755" s="92"/>
      <x:c r="BE755" s="91"/>
      <x:c r="BF755" s="91"/>
      <x:c r="BG755" s="91"/>
      <x:c r="BH755" s="91"/>
      <x:c r="BI755" s="91"/>
      <x:c r="BJ755" s="91"/>
      <x:c r="BK755" s="91"/>
      <x:c r="BL755" s="91"/>
      <x:c r="BM755" s="73" t="str">
        <x:f>IF(A755="","",IF(AI755="Example","Example only",IF(AI755&lt;&gt;"Actual","Set record type",IF(COUNTIF($A$2:$A$1001,A755)&gt;1,"Duplicate record ID",IF(OR(D755="",E755="",AF755="",NOT(ISNUMBER(AG755)),AJ755="",AK755="",NOT(ISNUMBER(AL755)),AND(AM755&lt;&gt;"Observed",AM755&lt;&gt;"Corroborated",AM755&lt;&gt;"Declared"),OR(AN755="",AN755="Unknown"),OR(AQ755="",AQ755="Unknown"),OR(AR755="",AR755="Unknown",AR755="TBD"),OR(BC755="",NOT(ISNUMBER(BC755)))),"Evidence incomplete","Evidence recorded; review scope")))))</x:f>
      </x:c>
      <x:c r="BN755" s="73"/>
    </x:row>
    <x:row r="756" ht="34" customHeight="1">
      <x:c r="A756" s="73"/>
      <x:c r="B756" s="73"/>
      <x:c r="C756" s="73"/>
      <x:c r="D756" s="73"/>
      <x:c r="E756" s="73"/>
      <x:c r="F756" s="73"/>
      <x:c r="G756" s="73"/>
      <x:c r="H756" s="73"/>
      <x:c r="I756" s="75"/>
      <x:c r="J756" s="73"/>
      <x:c r="K756" s="73"/>
      <x:c r="L756" s="76"/>
      <x:c r="M756" s="73"/>
      <x:c r="N756" s="73"/>
      <x:c r="O756" s="73"/>
      <x:c r="P756" s="73"/>
      <x:c r="Q756" s="76"/>
      <x:c r="R756" s="73"/>
      <x:c r="S756" s="73"/>
      <x:c r="T756" s="73"/>
      <x:c r="U756" s="73"/>
      <x:c r="V756" s="73"/>
      <x:c r="W756" s="73"/>
      <x:c r="X756" s="73"/>
      <x:c r="Y756" s="73"/>
      <x:c r="Z756" s="73"/>
      <x:c r="AA756" s="73"/>
      <x:c r="AB756" s="76" t="str">
        <x:f>IF(A756="","",IF(OR(NOT(ISNUMBER(I756)),I756&lt;0,NOT(ISNUMBER(AP756)),AP756&lt;0,NOT(ISNUMBER(L756)),L756&lt;1,L756&gt;5,L756&lt;&gt;INT(L756),AND(J756&lt;&gt;"Public",J756&lt;&gt;"Partner",J756&lt;&gt;"Internal",J756&lt;&gt;"None"),AND(K756&lt;&gt;"High",K756&lt;&gt;"Medium",K756&lt;&gt;"Low",K756&lt;&gt;"None"),AND(W756&lt;&gt;"Hard-coded",W756&lt;&gt;"Configurable",W756&lt;&gt;"Policy-managed",W756&lt;&gt;"API/Library abstraction",W756&lt;&gt;"Automated"),AND(Z756&lt;&gt;"Y",Z756&lt;&gt;"N"),AND(AA756&lt;&gt;"Y",AA756&lt;&gt;"N")),"Incomplete",IF(Z756="Y",20,0)+L756*5+IF(AA756="Y",15,0)+IF(J756="Public",10,IF(J756="Partner",7,IF(J756="Internal",3,0)))+IF(W756="Hard-coded",10,IF(W756="Configurable",3,0))+IF(MAX(I756,AP756)&gt;=10,10,IF(MAX(I756,AP756)&gt;=5,7,IF(MAX(I756,AP756)&gt;=2,3,0)))+IF(K756="High",10,IF(K756="Medium",5,0))))</x:f>
      </x:c>
      <x:c r="AC756" s="73" t="str">
        <x:f>IF(A756="","",IF(NOT(ISNUMBER(AB756)),"Review inputs",IF(AB756&gt;=70,"P0 - Immediate",IF(AB756&gt;=50,"P1 - High",IF(AB756&gt;=30,"P2 - Medium",IF(AB756&gt;=15,"P3 - Low","P4 - Monitor"))))))</x:f>
      </x:c>
      <x:c r="AD756" s="73"/>
      <x:c r="AE756" s="73"/>
      <x:c r="AF756" s="73"/>
      <x:c r="AG756" s="77"/>
      <x:c r="AH756" s="73"/>
      <x:c r="AI756" s="91"/>
      <x:c r="AJ756" s="91"/>
      <x:c r="AK756" s="91"/>
      <x:c r="AL756" s="92"/>
      <x:c r="AM756" s="91"/>
      <x:c r="AN756" s="91"/>
      <x:c r="AO756" s="93"/>
      <x:c r="AP756" s="94"/>
      <x:c r="AQ756" s="91"/>
      <x:c r="AR756" s="91"/>
      <x:c r="AS756" s="91"/>
      <x:c r="AT756" s="91"/>
      <x:c r="AU756" s="91"/>
      <x:c r="AV756" s="91"/>
      <x:c r="AW756" s="91"/>
      <x:c r="AX756" s="91"/>
      <x:c r="AY756" s="91"/>
      <x:c r="AZ756" s="92"/>
      <x:c r="BA756" s="94"/>
      <x:c r="BB756" s="91"/>
      <x:c r="BC756" s="92"/>
      <x:c r="BD756" s="92"/>
      <x:c r="BE756" s="91"/>
      <x:c r="BF756" s="91"/>
      <x:c r="BG756" s="91"/>
      <x:c r="BH756" s="91"/>
      <x:c r="BI756" s="91"/>
      <x:c r="BJ756" s="91"/>
      <x:c r="BK756" s="91"/>
      <x:c r="BL756" s="91"/>
      <x:c r="BM756" s="73" t="str">
        <x:f>IF(A756="","",IF(AI756="Example","Example only",IF(AI756&lt;&gt;"Actual","Set record type",IF(COUNTIF($A$2:$A$1001,A756)&gt;1,"Duplicate record ID",IF(OR(D756="",E756="",AF756="",NOT(ISNUMBER(AG756)),AJ756="",AK756="",NOT(ISNUMBER(AL756)),AND(AM756&lt;&gt;"Observed",AM756&lt;&gt;"Corroborated",AM756&lt;&gt;"Declared"),OR(AN756="",AN756="Unknown"),OR(AQ756="",AQ756="Unknown"),OR(AR756="",AR756="Unknown",AR756="TBD"),OR(BC756="",NOT(ISNUMBER(BC756)))),"Evidence incomplete","Evidence recorded; review scope")))))</x:f>
      </x:c>
      <x:c r="BN756" s="73"/>
    </x:row>
    <x:row r="757" ht="34" customHeight="1">
      <x:c r="A757" s="73"/>
      <x:c r="B757" s="73"/>
      <x:c r="C757" s="73"/>
      <x:c r="D757" s="73"/>
      <x:c r="E757" s="73"/>
      <x:c r="F757" s="73"/>
      <x:c r="G757" s="73"/>
      <x:c r="H757" s="73"/>
      <x:c r="I757" s="75"/>
      <x:c r="J757" s="73"/>
      <x:c r="K757" s="73"/>
      <x:c r="L757" s="76"/>
      <x:c r="M757" s="73"/>
      <x:c r="N757" s="73"/>
      <x:c r="O757" s="73"/>
      <x:c r="P757" s="73"/>
      <x:c r="Q757" s="76"/>
      <x:c r="R757" s="73"/>
      <x:c r="S757" s="73"/>
      <x:c r="T757" s="73"/>
      <x:c r="U757" s="73"/>
      <x:c r="V757" s="73"/>
      <x:c r="W757" s="73"/>
      <x:c r="X757" s="73"/>
      <x:c r="Y757" s="73"/>
      <x:c r="Z757" s="73"/>
      <x:c r="AA757" s="73"/>
      <x:c r="AB757" s="76" t="str">
        <x:f>IF(A757="","",IF(OR(NOT(ISNUMBER(I757)),I757&lt;0,NOT(ISNUMBER(AP757)),AP757&lt;0,NOT(ISNUMBER(L757)),L757&lt;1,L757&gt;5,L757&lt;&gt;INT(L757),AND(J757&lt;&gt;"Public",J757&lt;&gt;"Partner",J757&lt;&gt;"Internal",J757&lt;&gt;"None"),AND(K757&lt;&gt;"High",K757&lt;&gt;"Medium",K757&lt;&gt;"Low",K757&lt;&gt;"None"),AND(W757&lt;&gt;"Hard-coded",W757&lt;&gt;"Configurable",W757&lt;&gt;"Policy-managed",W757&lt;&gt;"API/Library abstraction",W757&lt;&gt;"Automated"),AND(Z757&lt;&gt;"Y",Z757&lt;&gt;"N"),AND(AA757&lt;&gt;"Y",AA757&lt;&gt;"N")),"Incomplete",IF(Z757="Y",20,0)+L757*5+IF(AA757="Y",15,0)+IF(J757="Public",10,IF(J757="Partner",7,IF(J757="Internal",3,0)))+IF(W757="Hard-coded",10,IF(W757="Configurable",3,0))+IF(MAX(I757,AP757)&gt;=10,10,IF(MAX(I757,AP757)&gt;=5,7,IF(MAX(I757,AP757)&gt;=2,3,0)))+IF(K757="High",10,IF(K757="Medium",5,0))))</x:f>
      </x:c>
      <x:c r="AC757" s="73" t="str">
        <x:f>IF(A757="","",IF(NOT(ISNUMBER(AB757)),"Review inputs",IF(AB757&gt;=70,"P0 - Immediate",IF(AB757&gt;=50,"P1 - High",IF(AB757&gt;=30,"P2 - Medium",IF(AB757&gt;=15,"P3 - Low","P4 - Monitor"))))))</x:f>
      </x:c>
      <x:c r="AD757" s="73"/>
      <x:c r="AE757" s="73"/>
      <x:c r="AF757" s="73"/>
      <x:c r="AG757" s="77"/>
      <x:c r="AH757" s="73"/>
      <x:c r="AI757" s="91"/>
      <x:c r="AJ757" s="91"/>
      <x:c r="AK757" s="91"/>
      <x:c r="AL757" s="92"/>
      <x:c r="AM757" s="91"/>
      <x:c r="AN757" s="91"/>
      <x:c r="AO757" s="93"/>
      <x:c r="AP757" s="94"/>
      <x:c r="AQ757" s="91"/>
      <x:c r="AR757" s="91"/>
      <x:c r="AS757" s="91"/>
      <x:c r="AT757" s="91"/>
      <x:c r="AU757" s="91"/>
      <x:c r="AV757" s="91"/>
      <x:c r="AW757" s="91"/>
      <x:c r="AX757" s="91"/>
      <x:c r="AY757" s="91"/>
      <x:c r="AZ757" s="92"/>
      <x:c r="BA757" s="94"/>
      <x:c r="BB757" s="91"/>
      <x:c r="BC757" s="92"/>
      <x:c r="BD757" s="92"/>
      <x:c r="BE757" s="91"/>
      <x:c r="BF757" s="91"/>
      <x:c r="BG757" s="91"/>
      <x:c r="BH757" s="91"/>
      <x:c r="BI757" s="91"/>
      <x:c r="BJ757" s="91"/>
      <x:c r="BK757" s="91"/>
      <x:c r="BL757" s="91"/>
      <x:c r="BM757" s="73" t="str">
        <x:f>IF(A757="","",IF(AI757="Example","Example only",IF(AI757&lt;&gt;"Actual","Set record type",IF(COUNTIF($A$2:$A$1001,A757)&gt;1,"Duplicate record ID",IF(OR(D757="",E757="",AF757="",NOT(ISNUMBER(AG757)),AJ757="",AK757="",NOT(ISNUMBER(AL757)),AND(AM757&lt;&gt;"Observed",AM757&lt;&gt;"Corroborated",AM757&lt;&gt;"Declared"),OR(AN757="",AN757="Unknown"),OR(AQ757="",AQ757="Unknown"),OR(AR757="",AR757="Unknown",AR757="TBD"),OR(BC757="",NOT(ISNUMBER(BC757)))),"Evidence incomplete","Evidence recorded; review scope")))))</x:f>
      </x:c>
      <x:c r="BN757" s="73"/>
    </x:row>
    <x:row r="758" ht="34" customHeight="1">
      <x:c r="A758" s="73"/>
      <x:c r="B758" s="73"/>
      <x:c r="C758" s="73"/>
      <x:c r="D758" s="73"/>
      <x:c r="E758" s="73"/>
      <x:c r="F758" s="73"/>
      <x:c r="G758" s="73"/>
      <x:c r="H758" s="73"/>
      <x:c r="I758" s="75"/>
      <x:c r="J758" s="73"/>
      <x:c r="K758" s="73"/>
      <x:c r="L758" s="76"/>
      <x:c r="M758" s="73"/>
      <x:c r="N758" s="73"/>
      <x:c r="O758" s="73"/>
      <x:c r="P758" s="73"/>
      <x:c r="Q758" s="76"/>
      <x:c r="R758" s="73"/>
      <x:c r="S758" s="73"/>
      <x:c r="T758" s="73"/>
      <x:c r="U758" s="73"/>
      <x:c r="V758" s="73"/>
      <x:c r="W758" s="73"/>
      <x:c r="X758" s="73"/>
      <x:c r="Y758" s="73"/>
      <x:c r="Z758" s="73"/>
      <x:c r="AA758" s="73"/>
      <x:c r="AB758" s="76" t="str">
        <x:f>IF(A758="","",IF(OR(NOT(ISNUMBER(I758)),I758&lt;0,NOT(ISNUMBER(AP758)),AP758&lt;0,NOT(ISNUMBER(L758)),L758&lt;1,L758&gt;5,L758&lt;&gt;INT(L758),AND(J758&lt;&gt;"Public",J758&lt;&gt;"Partner",J758&lt;&gt;"Internal",J758&lt;&gt;"None"),AND(K758&lt;&gt;"High",K758&lt;&gt;"Medium",K758&lt;&gt;"Low",K758&lt;&gt;"None"),AND(W758&lt;&gt;"Hard-coded",W758&lt;&gt;"Configurable",W758&lt;&gt;"Policy-managed",W758&lt;&gt;"API/Library abstraction",W758&lt;&gt;"Automated"),AND(Z758&lt;&gt;"Y",Z758&lt;&gt;"N"),AND(AA758&lt;&gt;"Y",AA758&lt;&gt;"N")),"Incomplete",IF(Z758="Y",20,0)+L758*5+IF(AA758="Y",15,0)+IF(J758="Public",10,IF(J758="Partner",7,IF(J758="Internal",3,0)))+IF(W758="Hard-coded",10,IF(W758="Configurable",3,0))+IF(MAX(I758,AP758)&gt;=10,10,IF(MAX(I758,AP758)&gt;=5,7,IF(MAX(I758,AP758)&gt;=2,3,0)))+IF(K758="High",10,IF(K758="Medium",5,0))))</x:f>
      </x:c>
      <x:c r="AC758" s="73" t="str">
        <x:f>IF(A758="","",IF(NOT(ISNUMBER(AB758)),"Review inputs",IF(AB758&gt;=70,"P0 - Immediate",IF(AB758&gt;=50,"P1 - High",IF(AB758&gt;=30,"P2 - Medium",IF(AB758&gt;=15,"P3 - Low","P4 - Monitor"))))))</x:f>
      </x:c>
      <x:c r="AD758" s="73"/>
      <x:c r="AE758" s="73"/>
      <x:c r="AF758" s="73"/>
      <x:c r="AG758" s="77"/>
      <x:c r="AH758" s="73"/>
      <x:c r="AI758" s="91"/>
      <x:c r="AJ758" s="91"/>
      <x:c r="AK758" s="91"/>
      <x:c r="AL758" s="92"/>
      <x:c r="AM758" s="91"/>
      <x:c r="AN758" s="91"/>
      <x:c r="AO758" s="93"/>
      <x:c r="AP758" s="94"/>
      <x:c r="AQ758" s="91"/>
      <x:c r="AR758" s="91"/>
      <x:c r="AS758" s="91"/>
      <x:c r="AT758" s="91"/>
      <x:c r="AU758" s="91"/>
      <x:c r="AV758" s="91"/>
      <x:c r="AW758" s="91"/>
      <x:c r="AX758" s="91"/>
      <x:c r="AY758" s="91"/>
      <x:c r="AZ758" s="92"/>
      <x:c r="BA758" s="94"/>
      <x:c r="BB758" s="91"/>
      <x:c r="BC758" s="92"/>
      <x:c r="BD758" s="92"/>
      <x:c r="BE758" s="91"/>
      <x:c r="BF758" s="91"/>
      <x:c r="BG758" s="91"/>
      <x:c r="BH758" s="91"/>
      <x:c r="BI758" s="91"/>
      <x:c r="BJ758" s="91"/>
      <x:c r="BK758" s="91"/>
      <x:c r="BL758" s="91"/>
      <x:c r="BM758" s="73" t="str">
        <x:f>IF(A758="","",IF(AI758="Example","Example only",IF(AI758&lt;&gt;"Actual","Set record type",IF(COUNTIF($A$2:$A$1001,A758)&gt;1,"Duplicate record ID",IF(OR(D758="",E758="",AF758="",NOT(ISNUMBER(AG758)),AJ758="",AK758="",NOT(ISNUMBER(AL758)),AND(AM758&lt;&gt;"Observed",AM758&lt;&gt;"Corroborated",AM758&lt;&gt;"Declared"),OR(AN758="",AN758="Unknown"),OR(AQ758="",AQ758="Unknown"),OR(AR758="",AR758="Unknown",AR758="TBD"),OR(BC758="",NOT(ISNUMBER(BC758)))),"Evidence incomplete","Evidence recorded; review scope")))))</x:f>
      </x:c>
      <x:c r="BN758" s="73"/>
    </x:row>
    <x:row r="759" ht="34" customHeight="1">
      <x:c r="A759" s="73"/>
      <x:c r="B759" s="73"/>
      <x:c r="C759" s="73"/>
      <x:c r="D759" s="73"/>
      <x:c r="E759" s="73"/>
      <x:c r="F759" s="73"/>
      <x:c r="G759" s="73"/>
      <x:c r="H759" s="73"/>
      <x:c r="I759" s="75"/>
      <x:c r="J759" s="73"/>
      <x:c r="K759" s="73"/>
      <x:c r="L759" s="76"/>
      <x:c r="M759" s="73"/>
      <x:c r="N759" s="73"/>
      <x:c r="O759" s="73"/>
      <x:c r="P759" s="73"/>
      <x:c r="Q759" s="76"/>
      <x:c r="R759" s="73"/>
      <x:c r="S759" s="73"/>
      <x:c r="T759" s="73"/>
      <x:c r="U759" s="73"/>
      <x:c r="V759" s="73"/>
      <x:c r="W759" s="73"/>
      <x:c r="X759" s="73"/>
      <x:c r="Y759" s="73"/>
      <x:c r="Z759" s="73"/>
      <x:c r="AA759" s="73"/>
      <x:c r="AB759" s="76" t="str">
        <x:f>IF(A759="","",IF(OR(NOT(ISNUMBER(I759)),I759&lt;0,NOT(ISNUMBER(AP759)),AP759&lt;0,NOT(ISNUMBER(L759)),L759&lt;1,L759&gt;5,L759&lt;&gt;INT(L759),AND(J759&lt;&gt;"Public",J759&lt;&gt;"Partner",J759&lt;&gt;"Internal",J759&lt;&gt;"None"),AND(K759&lt;&gt;"High",K759&lt;&gt;"Medium",K759&lt;&gt;"Low",K759&lt;&gt;"None"),AND(W759&lt;&gt;"Hard-coded",W759&lt;&gt;"Configurable",W759&lt;&gt;"Policy-managed",W759&lt;&gt;"API/Library abstraction",W759&lt;&gt;"Automated"),AND(Z759&lt;&gt;"Y",Z759&lt;&gt;"N"),AND(AA759&lt;&gt;"Y",AA759&lt;&gt;"N")),"Incomplete",IF(Z759="Y",20,0)+L759*5+IF(AA759="Y",15,0)+IF(J759="Public",10,IF(J759="Partner",7,IF(J759="Internal",3,0)))+IF(W759="Hard-coded",10,IF(W759="Configurable",3,0))+IF(MAX(I759,AP759)&gt;=10,10,IF(MAX(I759,AP759)&gt;=5,7,IF(MAX(I759,AP759)&gt;=2,3,0)))+IF(K759="High",10,IF(K759="Medium",5,0))))</x:f>
      </x:c>
      <x:c r="AC759" s="73" t="str">
        <x:f>IF(A759="","",IF(NOT(ISNUMBER(AB759)),"Review inputs",IF(AB759&gt;=70,"P0 - Immediate",IF(AB759&gt;=50,"P1 - High",IF(AB759&gt;=30,"P2 - Medium",IF(AB759&gt;=15,"P3 - Low","P4 - Monitor"))))))</x:f>
      </x:c>
      <x:c r="AD759" s="73"/>
      <x:c r="AE759" s="73"/>
      <x:c r="AF759" s="73"/>
      <x:c r="AG759" s="77"/>
      <x:c r="AH759" s="73"/>
      <x:c r="AI759" s="91"/>
      <x:c r="AJ759" s="91"/>
      <x:c r="AK759" s="91"/>
      <x:c r="AL759" s="92"/>
      <x:c r="AM759" s="91"/>
      <x:c r="AN759" s="91"/>
      <x:c r="AO759" s="93"/>
      <x:c r="AP759" s="94"/>
      <x:c r="AQ759" s="91"/>
      <x:c r="AR759" s="91"/>
      <x:c r="AS759" s="91"/>
      <x:c r="AT759" s="91"/>
      <x:c r="AU759" s="91"/>
      <x:c r="AV759" s="91"/>
      <x:c r="AW759" s="91"/>
      <x:c r="AX759" s="91"/>
      <x:c r="AY759" s="91"/>
      <x:c r="AZ759" s="92"/>
      <x:c r="BA759" s="94"/>
      <x:c r="BB759" s="91"/>
      <x:c r="BC759" s="92"/>
      <x:c r="BD759" s="92"/>
      <x:c r="BE759" s="91"/>
      <x:c r="BF759" s="91"/>
      <x:c r="BG759" s="91"/>
      <x:c r="BH759" s="91"/>
      <x:c r="BI759" s="91"/>
      <x:c r="BJ759" s="91"/>
      <x:c r="BK759" s="91"/>
      <x:c r="BL759" s="91"/>
      <x:c r="BM759" s="73" t="str">
        <x:f>IF(A759="","",IF(AI759="Example","Example only",IF(AI759&lt;&gt;"Actual","Set record type",IF(COUNTIF($A$2:$A$1001,A759)&gt;1,"Duplicate record ID",IF(OR(D759="",E759="",AF759="",NOT(ISNUMBER(AG759)),AJ759="",AK759="",NOT(ISNUMBER(AL759)),AND(AM759&lt;&gt;"Observed",AM759&lt;&gt;"Corroborated",AM759&lt;&gt;"Declared"),OR(AN759="",AN759="Unknown"),OR(AQ759="",AQ759="Unknown"),OR(AR759="",AR759="Unknown",AR759="TBD"),OR(BC759="",NOT(ISNUMBER(BC759)))),"Evidence incomplete","Evidence recorded; review scope")))))</x:f>
      </x:c>
      <x:c r="BN759" s="73"/>
    </x:row>
    <x:row r="760" ht="34" customHeight="1">
      <x:c r="A760" s="73"/>
      <x:c r="B760" s="73"/>
      <x:c r="C760" s="73"/>
      <x:c r="D760" s="73"/>
      <x:c r="E760" s="73"/>
      <x:c r="F760" s="73"/>
      <x:c r="G760" s="73"/>
      <x:c r="H760" s="73"/>
      <x:c r="I760" s="75"/>
      <x:c r="J760" s="73"/>
      <x:c r="K760" s="73"/>
      <x:c r="L760" s="76"/>
      <x:c r="M760" s="73"/>
      <x:c r="N760" s="73"/>
      <x:c r="O760" s="73"/>
      <x:c r="P760" s="73"/>
      <x:c r="Q760" s="76"/>
      <x:c r="R760" s="73"/>
      <x:c r="S760" s="73"/>
      <x:c r="T760" s="73"/>
      <x:c r="U760" s="73"/>
      <x:c r="V760" s="73"/>
      <x:c r="W760" s="73"/>
      <x:c r="X760" s="73"/>
      <x:c r="Y760" s="73"/>
      <x:c r="Z760" s="73"/>
      <x:c r="AA760" s="73"/>
      <x:c r="AB760" s="76" t="str">
        <x:f>IF(A760="","",IF(OR(NOT(ISNUMBER(I760)),I760&lt;0,NOT(ISNUMBER(AP760)),AP760&lt;0,NOT(ISNUMBER(L760)),L760&lt;1,L760&gt;5,L760&lt;&gt;INT(L760),AND(J760&lt;&gt;"Public",J760&lt;&gt;"Partner",J760&lt;&gt;"Internal",J760&lt;&gt;"None"),AND(K760&lt;&gt;"High",K760&lt;&gt;"Medium",K760&lt;&gt;"Low",K760&lt;&gt;"None"),AND(W760&lt;&gt;"Hard-coded",W760&lt;&gt;"Configurable",W760&lt;&gt;"Policy-managed",W760&lt;&gt;"API/Library abstraction",W760&lt;&gt;"Automated"),AND(Z760&lt;&gt;"Y",Z760&lt;&gt;"N"),AND(AA760&lt;&gt;"Y",AA760&lt;&gt;"N")),"Incomplete",IF(Z760="Y",20,0)+L760*5+IF(AA760="Y",15,0)+IF(J760="Public",10,IF(J760="Partner",7,IF(J760="Internal",3,0)))+IF(W760="Hard-coded",10,IF(W760="Configurable",3,0))+IF(MAX(I760,AP760)&gt;=10,10,IF(MAX(I760,AP760)&gt;=5,7,IF(MAX(I760,AP760)&gt;=2,3,0)))+IF(K760="High",10,IF(K760="Medium",5,0))))</x:f>
      </x:c>
      <x:c r="AC760" s="73" t="str">
        <x:f>IF(A760="","",IF(NOT(ISNUMBER(AB760)),"Review inputs",IF(AB760&gt;=70,"P0 - Immediate",IF(AB760&gt;=50,"P1 - High",IF(AB760&gt;=30,"P2 - Medium",IF(AB760&gt;=15,"P3 - Low","P4 - Monitor"))))))</x:f>
      </x:c>
      <x:c r="AD760" s="73"/>
      <x:c r="AE760" s="73"/>
      <x:c r="AF760" s="73"/>
      <x:c r="AG760" s="77"/>
      <x:c r="AH760" s="73"/>
      <x:c r="AI760" s="91"/>
      <x:c r="AJ760" s="91"/>
      <x:c r="AK760" s="91"/>
      <x:c r="AL760" s="92"/>
      <x:c r="AM760" s="91"/>
      <x:c r="AN760" s="91"/>
      <x:c r="AO760" s="93"/>
      <x:c r="AP760" s="94"/>
      <x:c r="AQ760" s="91"/>
      <x:c r="AR760" s="91"/>
      <x:c r="AS760" s="91"/>
      <x:c r="AT760" s="91"/>
      <x:c r="AU760" s="91"/>
      <x:c r="AV760" s="91"/>
      <x:c r="AW760" s="91"/>
      <x:c r="AX760" s="91"/>
      <x:c r="AY760" s="91"/>
      <x:c r="AZ760" s="92"/>
      <x:c r="BA760" s="94"/>
      <x:c r="BB760" s="91"/>
      <x:c r="BC760" s="92"/>
      <x:c r="BD760" s="92"/>
      <x:c r="BE760" s="91"/>
      <x:c r="BF760" s="91"/>
      <x:c r="BG760" s="91"/>
      <x:c r="BH760" s="91"/>
      <x:c r="BI760" s="91"/>
      <x:c r="BJ760" s="91"/>
      <x:c r="BK760" s="91"/>
      <x:c r="BL760" s="91"/>
      <x:c r="BM760" s="73" t="str">
        <x:f>IF(A760="","",IF(AI760="Example","Example only",IF(AI760&lt;&gt;"Actual","Set record type",IF(COUNTIF($A$2:$A$1001,A760)&gt;1,"Duplicate record ID",IF(OR(D760="",E760="",AF760="",NOT(ISNUMBER(AG760)),AJ760="",AK760="",NOT(ISNUMBER(AL760)),AND(AM760&lt;&gt;"Observed",AM760&lt;&gt;"Corroborated",AM760&lt;&gt;"Declared"),OR(AN760="",AN760="Unknown"),OR(AQ760="",AQ760="Unknown"),OR(AR760="",AR760="Unknown",AR760="TBD"),OR(BC760="",NOT(ISNUMBER(BC760)))),"Evidence incomplete","Evidence recorded; review scope")))))</x:f>
      </x:c>
      <x:c r="BN760" s="73"/>
    </x:row>
    <x:row r="761" ht="34" customHeight="1">
      <x:c r="A761" s="73"/>
      <x:c r="B761" s="73"/>
      <x:c r="C761" s="73"/>
      <x:c r="D761" s="73"/>
      <x:c r="E761" s="73"/>
      <x:c r="F761" s="73"/>
      <x:c r="G761" s="73"/>
      <x:c r="H761" s="73"/>
      <x:c r="I761" s="75"/>
      <x:c r="J761" s="73"/>
      <x:c r="K761" s="73"/>
      <x:c r="L761" s="76"/>
      <x:c r="M761" s="73"/>
      <x:c r="N761" s="73"/>
      <x:c r="O761" s="73"/>
      <x:c r="P761" s="73"/>
      <x:c r="Q761" s="76"/>
      <x:c r="R761" s="73"/>
      <x:c r="S761" s="73"/>
      <x:c r="T761" s="73"/>
      <x:c r="U761" s="73"/>
      <x:c r="V761" s="73"/>
      <x:c r="W761" s="73"/>
      <x:c r="X761" s="73"/>
      <x:c r="Y761" s="73"/>
      <x:c r="Z761" s="73"/>
      <x:c r="AA761" s="73"/>
      <x:c r="AB761" s="76" t="str">
        <x:f>IF(A761="","",IF(OR(NOT(ISNUMBER(I761)),I761&lt;0,NOT(ISNUMBER(AP761)),AP761&lt;0,NOT(ISNUMBER(L761)),L761&lt;1,L761&gt;5,L761&lt;&gt;INT(L761),AND(J761&lt;&gt;"Public",J761&lt;&gt;"Partner",J761&lt;&gt;"Internal",J761&lt;&gt;"None"),AND(K761&lt;&gt;"High",K761&lt;&gt;"Medium",K761&lt;&gt;"Low",K761&lt;&gt;"None"),AND(W761&lt;&gt;"Hard-coded",W761&lt;&gt;"Configurable",W761&lt;&gt;"Policy-managed",W761&lt;&gt;"API/Library abstraction",W761&lt;&gt;"Automated"),AND(Z761&lt;&gt;"Y",Z761&lt;&gt;"N"),AND(AA761&lt;&gt;"Y",AA761&lt;&gt;"N")),"Incomplete",IF(Z761="Y",20,0)+L761*5+IF(AA761="Y",15,0)+IF(J761="Public",10,IF(J761="Partner",7,IF(J761="Internal",3,0)))+IF(W761="Hard-coded",10,IF(W761="Configurable",3,0))+IF(MAX(I761,AP761)&gt;=10,10,IF(MAX(I761,AP761)&gt;=5,7,IF(MAX(I761,AP761)&gt;=2,3,0)))+IF(K761="High",10,IF(K761="Medium",5,0))))</x:f>
      </x:c>
      <x:c r="AC761" s="73" t="str">
        <x:f>IF(A761="","",IF(NOT(ISNUMBER(AB761)),"Review inputs",IF(AB761&gt;=70,"P0 - Immediate",IF(AB761&gt;=50,"P1 - High",IF(AB761&gt;=30,"P2 - Medium",IF(AB761&gt;=15,"P3 - Low","P4 - Monitor"))))))</x:f>
      </x:c>
      <x:c r="AD761" s="73"/>
      <x:c r="AE761" s="73"/>
      <x:c r="AF761" s="73"/>
      <x:c r="AG761" s="77"/>
      <x:c r="AH761" s="73"/>
      <x:c r="AI761" s="91"/>
      <x:c r="AJ761" s="91"/>
      <x:c r="AK761" s="91"/>
      <x:c r="AL761" s="92"/>
      <x:c r="AM761" s="91"/>
      <x:c r="AN761" s="91"/>
      <x:c r="AO761" s="93"/>
      <x:c r="AP761" s="94"/>
      <x:c r="AQ761" s="91"/>
      <x:c r="AR761" s="91"/>
      <x:c r="AS761" s="91"/>
      <x:c r="AT761" s="91"/>
      <x:c r="AU761" s="91"/>
      <x:c r="AV761" s="91"/>
      <x:c r="AW761" s="91"/>
      <x:c r="AX761" s="91"/>
      <x:c r="AY761" s="91"/>
      <x:c r="AZ761" s="92"/>
      <x:c r="BA761" s="94"/>
      <x:c r="BB761" s="91"/>
      <x:c r="BC761" s="92"/>
      <x:c r="BD761" s="92"/>
      <x:c r="BE761" s="91"/>
      <x:c r="BF761" s="91"/>
      <x:c r="BG761" s="91"/>
      <x:c r="BH761" s="91"/>
      <x:c r="BI761" s="91"/>
      <x:c r="BJ761" s="91"/>
      <x:c r="BK761" s="91"/>
      <x:c r="BL761" s="91"/>
      <x:c r="BM761" s="73" t="str">
        <x:f>IF(A761="","",IF(AI761="Example","Example only",IF(AI761&lt;&gt;"Actual","Set record type",IF(COUNTIF($A$2:$A$1001,A761)&gt;1,"Duplicate record ID",IF(OR(D761="",E761="",AF761="",NOT(ISNUMBER(AG761)),AJ761="",AK761="",NOT(ISNUMBER(AL761)),AND(AM761&lt;&gt;"Observed",AM761&lt;&gt;"Corroborated",AM761&lt;&gt;"Declared"),OR(AN761="",AN761="Unknown"),OR(AQ761="",AQ761="Unknown"),OR(AR761="",AR761="Unknown",AR761="TBD"),OR(BC761="",NOT(ISNUMBER(BC761)))),"Evidence incomplete","Evidence recorded; review scope")))))</x:f>
      </x:c>
      <x:c r="BN761" s="73"/>
    </x:row>
    <x:row r="762" ht="34" customHeight="1">
      <x:c r="A762" s="73"/>
      <x:c r="B762" s="73"/>
      <x:c r="C762" s="73"/>
      <x:c r="D762" s="73"/>
      <x:c r="E762" s="73"/>
      <x:c r="F762" s="73"/>
      <x:c r="G762" s="73"/>
      <x:c r="H762" s="73"/>
      <x:c r="I762" s="75"/>
      <x:c r="J762" s="73"/>
      <x:c r="K762" s="73"/>
      <x:c r="L762" s="76"/>
      <x:c r="M762" s="73"/>
      <x:c r="N762" s="73"/>
      <x:c r="O762" s="73"/>
      <x:c r="P762" s="73"/>
      <x:c r="Q762" s="76"/>
      <x:c r="R762" s="73"/>
      <x:c r="S762" s="73"/>
      <x:c r="T762" s="73"/>
      <x:c r="U762" s="73"/>
      <x:c r="V762" s="73"/>
      <x:c r="W762" s="73"/>
      <x:c r="X762" s="73"/>
      <x:c r="Y762" s="73"/>
      <x:c r="Z762" s="73"/>
      <x:c r="AA762" s="73"/>
      <x:c r="AB762" s="76" t="str">
        <x:f>IF(A762="","",IF(OR(NOT(ISNUMBER(I762)),I762&lt;0,NOT(ISNUMBER(AP762)),AP762&lt;0,NOT(ISNUMBER(L762)),L762&lt;1,L762&gt;5,L762&lt;&gt;INT(L762),AND(J762&lt;&gt;"Public",J762&lt;&gt;"Partner",J762&lt;&gt;"Internal",J762&lt;&gt;"None"),AND(K762&lt;&gt;"High",K762&lt;&gt;"Medium",K762&lt;&gt;"Low",K762&lt;&gt;"None"),AND(W762&lt;&gt;"Hard-coded",W762&lt;&gt;"Configurable",W762&lt;&gt;"Policy-managed",W762&lt;&gt;"API/Library abstraction",W762&lt;&gt;"Automated"),AND(Z762&lt;&gt;"Y",Z762&lt;&gt;"N"),AND(AA762&lt;&gt;"Y",AA762&lt;&gt;"N")),"Incomplete",IF(Z762="Y",20,0)+L762*5+IF(AA762="Y",15,0)+IF(J762="Public",10,IF(J762="Partner",7,IF(J762="Internal",3,0)))+IF(W762="Hard-coded",10,IF(W762="Configurable",3,0))+IF(MAX(I762,AP762)&gt;=10,10,IF(MAX(I762,AP762)&gt;=5,7,IF(MAX(I762,AP762)&gt;=2,3,0)))+IF(K762="High",10,IF(K762="Medium",5,0))))</x:f>
      </x:c>
      <x:c r="AC762" s="73" t="str">
        <x:f>IF(A762="","",IF(NOT(ISNUMBER(AB762)),"Review inputs",IF(AB762&gt;=70,"P0 - Immediate",IF(AB762&gt;=50,"P1 - High",IF(AB762&gt;=30,"P2 - Medium",IF(AB762&gt;=15,"P3 - Low","P4 - Monitor"))))))</x:f>
      </x:c>
      <x:c r="AD762" s="73"/>
      <x:c r="AE762" s="73"/>
      <x:c r="AF762" s="73"/>
      <x:c r="AG762" s="77"/>
      <x:c r="AH762" s="73"/>
      <x:c r="AI762" s="91"/>
      <x:c r="AJ762" s="91"/>
      <x:c r="AK762" s="91"/>
      <x:c r="AL762" s="92"/>
      <x:c r="AM762" s="91"/>
      <x:c r="AN762" s="91"/>
      <x:c r="AO762" s="93"/>
      <x:c r="AP762" s="94"/>
      <x:c r="AQ762" s="91"/>
      <x:c r="AR762" s="91"/>
      <x:c r="AS762" s="91"/>
      <x:c r="AT762" s="91"/>
      <x:c r="AU762" s="91"/>
      <x:c r="AV762" s="91"/>
      <x:c r="AW762" s="91"/>
      <x:c r="AX762" s="91"/>
      <x:c r="AY762" s="91"/>
      <x:c r="AZ762" s="92"/>
      <x:c r="BA762" s="94"/>
      <x:c r="BB762" s="91"/>
      <x:c r="BC762" s="92"/>
      <x:c r="BD762" s="92"/>
      <x:c r="BE762" s="91"/>
      <x:c r="BF762" s="91"/>
      <x:c r="BG762" s="91"/>
      <x:c r="BH762" s="91"/>
      <x:c r="BI762" s="91"/>
      <x:c r="BJ762" s="91"/>
      <x:c r="BK762" s="91"/>
      <x:c r="BL762" s="91"/>
      <x:c r="BM762" s="73" t="str">
        <x:f>IF(A762="","",IF(AI762="Example","Example only",IF(AI762&lt;&gt;"Actual","Set record type",IF(COUNTIF($A$2:$A$1001,A762)&gt;1,"Duplicate record ID",IF(OR(D762="",E762="",AF762="",NOT(ISNUMBER(AG762)),AJ762="",AK762="",NOT(ISNUMBER(AL762)),AND(AM762&lt;&gt;"Observed",AM762&lt;&gt;"Corroborated",AM762&lt;&gt;"Declared"),OR(AN762="",AN762="Unknown"),OR(AQ762="",AQ762="Unknown"),OR(AR762="",AR762="Unknown",AR762="TBD"),OR(BC762="",NOT(ISNUMBER(BC762)))),"Evidence incomplete","Evidence recorded; review scope")))))</x:f>
      </x:c>
      <x:c r="BN762" s="73"/>
    </x:row>
    <x:row r="763" ht="34" customHeight="1">
      <x:c r="A763" s="73"/>
      <x:c r="B763" s="73"/>
      <x:c r="C763" s="73"/>
      <x:c r="D763" s="73"/>
      <x:c r="E763" s="73"/>
      <x:c r="F763" s="73"/>
      <x:c r="G763" s="73"/>
      <x:c r="H763" s="73"/>
      <x:c r="I763" s="75"/>
      <x:c r="J763" s="73"/>
      <x:c r="K763" s="73"/>
      <x:c r="L763" s="76"/>
      <x:c r="M763" s="73"/>
      <x:c r="N763" s="73"/>
      <x:c r="O763" s="73"/>
      <x:c r="P763" s="73"/>
      <x:c r="Q763" s="76"/>
      <x:c r="R763" s="73"/>
      <x:c r="S763" s="73"/>
      <x:c r="T763" s="73"/>
      <x:c r="U763" s="73"/>
      <x:c r="V763" s="73"/>
      <x:c r="W763" s="73"/>
      <x:c r="X763" s="73"/>
      <x:c r="Y763" s="73"/>
      <x:c r="Z763" s="73"/>
      <x:c r="AA763" s="73"/>
      <x:c r="AB763" s="76" t="str">
        <x:f>IF(A763="","",IF(OR(NOT(ISNUMBER(I763)),I763&lt;0,NOT(ISNUMBER(AP763)),AP763&lt;0,NOT(ISNUMBER(L763)),L763&lt;1,L763&gt;5,L763&lt;&gt;INT(L763),AND(J763&lt;&gt;"Public",J763&lt;&gt;"Partner",J763&lt;&gt;"Internal",J763&lt;&gt;"None"),AND(K763&lt;&gt;"High",K763&lt;&gt;"Medium",K763&lt;&gt;"Low",K763&lt;&gt;"None"),AND(W763&lt;&gt;"Hard-coded",W763&lt;&gt;"Configurable",W763&lt;&gt;"Policy-managed",W763&lt;&gt;"API/Library abstraction",W763&lt;&gt;"Automated"),AND(Z763&lt;&gt;"Y",Z763&lt;&gt;"N"),AND(AA763&lt;&gt;"Y",AA763&lt;&gt;"N")),"Incomplete",IF(Z763="Y",20,0)+L763*5+IF(AA763="Y",15,0)+IF(J763="Public",10,IF(J763="Partner",7,IF(J763="Internal",3,0)))+IF(W763="Hard-coded",10,IF(W763="Configurable",3,0))+IF(MAX(I763,AP763)&gt;=10,10,IF(MAX(I763,AP763)&gt;=5,7,IF(MAX(I763,AP763)&gt;=2,3,0)))+IF(K763="High",10,IF(K763="Medium",5,0))))</x:f>
      </x:c>
      <x:c r="AC763" s="73" t="str">
        <x:f>IF(A763="","",IF(NOT(ISNUMBER(AB763)),"Review inputs",IF(AB763&gt;=70,"P0 - Immediate",IF(AB763&gt;=50,"P1 - High",IF(AB763&gt;=30,"P2 - Medium",IF(AB763&gt;=15,"P3 - Low","P4 - Monitor"))))))</x:f>
      </x:c>
      <x:c r="AD763" s="73"/>
      <x:c r="AE763" s="73"/>
      <x:c r="AF763" s="73"/>
      <x:c r="AG763" s="77"/>
      <x:c r="AH763" s="73"/>
      <x:c r="AI763" s="91"/>
      <x:c r="AJ763" s="91"/>
      <x:c r="AK763" s="91"/>
      <x:c r="AL763" s="92"/>
      <x:c r="AM763" s="91"/>
      <x:c r="AN763" s="91"/>
      <x:c r="AO763" s="93"/>
      <x:c r="AP763" s="94"/>
      <x:c r="AQ763" s="91"/>
      <x:c r="AR763" s="91"/>
      <x:c r="AS763" s="91"/>
      <x:c r="AT763" s="91"/>
      <x:c r="AU763" s="91"/>
      <x:c r="AV763" s="91"/>
      <x:c r="AW763" s="91"/>
      <x:c r="AX763" s="91"/>
      <x:c r="AY763" s="91"/>
      <x:c r="AZ763" s="92"/>
      <x:c r="BA763" s="94"/>
      <x:c r="BB763" s="91"/>
      <x:c r="BC763" s="92"/>
      <x:c r="BD763" s="92"/>
      <x:c r="BE763" s="91"/>
      <x:c r="BF763" s="91"/>
      <x:c r="BG763" s="91"/>
      <x:c r="BH763" s="91"/>
      <x:c r="BI763" s="91"/>
      <x:c r="BJ763" s="91"/>
      <x:c r="BK763" s="91"/>
      <x:c r="BL763" s="91"/>
      <x:c r="BM763" s="73" t="str">
        <x:f>IF(A763="","",IF(AI763="Example","Example only",IF(AI763&lt;&gt;"Actual","Set record type",IF(COUNTIF($A$2:$A$1001,A763)&gt;1,"Duplicate record ID",IF(OR(D763="",E763="",AF763="",NOT(ISNUMBER(AG763)),AJ763="",AK763="",NOT(ISNUMBER(AL763)),AND(AM763&lt;&gt;"Observed",AM763&lt;&gt;"Corroborated",AM763&lt;&gt;"Declared"),OR(AN763="",AN763="Unknown"),OR(AQ763="",AQ763="Unknown"),OR(AR763="",AR763="Unknown",AR763="TBD"),OR(BC763="",NOT(ISNUMBER(BC763)))),"Evidence incomplete","Evidence recorded; review scope")))))</x:f>
      </x:c>
      <x:c r="BN763" s="73"/>
    </x:row>
    <x:row r="764" ht="34" customHeight="1">
      <x:c r="A764" s="73"/>
      <x:c r="B764" s="73"/>
      <x:c r="C764" s="73"/>
      <x:c r="D764" s="73"/>
      <x:c r="E764" s="73"/>
      <x:c r="F764" s="73"/>
      <x:c r="G764" s="73"/>
      <x:c r="H764" s="73"/>
      <x:c r="I764" s="75"/>
      <x:c r="J764" s="73"/>
      <x:c r="K764" s="73"/>
      <x:c r="L764" s="76"/>
      <x:c r="M764" s="73"/>
      <x:c r="N764" s="73"/>
      <x:c r="O764" s="73"/>
      <x:c r="P764" s="73"/>
      <x:c r="Q764" s="76"/>
      <x:c r="R764" s="73"/>
      <x:c r="S764" s="73"/>
      <x:c r="T764" s="73"/>
      <x:c r="U764" s="73"/>
      <x:c r="V764" s="73"/>
      <x:c r="W764" s="73"/>
      <x:c r="X764" s="73"/>
      <x:c r="Y764" s="73"/>
      <x:c r="Z764" s="73"/>
      <x:c r="AA764" s="73"/>
      <x:c r="AB764" s="76" t="str">
        <x:f>IF(A764="","",IF(OR(NOT(ISNUMBER(I764)),I764&lt;0,NOT(ISNUMBER(AP764)),AP764&lt;0,NOT(ISNUMBER(L764)),L764&lt;1,L764&gt;5,L764&lt;&gt;INT(L764),AND(J764&lt;&gt;"Public",J764&lt;&gt;"Partner",J764&lt;&gt;"Internal",J764&lt;&gt;"None"),AND(K764&lt;&gt;"High",K764&lt;&gt;"Medium",K764&lt;&gt;"Low",K764&lt;&gt;"None"),AND(W764&lt;&gt;"Hard-coded",W764&lt;&gt;"Configurable",W764&lt;&gt;"Policy-managed",W764&lt;&gt;"API/Library abstraction",W764&lt;&gt;"Automated"),AND(Z764&lt;&gt;"Y",Z764&lt;&gt;"N"),AND(AA764&lt;&gt;"Y",AA764&lt;&gt;"N")),"Incomplete",IF(Z764="Y",20,0)+L764*5+IF(AA764="Y",15,0)+IF(J764="Public",10,IF(J764="Partner",7,IF(J764="Internal",3,0)))+IF(W764="Hard-coded",10,IF(W764="Configurable",3,0))+IF(MAX(I764,AP764)&gt;=10,10,IF(MAX(I764,AP764)&gt;=5,7,IF(MAX(I764,AP764)&gt;=2,3,0)))+IF(K764="High",10,IF(K764="Medium",5,0))))</x:f>
      </x:c>
      <x:c r="AC764" s="73" t="str">
        <x:f>IF(A764="","",IF(NOT(ISNUMBER(AB764)),"Review inputs",IF(AB764&gt;=70,"P0 - Immediate",IF(AB764&gt;=50,"P1 - High",IF(AB764&gt;=30,"P2 - Medium",IF(AB764&gt;=15,"P3 - Low","P4 - Monitor"))))))</x:f>
      </x:c>
      <x:c r="AD764" s="73"/>
      <x:c r="AE764" s="73"/>
      <x:c r="AF764" s="73"/>
      <x:c r="AG764" s="77"/>
      <x:c r="AH764" s="73"/>
      <x:c r="AI764" s="91"/>
      <x:c r="AJ764" s="91"/>
      <x:c r="AK764" s="91"/>
      <x:c r="AL764" s="92"/>
      <x:c r="AM764" s="91"/>
      <x:c r="AN764" s="91"/>
      <x:c r="AO764" s="93"/>
      <x:c r="AP764" s="94"/>
      <x:c r="AQ764" s="91"/>
      <x:c r="AR764" s="91"/>
      <x:c r="AS764" s="91"/>
      <x:c r="AT764" s="91"/>
      <x:c r="AU764" s="91"/>
      <x:c r="AV764" s="91"/>
      <x:c r="AW764" s="91"/>
      <x:c r="AX764" s="91"/>
      <x:c r="AY764" s="91"/>
      <x:c r="AZ764" s="92"/>
      <x:c r="BA764" s="94"/>
      <x:c r="BB764" s="91"/>
      <x:c r="BC764" s="92"/>
      <x:c r="BD764" s="92"/>
      <x:c r="BE764" s="91"/>
      <x:c r="BF764" s="91"/>
      <x:c r="BG764" s="91"/>
      <x:c r="BH764" s="91"/>
      <x:c r="BI764" s="91"/>
      <x:c r="BJ764" s="91"/>
      <x:c r="BK764" s="91"/>
      <x:c r="BL764" s="91"/>
      <x:c r="BM764" s="73" t="str">
        <x:f>IF(A764="","",IF(AI764="Example","Example only",IF(AI764&lt;&gt;"Actual","Set record type",IF(COUNTIF($A$2:$A$1001,A764)&gt;1,"Duplicate record ID",IF(OR(D764="",E764="",AF764="",NOT(ISNUMBER(AG764)),AJ764="",AK764="",NOT(ISNUMBER(AL764)),AND(AM764&lt;&gt;"Observed",AM764&lt;&gt;"Corroborated",AM764&lt;&gt;"Declared"),OR(AN764="",AN764="Unknown"),OR(AQ764="",AQ764="Unknown"),OR(AR764="",AR764="Unknown",AR764="TBD"),OR(BC764="",NOT(ISNUMBER(BC764)))),"Evidence incomplete","Evidence recorded; review scope")))))</x:f>
      </x:c>
      <x:c r="BN764" s="73"/>
    </x:row>
    <x:row r="765" ht="34" customHeight="1">
      <x:c r="A765" s="73"/>
      <x:c r="B765" s="73"/>
      <x:c r="C765" s="73"/>
      <x:c r="D765" s="73"/>
      <x:c r="E765" s="73"/>
      <x:c r="F765" s="73"/>
      <x:c r="G765" s="73"/>
      <x:c r="H765" s="73"/>
      <x:c r="I765" s="75"/>
      <x:c r="J765" s="73"/>
      <x:c r="K765" s="73"/>
      <x:c r="L765" s="76"/>
      <x:c r="M765" s="73"/>
      <x:c r="N765" s="73"/>
      <x:c r="O765" s="73"/>
      <x:c r="P765" s="73"/>
      <x:c r="Q765" s="76"/>
      <x:c r="R765" s="73"/>
      <x:c r="S765" s="73"/>
      <x:c r="T765" s="73"/>
      <x:c r="U765" s="73"/>
      <x:c r="V765" s="73"/>
      <x:c r="W765" s="73"/>
      <x:c r="X765" s="73"/>
      <x:c r="Y765" s="73"/>
      <x:c r="Z765" s="73"/>
      <x:c r="AA765" s="73"/>
      <x:c r="AB765" s="76" t="str">
        <x:f>IF(A765="","",IF(OR(NOT(ISNUMBER(I765)),I765&lt;0,NOT(ISNUMBER(AP765)),AP765&lt;0,NOT(ISNUMBER(L765)),L765&lt;1,L765&gt;5,L765&lt;&gt;INT(L765),AND(J765&lt;&gt;"Public",J765&lt;&gt;"Partner",J765&lt;&gt;"Internal",J765&lt;&gt;"None"),AND(K765&lt;&gt;"High",K765&lt;&gt;"Medium",K765&lt;&gt;"Low",K765&lt;&gt;"None"),AND(W765&lt;&gt;"Hard-coded",W765&lt;&gt;"Configurable",W765&lt;&gt;"Policy-managed",W765&lt;&gt;"API/Library abstraction",W765&lt;&gt;"Automated"),AND(Z765&lt;&gt;"Y",Z765&lt;&gt;"N"),AND(AA765&lt;&gt;"Y",AA765&lt;&gt;"N")),"Incomplete",IF(Z765="Y",20,0)+L765*5+IF(AA765="Y",15,0)+IF(J765="Public",10,IF(J765="Partner",7,IF(J765="Internal",3,0)))+IF(W765="Hard-coded",10,IF(W765="Configurable",3,0))+IF(MAX(I765,AP765)&gt;=10,10,IF(MAX(I765,AP765)&gt;=5,7,IF(MAX(I765,AP765)&gt;=2,3,0)))+IF(K765="High",10,IF(K765="Medium",5,0))))</x:f>
      </x:c>
      <x:c r="AC765" s="73" t="str">
        <x:f>IF(A765="","",IF(NOT(ISNUMBER(AB765)),"Review inputs",IF(AB765&gt;=70,"P0 - Immediate",IF(AB765&gt;=50,"P1 - High",IF(AB765&gt;=30,"P2 - Medium",IF(AB765&gt;=15,"P3 - Low","P4 - Monitor"))))))</x:f>
      </x:c>
      <x:c r="AD765" s="73"/>
      <x:c r="AE765" s="73"/>
      <x:c r="AF765" s="73"/>
      <x:c r="AG765" s="77"/>
      <x:c r="AH765" s="73"/>
      <x:c r="AI765" s="91"/>
      <x:c r="AJ765" s="91"/>
      <x:c r="AK765" s="91"/>
      <x:c r="AL765" s="92"/>
      <x:c r="AM765" s="91"/>
      <x:c r="AN765" s="91"/>
      <x:c r="AO765" s="93"/>
      <x:c r="AP765" s="94"/>
      <x:c r="AQ765" s="91"/>
      <x:c r="AR765" s="91"/>
      <x:c r="AS765" s="91"/>
      <x:c r="AT765" s="91"/>
      <x:c r="AU765" s="91"/>
      <x:c r="AV765" s="91"/>
      <x:c r="AW765" s="91"/>
      <x:c r="AX765" s="91"/>
      <x:c r="AY765" s="91"/>
      <x:c r="AZ765" s="92"/>
      <x:c r="BA765" s="94"/>
      <x:c r="BB765" s="91"/>
      <x:c r="BC765" s="92"/>
      <x:c r="BD765" s="92"/>
      <x:c r="BE765" s="91"/>
      <x:c r="BF765" s="91"/>
      <x:c r="BG765" s="91"/>
      <x:c r="BH765" s="91"/>
      <x:c r="BI765" s="91"/>
      <x:c r="BJ765" s="91"/>
      <x:c r="BK765" s="91"/>
      <x:c r="BL765" s="91"/>
      <x:c r="BM765" s="73" t="str">
        <x:f>IF(A765="","",IF(AI765="Example","Example only",IF(AI765&lt;&gt;"Actual","Set record type",IF(COUNTIF($A$2:$A$1001,A765)&gt;1,"Duplicate record ID",IF(OR(D765="",E765="",AF765="",NOT(ISNUMBER(AG765)),AJ765="",AK765="",NOT(ISNUMBER(AL765)),AND(AM765&lt;&gt;"Observed",AM765&lt;&gt;"Corroborated",AM765&lt;&gt;"Declared"),OR(AN765="",AN765="Unknown"),OR(AQ765="",AQ765="Unknown"),OR(AR765="",AR765="Unknown",AR765="TBD"),OR(BC765="",NOT(ISNUMBER(BC765)))),"Evidence incomplete","Evidence recorded; review scope")))))</x:f>
      </x:c>
      <x:c r="BN765" s="73"/>
    </x:row>
    <x:row r="766" ht="34" customHeight="1">
      <x:c r="A766" s="73"/>
      <x:c r="B766" s="73"/>
      <x:c r="C766" s="73"/>
      <x:c r="D766" s="73"/>
      <x:c r="E766" s="73"/>
      <x:c r="F766" s="73"/>
      <x:c r="G766" s="73"/>
      <x:c r="H766" s="73"/>
      <x:c r="I766" s="75"/>
      <x:c r="J766" s="73"/>
      <x:c r="K766" s="73"/>
      <x:c r="L766" s="76"/>
      <x:c r="M766" s="73"/>
      <x:c r="N766" s="73"/>
      <x:c r="O766" s="73"/>
      <x:c r="P766" s="73"/>
      <x:c r="Q766" s="76"/>
      <x:c r="R766" s="73"/>
      <x:c r="S766" s="73"/>
      <x:c r="T766" s="73"/>
      <x:c r="U766" s="73"/>
      <x:c r="V766" s="73"/>
      <x:c r="W766" s="73"/>
      <x:c r="X766" s="73"/>
      <x:c r="Y766" s="73"/>
      <x:c r="Z766" s="73"/>
      <x:c r="AA766" s="73"/>
      <x:c r="AB766" s="76" t="str">
        <x:f>IF(A766="","",IF(OR(NOT(ISNUMBER(I766)),I766&lt;0,NOT(ISNUMBER(AP766)),AP766&lt;0,NOT(ISNUMBER(L766)),L766&lt;1,L766&gt;5,L766&lt;&gt;INT(L766),AND(J766&lt;&gt;"Public",J766&lt;&gt;"Partner",J766&lt;&gt;"Internal",J766&lt;&gt;"None"),AND(K766&lt;&gt;"High",K766&lt;&gt;"Medium",K766&lt;&gt;"Low",K766&lt;&gt;"None"),AND(W766&lt;&gt;"Hard-coded",W766&lt;&gt;"Configurable",W766&lt;&gt;"Policy-managed",W766&lt;&gt;"API/Library abstraction",W766&lt;&gt;"Automated"),AND(Z766&lt;&gt;"Y",Z766&lt;&gt;"N"),AND(AA766&lt;&gt;"Y",AA766&lt;&gt;"N")),"Incomplete",IF(Z766="Y",20,0)+L766*5+IF(AA766="Y",15,0)+IF(J766="Public",10,IF(J766="Partner",7,IF(J766="Internal",3,0)))+IF(W766="Hard-coded",10,IF(W766="Configurable",3,0))+IF(MAX(I766,AP766)&gt;=10,10,IF(MAX(I766,AP766)&gt;=5,7,IF(MAX(I766,AP766)&gt;=2,3,0)))+IF(K766="High",10,IF(K766="Medium",5,0))))</x:f>
      </x:c>
      <x:c r="AC766" s="73" t="str">
        <x:f>IF(A766="","",IF(NOT(ISNUMBER(AB766)),"Review inputs",IF(AB766&gt;=70,"P0 - Immediate",IF(AB766&gt;=50,"P1 - High",IF(AB766&gt;=30,"P2 - Medium",IF(AB766&gt;=15,"P3 - Low","P4 - Monitor"))))))</x:f>
      </x:c>
      <x:c r="AD766" s="73"/>
      <x:c r="AE766" s="73"/>
      <x:c r="AF766" s="73"/>
      <x:c r="AG766" s="77"/>
      <x:c r="AH766" s="73"/>
      <x:c r="AI766" s="91"/>
      <x:c r="AJ766" s="91"/>
      <x:c r="AK766" s="91"/>
      <x:c r="AL766" s="92"/>
      <x:c r="AM766" s="91"/>
      <x:c r="AN766" s="91"/>
      <x:c r="AO766" s="93"/>
      <x:c r="AP766" s="94"/>
      <x:c r="AQ766" s="91"/>
      <x:c r="AR766" s="91"/>
      <x:c r="AS766" s="91"/>
      <x:c r="AT766" s="91"/>
      <x:c r="AU766" s="91"/>
      <x:c r="AV766" s="91"/>
      <x:c r="AW766" s="91"/>
      <x:c r="AX766" s="91"/>
      <x:c r="AY766" s="91"/>
      <x:c r="AZ766" s="92"/>
      <x:c r="BA766" s="94"/>
      <x:c r="BB766" s="91"/>
      <x:c r="BC766" s="92"/>
      <x:c r="BD766" s="92"/>
      <x:c r="BE766" s="91"/>
      <x:c r="BF766" s="91"/>
      <x:c r="BG766" s="91"/>
      <x:c r="BH766" s="91"/>
      <x:c r="BI766" s="91"/>
      <x:c r="BJ766" s="91"/>
      <x:c r="BK766" s="91"/>
      <x:c r="BL766" s="91"/>
      <x:c r="BM766" s="73" t="str">
        <x:f>IF(A766="","",IF(AI766="Example","Example only",IF(AI766&lt;&gt;"Actual","Set record type",IF(COUNTIF($A$2:$A$1001,A766)&gt;1,"Duplicate record ID",IF(OR(D766="",E766="",AF766="",NOT(ISNUMBER(AG766)),AJ766="",AK766="",NOT(ISNUMBER(AL766)),AND(AM766&lt;&gt;"Observed",AM766&lt;&gt;"Corroborated",AM766&lt;&gt;"Declared"),OR(AN766="",AN766="Unknown"),OR(AQ766="",AQ766="Unknown"),OR(AR766="",AR766="Unknown",AR766="TBD"),OR(BC766="",NOT(ISNUMBER(BC766)))),"Evidence incomplete","Evidence recorded; review scope")))))</x:f>
      </x:c>
      <x:c r="BN766" s="73"/>
    </x:row>
    <x:row r="767" ht="34" customHeight="1">
      <x:c r="A767" s="73"/>
      <x:c r="B767" s="73"/>
      <x:c r="C767" s="73"/>
      <x:c r="D767" s="73"/>
      <x:c r="E767" s="73"/>
      <x:c r="F767" s="73"/>
      <x:c r="G767" s="73"/>
      <x:c r="H767" s="73"/>
      <x:c r="I767" s="75"/>
      <x:c r="J767" s="73"/>
      <x:c r="K767" s="73"/>
      <x:c r="L767" s="76"/>
      <x:c r="M767" s="73"/>
      <x:c r="N767" s="73"/>
      <x:c r="O767" s="73"/>
      <x:c r="P767" s="73"/>
      <x:c r="Q767" s="76"/>
      <x:c r="R767" s="73"/>
      <x:c r="S767" s="73"/>
      <x:c r="T767" s="73"/>
      <x:c r="U767" s="73"/>
      <x:c r="V767" s="73"/>
      <x:c r="W767" s="73"/>
      <x:c r="X767" s="73"/>
      <x:c r="Y767" s="73"/>
      <x:c r="Z767" s="73"/>
      <x:c r="AA767" s="73"/>
      <x:c r="AB767" s="76" t="str">
        <x:f>IF(A767="","",IF(OR(NOT(ISNUMBER(I767)),I767&lt;0,NOT(ISNUMBER(AP767)),AP767&lt;0,NOT(ISNUMBER(L767)),L767&lt;1,L767&gt;5,L767&lt;&gt;INT(L767),AND(J767&lt;&gt;"Public",J767&lt;&gt;"Partner",J767&lt;&gt;"Internal",J767&lt;&gt;"None"),AND(K767&lt;&gt;"High",K767&lt;&gt;"Medium",K767&lt;&gt;"Low",K767&lt;&gt;"None"),AND(W767&lt;&gt;"Hard-coded",W767&lt;&gt;"Configurable",W767&lt;&gt;"Policy-managed",W767&lt;&gt;"API/Library abstraction",W767&lt;&gt;"Automated"),AND(Z767&lt;&gt;"Y",Z767&lt;&gt;"N"),AND(AA767&lt;&gt;"Y",AA767&lt;&gt;"N")),"Incomplete",IF(Z767="Y",20,0)+L767*5+IF(AA767="Y",15,0)+IF(J767="Public",10,IF(J767="Partner",7,IF(J767="Internal",3,0)))+IF(W767="Hard-coded",10,IF(W767="Configurable",3,0))+IF(MAX(I767,AP767)&gt;=10,10,IF(MAX(I767,AP767)&gt;=5,7,IF(MAX(I767,AP767)&gt;=2,3,0)))+IF(K767="High",10,IF(K767="Medium",5,0))))</x:f>
      </x:c>
      <x:c r="AC767" s="73" t="str">
        <x:f>IF(A767="","",IF(NOT(ISNUMBER(AB767)),"Review inputs",IF(AB767&gt;=70,"P0 - Immediate",IF(AB767&gt;=50,"P1 - High",IF(AB767&gt;=30,"P2 - Medium",IF(AB767&gt;=15,"P3 - Low","P4 - Monitor"))))))</x:f>
      </x:c>
      <x:c r="AD767" s="73"/>
      <x:c r="AE767" s="73"/>
      <x:c r="AF767" s="73"/>
      <x:c r="AG767" s="77"/>
      <x:c r="AH767" s="73"/>
      <x:c r="AI767" s="91"/>
      <x:c r="AJ767" s="91"/>
      <x:c r="AK767" s="91"/>
      <x:c r="AL767" s="92"/>
      <x:c r="AM767" s="91"/>
      <x:c r="AN767" s="91"/>
      <x:c r="AO767" s="93"/>
      <x:c r="AP767" s="94"/>
      <x:c r="AQ767" s="91"/>
      <x:c r="AR767" s="91"/>
      <x:c r="AS767" s="91"/>
      <x:c r="AT767" s="91"/>
      <x:c r="AU767" s="91"/>
      <x:c r="AV767" s="91"/>
      <x:c r="AW767" s="91"/>
      <x:c r="AX767" s="91"/>
      <x:c r="AY767" s="91"/>
      <x:c r="AZ767" s="92"/>
      <x:c r="BA767" s="94"/>
      <x:c r="BB767" s="91"/>
      <x:c r="BC767" s="92"/>
      <x:c r="BD767" s="92"/>
      <x:c r="BE767" s="91"/>
      <x:c r="BF767" s="91"/>
      <x:c r="BG767" s="91"/>
      <x:c r="BH767" s="91"/>
      <x:c r="BI767" s="91"/>
      <x:c r="BJ767" s="91"/>
      <x:c r="BK767" s="91"/>
      <x:c r="BL767" s="91"/>
      <x:c r="BM767" s="73" t="str">
        <x:f>IF(A767="","",IF(AI767="Example","Example only",IF(AI767&lt;&gt;"Actual","Set record type",IF(COUNTIF($A$2:$A$1001,A767)&gt;1,"Duplicate record ID",IF(OR(D767="",E767="",AF767="",NOT(ISNUMBER(AG767)),AJ767="",AK767="",NOT(ISNUMBER(AL767)),AND(AM767&lt;&gt;"Observed",AM767&lt;&gt;"Corroborated",AM767&lt;&gt;"Declared"),OR(AN767="",AN767="Unknown"),OR(AQ767="",AQ767="Unknown"),OR(AR767="",AR767="Unknown",AR767="TBD"),OR(BC767="",NOT(ISNUMBER(BC767)))),"Evidence incomplete","Evidence recorded; review scope")))))</x:f>
      </x:c>
      <x:c r="BN767" s="73"/>
    </x:row>
    <x:row r="768" ht="34" customHeight="1">
      <x:c r="A768" s="73"/>
      <x:c r="B768" s="73"/>
      <x:c r="C768" s="73"/>
      <x:c r="D768" s="73"/>
      <x:c r="E768" s="73"/>
      <x:c r="F768" s="73"/>
      <x:c r="G768" s="73"/>
      <x:c r="H768" s="73"/>
      <x:c r="I768" s="75"/>
      <x:c r="J768" s="73"/>
      <x:c r="K768" s="73"/>
      <x:c r="L768" s="76"/>
      <x:c r="M768" s="73"/>
      <x:c r="N768" s="73"/>
      <x:c r="O768" s="73"/>
      <x:c r="P768" s="73"/>
      <x:c r="Q768" s="76"/>
      <x:c r="R768" s="73"/>
      <x:c r="S768" s="73"/>
      <x:c r="T768" s="73"/>
      <x:c r="U768" s="73"/>
      <x:c r="V768" s="73"/>
      <x:c r="W768" s="73"/>
      <x:c r="X768" s="73"/>
      <x:c r="Y768" s="73"/>
      <x:c r="Z768" s="73"/>
      <x:c r="AA768" s="73"/>
      <x:c r="AB768" s="76" t="str">
        <x:f>IF(A768="","",IF(OR(NOT(ISNUMBER(I768)),I768&lt;0,NOT(ISNUMBER(AP768)),AP768&lt;0,NOT(ISNUMBER(L768)),L768&lt;1,L768&gt;5,L768&lt;&gt;INT(L768),AND(J768&lt;&gt;"Public",J768&lt;&gt;"Partner",J768&lt;&gt;"Internal",J768&lt;&gt;"None"),AND(K768&lt;&gt;"High",K768&lt;&gt;"Medium",K768&lt;&gt;"Low",K768&lt;&gt;"None"),AND(W768&lt;&gt;"Hard-coded",W768&lt;&gt;"Configurable",W768&lt;&gt;"Policy-managed",W768&lt;&gt;"API/Library abstraction",W768&lt;&gt;"Automated"),AND(Z768&lt;&gt;"Y",Z768&lt;&gt;"N"),AND(AA768&lt;&gt;"Y",AA768&lt;&gt;"N")),"Incomplete",IF(Z768="Y",20,0)+L768*5+IF(AA768="Y",15,0)+IF(J768="Public",10,IF(J768="Partner",7,IF(J768="Internal",3,0)))+IF(W768="Hard-coded",10,IF(W768="Configurable",3,0))+IF(MAX(I768,AP768)&gt;=10,10,IF(MAX(I768,AP768)&gt;=5,7,IF(MAX(I768,AP768)&gt;=2,3,0)))+IF(K768="High",10,IF(K768="Medium",5,0))))</x:f>
      </x:c>
      <x:c r="AC768" s="73" t="str">
        <x:f>IF(A768="","",IF(NOT(ISNUMBER(AB768)),"Review inputs",IF(AB768&gt;=70,"P0 - Immediate",IF(AB768&gt;=50,"P1 - High",IF(AB768&gt;=30,"P2 - Medium",IF(AB768&gt;=15,"P3 - Low","P4 - Monitor"))))))</x:f>
      </x:c>
      <x:c r="AD768" s="73"/>
      <x:c r="AE768" s="73"/>
      <x:c r="AF768" s="73"/>
      <x:c r="AG768" s="77"/>
      <x:c r="AH768" s="73"/>
      <x:c r="AI768" s="91"/>
      <x:c r="AJ768" s="91"/>
      <x:c r="AK768" s="91"/>
      <x:c r="AL768" s="92"/>
      <x:c r="AM768" s="91"/>
      <x:c r="AN768" s="91"/>
      <x:c r="AO768" s="93"/>
      <x:c r="AP768" s="94"/>
      <x:c r="AQ768" s="91"/>
      <x:c r="AR768" s="91"/>
      <x:c r="AS768" s="91"/>
      <x:c r="AT768" s="91"/>
      <x:c r="AU768" s="91"/>
      <x:c r="AV768" s="91"/>
      <x:c r="AW768" s="91"/>
      <x:c r="AX768" s="91"/>
      <x:c r="AY768" s="91"/>
      <x:c r="AZ768" s="92"/>
      <x:c r="BA768" s="94"/>
      <x:c r="BB768" s="91"/>
      <x:c r="BC768" s="92"/>
      <x:c r="BD768" s="92"/>
      <x:c r="BE768" s="91"/>
      <x:c r="BF768" s="91"/>
      <x:c r="BG768" s="91"/>
      <x:c r="BH768" s="91"/>
      <x:c r="BI768" s="91"/>
      <x:c r="BJ768" s="91"/>
      <x:c r="BK768" s="91"/>
      <x:c r="BL768" s="91"/>
      <x:c r="BM768" s="73" t="str">
        <x:f>IF(A768="","",IF(AI768="Example","Example only",IF(AI768&lt;&gt;"Actual","Set record type",IF(COUNTIF($A$2:$A$1001,A768)&gt;1,"Duplicate record ID",IF(OR(D768="",E768="",AF768="",NOT(ISNUMBER(AG768)),AJ768="",AK768="",NOT(ISNUMBER(AL768)),AND(AM768&lt;&gt;"Observed",AM768&lt;&gt;"Corroborated",AM768&lt;&gt;"Declared"),OR(AN768="",AN768="Unknown"),OR(AQ768="",AQ768="Unknown"),OR(AR768="",AR768="Unknown",AR768="TBD"),OR(BC768="",NOT(ISNUMBER(BC768)))),"Evidence incomplete","Evidence recorded; review scope")))))</x:f>
      </x:c>
      <x:c r="BN768" s="73"/>
    </x:row>
    <x:row r="769" ht="34" customHeight="1">
      <x:c r="A769" s="73"/>
      <x:c r="B769" s="73"/>
      <x:c r="C769" s="73"/>
      <x:c r="D769" s="73"/>
      <x:c r="E769" s="73"/>
      <x:c r="F769" s="73"/>
      <x:c r="G769" s="73"/>
      <x:c r="H769" s="73"/>
      <x:c r="I769" s="75"/>
      <x:c r="J769" s="73"/>
      <x:c r="K769" s="73"/>
      <x:c r="L769" s="76"/>
      <x:c r="M769" s="73"/>
      <x:c r="N769" s="73"/>
      <x:c r="O769" s="73"/>
      <x:c r="P769" s="73"/>
      <x:c r="Q769" s="76"/>
      <x:c r="R769" s="73"/>
      <x:c r="S769" s="73"/>
      <x:c r="T769" s="73"/>
      <x:c r="U769" s="73"/>
      <x:c r="V769" s="73"/>
      <x:c r="W769" s="73"/>
      <x:c r="X769" s="73"/>
      <x:c r="Y769" s="73"/>
      <x:c r="Z769" s="73"/>
      <x:c r="AA769" s="73"/>
      <x:c r="AB769" s="76" t="str">
        <x:f>IF(A769="","",IF(OR(NOT(ISNUMBER(I769)),I769&lt;0,NOT(ISNUMBER(AP769)),AP769&lt;0,NOT(ISNUMBER(L769)),L769&lt;1,L769&gt;5,L769&lt;&gt;INT(L769),AND(J769&lt;&gt;"Public",J769&lt;&gt;"Partner",J769&lt;&gt;"Internal",J769&lt;&gt;"None"),AND(K769&lt;&gt;"High",K769&lt;&gt;"Medium",K769&lt;&gt;"Low",K769&lt;&gt;"None"),AND(W769&lt;&gt;"Hard-coded",W769&lt;&gt;"Configurable",W769&lt;&gt;"Policy-managed",W769&lt;&gt;"API/Library abstraction",W769&lt;&gt;"Automated"),AND(Z769&lt;&gt;"Y",Z769&lt;&gt;"N"),AND(AA769&lt;&gt;"Y",AA769&lt;&gt;"N")),"Incomplete",IF(Z769="Y",20,0)+L769*5+IF(AA769="Y",15,0)+IF(J769="Public",10,IF(J769="Partner",7,IF(J769="Internal",3,0)))+IF(W769="Hard-coded",10,IF(W769="Configurable",3,0))+IF(MAX(I769,AP769)&gt;=10,10,IF(MAX(I769,AP769)&gt;=5,7,IF(MAX(I769,AP769)&gt;=2,3,0)))+IF(K769="High",10,IF(K769="Medium",5,0))))</x:f>
      </x:c>
      <x:c r="AC769" s="73" t="str">
        <x:f>IF(A769="","",IF(NOT(ISNUMBER(AB769)),"Review inputs",IF(AB769&gt;=70,"P0 - Immediate",IF(AB769&gt;=50,"P1 - High",IF(AB769&gt;=30,"P2 - Medium",IF(AB769&gt;=15,"P3 - Low","P4 - Monitor"))))))</x:f>
      </x:c>
      <x:c r="AD769" s="73"/>
      <x:c r="AE769" s="73"/>
      <x:c r="AF769" s="73"/>
      <x:c r="AG769" s="77"/>
      <x:c r="AH769" s="73"/>
      <x:c r="AI769" s="91"/>
      <x:c r="AJ769" s="91"/>
      <x:c r="AK769" s="91"/>
      <x:c r="AL769" s="92"/>
      <x:c r="AM769" s="91"/>
      <x:c r="AN769" s="91"/>
      <x:c r="AO769" s="93"/>
      <x:c r="AP769" s="94"/>
      <x:c r="AQ769" s="91"/>
      <x:c r="AR769" s="91"/>
      <x:c r="AS769" s="91"/>
      <x:c r="AT769" s="91"/>
      <x:c r="AU769" s="91"/>
      <x:c r="AV769" s="91"/>
      <x:c r="AW769" s="91"/>
      <x:c r="AX769" s="91"/>
      <x:c r="AY769" s="91"/>
      <x:c r="AZ769" s="92"/>
      <x:c r="BA769" s="94"/>
      <x:c r="BB769" s="91"/>
      <x:c r="BC769" s="92"/>
      <x:c r="BD769" s="92"/>
      <x:c r="BE769" s="91"/>
      <x:c r="BF769" s="91"/>
      <x:c r="BG769" s="91"/>
      <x:c r="BH769" s="91"/>
      <x:c r="BI769" s="91"/>
      <x:c r="BJ769" s="91"/>
      <x:c r="BK769" s="91"/>
      <x:c r="BL769" s="91"/>
      <x:c r="BM769" s="73" t="str">
        <x:f>IF(A769="","",IF(AI769="Example","Example only",IF(AI769&lt;&gt;"Actual","Set record type",IF(COUNTIF($A$2:$A$1001,A769)&gt;1,"Duplicate record ID",IF(OR(D769="",E769="",AF769="",NOT(ISNUMBER(AG769)),AJ769="",AK769="",NOT(ISNUMBER(AL769)),AND(AM769&lt;&gt;"Observed",AM769&lt;&gt;"Corroborated",AM769&lt;&gt;"Declared"),OR(AN769="",AN769="Unknown"),OR(AQ769="",AQ769="Unknown"),OR(AR769="",AR769="Unknown",AR769="TBD"),OR(BC769="",NOT(ISNUMBER(BC769)))),"Evidence incomplete","Evidence recorded; review scope")))))</x:f>
      </x:c>
      <x:c r="BN769" s="73"/>
    </x:row>
    <x:row r="770" ht="34" customHeight="1">
      <x:c r="A770" s="73"/>
      <x:c r="B770" s="73"/>
      <x:c r="C770" s="73"/>
      <x:c r="D770" s="73"/>
      <x:c r="E770" s="73"/>
      <x:c r="F770" s="73"/>
      <x:c r="G770" s="73"/>
      <x:c r="H770" s="73"/>
      <x:c r="I770" s="75"/>
      <x:c r="J770" s="73"/>
      <x:c r="K770" s="73"/>
      <x:c r="L770" s="76"/>
      <x:c r="M770" s="73"/>
      <x:c r="N770" s="73"/>
      <x:c r="O770" s="73"/>
      <x:c r="P770" s="73"/>
      <x:c r="Q770" s="76"/>
      <x:c r="R770" s="73"/>
      <x:c r="S770" s="73"/>
      <x:c r="T770" s="73"/>
      <x:c r="U770" s="73"/>
      <x:c r="V770" s="73"/>
      <x:c r="W770" s="73"/>
      <x:c r="X770" s="73"/>
      <x:c r="Y770" s="73"/>
      <x:c r="Z770" s="73"/>
      <x:c r="AA770" s="73"/>
      <x:c r="AB770" s="76" t="str">
        <x:f>IF(A770="","",IF(OR(NOT(ISNUMBER(I770)),I770&lt;0,NOT(ISNUMBER(AP770)),AP770&lt;0,NOT(ISNUMBER(L770)),L770&lt;1,L770&gt;5,L770&lt;&gt;INT(L770),AND(J770&lt;&gt;"Public",J770&lt;&gt;"Partner",J770&lt;&gt;"Internal",J770&lt;&gt;"None"),AND(K770&lt;&gt;"High",K770&lt;&gt;"Medium",K770&lt;&gt;"Low",K770&lt;&gt;"None"),AND(W770&lt;&gt;"Hard-coded",W770&lt;&gt;"Configurable",W770&lt;&gt;"Policy-managed",W770&lt;&gt;"API/Library abstraction",W770&lt;&gt;"Automated"),AND(Z770&lt;&gt;"Y",Z770&lt;&gt;"N"),AND(AA770&lt;&gt;"Y",AA770&lt;&gt;"N")),"Incomplete",IF(Z770="Y",20,0)+L770*5+IF(AA770="Y",15,0)+IF(J770="Public",10,IF(J770="Partner",7,IF(J770="Internal",3,0)))+IF(W770="Hard-coded",10,IF(W770="Configurable",3,0))+IF(MAX(I770,AP770)&gt;=10,10,IF(MAX(I770,AP770)&gt;=5,7,IF(MAX(I770,AP770)&gt;=2,3,0)))+IF(K770="High",10,IF(K770="Medium",5,0))))</x:f>
      </x:c>
      <x:c r="AC770" s="73" t="str">
        <x:f>IF(A770="","",IF(NOT(ISNUMBER(AB770)),"Review inputs",IF(AB770&gt;=70,"P0 - Immediate",IF(AB770&gt;=50,"P1 - High",IF(AB770&gt;=30,"P2 - Medium",IF(AB770&gt;=15,"P3 - Low","P4 - Monitor"))))))</x:f>
      </x:c>
      <x:c r="AD770" s="73"/>
      <x:c r="AE770" s="73"/>
      <x:c r="AF770" s="73"/>
      <x:c r="AG770" s="77"/>
      <x:c r="AH770" s="73"/>
      <x:c r="AI770" s="91"/>
      <x:c r="AJ770" s="91"/>
      <x:c r="AK770" s="91"/>
      <x:c r="AL770" s="92"/>
      <x:c r="AM770" s="91"/>
      <x:c r="AN770" s="91"/>
      <x:c r="AO770" s="93"/>
      <x:c r="AP770" s="94"/>
      <x:c r="AQ770" s="91"/>
      <x:c r="AR770" s="91"/>
      <x:c r="AS770" s="91"/>
      <x:c r="AT770" s="91"/>
      <x:c r="AU770" s="91"/>
      <x:c r="AV770" s="91"/>
      <x:c r="AW770" s="91"/>
      <x:c r="AX770" s="91"/>
      <x:c r="AY770" s="91"/>
      <x:c r="AZ770" s="92"/>
      <x:c r="BA770" s="94"/>
      <x:c r="BB770" s="91"/>
      <x:c r="BC770" s="92"/>
      <x:c r="BD770" s="92"/>
      <x:c r="BE770" s="91"/>
      <x:c r="BF770" s="91"/>
      <x:c r="BG770" s="91"/>
      <x:c r="BH770" s="91"/>
      <x:c r="BI770" s="91"/>
      <x:c r="BJ770" s="91"/>
      <x:c r="BK770" s="91"/>
      <x:c r="BL770" s="91"/>
      <x:c r="BM770" s="73" t="str">
        <x:f>IF(A770="","",IF(AI770="Example","Example only",IF(AI770&lt;&gt;"Actual","Set record type",IF(COUNTIF($A$2:$A$1001,A770)&gt;1,"Duplicate record ID",IF(OR(D770="",E770="",AF770="",NOT(ISNUMBER(AG770)),AJ770="",AK770="",NOT(ISNUMBER(AL770)),AND(AM770&lt;&gt;"Observed",AM770&lt;&gt;"Corroborated",AM770&lt;&gt;"Declared"),OR(AN770="",AN770="Unknown"),OR(AQ770="",AQ770="Unknown"),OR(AR770="",AR770="Unknown",AR770="TBD"),OR(BC770="",NOT(ISNUMBER(BC770)))),"Evidence incomplete","Evidence recorded; review scope")))))</x:f>
      </x:c>
      <x:c r="BN770" s="73"/>
    </x:row>
    <x:row r="771" ht="34" customHeight="1">
      <x:c r="A771" s="73"/>
      <x:c r="B771" s="73"/>
      <x:c r="C771" s="73"/>
      <x:c r="D771" s="73"/>
      <x:c r="E771" s="73"/>
      <x:c r="F771" s="73"/>
      <x:c r="G771" s="73"/>
      <x:c r="H771" s="73"/>
      <x:c r="I771" s="75"/>
      <x:c r="J771" s="73"/>
      <x:c r="K771" s="73"/>
      <x:c r="L771" s="76"/>
      <x:c r="M771" s="73"/>
      <x:c r="N771" s="73"/>
      <x:c r="O771" s="73"/>
      <x:c r="P771" s="73"/>
      <x:c r="Q771" s="76"/>
      <x:c r="R771" s="73"/>
      <x:c r="S771" s="73"/>
      <x:c r="T771" s="73"/>
      <x:c r="U771" s="73"/>
      <x:c r="V771" s="73"/>
      <x:c r="W771" s="73"/>
      <x:c r="X771" s="73"/>
      <x:c r="Y771" s="73"/>
      <x:c r="Z771" s="73"/>
      <x:c r="AA771" s="73"/>
      <x:c r="AB771" s="76" t="str">
        <x:f>IF(A771="","",IF(OR(NOT(ISNUMBER(I771)),I771&lt;0,NOT(ISNUMBER(AP771)),AP771&lt;0,NOT(ISNUMBER(L771)),L771&lt;1,L771&gt;5,L771&lt;&gt;INT(L771),AND(J771&lt;&gt;"Public",J771&lt;&gt;"Partner",J771&lt;&gt;"Internal",J771&lt;&gt;"None"),AND(K771&lt;&gt;"High",K771&lt;&gt;"Medium",K771&lt;&gt;"Low",K771&lt;&gt;"None"),AND(W771&lt;&gt;"Hard-coded",W771&lt;&gt;"Configurable",W771&lt;&gt;"Policy-managed",W771&lt;&gt;"API/Library abstraction",W771&lt;&gt;"Automated"),AND(Z771&lt;&gt;"Y",Z771&lt;&gt;"N"),AND(AA771&lt;&gt;"Y",AA771&lt;&gt;"N")),"Incomplete",IF(Z771="Y",20,0)+L771*5+IF(AA771="Y",15,0)+IF(J771="Public",10,IF(J771="Partner",7,IF(J771="Internal",3,0)))+IF(W771="Hard-coded",10,IF(W771="Configurable",3,0))+IF(MAX(I771,AP771)&gt;=10,10,IF(MAX(I771,AP771)&gt;=5,7,IF(MAX(I771,AP771)&gt;=2,3,0)))+IF(K771="High",10,IF(K771="Medium",5,0))))</x:f>
      </x:c>
      <x:c r="AC771" s="73" t="str">
        <x:f>IF(A771="","",IF(NOT(ISNUMBER(AB771)),"Review inputs",IF(AB771&gt;=70,"P0 - Immediate",IF(AB771&gt;=50,"P1 - High",IF(AB771&gt;=30,"P2 - Medium",IF(AB771&gt;=15,"P3 - Low","P4 - Monitor"))))))</x:f>
      </x:c>
      <x:c r="AD771" s="73"/>
      <x:c r="AE771" s="73"/>
      <x:c r="AF771" s="73"/>
      <x:c r="AG771" s="77"/>
      <x:c r="AH771" s="73"/>
      <x:c r="AI771" s="91"/>
      <x:c r="AJ771" s="91"/>
      <x:c r="AK771" s="91"/>
      <x:c r="AL771" s="92"/>
      <x:c r="AM771" s="91"/>
      <x:c r="AN771" s="91"/>
      <x:c r="AO771" s="93"/>
      <x:c r="AP771" s="94"/>
      <x:c r="AQ771" s="91"/>
      <x:c r="AR771" s="91"/>
      <x:c r="AS771" s="91"/>
      <x:c r="AT771" s="91"/>
      <x:c r="AU771" s="91"/>
      <x:c r="AV771" s="91"/>
      <x:c r="AW771" s="91"/>
      <x:c r="AX771" s="91"/>
      <x:c r="AY771" s="91"/>
      <x:c r="AZ771" s="92"/>
      <x:c r="BA771" s="94"/>
      <x:c r="BB771" s="91"/>
      <x:c r="BC771" s="92"/>
      <x:c r="BD771" s="92"/>
      <x:c r="BE771" s="91"/>
      <x:c r="BF771" s="91"/>
      <x:c r="BG771" s="91"/>
      <x:c r="BH771" s="91"/>
      <x:c r="BI771" s="91"/>
      <x:c r="BJ771" s="91"/>
      <x:c r="BK771" s="91"/>
      <x:c r="BL771" s="91"/>
      <x:c r="BM771" s="73" t="str">
        <x:f>IF(A771="","",IF(AI771="Example","Example only",IF(AI771&lt;&gt;"Actual","Set record type",IF(COUNTIF($A$2:$A$1001,A771)&gt;1,"Duplicate record ID",IF(OR(D771="",E771="",AF771="",NOT(ISNUMBER(AG771)),AJ771="",AK771="",NOT(ISNUMBER(AL771)),AND(AM771&lt;&gt;"Observed",AM771&lt;&gt;"Corroborated",AM771&lt;&gt;"Declared"),OR(AN771="",AN771="Unknown"),OR(AQ771="",AQ771="Unknown"),OR(AR771="",AR771="Unknown",AR771="TBD"),OR(BC771="",NOT(ISNUMBER(BC771)))),"Evidence incomplete","Evidence recorded; review scope")))))</x:f>
      </x:c>
      <x:c r="BN771" s="73"/>
    </x:row>
    <x:row r="772" ht="34" customHeight="1">
      <x:c r="A772" s="73"/>
      <x:c r="B772" s="73"/>
      <x:c r="C772" s="73"/>
      <x:c r="D772" s="73"/>
      <x:c r="E772" s="73"/>
      <x:c r="F772" s="73"/>
      <x:c r="G772" s="73"/>
      <x:c r="H772" s="73"/>
      <x:c r="I772" s="75"/>
      <x:c r="J772" s="73"/>
      <x:c r="K772" s="73"/>
      <x:c r="L772" s="76"/>
      <x:c r="M772" s="73"/>
      <x:c r="N772" s="73"/>
      <x:c r="O772" s="73"/>
      <x:c r="P772" s="73"/>
      <x:c r="Q772" s="76"/>
      <x:c r="R772" s="73"/>
      <x:c r="S772" s="73"/>
      <x:c r="T772" s="73"/>
      <x:c r="U772" s="73"/>
      <x:c r="V772" s="73"/>
      <x:c r="W772" s="73"/>
      <x:c r="X772" s="73"/>
      <x:c r="Y772" s="73"/>
      <x:c r="Z772" s="73"/>
      <x:c r="AA772" s="73"/>
      <x:c r="AB772" s="76" t="str">
        <x:f>IF(A772="","",IF(OR(NOT(ISNUMBER(I772)),I772&lt;0,NOT(ISNUMBER(AP772)),AP772&lt;0,NOT(ISNUMBER(L772)),L772&lt;1,L772&gt;5,L772&lt;&gt;INT(L772),AND(J772&lt;&gt;"Public",J772&lt;&gt;"Partner",J772&lt;&gt;"Internal",J772&lt;&gt;"None"),AND(K772&lt;&gt;"High",K772&lt;&gt;"Medium",K772&lt;&gt;"Low",K772&lt;&gt;"None"),AND(W772&lt;&gt;"Hard-coded",W772&lt;&gt;"Configurable",W772&lt;&gt;"Policy-managed",W772&lt;&gt;"API/Library abstraction",W772&lt;&gt;"Automated"),AND(Z772&lt;&gt;"Y",Z772&lt;&gt;"N"),AND(AA772&lt;&gt;"Y",AA772&lt;&gt;"N")),"Incomplete",IF(Z772="Y",20,0)+L772*5+IF(AA772="Y",15,0)+IF(J772="Public",10,IF(J772="Partner",7,IF(J772="Internal",3,0)))+IF(W772="Hard-coded",10,IF(W772="Configurable",3,0))+IF(MAX(I772,AP772)&gt;=10,10,IF(MAX(I772,AP772)&gt;=5,7,IF(MAX(I772,AP772)&gt;=2,3,0)))+IF(K772="High",10,IF(K772="Medium",5,0))))</x:f>
      </x:c>
      <x:c r="AC772" s="73" t="str">
        <x:f>IF(A772="","",IF(NOT(ISNUMBER(AB772)),"Review inputs",IF(AB772&gt;=70,"P0 - Immediate",IF(AB772&gt;=50,"P1 - High",IF(AB772&gt;=30,"P2 - Medium",IF(AB772&gt;=15,"P3 - Low","P4 - Monitor"))))))</x:f>
      </x:c>
      <x:c r="AD772" s="73"/>
      <x:c r="AE772" s="73"/>
      <x:c r="AF772" s="73"/>
      <x:c r="AG772" s="77"/>
      <x:c r="AH772" s="73"/>
      <x:c r="AI772" s="91"/>
      <x:c r="AJ772" s="91"/>
      <x:c r="AK772" s="91"/>
      <x:c r="AL772" s="92"/>
      <x:c r="AM772" s="91"/>
      <x:c r="AN772" s="91"/>
      <x:c r="AO772" s="93"/>
      <x:c r="AP772" s="94"/>
      <x:c r="AQ772" s="91"/>
      <x:c r="AR772" s="91"/>
      <x:c r="AS772" s="91"/>
      <x:c r="AT772" s="91"/>
      <x:c r="AU772" s="91"/>
      <x:c r="AV772" s="91"/>
      <x:c r="AW772" s="91"/>
      <x:c r="AX772" s="91"/>
      <x:c r="AY772" s="91"/>
      <x:c r="AZ772" s="92"/>
      <x:c r="BA772" s="94"/>
      <x:c r="BB772" s="91"/>
      <x:c r="BC772" s="92"/>
      <x:c r="BD772" s="92"/>
      <x:c r="BE772" s="91"/>
      <x:c r="BF772" s="91"/>
      <x:c r="BG772" s="91"/>
      <x:c r="BH772" s="91"/>
      <x:c r="BI772" s="91"/>
      <x:c r="BJ772" s="91"/>
      <x:c r="BK772" s="91"/>
      <x:c r="BL772" s="91"/>
      <x:c r="BM772" s="73" t="str">
        <x:f>IF(A772="","",IF(AI772="Example","Example only",IF(AI772&lt;&gt;"Actual","Set record type",IF(COUNTIF($A$2:$A$1001,A772)&gt;1,"Duplicate record ID",IF(OR(D772="",E772="",AF772="",NOT(ISNUMBER(AG772)),AJ772="",AK772="",NOT(ISNUMBER(AL772)),AND(AM772&lt;&gt;"Observed",AM772&lt;&gt;"Corroborated",AM772&lt;&gt;"Declared"),OR(AN772="",AN772="Unknown"),OR(AQ772="",AQ772="Unknown"),OR(AR772="",AR772="Unknown",AR772="TBD"),OR(BC772="",NOT(ISNUMBER(BC772)))),"Evidence incomplete","Evidence recorded; review scope")))))</x:f>
      </x:c>
      <x:c r="BN772" s="73"/>
    </x:row>
    <x:row r="773" ht="34" customHeight="1">
      <x:c r="A773" s="73"/>
      <x:c r="B773" s="73"/>
      <x:c r="C773" s="73"/>
      <x:c r="D773" s="73"/>
      <x:c r="E773" s="73"/>
      <x:c r="F773" s="73"/>
      <x:c r="G773" s="73"/>
      <x:c r="H773" s="73"/>
      <x:c r="I773" s="75"/>
      <x:c r="J773" s="73"/>
      <x:c r="K773" s="73"/>
      <x:c r="L773" s="76"/>
      <x:c r="M773" s="73"/>
      <x:c r="N773" s="73"/>
      <x:c r="O773" s="73"/>
      <x:c r="P773" s="73"/>
      <x:c r="Q773" s="76"/>
      <x:c r="R773" s="73"/>
      <x:c r="S773" s="73"/>
      <x:c r="T773" s="73"/>
      <x:c r="U773" s="73"/>
      <x:c r="V773" s="73"/>
      <x:c r="W773" s="73"/>
      <x:c r="X773" s="73"/>
      <x:c r="Y773" s="73"/>
      <x:c r="Z773" s="73"/>
      <x:c r="AA773" s="73"/>
      <x:c r="AB773" s="76" t="str">
        <x:f>IF(A773="","",IF(OR(NOT(ISNUMBER(I773)),I773&lt;0,NOT(ISNUMBER(AP773)),AP773&lt;0,NOT(ISNUMBER(L773)),L773&lt;1,L773&gt;5,L773&lt;&gt;INT(L773),AND(J773&lt;&gt;"Public",J773&lt;&gt;"Partner",J773&lt;&gt;"Internal",J773&lt;&gt;"None"),AND(K773&lt;&gt;"High",K773&lt;&gt;"Medium",K773&lt;&gt;"Low",K773&lt;&gt;"None"),AND(W773&lt;&gt;"Hard-coded",W773&lt;&gt;"Configurable",W773&lt;&gt;"Policy-managed",W773&lt;&gt;"API/Library abstraction",W773&lt;&gt;"Automated"),AND(Z773&lt;&gt;"Y",Z773&lt;&gt;"N"),AND(AA773&lt;&gt;"Y",AA773&lt;&gt;"N")),"Incomplete",IF(Z773="Y",20,0)+L773*5+IF(AA773="Y",15,0)+IF(J773="Public",10,IF(J773="Partner",7,IF(J773="Internal",3,0)))+IF(W773="Hard-coded",10,IF(W773="Configurable",3,0))+IF(MAX(I773,AP773)&gt;=10,10,IF(MAX(I773,AP773)&gt;=5,7,IF(MAX(I773,AP773)&gt;=2,3,0)))+IF(K773="High",10,IF(K773="Medium",5,0))))</x:f>
      </x:c>
      <x:c r="AC773" s="73" t="str">
        <x:f>IF(A773="","",IF(NOT(ISNUMBER(AB773)),"Review inputs",IF(AB773&gt;=70,"P0 - Immediate",IF(AB773&gt;=50,"P1 - High",IF(AB773&gt;=30,"P2 - Medium",IF(AB773&gt;=15,"P3 - Low","P4 - Monitor"))))))</x:f>
      </x:c>
      <x:c r="AD773" s="73"/>
      <x:c r="AE773" s="73"/>
      <x:c r="AF773" s="73"/>
      <x:c r="AG773" s="77"/>
      <x:c r="AH773" s="73"/>
      <x:c r="AI773" s="91"/>
      <x:c r="AJ773" s="91"/>
      <x:c r="AK773" s="91"/>
      <x:c r="AL773" s="92"/>
      <x:c r="AM773" s="91"/>
      <x:c r="AN773" s="91"/>
      <x:c r="AO773" s="93"/>
      <x:c r="AP773" s="94"/>
      <x:c r="AQ773" s="91"/>
      <x:c r="AR773" s="91"/>
      <x:c r="AS773" s="91"/>
      <x:c r="AT773" s="91"/>
      <x:c r="AU773" s="91"/>
      <x:c r="AV773" s="91"/>
      <x:c r="AW773" s="91"/>
      <x:c r="AX773" s="91"/>
      <x:c r="AY773" s="91"/>
      <x:c r="AZ773" s="92"/>
      <x:c r="BA773" s="94"/>
      <x:c r="BB773" s="91"/>
      <x:c r="BC773" s="92"/>
      <x:c r="BD773" s="92"/>
      <x:c r="BE773" s="91"/>
      <x:c r="BF773" s="91"/>
      <x:c r="BG773" s="91"/>
      <x:c r="BH773" s="91"/>
      <x:c r="BI773" s="91"/>
      <x:c r="BJ773" s="91"/>
      <x:c r="BK773" s="91"/>
      <x:c r="BL773" s="91"/>
      <x:c r="BM773" s="73" t="str">
        <x:f>IF(A773="","",IF(AI773="Example","Example only",IF(AI773&lt;&gt;"Actual","Set record type",IF(COUNTIF($A$2:$A$1001,A773)&gt;1,"Duplicate record ID",IF(OR(D773="",E773="",AF773="",NOT(ISNUMBER(AG773)),AJ773="",AK773="",NOT(ISNUMBER(AL773)),AND(AM773&lt;&gt;"Observed",AM773&lt;&gt;"Corroborated",AM773&lt;&gt;"Declared"),OR(AN773="",AN773="Unknown"),OR(AQ773="",AQ773="Unknown"),OR(AR773="",AR773="Unknown",AR773="TBD"),OR(BC773="",NOT(ISNUMBER(BC773)))),"Evidence incomplete","Evidence recorded; review scope")))))</x:f>
      </x:c>
      <x:c r="BN773" s="73"/>
    </x:row>
    <x:row r="774" ht="34" customHeight="1">
      <x:c r="A774" s="73"/>
      <x:c r="B774" s="73"/>
      <x:c r="C774" s="73"/>
      <x:c r="D774" s="73"/>
      <x:c r="E774" s="73"/>
      <x:c r="F774" s="73"/>
      <x:c r="G774" s="73"/>
      <x:c r="H774" s="73"/>
      <x:c r="I774" s="75"/>
      <x:c r="J774" s="73"/>
      <x:c r="K774" s="73"/>
      <x:c r="L774" s="76"/>
      <x:c r="M774" s="73"/>
      <x:c r="N774" s="73"/>
      <x:c r="O774" s="73"/>
      <x:c r="P774" s="73"/>
      <x:c r="Q774" s="76"/>
      <x:c r="R774" s="73"/>
      <x:c r="S774" s="73"/>
      <x:c r="T774" s="73"/>
      <x:c r="U774" s="73"/>
      <x:c r="V774" s="73"/>
      <x:c r="W774" s="73"/>
      <x:c r="X774" s="73"/>
      <x:c r="Y774" s="73"/>
      <x:c r="Z774" s="73"/>
      <x:c r="AA774" s="73"/>
      <x:c r="AB774" s="76" t="str">
        <x:f>IF(A774="","",IF(OR(NOT(ISNUMBER(I774)),I774&lt;0,NOT(ISNUMBER(AP774)),AP774&lt;0,NOT(ISNUMBER(L774)),L774&lt;1,L774&gt;5,L774&lt;&gt;INT(L774),AND(J774&lt;&gt;"Public",J774&lt;&gt;"Partner",J774&lt;&gt;"Internal",J774&lt;&gt;"None"),AND(K774&lt;&gt;"High",K774&lt;&gt;"Medium",K774&lt;&gt;"Low",K774&lt;&gt;"None"),AND(W774&lt;&gt;"Hard-coded",W774&lt;&gt;"Configurable",W774&lt;&gt;"Policy-managed",W774&lt;&gt;"API/Library abstraction",W774&lt;&gt;"Automated"),AND(Z774&lt;&gt;"Y",Z774&lt;&gt;"N"),AND(AA774&lt;&gt;"Y",AA774&lt;&gt;"N")),"Incomplete",IF(Z774="Y",20,0)+L774*5+IF(AA774="Y",15,0)+IF(J774="Public",10,IF(J774="Partner",7,IF(J774="Internal",3,0)))+IF(W774="Hard-coded",10,IF(W774="Configurable",3,0))+IF(MAX(I774,AP774)&gt;=10,10,IF(MAX(I774,AP774)&gt;=5,7,IF(MAX(I774,AP774)&gt;=2,3,0)))+IF(K774="High",10,IF(K774="Medium",5,0))))</x:f>
      </x:c>
      <x:c r="AC774" s="73" t="str">
        <x:f>IF(A774="","",IF(NOT(ISNUMBER(AB774)),"Review inputs",IF(AB774&gt;=70,"P0 - Immediate",IF(AB774&gt;=50,"P1 - High",IF(AB774&gt;=30,"P2 - Medium",IF(AB774&gt;=15,"P3 - Low","P4 - Monitor"))))))</x:f>
      </x:c>
      <x:c r="AD774" s="73"/>
      <x:c r="AE774" s="73"/>
      <x:c r="AF774" s="73"/>
      <x:c r="AG774" s="77"/>
      <x:c r="AH774" s="73"/>
      <x:c r="AI774" s="91"/>
      <x:c r="AJ774" s="91"/>
      <x:c r="AK774" s="91"/>
      <x:c r="AL774" s="92"/>
      <x:c r="AM774" s="91"/>
      <x:c r="AN774" s="91"/>
      <x:c r="AO774" s="93"/>
      <x:c r="AP774" s="94"/>
      <x:c r="AQ774" s="91"/>
      <x:c r="AR774" s="91"/>
      <x:c r="AS774" s="91"/>
      <x:c r="AT774" s="91"/>
      <x:c r="AU774" s="91"/>
      <x:c r="AV774" s="91"/>
      <x:c r="AW774" s="91"/>
      <x:c r="AX774" s="91"/>
      <x:c r="AY774" s="91"/>
      <x:c r="AZ774" s="92"/>
      <x:c r="BA774" s="94"/>
      <x:c r="BB774" s="91"/>
      <x:c r="BC774" s="92"/>
      <x:c r="BD774" s="92"/>
      <x:c r="BE774" s="91"/>
      <x:c r="BF774" s="91"/>
      <x:c r="BG774" s="91"/>
      <x:c r="BH774" s="91"/>
      <x:c r="BI774" s="91"/>
      <x:c r="BJ774" s="91"/>
      <x:c r="BK774" s="91"/>
      <x:c r="BL774" s="91"/>
      <x:c r="BM774" s="73" t="str">
        <x:f>IF(A774="","",IF(AI774="Example","Example only",IF(AI774&lt;&gt;"Actual","Set record type",IF(COUNTIF($A$2:$A$1001,A774)&gt;1,"Duplicate record ID",IF(OR(D774="",E774="",AF774="",NOT(ISNUMBER(AG774)),AJ774="",AK774="",NOT(ISNUMBER(AL774)),AND(AM774&lt;&gt;"Observed",AM774&lt;&gt;"Corroborated",AM774&lt;&gt;"Declared"),OR(AN774="",AN774="Unknown"),OR(AQ774="",AQ774="Unknown"),OR(AR774="",AR774="Unknown",AR774="TBD"),OR(BC774="",NOT(ISNUMBER(BC774)))),"Evidence incomplete","Evidence recorded; review scope")))))</x:f>
      </x:c>
      <x:c r="BN774" s="73"/>
    </x:row>
    <x:row r="775" ht="34" customHeight="1">
      <x:c r="A775" s="73"/>
      <x:c r="B775" s="73"/>
      <x:c r="C775" s="73"/>
      <x:c r="D775" s="73"/>
      <x:c r="E775" s="73"/>
      <x:c r="F775" s="73"/>
      <x:c r="G775" s="73"/>
      <x:c r="H775" s="73"/>
      <x:c r="I775" s="75"/>
      <x:c r="J775" s="73"/>
      <x:c r="K775" s="73"/>
      <x:c r="L775" s="76"/>
      <x:c r="M775" s="73"/>
      <x:c r="N775" s="73"/>
      <x:c r="O775" s="73"/>
      <x:c r="P775" s="73"/>
      <x:c r="Q775" s="76"/>
      <x:c r="R775" s="73"/>
      <x:c r="S775" s="73"/>
      <x:c r="T775" s="73"/>
      <x:c r="U775" s="73"/>
      <x:c r="V775" s="73"/>
      <x:c r="W775" s="73"/>
      <x:c r="X775" s="73"/>
      <x:c r="Y775" s="73"/>
      <x:c r="Z775" s="73"/>
      <x:c r="AA775" s="73"/>
      <x:c r="AB775" s="76" t="str">
        <x:f>IF(A775="","",IF(OR(NOT(ISNUMBER(I775)),I775&lt;0,NOT(ISNUMBER(AP775)),AP775&lt;0,NOT(ISNUMBER(L775)),L775&lt;1,L775&gt;5,L775&lt;&gt;INT(L775),AND(J775&lt;&gt;"Public",J775&lt;&gt;"Partner",J775&lt;&gt;"Internal",J775&lt;&gt;"None"),AND(K775&lt;&gt;"High",K775&lt;&gt;"Medium",K775&lt;&gt;"Low",K775&lt;&gt;"None"),AND(W775&lt;&gt;"Hard-coded",W775&lt;&gt;"Configurable",W775&lt;&gt;"Policy-managed",W775&lt;&gt;"API/Library abstraction",W775&lt;&gt;"Automated"),AND(Z775&lt;&gt;"Y",Z775&lt;&gt;"N"),AND(AA775&lt;&gt;"Y",AA775&lt;&gt;"N")),"Incomplete",IF(Z775="Y",20,0)+L775*5+IF(AA775="Y",15,0)+IF(J775="Public",10,IF(J775="Partner",7,IF(J775="Internal",3,0)))+IF(W775="Hard-coded",10,IF(W775="Configurable",3,0))+IF(MAX(I775,AP775)&gt;=10,10,IF(MAX(I775,AP775)&gt;=5,7,IF(MAX(I775,AP775)&gt;=2,3,0)))+IF(K775="High",10,IF(K775="Medium",5,0))))</x:f>
      </x:c>
      <x:c r="AC775" s="73" t="str">
        <x:f>IF(A775="","",IF(NOT(ISNUMBER(AB775)),"Review inputs",IF(AB775&gt;=70,"P0 - Immediate",IF(AB775&gt;=50,"P1 - High",IF(AB775&gt;=30,"P2 - Medium",IF(AB775&gt;=15,"P3 - Low","P4 - Monitor"))))))</x:f>
      </x:c>
      <x:c r="AD775" s="73"/>
      <x:c r="AE775" s="73"/>
      <x:c r="AF775" s="73"/>
      <x:c r="AG775" s="77"/>
      <x:c r="AH775" s="73"/>
      <x:c r="AI775" s="91"/>
      <x:c r="AJ775" s="91"/>
      <x:c r="AK775" s="91"/>
      <x:c r="AL775" s="92"/>
      <x:c r="AM775" s="91"/>
      <x:c r="AN775" s="91"/>
      <x:c r="AO775" s="93"/>
      <x:c r="AP775" s="94"/>
      <x:c r="AQ775" s="91"/>
      <x:c r="AR775" s="91"/>
      <x:c r="AS775" s="91"/>
      <x:c r="AT775" s="91"/>
      <x:c r="AU775" s="91"/>
      <x:c r="AV775" s="91"/>
      <x:c r="AW775" s="91"/>
      <x:c r="AX775" s="91"/>
      <x:c r="AY775" s="91"/>
      <x:c r="AZ775" s="92"/>
      <x:c r="BA775" s="94"/>
      <x:c r="BB775" s="91"/>
      <x:c r="BC775" s="92"/>
      <x:c r="BD775" s="92"/>
      <x:c r="BE775" s="91"/>
      <x:c r="BF775" s="91"/>
      <x:c r="BG775" s="91"/>
      <x:c r="BH775" s="91"/>
      <x:c r="BI775" s="91"/>
      <x:c r="BJ775" s="91"/>
      <x:c r="BK775" s="91"/>
      <x:c r="BL775" s="91"/>
      <x:c r="BM775" s="73" t="str">
        <x:f>IF(A775="","",IF(AI775="Example","Example only",IF(AI775&lt;&gt;"Actual","Set record type",IF(COUNTIF($A$2:$A$1001,A775)&gt;1,"Duplicate record ID",IF(OR(D775="",E775="",AF775="",NOT(ISNUMBER(AG775)),AJ775="",AK775="",NOT(ISNUMBER(AL775)),AND(AM775&lt;&gt;"Observed",AM775&lt;&gt;"Corroborated",AM775&lt;&gt;"Declared"),OR(AN775="",AN775="Unknown"),OR(AQ775="",AQ775="Unknown"),OR(AR775="",AR775="Unknown",AR775="TBD"),OR(BC775="",NOT(ISNUMBER(BC775)))),"Evidence incomplete","Evidence recorded; review scope")))))</x:f>
      </x:c>
      <x:c r="BN775" s="73"/>
    </x:row>
    <x:row r="776" ht="34" customHeight="1">
      <x:c r="A776" s="73"/>
      <x:c r="B776" s="73"/>
      <x:c r="C776" s="73"/>
      <x:c r="D776" s="73"/>
      <x:c r="E776" s="73"/>
      <x:c r="F776" s="73"/>
      <x:c r="G776" s="73"/>
      <x:c r="H776" s="73"/>
      <x:c r="I776" s="75"/>
      <x:c r="J776" s="73"/>
      <x:c r="K776" s="73"/>
      <x:c r="L776" s="76"/>
      <x:c r="M776" s="73"/>
      <x:c r="N776" s="73"/>
      <x:c r="O776" s="73"/>
      <x:c r="P776" s="73"/>
      <x:c r="Q776" s="76"/>
      <x:c r="R776" s="73"/>
      <x:c r="S776" s="73"/>
      <x:c r="T776" s="73"/>
      <x:c r="U776" s="73"/>
      <x:c r="V776" s="73"/>
      <x:c r="W776" s="73"/>
      <x:c r="X776" s="73"/>
      <x:c r="Y776" s="73"/>
      <x:c r="Z776" s="73"/>
      <x:c r="AA776" s="73"/>
      <x:c r="AB776" s="76" t="str">
        <x:f>IF(A776="","",IF(OR(NOT(ISNUMBER(I776)),I776&lt;0,NOT(ISNUMBER(AP776)),AP776&lt;0,NOT(ISNUMBER(L776)),L776&lt;1,L776&gt;5,L776&lt;&gt;INT(L776),AND(J776&lt;&gt;"Public",J776&lt;&gt;"Partner",J776&lt;&gt;"Internal",J776&lt;&gt;"None"),AND(K776&lt;&gt;"High",K776&lt;&gt;"Medium",K776&lt;&gt;"Low",K776&lt;&gt;"None"),AND(W776&lt;&gt;"Hard-coded",W776&lt;&gt;"Configurable",W776&lt;&gt;"Policy-managed",W776&lt;&gt;"API/Library abstraction",W776&lt;&gt;"Automated"),AND(Z776&lt;&gt;"Y",Z776&lt;&gt;"N"),AND(AA776&lt;&gt;"Y",AA776&lt;&gt;"N")),"Incomplete",IF(Z776="Y",20,0)+L776*5+IF(AA776="Y",15,0)+IF(J776="Public",10,IF(J776="Partner",7,IF(J776="Internal",3,0)))+IF(W776="Hard-coded",10,IF(W776="Configurable",3,0))+IF(MAX(I776,AP776)&gt;=10,10,IF(MAX(I776,AP776)&gt;=5,7,IF(MAX(I776,AP776)&gt;=2,3,0)))+IF(K776="High",10,IF(K776="Medium",5,0))))</x:f>
      </x:c>
      <x:c r="AC776" s="73" t="str">
        <x:f>IF(A776="","",IF(NOT(ISNUMBER(AB776)),"Review inputs",IF(AB776&gt;=70,"P0 - Immediate",IF(AB776&gt;=50,"P1 - High",IF(AB776&gt;=30,"P2 - Medium",IF(AB776&gt;=15,"P3 - Low","P4 - Monitor"))))))</x:f>
      </x:c>
      <x:c r="AD776" s="73"/>
      <x:c r="AE776" s="73"/>
      <x:c r="AF776" s="73"/>
      <x:c r="AG776" s="77"/>
      <x:c r="AH776" s="73"/>
      <x:c r="AI776" s="91"/>
      <x:c r="AJ776" s="91"/>
      <x:c r="AK776" s="91"/>
      <x:c r="AL776" s="92"/>
      <x:c r="AM776" s="91"/>
      <x:c r="AN776" s="91"/>
      <x:c r="AO776" s="93"/>
      <x:c r="AP776" s="94"/>
      <x:c r="AQ776" s="91"/>
      <x:c r="AR776" s="91"/>
      <x:c r="AS776" s="91"/>
      <x:c r="AT776" s="91"/>
      <x:c r="AU776" s="91"/>
      <x:c r="AV776" s="91"/>
      <x:c r="AW776" s="91"/>
      <x:c r="AX776" s="91"/>
      <x:c r="AY776" s="91"/>
      <x:c r="AZ776" s="92"/>
      <x:c r="BA776" s="94"/>
      <x:c r="BB776" s="91"/>
      <x:c r="BC776" s="92"/>
      <x:c r="BD776" s="92"/>
      <x:c r="BE776" s="91"/>
      <x:c r="BF776" s="91"/>
      <x:c r="BG776" s="91"/>
      <x:c r="BH776" s="91"/>
      <x:c r="BI776" s="91"/>
      <x:c r="BJ776" s="91"/>
      <x:c r="BK776" s="91"/>
      <x:c r="BL776" s="91"/>
      <x:c r="BM776" s="73" t="str">
        <x:f>IF(A776="","",IF(AI776="Example","Example only",IF(AI776&lt;&gt;"Actual","Set record type",IF(COUNTIF($A$2:$A$1001,A776)&gt;1,"Duplicate record ID",IF(OR(D776="",E776="",AF776="",NOT(ISNUMBER(AG776)),AJ776="",AK776="",NOT(ISNUMBER(AL776)),AND(AM776&lt;&gt;"Observed",AM776&lt;&gt;"Corroborated",AM776&lt;&gt;"Declared"),OR(AN776="",AN776="Unknown"),OR(AQ776="",AQ776="Unknown"),OR(AR776="",AR776="Unknown",AR776="TBD"),OR(BC776="",NOT(ISNUMBER(BC776)))),"Evidence incomplete","Evidence recorded; review scope")))))</x:f>
      </x:c>
      <x:c r="BN776" s="73"/>
    </x:row>
    <x:row r="777" ht="34" customHeight="1">
      <x:c r="A777" s="73"/>
      <x:c r="B777" s="73"/>
      <x:c r="C777" s="73"/>
      <x:c r="D777" s="73"/>
      <x:c r="E777" s="73"/>
      <x:c r="F777" s="73"/>
      <x:c r="G777" s="73"/>
      <x:c r="H777" s="73"/>
      <x:c r="I777" s="75"/>
      <x:c r="J777" s="73"/>
      <x:c r="K777" s="73"/>
      <x:c r="L777" s="76"/>
      <x:c r="M777" s="73"/>
      <x:c r="N777" s="73"/>
      <x:c r="O777" s="73"/>
      <x:c r="P777" s="73"/>
      <x:c r="Q777" s="76"/>
      <x:c r="R777" s="73"/>
      <x:c r="S777" s="73"/>
      <x:c r="T777" s="73"/>
      <x:c r="U777" s="73"/>
      <x:c r="V777" s="73"/>
      <x:c r="W777" s="73"/>
      <x:c r="X777" s="73"/>
      <x:c r="Y777" s="73"/>
      <x:c r="Z777" s="73"/>
      <x:c r="AA777" s="73"/>
      <x:c r="AB777" s="76" t="str">
        <x:f>IF(A777="","",IF(OR(NOT(ISNUMBER(I777)),I777&lt;0,NOT(ISNUMBER(AP777)),AP777&lt;0,NOT(ISNUMBER(L777)),L777&lt;1,L777&gt;5,L777&lt;&gt;INT(L777),AND(J777&lt;&gt;"Public",J777&lt;&gt;"Partner",J777&lt;&gt;"Internal",J777&lt;&gt;"None"),AND(K777&lt;&gt;"High",K777&lt;&gt;"Medium",K777&lt;&gt;"Low",K777&lt;&gt;"None"),AND(W777&lt;&gt;"Hard-coded",W777&lt;&gt;"Configurable",W777&lt;&gt;"Policy-managed",W777&lt;&gt;"API/Library abstraction",W777&lt;&gt;"Automated"),AND(Z777&lt;&gt;"Y",Z777&lt;&gt;"N"),AND(AA777&lt;&gt;"Y",AA777&lt;&gt;"N")),"Incomplete",IF(Z777="Y",20,0)+L777*5+IF(AA777="Y",15,0)+IF(J777="Public",10,IF(J777="Partner",7,IF(J777="Internal",3,0)))+IF(W777="Hard-coded",10,IF(W777="Configurable",3,0))+IF(MAX(I777,AP777)&gt;=10,10,IF(MAX(I777,AP777)&gt;=5,7,IF(MAX(I777,AP777)&gt;=2,3,0)))+IF(K777="High",10,IF(K777="Medium",5,0))))</x:f>
      </x:c>
      <x:c r="AC777" s="73" t="str">
        <x:f>IF(A777="","",IF(NOT(ISNUMBER(AB777)),"Review inputs",IF(AB777&gt;=70,"P0 - Immediate",IF(AB777&gt;=50,"P1 - High",IF(AB777&gt;=30,"P2 - Medium",IF(AB777&gt;=15,"P3 - Low","P4 - Monitor"))))))</x:f>
      </x:c>
      <x:c r="AD777" s="73"/>
      <x:c r="AE777" s="73"/>
      <x:c r="AF777" s="73"/>
      <x:c r="AG777" s="77"/>
      <x:c r="AH777" s="73"/>
      <x:c r="AI777" s="91"/>
      <x:c r="AJ777" s="91"/>
      <x:c r="AK777" s="91"/>
      <x:c r="AL777" s="92"/>
      <x:c r="AM777" s="91"/>
      <x:c r="AN777" s="91"/>
      <x:c r="AO777" s="93"/>
      <x:c r="AP777" s="94"/>
      <x:c r="AQ777" s="91"/>
      <x:c r="AR777" s="91"/>
      <x:c r="AS777" s="91"/>
      <x:c r="AT777" s="91"/>
      <x:c r="AU777" s="91"/>
      <x:c r="AV777" s="91"/>
      <x:c r="AW777" s="91"/>
      <x:c r="AX777" s="91"/>
      <x:c r="AY777" s="91"/>
      <x:c r="AZ777" s="92"/>
      <x:c r="BA777" s="94"/>
      <x:c r="BB777" s="91"/>
      <x:c r="BC777" s="92"/>
      <x:c r="BD777" s="92"/>
      <x:c r="BE777" s="91"/>
      <x:c r="BF777" s="91"/>
      <x:c r="BG777" s="91"/>
      <x:c r="BH777" s="91"/>
      <x:c r="BI777" s="91"/>
      <x:c r="BJ777" s="91"/>
      <x:c r="BK777" s="91"/>
      <x:c r="BL777" s="91"/>
      <x:c r="BM777" s="73" t="str">
        <x:f>IF(A777="","",IF(AI777="Example","Example only",IF(AI777&lt;&gt;"Actual","Set record type",IF(COUNTIF($A$2:$A$1001,A777)&gt;1,"Duplicate record ID",IF(OR(D777="",E777="",AF777="",NOT(ISNUMBER(AG777)),AJ777="",AK777="",NOT(ISNUMBER(AL777)),AND(AM777&lt;&gt;"Observed",AM777&lt;&gt;"Corroborated",AM777&lt;&gt;"Declared"),OR(AN777="",AN777="Unknown"),OR(AQ777="",AQ777="Unknown"),OR(AR777="",AR777="Unknown",AR777="TBD"),OR(BC777="",NOT(ISNUMBER(BC777)))),"Evidence incomplete","Evidence recorded; review scope")))))</x:f>
      </x:c>
      <x:c r="BN777" s="73"/>
    </x:row>
    <x:row r="778" ht="34" customHeight="1">
      <x:c r="A778" s="73"/>
      <x:c r="B778" s="73"/>
      <x:c r="C778" s="73"/>
      <x:c r="D778" s="73"/>
      <x:c r="E778" s="73"/>
      <x:c r="F778" s="73"/>
      <x:c r="G778" s="73"/>
      <x:c r="H778" s="73"/>
      <x:c r="I778" s="75"/>
      <x:c r="J778" s="73"/>
      <x:c r="K778" s="73"/>
      <x:c r="L778" s="76"/>
      <x:c r="M778" s="73"/>
      <x:c r="N778" s="73"/>
      <x:c r="O778" s="73"/>
      <x:c r="P778" s="73"/>
      <x:c r="Q778" s="76"/>
      <x:c r="R778" s="73"/>
      <x:c r="S778" s="73"/>
      <x:c r="T778" s="73"/>
      <x:c r="U778" s="73"/>
      <x:c r="V778" s="73"/>
      <x:c r="W778" s="73"/>
      <x:c r="X778" s="73"/>
      <x:c r="Y778" s="73"/>
      <x:c r="Z778" s="73"/>
      <x:c r="AA778" s="73"/>
      <x:c r="AB778" s="76" t="str">
        <x:f>IF(A778="","",IF(OR(NOT(ISNUMBER(I778)),I778&lt;0,NOT(ISNUMBER(AP778)),AP778&lt;0,NOT(ISNUMBER(L778)),L778&lt;1,L778&gt;5,L778&lt;&gt;INT(L778),AND(J778&lt;&gt;"Public",J778&lt;&gt;"Partner",J778&lt;&gt;"Internal",J778&lt;&gt;"None"),AND(K778&lt;&gt;"High",K778&lt;&gt;"Medium",K778&lt;&gt;"Low",K778&lt;&gt;"None"),AND(W778&lt;&gt;"Hard-coded",W778&lt;&gt;"Configurable",W778&lt;&gt;"Policy-managed",W778&lt;&gt;"API/Library abstraction",W778&lt;&gt;"Automated"),AND(Z778&lt;&gt;"Y",Z778&lt;&gt;"N"),AND(AA778&lt;&gt;"Y",AA778&lt;&gt;"N")),"Incomplete",IF(Z778="Y",20,0)+L778*5+IF(AA778="Y",15,0)+IF(J778="Public",10,IF(J778="Partner",7,IF(J778="Internal",3,0)))+IF(W778="Hard-coded",10,IF(W778="Configurable",3,0))+IF(MAX(I778,AP778)&gt;=10,10,IF(MAX(I778,AP778)&gt;=5,7,IF(MAX(I778,AP778)&gt;=2,3,0)))+IF(K778="High",10,IF(K778="Medium",5,0))))</x:f>
      </x:c>
      <x:c r="AC778" s="73" t="str">
        <x:f>IF(A778="","",IF(NOT(ISNUMBER(AB778)),"Review inputs",IF(AB778&gt;=70,"P0 - Immediate",IF(AB778&gt;=50,"P1 - High",IF(AB778&gt;=30,"P2 - Medium",IF(AB778&gt;=15,"P3 - Low","P4 - Monitor"))))))</x:f>
      </x:c>
      <x:c r="AD778" s="73"/>
      <x:c r="AE778" s="73"/>
      <x:c r="AF778" s="73"/>
      <x:c r="AG778" s="77"/>
      <x:c r="AH778" s="73"/>
      <x:c r="AI778" s="91"/>
      <x:c r="AJ778" s="91"/>
      <x:c r="AK778" s="91"/>
      <x:c r="AL778" s="92"/>
      <x:c r="AM778" s="91"/>
      <x:c r="AN778" s="91"/>
      <x:c r="AO778" s="93"/>
      <x:c r="AP778" s="94"/>
      <x:c r="AQ778" s="91"/>
      <x:c r="AR778" s="91"/>
      <x:c r="AS778" s="91"/>
      <x:c r="AT778" s="91"/>
      <x:c r="AU778" s="91"/>
      <x:c r="AV778" s="91"/>
      <x:c r="AW778" s="91"/>
      <x:c r="AX778" s="91"/>
      <x:c r="AY778" s="91"/>
      <x:c r="AZ778" s="92"/>
      <x:c r="BA778" s="94"/>
      <x:c r="BB778" s="91"/>
      <x:c r="BC778" s="92"/>
      <x:c r="BD778" s="92"/>
      <x:c r="BE778" s="91"/>
      <x:c r="BF778" s="91"/>
      <x:c r="BG778" s="91"/>
      <x:c r="BH778" s="91"/>
      <x:c r="BI778" s="91"/>
      <x:c r="BJ778" s="91"/>
      <x:c r="BK778" s="91"/>
      <x:c r="BL778" s="91"/>
      <x:c r="BM778" s="73" t="str">
        <x:f>IF(A778="","",IF(AI778="Example","Example only",IF(AI778&lt;&gt;"Actual","Set record type",IF(COUNTIF($A$2:$A$1001,A778)&gt;1,"Duplicate record ID",IF(OR(D778="",E778="",AF778="",NOT(ISNUMBER(AG778)),AJ778="",AK778="",NOT(ISNUMBER(AL778)),AND(AM778&lt;&gt;"Observed",AM778&lt;&gt;"Corroborated",AM778&lt;&gt;"Declared"),OR(AN778="",AN778="Unknown"),OR(AQ778="",AQ778="Unknown"),OR(AR778="",AR778="Unknown",AR778="TBD"),OR(BC778="",NOT(ISNUMBER(BC778)))),"Evidence incomplete","Evidence recorded; review scope")))))</x:f>
      </x:c>
      <x:c r="BN778" s="73"/>
    </x:row>
    <x:row r="779" ht="34" customHeight="1">
      <x:c r="A779" s="73"/>
      <x:c r="B779" s="73"/>
      <x:c r="C779" s="73"/>
      <x:c r="D779" s="73"/>
      <x:c r="E779" s="73"/>
      <x:c r="F779" s="73"/>
      <x:c r="G779" s="73"/>
      <x:c r="H779" s="73"/>
      <x:c r="I779" s="75"/>
      <x:c r="J779" s="73"/>
      <x:c r="K779" s="73"/>
      <x:c r="L779" s="76"/>
      <x:c r="M779" s="73"/>
      <x:c r="N779" s="73"/>
      <x:c r="O779" s="73"/>
      <x:c r="P779" s="73"/>
      <x:c r="Q779" s="76"/>
      <x:c r="R779" s="73"/>
      <x:c r="S779" s="73"/>
      <x:c r="T779" s="73"/>
      <x:c r="U779" s="73"/>
      <x:c r="V779" s="73"/>
      <x:c r="W779" s="73"/>
      <x:c r="X779" s="73"/>
      <x:c r="Y779" s="73"/>
      <x:c r="Z779" s="73"/>
      <x:c r="AA779" s="73"/>
      <x:c r="AB779" s="76" t="str">
        <x:f>IF(A779="","",IF(OR(NOT(ISNUMBER(I779)),I779&lt;0,NOT(ISNUMBER(AP779)),AP779&lt;0,NOT(ISNUMBER(L779)),L779&lt;1,L779&gt;5,L779&lt;&gt;INT(L779),AND(J779&lt;&gt;"Public",J779&lt;&gt;"Partner",J779&lt;&gt;"Internal",J779&lt;&gt;"None"),AND(K779&lt;&gt;"High",K779&lt;&gt;"Medium",K779&lt;&gt;"Low",K779&lt;&gt;"None"),AND(W779&lt;&gt;"Hard-coded",W779&lt;&gt;"Configurable",W779&lt;&gt;"Policy-managed",W779&lt;&gt;"API/Library abstraction",W779&lt;&gt;"Automated"),AND(Z779&lt;&gt;"Y",Z779&lt;&gt;"N"),AND(AA779&lt;&gt;"Y",AA779&lt;&gt;"N")),"Incomplete",IF(Z779="Y",20,0)+L779*5+IF(AA779="Y",15,0)+IF(J779="Public",10,IF(J779="Partner",7,IF(J779="Internal",3,0)))+IF(W779="Hard-coded",10,IF(W779="Configurable",3,0))+IF(MAX(I779,AP779)&gt;=10,10,IF(MAX(I779,AP779)&gt;=5,7,IF(MAX(I779,AP779)&gt;=2,3,0)))+IF(K779="High",10,IF(K779="Medium",5,0))))</x:f>
      </x:c>
      <x:c r="AC779" s="73" t="str">
        <x:f>IF(A779="","",IF(NOT(ISNUMBER(AB779)),"Review inputs",IF(AB779&gt;=70,"P0 - Immediate",IF(AB779&gt;=50,"P1 - High",IF(AB779&gt;=30,"P2 - Medium",IF(AB779&gt;=15,"P3 - Low","P4 - Monitor"))))))</x:f>
      </x:c>
      <x:c r="AD779" s="73"/>
      <x:c r="AE779" s="73"/>
      <x:c r="AF779" s="73"/>
      <x:c r="AG779" s="77"/>
      <x:c r="AH779" s="73"/>
      <x:c r="AI779" s="91"/>
      <x:c r="AJ779" s="91"/>
      <x:c r="AK779" s="91"/>
      <x:c r="AL779" s="92"/>
      <x:c r="AM779" s="91"/>
      <x:c r="AN779" s="91"/>
      <x:c r="AO779" s="93"/>
      <x:c r="AP779" s="94"/>
      <x:c r="AQ779" s="91"/>
      <x:c r="AR779" s="91"/>
      <x:c r="AS779" s="91"/>
      <x:c r="AT779" s="91"/>
      <x:c r="AU779" s="91"/>
      <x:c r="AV779" s="91"/>
      <x:c r="AW779" s="91"/>
      <x:c r="AX779" s="91"/>
      <x:c r="AY779" s="91"/>
      <x:c r="AZ779" s="92"/>
      <x:c r="BA779" s="94"/>
      <x:c r="BB779" s="91"/>
      <x:c r="BC779" s="92"/>
      <x:c r="BD779" s="92"/>
      <x:c r="BE779" s="91"/>
      <x:c r="BF779" s="91"/>
      <x:c r="BG779" s="91"/>
      <x:c r="BH779" s="91"/>
      <x:c r="BI779" s="91"/>
      <x:c r="BJ779" s="91"/>
      <x:c r="BK779" s="91"/>
      <x:c r="BL779" s="91"/>
      <x:c r="BM779" s="73" t="str">
        <x:f>IF(A779="","",IF(AI779="Example","Example only",IF(AI779&lt;&gt;"Actual","Set record type",IF(COUNTIF($A$2:$A$1001,A779)&gt;1,"Duplicate record ID",IF(OR(D779="",E779="",AF779="",NOT(ISNUMBER(AG779)),AJ779="",AK779="",NOT(ISNUMBER(AL779)),AND(AM779&lt;&gt;"Observed",AM779&lt;&gt;"Corroborated",AM779&lt;&gt;"Declared"),OR(AN779="",AN779="Unknown"),OR(AQ779="",AQ779="Unknown"),OR(AR779="",AR779="Unknown",AR779="TBD"),OR(BC779="",NOT(ISNUMBER(BC779)))),"Evidence incomplete","Evidence recorded; review scope")))))</x:f>
      </x:c>
      <x:c r="BN779" s="73"/>
    </x:row>
    <x:row r="780" ht="34" customHeight="1">
      <x:c r="A780" s="73"/>
      <x:c r="B780" s="73"/>
      <x:c r="C780" s="73"/>
      <x:c r="D780" s="73"/>
      <x:c r="E780" s="73"/>
      <x:c r="F780" s="73"/>
      <x:c r="G780" s="73"/>
      <x:c r="H780" s="73"/>
      <x:c r="I780" s="75"/>
      <x:c r="J780" s="73"/>
      <x:c r="K780" s="73"/>
      <x:c r="L780" s="76"/>
      <x:c r="M780" s="73"/>
      <x:c r="N780" s="73"/>
      <x:c r="O780" s="73"/>
      <x:c r="P780" s="73"/>
      <x:c r="Q780" s="76"/>
      <x:c r="R780" s="73"/>
      <x:c r="S780" s="73"/>
      <x:c r="T780" s="73"/>
      <x:c r="U780" s="73"/>
      <x:c r="V780" s="73"/>
      <x:c r="W780" s="73"/>
      <x:c r="X780" s="73"/>
      <x:c r="Y780" s="73"/>
      <x:c r="Z780" s="73"/>
      <x:c r="AA780" s="73"/>
      <x:c r="AB780" s="76" t="str">
        <x:f>IF(A780="","",IF(OR(NOT(ISNUMBER(I780)),I780&lt;0,NOT(ISNUMBER(AP780)),AP780&lt;0,NOT(ISNUMBER(L780)),L780&lt;1,L780&gt;5,L780&lt;&gt;INT(L780),AND(J780&lt;&gt;"Public",J780&lt;&gt;"Partner",J780&lt;&gt;"Internal",J780&lt;&gt;"None"),AND(K780&lt;&gt;"High",K780&lt;&gt;"Medium",K780&lt;&gt;"Low",K780&lt;&gt;"None"),AND(W780&lt;&gt;"Hard-coded",W780&lt;&gt;"Configurable",W780&lt;&gt;"Policy-managed",W780&lt;&gt;"API/Library abstraction",W780&lt;&gt;"Automated"),AND(Z780&lt;&gt;"Y",Z780&lt;&gt;"N"),AND(AA780&lt;&gt;"Y",AA780&lt;&gt;"N")),"Incomplete",IF(Z780="Y",20,0)+L780*5+IF(AA780="Y",15,0)+IF(J780="Public",10,IF(J780="Partner",7,IF(J780="Internal",3,0)))+IF(W780="Hard-coded",10,IF(W780="Configurable",3,0))+IF(MAX(I780,AP780)&gt;=10,10,IF(MAX(I780,AP780)&gt;=5,7,IF(MAX(I780,AP780)&gt;=2,3,0)))+IF(K780="High",10,IF(K780="Medium",5,0))))</x:f>
      </x:c>
      <x:c r="AC780" s="73" t="str">
        <x:f>IF(A780="","",IF(NOT(ISNUMBER(AB780)),"Review inputs",IF(AB780&gt;=70,"P0 - Immediate",IF(AB780&gt;=50,"P1 - High",IF(AB780&gt;=30,"P2 - Medium",IF(AB780&gt;=15,"P3 - Low","P4 - Monitor"))))))</x:f>
      </x:c>
      <x:c r="AD780" s="73"/>
      <x:c r="AE780" s="73"/>
      <x:c r="AF780" s="73"/>
      <x:c r="AG780" s="77"/>
      <x:c r="AH780" s="73"/>
      <x:c r="AI780" s="91"/>
      <x:c r="AJ780" s="91"/>
      <x:c r="AK780" s="91"/>
      <x:c r="AL780" s="92"/>
      <x:c r="AM780" s="91"/>
      <x:c r="AN780" s="91"/>
      <x:c r="AO780" s="93"/>
      <x:c r="AP780" s="94"/>
      <x:c r="AQ780" s="91"/>
      <x:c r="AR780" s="91"/>
      <x:c r="AS780" s="91"/>
      <x:c r="AT780" s="91"/>
      <x:c r="AU780" s="91"/>
      <x:c r="AV780" s="91"/>
      <x:c r="AW780" s="91"/>
      <x:c r="AX780" s="91"/>
      <x:c r="AY780" s="91"/>
      <x:c r="AZ780" s="92"/>
      <x:c r="BA780" s="94"/>
      <x:c r="BB780" s="91"/>
      <x:c r="BC780" s="92"/>
      <x:c r="BD780" s="92"/>
      <x:c r="BE780" s="91"/>
      <x:c r="BF780" s="91"/>
      <x:c r="BG780" s="91"/>
      <x:c r="BH780" s="91"/>
      <x:c r="BI780" s="91"/>
      <x:c r="BJ780" s="91"/>
      <x:c r="BK780" s="91"/>
      <x:c r="BL780" s="91"/>
      <x:c r="BM780" s="73" t="str">
        <x:f>IF(A780="","",IF(AI780="Example","Example only",IF(AI780&lt;&gt;"Actual","Set record type",IF(COUNTIF($A$2:$A$1001,A780)&gt;1,"Duplicate record ID",IF(OR(D780="",E780="",AF780="",NOT(ISNUMBER(AG780)),AJ780="",AK780="",NOT(ISNUMBER(AL780)),AND(AM780&lt;&gt;"Observed",AM780&lt;&gt;"Corroborated",AM780&lt;&gt;"Declared"),OR(AN780="",AN780="Unknown"),OR(AQ780="",AQ780="Unknown"),OR(AR780="",AR780="Unknown",AR780="TBD"),OR(BC780="",NOT(ISNUMBER(BC780)))),"Evidence incomplete","Evidence recorded; review scope")))))</x:f>
      </x:c>
      <x:c r="BN780" s="73"/>
    </x:row>
    <x:row r="781" ht="34" customHeight="1">
      <x:c r="A781" s="73"/>
      <x:c r="B781" s="73"/>
      <x:c r="C781" s="73"/>
      <x:c r="D781" s="73"/>
      <x:c r="E781" s="73"/>
      <x:c r="F781" s="73"/>
      <x:c r="G781" s="73"/>
      <x:c r="H781" s="73"/>
      <x:c r="I781" s="75"/>
      <x:c r="J781" s="73"/>
      <x:c r="K781" s="73"/>
      <x:c r="L781" s="76"/>
      <x:c r="M781" s="73"/>
      <x:c r="N781" s="73"/>
      <x:c r="O781" s="73"/>
      <x:c r="P781" s="73"/>
      <x:c r="Q781" s="76"/>
      <x:c r="R781" s="73"/>
      <x:c r="S781" s="73"/>
      <x:c r="T781" s="73"/>
      <x:c r="U781" s="73"/>
      <x:c r="V781" s="73"/>
      <x:c r="W781" s="73"/>
      <x:c r="X781" s="73"/>
      <x:c r="Y781" s="73"/>
      <x:c r="Z781" s="73"/>
      <x:c r="AA781" s="73"/>
      <x:c r="AB781" s="76" t="str">
        <x:f>IF(A781="","",IF(OR(NOT(ISNUMBER(I781)),I781&lt;0,NOT(ISNUMBER(AP781)),AP781&lt;0,NOT(ISNUMBER(L781)),L781&lt;1,L781&gt;5,L781&lt;&gt;INT(L781),AND(J781&lt;&gt;"Public",J781&lt;&gt;"Partner",J781&lt;&gt;"Internal",J781&lt;&gt;"None"),AND(K781&lt;&gt;"High",K781&lt;&gt;"Medium",K781&lt;&gt;"Low",K781&lt;&gt;"None"),AND(W781&lt;&gt;"Hard-coded",W781&lt;&gt;"Configurable",W781&lt;&gt;"Policy-managed",W781&lt;&gt;"API/Library abstraction",W781&lt;&gt;"Automated"),AND(Z781&lt;&gt;"Y",Z781&lt;&gt;"N"),AND(AA781&lt;&gt;"Y",AA781&lt;&gt;"N")),"Incomplete",IF(Z781="Y",20,0)+L781*5+IF(AA781="Y",15,0)+IF(J781="Public",10,IF(J781="Partner",7,IF(J781="Internal",3,0)))+IF(W781="Hard-coded",10,IF(W781="Configurable",3,0))+IF(MAX(I781,AP781)&gt;=10,10,IF(MAX(I781,AP781)&gt;=5,7,IF(MAX(I781,AP781)&gt;=2,3,0)))+IF(K781="High",10,IF(K781="Medium",5,0))))</x:f>
      </x:c>
      <x:c r="AC781" s="73" t="str">
        <x:f>IF(A781="","",IF(NOT(ISNUMBER(AB781)),"Review inputs",IF(AB781&gt;=70,"P0 - Immediate",IF(AB781&gt;=50,"P1 - High",IF(AB781&gt;=30,"P2 - Medium",IF(AB781&gt;=15,"P3 - Low","P4 - Monitor"))))))</x:f>
      </x:c>
      <x:c r="AD781" s="73"/>
      <x:c r="AE781" s="73"/>
      <x:c r="AF781" s="73"/>
      <x:c r="AG781" s="77"/>
      <x:c r="AH781" s="73"/>
      <x:c r="AI781" s="91"/>
      <x:c r="AJ781" s="91"/>
      <x:c r="AK781" s="91"/>
      <x:c r="AL781" s="92"/>
      <x:c r="AM781" s="91"/>
      <x:c r="AN781" s="91"/>
      <x:c r="AO781" s="93"/>
      <x:c r="AP781" s="94"/>
      <x:c r="AQ781" s="91"/>
      <x:c r="AR781" s="91"/>
      <x:c r="AS781" s="91"/>
      <x:c r="AT781" s="91"/>
      <x:c r="AU781" s="91"/>
      <x:c r="AV781" s="91"/>
      <x:c r="AW781" s="91"/>
      <x:c r="AX781" s="91"/>
      <x:c r="AY781" s="91"/>
      <x:c r="AZ781" s="92"/>
      <x:c r="BA781" s="94"/>
      <x:c r="BB781" s="91"/>
      <x:c r="BC781" s="92"/>
      <x:c r="BD781" s="92"/>
      <x:c r="BE781" s="91"/>
      <x:c r="BF781" s="91"/>
      <x:c r="BG781" s="91"/>
      <x:c r="BH781" s="91"/>
      <x:c r="BI781" s="91"/>
      <x:c r="BJ781" s="91"/>
      <x:c r="BK781" s="91"/>
      <x:c r="BL781" s="91"/>
      <x:c r="BM781" s="73" t="str">
        <x:f>IF(A781="","",IF(AI781="Example","Example only",IF(AI781&lt;&gt;"Actual","Set record type",IF(COUNTIF($A$2:$A$1001,A781)&gt;1,"Duplicate record ID",IF(OR(D781="",E781="",AF781="",NOT(ISNUMBER(AG781)),AJ781="",AK781="",NOT(ISNUMBER(AL781)),AND(AM781&lt;&gt;"Observed",AM781&lt;&gt;"Corroborated",AM781&lt;&gt;"Declared"),OR(AN781="",AN781="Unknown"),OR(AQ781="",AQ781="Unknown"),OR(AR781="",AR781="Unknown",AR781="TBD"),OR(BC781="",NOT(ISNUMBER(BC781)))),"Evidence incomplete","Evidence recorded; review scope")))))</x:f>
      </x:c>
      <x:c r="BN781" s="73"/>
    </x:row>
    <x:row r="782" ht="34" customHeight="1">
      <x:c r="A782" s="73"/>
      <x:c r="B782" s="73"/>
      <x:c r="C782" s="73"/>
      <x:c r="D782" s="73"/>
      <x:c r="E782" s="73"/>
      <x:c r="F782" s="73"/>
      <x:c r="G782" s="73"/>
      <x:c r="H782" s="73"/>
      <x:c r="I782" s="75"/>
      <x:c r="J782" s="73"/>
      <x:c r="K782" s="73"/>
      <x:c r="L782" s="76"/>
      <x:c r="M782" s="73"/>
      <x:c r="N782" s="73"/>
      <x:c r="O782" s="73"/>
      <x:c r="P782" s="73"/>
      <x:c r="Q782" s="76"/>
      <x:c r="R782" s="73"/>
      <x:c r="S782" s="73"/>
      <x:c r="T782" s="73"/>
      <x:c r="U782" s="73"/>
      <x:c r="V782" s="73"/>
      <x:c r="W782" s="73"/>
      <x:c r="X782" s="73"/>
      <x:c r="Y782" s="73"/>
      <x:c r="Z782" s="73"/>
      <x:c r="AA782" s="73"/>
      <x:c r="AB782" s="76" t="str">
        <x:f>IF(A782="","",IF(OR(NOT(ISNUMBER(I782)),I782&lt;0,NOT(ISNUMBER(AP782)),AP782&lt;0,NOT(ISNUMBER(L782)),L782&lt;1,L782&gt;5,L782&lt;&gt;INT(L782),AND(J782&lt;&gt;"Public",J782&lt;&gt;"Partner",J782&lt;&gt;"Internal",J782&lt;&gt;"None"),AND(K782&lt;&gt;"High",K782&lt;&gt;"Medium",K782&lt;&gt;"Low",K782&lt;&gt;"None"),AND(W782&lt;&gt;"Hard-coded",W782&lt;&gt;"Configurable",W782&lt;&gt;"Policy-managed",W782&lt;&gt;"API/Library abstraction",W782&lt;&gt;"Automated"),AND(Z782&lt;&gt;"Y",Z782&lt;&gt;"N"),AND(AA782&lt;&gt;"Y",AA782&lt;&gt;"N")),"Incomplete",IF(Z782="Y",20,0)+L782*5+IF(AA782="Y",15,0)+IF(J782="Public",10,IF(J782="Partner",7,IF(J782="Internal",3,0)))+IF(W782="Hard-coded",10,IF(W782="Configurable",3,0))+IF(MAX(I782,AP782)&gt;=10,10,IF(MAX(I782,AP782)&gt;=5,7,IF(MAX(I782,AP782)&gt;=2,3,0)))+IF(K782="High",10,IF(K782="Medium",5,0))))</x:f>
      </x:c>
      <x:c r="AC782" s="73" t="str">
        <x:f>IF(A782="","",IF(NOT(ISNUMBER(AB782)),"Review inputs",IF(AB782&gt;=70,"P0 - Immediate",IF(AB782&gt;=50,"P1 - High",IF(AB782&gt;=30,"P2 - Medium",IF(AB782&gt;=15,"P3 - Low","P4 - Monitor"))))))</x:f>
      </x:c>
      <x:c r="AD782" s="73"/>
      <x:c r="AE782" s="73"/>
      <x:c r="AF782" s="73"/>
      <x:c r="AG782" s="77"/>
      <x:c r="AH782" s="73"/>
      <x:c r="AI782" s="91"/>
      <x:c r="AJ782" s="91"/>
      <x:c r="AK782" s="91"/>
      <x:c r="AL782" s="92"/>
      <x:c r="AM782" s="91"/>
      <x:c r="AN782" s="91"/>
      <x:c r="AO782" s="93"/>
      <x:c r="AP782" s="94"/>
      <x:c r="AQ782" s="91"/>
      <x:c r="AR782" s="91"/>
      <x:c r="AS782" s="91"/>
      <x:c r="AT782" s="91"/>
      <x:c r="AU782" s="91"/>
      <x:c r="AV782" s="91"/>
      <x:c r="AW782" s="91"/>
      <x:c r="AX782" s="91"/>
      <x:c r="AY782" s="91"/>
      <x:c r="AZ782" s="92"/>
      <x:c r="BA782" s="94"/>
      <x:c r="BB782" s="91"/>
      <x:c r="BC782" s="92"/>
      <x:c r="BD782" s="92"/>
      <x:c r="BE782" s="91"/>
      <x:c r="BF782" s="91"/>
      <x:c r="BG782" s="91"/>
      <x:c r="BH782" s="91"/>
      <x:c r="BI782" s="91"/>
      <x:c r="BJ782" s="91"/>
      <x:c r="BK782" s="91"/>
      <x:c r="BL782" s="91"/>
      <x:c r="BM782" s="73" t="str">
        <x:f>IF(A782="","",IF(AI782="Example","Example only",IF(AI782&lt;&gt;"Actual","Set record type",IF(COUNTIF($A$2:$A$1001,A782)&gt;1,"Duplicate record ID",IF(OR(D782="",E782="",AF782="",NOT(ISNUMBER(AG782)),AJ782="",AK782="",NOT(ISNUMBER(AL782)),AND(AM782&lt;&gt;"Observed",AM782&lt;&gt;"Corroborated",AM782&lt;&gt;"Declared"),OR(AN782="",AN782="Unknown"),OR(AQ782="",AQ782="Unknown"),OR(AR782="",AR782="Unknown",AR782="TBD"),OR(BC782="",NOT(ISNUMBER(BC782)))),"Evidence incomplete","Evidence recorded; review scope")))))</x:f>
      </x:c>
      <x:c r="BN782" s="73"/>
    </x:row>
    <x:row r="783" ht="34" customHeight="1">
      <x:c r="A783" s="73"/>
      <x:c r="B783" s="73"/>
      <x:c r="C783" s="73"/>
      <x:c r="D783" s="73"/>
      <x:c r="E783" s="73"/>
      <x:c r="F783" s="73"/>
      <x:c r="G783" s="73"/>
      <x:c r="H783" s="73"/>
      <x:c r="I783" s="75"/>
      <x:c r="J783" s="73"/>
      <x:c r="K783" s="73"/>
      <x:c r="L783" s="76"/>
      <x:c r="M783" s="73"/>
      <x:c r="N783" s="73"/>
      <x:c r="O783" s="73"/>
      <x:c r="P783" s="73"/>
      <x:c r="Q783" s="76"/>
      <x:c r="R783" s="73"/>
      <x:c r="S783" s="73"/>
      <x:c r="T783" s="73"/>
      <x:c r="U783" s="73"/>
      <x:c r="V783" s="73"/>
      <x:c r="W783" s="73"/>
      <x:c r="X783" s="73"/>
      <x:c r="Y783" s="73"/>
      <x:c r="Z783" s="73"/>
      <x:c r="AA783" s="73"/>
      <x:c r="AB783" s="76" t="str">
        <x:f>IF(A783="","",IF(OR(NOT(ISNUMBER(I783)),I783&lt;0,NOT(ISNUMBER(AP783)),AP783&lt;0,NOT(ISNUMBER(L783)),L783&lt;1,L783&gt;5,L783&lt;&gt;INT(L783),AND(J783&lt;&gt;"Public",J783&lt;&gt;"Partner",J783&lt;&gt;"Internal",J783&lt;&gt;"None"),AND(K783&lt;&gt;"High",K783&lt;&gt;"Medium",K783&lt;&gt;"Low",K783&lt;&gt;"None"),AND(W783&lt;&gt;"Hard-coded",W783&lt;&gt;"Configurable",W783&lt;&gt;"Policy-managed",W783&lt;&gt;"API/Library abstraction",W783&lt;&gt;"Automated"),AND(Z783&lt;&gt;"Y",Z783&lt;&gt;"N"),AND(AA783&lt;&gt;"Y",AA783&lt;&gt;"N")),"Incomplete",IF(Z783="Y",20,0)+L783*5+IF(AA783="Y",15,0)+IF(J783="Public",10,IF(J783="Partner",7,IF(J783="Internal",3,0)))+IF(W783="Hard-coded",10,IF(W783="Configurable",3,0))+IF(MAX(I783,AP783)&gt;=10,10,IF(MAX(I783,AP783)&gt;=5,7,IF(MAX(I783,AP783)&gt;=2,3,0)))+IF(K783="High",10,IF(K783="Medium",5,0))))</x:f>
      </x:c>
      <x:c r="AC783" s="73" t="str">
        <x:f>IF(A783="","",IF(NOT(ISNUMBER(AB783)),"Review inputs",IF(AB783&gt;=70,"P0 - Immediate",IF(AB783&gt;=50,"P1 - High",IF(AB783&gt;=30,"P2 - Medium",IF(AB783&gt;=15,"P3 - Low","P4 - Monitor"))))))</x:f>
      </x:c>
      <x:c r="AD783" s="73"/>
      <x:c r="AE783" s="73"/>
      <x:c r="AF783" s="73"/>
      <x:c r="AG783" s="77"/>
      <x:c r="AH783" s="73"/>
      <x:c r="AI783" s="91"/>
      <x:c r="AJ783" s="91"/>
      <x:c r="AK783" s="91"/>
      <x:c r="AL783" s="92"/>
      <x:c r="AM783" s="91"/>
      <x:c r="AN783" s="91"/>
      <x:c r="AO783" s="93"/>
      <x:c r="AP783" s="94"/>
      <x:c r="AQ783" s="91"/>
      <x:c r="AR783" s="91"/>
      <x:c r="AS783" s="91"/>
      <x:c r="AT783" s="91"/>
      <x:c r="AU783" s="91"/>
      <x:c r="AV783" s="91"/>
      <x:c r="AW783" s="91"/>
      <x:c r="AX783" s="91"/>
      <x:c r="AY783" s="91"/>
      <x:c r="AZ783" s="92"/>
      <x:c r="BA783" s="94"/>
      <x:c r="BB783" s="91"/>
      <x:c r="BC783" s="92"/>
      <x:c r="BD783" s="92"/>
      <x:c r="BE783" s="91"/>
      <x:c r="BF783" s="91"/>
      <x:c r="BG783" s="91"/>
      <x:c r="BH783" s="91"/>
      <x:c r="BI783" s="91"/>
      <x:c r="BJ783" s="91"/>
      <x:c r="BK783" s="91"/>
      <x:c r="BL783" s="91"/>
      <x:c r="BM783" s="73" t="str">
        <x:f>IF(A783="","",IF(AI783="Example","Example only",IF(AI783&lt;&gt;"Actual","Set record type",IF(COUNTIF($A$2:$A$1001,A783)&gt;1,"Duplicate record ID",IF(OR(D783="",E783="",AF783="",NOT(ISNUMBER(AG783)),AJ783="",AK783="",NOT(ISNUMBER(AL783)),AND(AM783&lt;&gt;"Observed",AM783&lt;&gt;"Corroborated",AM783&lt;&gt;"Declared"),OR(AN783="",AN783="Unknown"),OR(AQ783="",AQ783="Unknown"),OR(AR783="",AR783="Unknown",AR783="TBD"),OR(BC783="",NOT(ISNUMBER(BC783)))),"Evidence incomplete","Evidence recorded; review scope")))))</x:f>
      </x:c>
      <x:c r="BN783" s="73"/>
    </x:row>
    <x:row r="784" ht="34" customHeight="1">
      <x:c r="A784" s="73"/>
      <x:c r="B784" s="73"/>
      <x:c r="C784" s="73"/>
      <x:c r="D784" s="73"/>
      <x:c r="E784" s="73"/>
      <x:c r="F784" s="73"/>
      <x:c r="G784" s="73"/>
      <x:c r="H784" s="73"/>
      <x:c r="I784" s="75"/>
      <x:c r="J784" s="73"/>
      <x:c r="K784" s="73"/>
      <x:c r="L784" s="76"/>
      <x:c r="M784" s="73"/>
      <x:c r="N784" s="73"/>
      <x:c r="O784" s="73"/>
      <x:c r="P784" s="73"/>
      <x:c r="Q784" s="76"/>
      <x:c r="R784" s="73"/>
      <x:c r="S784" s="73"/>
      <x:c r="T784" s="73"/>
      <x:c r="U784" s="73"/>
      <x:c r="V784" s="73"/>
      <x:c r="W784" s="73"/>
      <x:c r="X784" s="73"/>
      <x:c r="Y784" s="73"/>
      <x:c r="Z784" s="73"/>
      <x:c r="AA784" s="73"/>
      <x:c r="AB784" s="76" t="str">
        <x:f>IF(A784="","",IF(OR(NOT(ISNUMBER(I784)),I784&lt;0,NOT(ISNUMBER(AP784)),AP784&lt;0,NOT(ISNUMBER(L784)),L784&lt;1,L784&gt;5,L784&lt;&gt;INT(L784),AND(J784&lt;&gt;"Public",J784&lt;&gt;"Partner",J784&lt;&gt;"Internal",J784&lt;&gt;"None"),AND(K784&lt;&gt;"High",K784&lt;&gt;"Medium",K784&lt;&gt;"Low",K784&lt;&gt;"None"),AND(W784&lt;&gt;"Hard-coded",W784&lt;&gt;"Configurable",W784&lt;&gt;"Policy-managed",W784&lt;&gt;"API/Library abstraction",W784&lt;&gt;"Automated"),AND(Z784&lt;&gt;"Y",Z784&lt;&gt;"N"),AND(AA784&lt;&gt;"Y",AA784&lt;&gt;"N")),"Incomplete",IF(Z784="Y",20,0)+L784*5+IF(AA784="Y",15,0)+IF(J784="Public",10,IF(J784="Partner",7,IF(J784="Internal",3,0)))+IF(W784="Hard-coded",10,IF(W784="Configurable",3,0))+IF(MAX(I784,AP784)&gt;=10,10,IF(MAX(I784,AP784)&gt;=5,7,IF(MAX(I784,AP784)&gt;=2,3,0)))+IF(K784="High",10,IF(K784="Medium",5,0))))</x:f>
      </x:c>
      <x:c r="AC784" s="73" t="str">
        <x:f>IF(A784="","",IF(NOT(ISNUMBER(AB784)),"Review inputs",IF(AB784&gt;=70,"P0 - Immediate",IF(AB784&gt;=50,"P1 - High",IF(AB784&gt;=30,"P2 - Medium",IF(AB784&gt;=15,"P3 - Low","P4 - Monitor"))))))</x:f>
      </x:c>
      <x:c r="AD784" s="73"/>
      <x:c r="AE784" s="73"/>
      <x:c r="AF784" s="73"/>
      <x:c r="AG784" s="77"/>
      <x:c r="AH784" s="73"/>
      <x:c r="AI784" s="91"/>
      <x:c r="AJ784" s="91"/>
      <x:c r="AK784" s="91"/>
      <x:c r="AL784" s="92"/>
      <x:c r="AM784" s="91"/>
      <x:c r="AN784" s="91"/>
      <x:c r="AO784" s="93"/>
      <x:c r="AP784" s="94"/>
      <x:c r="AQ784" s="91"/>
      <x:c r="AR784" s="91"/>
      <x:c r="AS784" s="91"/>
      <x:c r="AT784" s="91"/>
      <x:c r="AU784" s="91"/>
      <x:c r="AV784" s="91"/>
      <x:c r="AW784" s="91"/>
      <x:c r="AX784" s="91"/>
      <x:c r="AY784" s="91"/>
      <x:c r="AZ784" s="92"/>
      <x:c r="BA784" s="94"/>
      <x:c r="BB784" s="91"/>
      <x:c r="BC784" s="92"/>
      <x:c r="BD784" s="92"/>
      <x:c r="BE784" s="91"/>
      <x:c r="BF784" s="91"/>
      <x:c r="BG784" s="91"/>
      <x:c r="BH784" s="91"/>
      <x:c r="BI784" s="91"/>
      <x:c r="BJ784" s="91"/>
      <x:c r="BK784" s="91"/>
      <x:c r="BL784" s="91"/>
      <x:c r="BM784" s="73" t="str">
        <x:f>IF(A784="","",IF(AI784="Example","Example only",IF(AI784&lt;&gt;"Actual","Set record type",IF(COUNTIF($A$2:$A$1001,A784)&gt;1,"Duplicate record ID",IF(OR(D784="",E784="",AF784="",NOT(ISNUMBER(AG784)),AJ784="",AK784="",NOT(ISNUMBER(AL784)),AND(AM784&lt;&gt;"Observed",AM784&lt;&gt;"Corroborated",AM784&lt;&gt;"Declared"),OR(AN784="",AN784="Unknown"),OR(AQ784="",AQ784="Unknown"),OR(AR784="",AR784="Unknown",AR784="TBD"),OR(BC784="",NOT(ISNUMBER(BC784)))),"Evidence incomplete","Evidence recorded; review scope")))))</x:f>
      </x:c>
      <x:c r="BN784" s="73"/>
    </x:row>
    <x:row r="785" ht="34" customHeight="1">
      <x:c r="A785" s="73"/>
      <x:c r="B785" s="73"/>
      <x:c r="C785" s="73"/>
      <x:c r="D785" s="73"/>
      <x:c r="E785" s="73"/>
      <x:c r="F785" s="73"/>
      <x:c r="G785" s="73"/>
      <x:c r="H785" s="73"/>
      <x:c r="I785" s="75"/>
      <x:c r="J785" s="73"/>
      <x:c r="K785" s="73"/>
      <x:c r="L785" s="76"/>
      <x:c r="M785" s="73"/>
      <x:c r="N785" s="73"/>
      <x:c r="O785" s="73"/>
      <x:c r="P785" s="73"/>
      <x:c r="Q785" s="76"/>
      <x:c r="R785" s="73"/>
      <x:c r="S785" s="73"/>
      <x:c r="T785" s="73"/>
      <x:c r="U785" s="73"/>
      <x:c r="V785" s="73"/>
      <x:c r="W785" s="73"/>
      <x:c r="X785" s="73"/>
      <x:c r="Y785" s="73"/>
      <x:c r="Z785" s="73"/>
      <x:c r="AA785" s="73"/>
      <x:c r="AB785" s="76" t="str">
        <x:f>IF(A785="","",IF(OR(NOT(ISNUMBER(I785)),I785&lt;0,NOT(ISNUMBER(AP785)),AP785&lt;0,NOT(ISNUMBER(L785)),L785&lt;1,L785&gt;5,L785&lt;&gt;INT(L785),AND(J785&lt;&gt;"Public",J785&lt;&gt;"Partner",J785&lt;&gt;"Internal",J785&lt;&gt;"None"),AND(K785&lt;&gt;"High",K785&lt;&gt;"Medium",K785&lt;&gt;"Low",K785&lt;&gt;"None"),AND(W785&lt;&gt;"Hard-coded",W785&lt;&gt;"Configurable",W785&lt;&gt;"Policy-managed",W785&lt;&gt;"API/Library abstraction",W785&lt;&gt;"Automated"),AND(Z785&lt;&gt;"Y",Z785&lt;&gt;"N"),AND(AA785&lt;&gt;"Y",AA785&lt;&gt;"N")),"Incomplete",IF(Z785="Y",20,0)+L785*5+IF(AA785="Y",15,0)+IF(J785="Public",10,IF(J785="Partner",7,IF(J785="Internal",3,0)))+IF(W785="Hard-coded",10,IF(W785="Configurable",3,0))+IF(MAX(I785,AP785)&gt;=10,10,IF(MAX(I785,AP785)&gt;=5,7,IF(MAX(I785,AP785)&gt;=2,3,0)))+IF(K785="High",10,IF(K785="Medium",5,0))))</x:f>
      </x:c>
      <x:c r="AC785" s="73" t="str">
        <x:f>IF(A785="","",IF(NOT(ISNUMBER(AB785)),"Review inputs",IF(AB785&gt;=70,"P0 - Immediate",IF(AB785&gt;=50,"P1 - High",IF(AB785&gt;=30,"P2 - Medium",IF(AB785&gt;=15,"P3 - Low","P4 - Monitor"))))))</x:f>
      </x:c>
      <x:c r="AD785" s="73"/>
      <x:c r="AE785" s="73"/>
      <x:c r="AF785" s="73"/>
      <x:c r="AG785" s="77"/>
      <x:c r="AH785" s="73"/>
      <x:c r="AI785" s="91"/>
      <x:c r="AJ785" s="91"/>
      <x:c r="AK785" s="91"/>
      <x:c r="AL785" s="92"/>
      <x:c r="AM785" s="91"/>
      <x:c r="AN785" s="91"/>
      <x:c r="AO785" s="93"/>
      <x:c r="AP785" s="94"/>
      <x:c r="AQ785" s="91"/>
      <x:c r="AR785" s="91"/>
      <x:c r="AS785" s="91"/>
      <x:c r="AT785" s="91"/>
      <x:c r="AU785" s="91"/>
      <x:c r="AV785" s="91"/>
      <x:c r="AW785" s="91"/>
      <x:c r="AX785" s="91"/>
      <x:c r="AY785" s="91"/>
      <x:c r="AZ785" s="92"/>
      <x:c r="BA785" s="94"/>
      <x:c r="BB785" s="91"/>
      <x:c r="BC785" s="92"/>
      <x:c r="BD785" s="92"/>
      <x:c r="BE785" s="91"/>
      <x:c r="BF785" s="91"/>
      <x:c r="BG785" s="91"/>
      <x:c r="BH785" s="91"/>
      <x:c r="BI785" s="91"/>
      <x:c r="BJ785" s="91"/>
      <x:c r="BK785" s="91"/>
      <x:c r="BL785" s="91"/>
      <x:c r="BM785" s="73" t="str">
        <x:f>IF(A785="","",IF(AI785="Example","Example only",IF(AI785&lt;&gt;"Actual","Set record type",IF(COUNTIF($A$2:$A$1001,A785)&gt;1,"Duplicate record ID",IF(OR(D785="",E785="",AF785="",NOT(ISNUMBER(AG785)),AJ785="",AK785="",NOT(ISNUMBER(AL785)),AND(AM785&lt;&gt;"Observed",AM785&lt;&gt;"Corroborated",AM785&lt;&gt;"Declared"),OR(AN785="",AN785="Unknown"),OR(AQ785="",AQ785="Unknown"),OR(AR785="",AR785="Unknown",AR785="TBD"),OR(BC785="",NOT(ISNUMBER(BC785)))),"Evidence incomplete","Evidence recorded; review scope")))))</x:f>
      </x:c>
      <x:c r="BN785" s="73"/>
    </x:row>
    <x:row r="786" ht="34" customHeight="1">
      <x:c r="A786" s="73"/>
      <x:c r="B786" s="73"/>
      <x:c r="C786" s="73"/>
      <x:c r="D786" s="73"/>
      <x:c r="E786" s="73"/>
      <x:c r="F786" s="73"/>
      <x:c r="G786" s="73"/>
      <x:c r="H786" s="73"/>
      <x:c r="I786" s="75"/>
      <x:c r="J786" s="73"/>
      <x:c r="K786" s="73"/>
      <x:c r="L786" s="76"/>
      <x:c r="M786" s="73"/>
      <x:c r="N786" s="73"/>
      <x:c r="O786" s="73"/>
      <x:c r="P786" s="73"/>
      <x:c r="Q786" s="76"/>
      <x:c r="R786" s="73"/>
      <x:c r="S786" s="73"/>
      <x:c r="T786" s="73"/>
      <x:c r="U786" s="73"/>
      <x:c r="V786" s="73"/>
      <x:c r="W786" s="73"/>
      <x:c r="X786" s="73"/>
      <x:c r="Y786" s="73"/>
      <x:c r="Z786" s="73"/>
      <x:c r="AA786" s="73"/>
      <x:c r="AB786" s="76" t="str">
        <x:f>IF(A786="","",IF(OR(NOT(ISNUMBER(I786)),I786&lt;0,NOT(ISNUMBER(AP786)),AP786&lt;0,NOT(ISNUMBER(L786)),L786&lt;1,L786&gt;5,L786&lt;&gt;INT(L786),AND(J786&lt;&gt;"Public",J786&lt;&gt;"Partner",J786&lt;&gt;"Internal",J786&lt;&gt;"None"),AND(K786&lt;&gt;"High",K786&lt;&gt;"Medium",K786&lt;&gt;"Low",K786&lt;&gt;"None"),AND(W786&lt;&gt;"Hard-coded",W786&lt;&gt;"Configurable",W786&lt;&gt;"Policy-managed",W786&lt;&gt;"API/Library abstraction",W786&lt;&gt;"Automated"),AND(Z786&lt;&gt;"Y",Z786&lt;&gt;"N"),AND(AA786&lt;&gt;"Y",AA786&lt;&gt;"N")),"Incomplete",IF(Z786="Y",20,0)+L786*5+IF(AA786="Y",15,0)+IF(J786="Public",10,IF(J786="Partner",7,IF(J786="Internal",3,0)))+IF(W786="Hard-coded",10,IF(W786="Configurable",3,0))+IF(MAX(I786,AP786)&gt;=10,10,IF(MAX(I786,AP786)&gt;=5,7,IF(MAX(I786,AP786)&gt;=2,3,0)))+IF(K786="High",10,IF(K786="Medium",5,0))))</x:f>
      </x:c>
      <x:c r="AC786" s="73" t="str">
        <x:f>IF(A786="","",IF(NOT(ISNUMBER(AB786)),"Review inputs",IF(AB786&gt;=70,"P0 - Immediate",IF(AB786&gt;=50,"P1 - High",IF(AB786&gt;=30,"P2 - Medium",IF(AB786&gt;=15,"P3 - Low","P4 - Monitor"))))))</x:f>
      </x:c>
      <x:c r="AD786" s="73"/>
      <x:c r="AE786" s="73"/>
      <x:c r="AF786" s="73"/>
      <x:c r="AG786" s="77"/>
      <x:c r="AH786" s="73"/>
      <x:c r="AI786" s="91"/>
      <x:c r="AJ786" s="91"/>
      <x:c r="AK786" s="91"/>
      <x:c r="AL786" s="92"/>
      <x:c r="AM786" s="91"/>
      <x:c r="AN786" s="91"/>
      <x:c r="AO786" s="93"/>
      <x:c r="AP786" s="94"/>
      <x:c r="AQ786" s="91"/>
      <x:c r="AR786" s="91"/>
      <x:c r="AS786" s="91"/>
      <x:c r="AT786" s="91"/>
      <x:c r="AU786" s="91"/>
      <x:c r="AV786" s="91"/>
      <x:c r="AW786" s="91"/>
      <x:c r="AX786" s="91"/>
      <x:c r="AY786" s="91"/>
      <x:c r="AZ786" s="92"/>
      <x:c r="BA786" s="94"/>
      <x:c r="BB786" s="91"/>
      <x:c r="BC786" s="92"/>
      <x:c r="BD786" s="92"/>
      <x:c r="BE786" s="91"/>
      <x:c r="BF786" s="91"/>
      <x:c r="BG786" s="91"/>
      <x:c r="BH786" s="91"/>
      <x:c r="BI786" s="91"/>
      <x:c r="BJ786" s="91"/>
      <x:c r="BK786" s="91"/>
      <x:c r="BL786" s="91"/>
      <x:c r="BM786" s="73" t="str">
        <x:f>IF(A786="","",IF(AI786="Example","Example only",IF(AI786&lt;&gt;"Actual","Set record type",IF(COUNTIF($A$2:$A$1001,A786)&gt;1,"Duplicate record ID",IF(OR(D786="",E786="",AF786="",NOT(ISNUMBER(AG786)),AJ786="",AK786="",NOT(ISNUMBER(AL786)),AND(AM786&lt;&gt;"Observed",AM786&lt;&gt;"Corroborated",AM786&lt;&gt;"Declared"),OR(AN786="",AN786="Unknown"),OR(AQ786="",AQ786="Unknown"),OR(AR786="",AR786="Unknown",AR786="TBD"),OR(BC786="",NOT(ISNUMBER(BC786)))),"Evidence incomplete","Evidence recorded; review scope")))))</x:f>
      </x:c>
      <x:c r="BN786" s="73"/>
    </x:row>
    <x:row r="787" ht="34" customHeight="1">
      <x:c r="A787" s="73"/>
      <x:c r="B787" s="73"/>
      <x:c r="C787" s="73"/>
      <x:c r="D787" s="73"/>
      <x:c r="E787" s="73"/>
      <x:c r="F787" s="73"/>
      <x:c r="G787" s="73"/>
      <x:c r="H787" s="73"/>
      <x:c r="I787" s="75"/>
      <x:c r="J787" s="73"/>
      <x:c r="K787" s="73"/>
      <x:c r="L787" s="76"/>
      <x:c r="M787" s="73"/>
      <x:c r="N787" s="73"/>
      <x:c r="O787" s="73"/>
      <x:c r="P787" s="73"/>
      <x:c r="Q787" s="76"/>
      <x:c r="R787" s="73"/>
      <x:c r="S787" s="73"/>
      <x:c r="T787" s="73"/>
      <x:c r="U787" s="73"/>
      <x:c r="V787" s="73"/>
      <x:c r="W787" s="73"/>
      <x:c r="X787" s="73"/>
      <x:c r="Y787" s="73"/>
      <x:c r="Z787" s="73"/>
      <x:c r="AA787" s="73"/>
      <x:c r="AB787" s="76" t="str">
        <x:f>IF(A787="","",IF(OR(NOT(ISNUMBER(I787)),I787&lt;0,NOT(ISNUMBER(AP787)),AP787&lt;0,NOT(ISNUMBER(L787)),L787&lt;1,L787&gt;5,L787&lt;&gt;INT(L787),AND(J787&lt;&gt;"Public",J787&lt;&gt;"Partner",J787&lt;&gt;"Internal",J787&lt;&gt;"None"),AND(K787&lt;&gt;"High",K787&lt;&gt;"Medium",K787&lt;&gt;"Low",K787&lt;&gt;"None"),AND(W787&lt;&gt;"Hard-coded",W787&lt;&gt;"Configurable",W787&lt;&gt;"Policy-managed",W787&lt;&gt;"API/Library abstraction",W787&lt;&gt;"Automated"),AND(Z787&lt;&gt;"Y",Z787&lt;&gt;"N"),AND(AA787&lt;&gt;"Y",AA787&lt;&gt;"N")),"Incomplete",IF(Z787="Y",20,0)+L787*5+IF(AA787="Y",15,0)+IF(J787="Public",10,IF(J787="Partner",7,IF(J787="Internal",3,0)))+IF(W787="Hard-coded",10,IF(W787="Configurable",3,0))+IF(MAX(I787,AP787)&gt;=10,10,IF(MAX(I787,AP787)&gt;=5,7,IF(MAX(I787,AP787)&gt;=2,3,0)))+IF(K787="High",10,IF(K787="Medium",5,0))))</x:f>
      </x:c>
      <x:c r="AC787" s="73" t="str">
        <x:f>IF(A787="","",IF(NOT(ISNUMBER(AB787)),"Review inputs",IF(AB787&gt;=70,"P0 - Immediate",IF(AB787&gt;=50,"P1 - High",IF(AB787&gt;=30,"P2 - Medium",IF(AB787&gt;=15,"P3 - Low","P4 - Monitor"))))))</x:f>
      </x:c>
      <x:c r="AD787" s="73"/>
      <x:c r="AE787" s="73"/>
      <x:c r="AF787" s="73"/>
      <x:c r="AG787" s="77"/>
      <x:c r="AH787" s="73"/>
      <x:c r="AI787" s="91"/>
      <x:c r="AJ787" s="91"/>
      <x:c r="AK787" s="91"/>
      <x:c r="AL787" s="92"/>
      <x:c r="AM787" s="91"/>
      <x:c r="AN787" s="91"/>
      <x:c r="AO787" s="93"/>
      <x:c r="AP787" s="94"/>
      <x:c r="AQ787" s="91"/>
      <x:c r="AR787" s="91"/>
      <x:c r="AS787" s="91"/>
      <x:c r="AT787" s="91"/>
      <x:c r="AU787" s="91"/>
      <x:c r="AV787" s="91"/>
      <x:c r="AW787" s="91"/>
      <x:c r="AX787" s="91"/>
      <x:c r="AY787" s="91"/>
      <x:c r="AZ787" s="92"/>
      <x:c r="BA787" s="94"/>
      <x:c r="BB787" s="91"/>
      <x:c r="BC787" s="92"/>
      <x:c r="BD787" s="92"/>
      <x:c r="BE787" s="91"/>
      <x:c r="BF787" s="91"/>
      <x:c r="BG787" s="91"/>
      <x:c r="BH787" s="91"/>
      <x:c r="BI787" s="91"/>
      <x:c r="BJ787" s="91"/>
      <x:c r="BK787" s="91"/>
      <x:c r="BL787" s="91"/>
      <x:c r="BM787" s="73" t="str">
        <x:f>IF(A787="","",IF(AI787="Example","Example only",IF(AI787&lt;&gt;"Actual","Set record type",IF(COUNTIF($A$2:$A$1001,A787)&gt;1,"Duplicate record ID",IF(OR(D787="",E787="",AF787="",NOT(ISNUMBER(AG787)),AJ787="",AK787="",NOT(ISNUMBER(AL787)),AND(AM787&lt;&gt;"Observed",AM787&lt;&gt;"Corroborated",AM787&lt;&gt;"Declared"),OR(AN787="",AN787="Unknown"),OR(AQ787="",AQ787="Unknown"),OR(AR787="",AR787="Unknown",AR787="TBD"),OR(BC787="",NOT(ISNUMBER(BC787)))),"Evidence incomplete","Evidence recorded; review scope")))))</x:f>
      </x:c>
      <x:c r="BN787" s="73"/>
    </x:row>
    <x:row r="788" ht="34" customHeight="1">
      <x:c r="A788" s="73"/>
      <x:c r="B788" s="73"/>
      <x:c r="C788" s="73"/>
      <x:c r="D788" s="73"/>
      <x:c r="E788" s="73"/>
      <x:c r="F788" s="73"/>
      <x:c r="G788" s="73"/>
      <x:c r="H788" s="73"/>
      <x:c r="I788" s="75"/>
      <x:c r="J788" s="73"/>
      <x:c r="K788" s="73"/>
      <x:c r="L788" s="76"/>
      <x:c r="M788" s="73"/>
      <x:c r="N788" s="73"/>
      <x:c r="O788" s="73"/>
      <x:c r="P788" s="73"/>
      <x:c r="Q788" s="76"/>
      <x:c r="R788" s="73"/>
      <x:c r="S788" s="73"/>
      <x:c r="T788" s="73"/>
      <x:c r="U788" s="73"/>
      <x:c r="V788" s="73"/>
      <x:c r="W788" s="73"/>
      <x:c r="X788" s="73"/>
      <x:c r="Y788" s="73"/>
      <x:c r="Z788" s="73"/>
      <x:c r="AA788" s="73"/>
      <x:c r="AB788" s="76" t="str">
        <x:f>IF(A788="","",IF(OR(NOT(ISNUMBER(I788)),I788&lt;0,NOT(ISNUMBER(AP788)),AP788&lt;0,NOT(ISNUMBER(L788)),L788&lt;1,L788&gt;5,L788&lt;&gt;INT(L788),AND(J788&lt;&gt;"Public",J788&lt;&gt;"Partner",J788&lt;&gt;"Internal",J788&lt;&gt;"None"),AND(K788&lt;&gt;"High",K788&lt;&gt;"Medium",K788&lt;&gt;"Low",K788&lt;&gt;"None"),AND(W788&lt;&gt;"Hard-coded",W788&lt;&gt;"Configurable",W788&lt;&gt;"Policy-managed",W788&lt;&gt;"API/Library abstraction",W788&lt;&gt;"Automated"),AND(Z788&lt;&gt;"Y",Z788&lt;&gt;"N"),AND(AA788&lt;&gt;"Y",AA788&lt;&gt;"N")),"Incomplete",IF(Z788="Y",20,0)+L788*5+IF(AA788="Y",15,0)+IF(J788="Public",10,IF(J788="Partner",7,IF(J788="Internal",3,0)))+IF(W788="Hard-coded",10,IF(W788="Configurable",3,0))+IF(MAX(I788,AP788)&gt;=10,10,IF(MAX(I788,AP788)&gt;=5,7,IF(MAX(I788,AP788)&gt;=2,3,0)))+IF(K788="High",10,IF(K788="Medium",5,0))))</x:f>
      </x:c>
      <x:c r="AC788" s="73" t="str">
        <x:f>IF(A788="","",IF(NOT(ISNUMBER(AB788)),"Review inputs",IF(AB788&gt;=70,"P0 - Immediate",IF(AB788&gt;=50,"P1 - High",IF(AB788&gt;=30,"P2 - Medium",IF(AB788&gt;=15,"P3 - Low","P4 - Monitor"))))))</x:f>
      </x:c>
      <x:c r="AD788" s="73"/>
      <x:c r="AE788" s="73"/>
      <x:c r="AF788" s="73"/>
      <x:c r="AG788" s="77"/>
      <x:c r="AH788" s="73"/>
      <x:c r="AI788" s="91"/>
      <x:c r="AJ788" s="91"/>
      <x:c r="AK788" s="91"/>
      <x:c r="AL788" s="92"/>
      <x:c r="AM788" s="91"/>
      <x:c r="AN788" s="91"/>
      <x:c r="AO788" s="93"/>
      <x:c r="AP788" s="94"/>
      <x:c r="AQ788" s="91"/>
      <x:c r="AR788" s="91"/>
      <x:c r="AS788" s="91"/>
      <x:c r="AT788" s="91"/>
      <x:c r="AU788" s="91"/>
      <x:c r="AV788" s="91"/>
      <x:c r="AW788" s="91"/>
      <x:c r="AX788" s="91"/>
      <x:c r="AY788" s="91"/>
      <x:c r="AZ788" s="92"/>
      <x:c r="BA788" s="94"/>
      <x:c r="BB788" s="91"/>
      <x:c r="BC788" s="92"/>
      <x:c r="BD788" s="92"/>
      <x:c r="BE788" s="91"/>
      <x:c r="BF788" s="91"/>
      <x:c r="BG788" s="91"/>
      <x:c r="BH788" s="91"/>
      <x:c r="BI788" s="91"/>
      <x:c r="BJ788" s="91"/>
      <x:c r="BK788" s="91"/>
      <x:c r="BL788" s="91"/>
      <x:c r="BM788" s="73" t="str">
        <x:f>IF(A788="","",IF(AI788="Example","Example only",IF(AI788&lt;&gt;"Actual","Set record type",IF(COUNTIF($A$2:$A$1001,A788)&gt;1,"Duplicate record ID",IF(OR(D788="",E788="",AF788="",NOT(ISNUMBER(AG788)),AJ788="",AK788="",NOT(ISNUMBER(AL788)),AND(AM788&lt;&gt;"Observed",AM788&lt;&gt;"Corroborated",AM788&lt;&gt;"Declared"),OR(AN788="",AN788="Unknown"),OR(AQ788="",AQ788="Unknown"),OR(AR788="",AR788="Unknown",AR788="TBD"),OR(BC788="",NOT(ISNUMBER(BC788)))),"Evidence incomplete","Evidence recorded; review scope")))))</x:f>
      </x:c>
      <x:c r="BN788" s="73"/>
    </x:row>
    <x:row r="789" ht="34" customHeight="1">
      <x:c r="A789" s="73"/>
      <x:c r="B789" s="73"/>
      <x:c r="C789" s="73"/>
      <x:c r="D789" s="73"/>
      <x:c r="E789" s="73"/>
      <x:c r="F789" s="73"/>
      <x:c r="G789" s="73"/>
      <x:c r="H789" s="73"/>
      <x:c r="I789" s="75"/>
      <x:c r="J789" s="73"/>
      <x:c r="K789" s="73"/>
      <x:c r="L789" s="76"/>
      <x:c r="M789" s="73"/>
      <x:c r="N789" s="73"/>
      <x:c r="O789" s="73"/>
      <x:c r="P789" s="73"/>
      <x:c r="Q789" s="76"/>
      <x:c r="R789" s="73"/>
      <x:c r="S789" s="73"/>
      <x:c r="T789" s="73"/>
      <x:c r="U789" s="73"/>
      <x:c r="V789" s="73"/>
      <x:c r="W789" s="73"/>
      <x:c r="X789" s="73"/>
      <x:c r="Y789" s="73"/>
      <x:c r="Z789" s="73"/>
      <x:c r="AA789" s="73"/>
      <x:c r="AB789" s="76" t="str">
        <x:f>IF(A789="","",IF(OR(NOT(ISNUMBER(I789)),I789&lt;0,NOT(ISNUMBER(AP789)),AP789&lt;0,NOT(ISNUMBER(L789)),L789&lt;1,L789&gt;5,L789&lt;&gt;INT(L789),AND(J789&lt;&gt;"Public",J789&lt;&gt;"Partner",J789&lt;&gt;"Internal",J789&lt;&gt;"None"),AND(K789&lt;&gt;"High",K789&lt;&gt;"Medium",K789&lt;&gt;"Low",K789&lt;&gt;"None"),AND(W789&lt;&gt;"Hard-coded",W789&lt;&gt;"Configurable",W789&lt;&gt;"Policy-managed",W789&lt;&gt;"API/Library abstraction",W789&lt;&gt;"Automated"),AND(Z789&lt;&gt;"Y",Z789&lt;&gt;"N"),AND(AA789&lt;&gt;"Y",AA789&lt;&gt;"N")),"Incomplete",IF(Z789="Y",20,0)+L789*5+IF(AA789="Y",15,0)+IF(J789="Public",10,IF(J789="Partner",7,IF(J789="Internal",3,0)))+IF(W789="Hard-coded",10,IF(W789="Configurable",3,0))+IF(MAX(I789,AP789)&gt;=10,10,IF(MAX(I789,AP789)&gt;=5,7,IF(MAX(I789,AP789)&gt;=2,3,0)))+IF(K789="High",10,IF(K789="Medium",5,0))))</x:f>
      </x:c>
      <x:c r="AC789" s="73" t="str">
        <x:f>IF(A789="","",IF(NOT(ISNUMBER(AB789)),"Review inputs",IF(AB789&gt;=70,"P0 - Immediate",IF(AB789&gt;=50,"P1 - High",IF(AB789&gt;=30,"P2 - Medium",IF(AB789&gt;=15,"P3 - Low","P4 - Monitor"))))))</x:f>
      </x:c>
      <x:c r="AD789" s="73"/>
      <x:c r="AE789" s="73"/>
      <x:c r="AF789" s="73"/>
      <x:c r="AG789" s="77"/>
      <x:c r="AH789" s="73"/>
      <x:c r="AI789" s="91"/>
      <x:c r="AJ789" s="91"/>
      <x:c r="AK789" s="91"/>
      <x:c r="AL789" s="92"/>
      <x:c r="AM789" s="91"/>
      <x:c r="AN789" s="91"/>
      <x:c r="AO789" s="93"/>
      <x:c r="AP789" s="94"/>
      <x:c r="AQ789" s="91"/>
      <x:c r="AR789" s="91"/>
      <x:c r="AS789" s="91"/>
      <x:c r="AT789" s="91"/>
      <x:c r="AU789" s="91"/>
      <x:c r="AV789" s="91"/>
      <x:c r="AW789" s="91"/>
      <x:c r="AX789" s="91"/>
      <x:c r="AY789" s="91"/>
      <x:c r="AZ789" s="92"/>
      <x:c r="BA789" s="94"/>
      <x:c r="BB789" s="91"/>
      <x:c r="BC789" s="92"/>
      <x:c r="BD789" s="92"/>
      <x:c r="BE789" s="91"/>
      <x:c r="BF789" s="91"/>
      <x:c r="BG789" s="91"/>
      <x:c r="BH789" s="91"/>
      <x:c r="BI789" s="91"/>
      <x:c r="BJ789" s="91"/>
      <x:c r="BK789" s="91"/>
      <x:c r="BL789" s="91"/>
      <x:c r="BM789" s="73" t="str">
        <x:f>IF(A789="","",IF(AI789="Example","Example only",IF(AI789&lt;&gt;"Actual","Set record type",IF(COUNTIF($A$2:$A$1001,A789)&gt;1,"Duplicate record ID",IF(OR(D789="",E789="",AF789="",NOT(ISNUMBER(AG789)),AJ789="",AK789="",NOT(ISNUMBER(AL789)),AND(AM789&lt;&gt;"Observed",AM789&lt;&gt;"Corroborated",AM789&lt;&gt;"Declared"),OR(AN789="",AN789="Unknown"),OR(AQ789="",AQ789="Unknown"),OR(AR789="",AR789="Unknown",AR789="TBD"),OR(BC789="",NOT(ISNUMBER(BC789)))),"Evidence incomplete","Evidence recorded; review scope")))))</x:f>
      </x:c>
      <x:c r="BN789" s="73"/>
    </x:row>
    <x:row r="790" ht="34" customHeight="1">
      <x:c r="A790" s="73"/>
      <x:c r="B790" s="73"/>
      <x:c r="C790" s="73"/>
      <x:c r="D790" s="73"/>
      <x:c r="E790" s="73"/>
      <x:c r="F790" s="73"/>
      <x:c r="G790" s="73"/>
      <x:c r="H790" s="73"/>
      <x:c r="I790" s="75"/>
      <x:c r="J790" s="73"/>
      <x:c r="K790" s="73"/>
      <x:c r="L790" s="76"/>
      <x:c r="M790" s="73"/>
      <x:c r="N790" s="73"/>
      <x:c r="O790" s="73"/>
      <x:c r="P790" s="73"/>
      <x:c r="Q790" s="76"/>
      <x:c r="R790" s="73"/>
      <x:c r="S790" s="73"/>
      <x:c r="T790" s="73"/>
      <x:c r="U790" s="73"/>
      <x:c r="V790" s="73"/>
      <x:c r="W790" s="73"/>
      <x:c r="X790" s="73"/>
      <x:c r="Y790" s="73"/>
      <x:c r="Z790" s="73"/>
      <x:c r="AA790" s="73"/>
      <x:c r="AB790" s="76" t="str">
        <x:f>IF(A790="","",IF(OR(NOT(ISNUMBER(I790)),I790&lt;0,NOT(ISNUMBER(AP790)),AP790&lt;0,NOT(ISNUMBER(L790)),L790&lt;1,L790&gt;5,L790&lt;&gt;INT(L790),AND(J790&lt;&gt;"Public",J790&lt;&gt;"Partner",J790&lt;&gt;"Internal",J790&lt;&gt;"None"),AND(K790&lt;&gt;"High",K790&lt;&gt;"Medium",K790&lt;&gt;"Low",K790&lt;&gt;"None"),AND(W790&lt;&gt;"Hard-coded",W790&lt;&gt;"Configurable",W790&lt;&gt;"Policy-managed",W790&lt;&gt;"API/Library abstraction",W790&lt;&gt;"Automated"),AND(Z790&lt;&gt;"Y",Z790&lt;&gt;"N"),AND(AA790&lt;&gt;"Y",AA790&lt;&gt;"N")),"Incomplete",IF(Z790="Y",20,0)+L790*5+IF(AA790="Y",15,0)+IF(J790="Public",10,IF(J790="Partner",7,IF(J790="Internal",3,0)))+IF(W790="Hard-coded",10,IF(W790="Configurable",3,0))+IF(MAX(I790,AP790)&gt;=10,10,IF(MAX(I790,AP790)&gt;=5,7,IF(MAX(I790,AP790)&gt;=2,3,0)))+IF(K790="High",10,IF(K790="Medium",5,0))))</x:f>
      </x:c>
      <x:c r="AC790" s="73" t="str">
        <x:f>IF(A790="","",IF(NOT(ISNUMBER(AB790)),"Review inputs",IF(AB790&gt;=70,"P0 - Immediate",IF(AB790&gt;=50,"P1 - High",IF(AB790&gt;=30,"P2 - Medium",IF(AB790&gt;=15,"P3 - Low","P4 - Monitor"))))))</x:f>
      </x:c>
      <x:c r="AD790" s="73"/>
      <x:c r="AE790" s="73"/>
      <x:c r="AF790" s="73"/>
      <x:c r="AG790" s="77"/>
      <x:c r="AH790" s="73"/>
      <x:c r="AI790" s="91"/>
      <x:c r="AJ790" s="91"/>
      <x:c r="AK790" s="91"/>
      <x:c r="AL790" s="92"/>
      <x:c r="AM790" s="91"/>
      <x:c r="AN790" s="91"/>
      <x:c r="AO790" s="93"/>
      <x:c r="AP790" s="94"/>
      <x:c r="AQ790" s="91"/>
      <x:c r="AR790" s="91"/>
      <x:c r="AS790" s="91"/>
      <x:c r="AT790" s="91"/>
      <x:c r="AU790" s="91"/>
      <x:c r="AV790" s="91"/>
      <x:c r="AW790" s="91"/>
      <x:c r="AX790" s="91"/>
      <x:c r="AY790" s="91"/>
      <x:c r="AZ790" s="92"/>
      <x:c r="BA790" s="94"/>
      <x:c r="BB790" s="91"/>
      <x:c r="BC790" s="92"/>
      <x:c r="BD790" s="92"/>
      <x:c r="BE790" s="91"/>
      <x:c r="BF790" s="91"/>
      <x:c r="BG790" s="91"/>
      <x:c r="BH790" s="91"/>
      <x:c r="BI790" s="91"/>
      <x:c r="BJ790" s="91"/>
      <x:c r="BK790" s="91"/>
      <x:c r="BL790" s="91"/>
      <x:c r="BM790" s="73" t="str">
        <x:f>IF(A790="","",IF(AI790="Example","Example only",IF(AI790&lt;&gt;"Actual","Set record type",IF(COUNTIF($A$2:$A$1001,A790)&gt;1,"Duplicate record ID",IF(OR(D790="",E790="",AF790="",NOT(ISNUMBER(AG790)),AJ790="",AK790="",NOT(ISNUMBER(AL790)),AND(AM790&lt;&gt;"Observed",AM790&lt;&gt;"Corroborated",AM790&lt;&gt;"Declared"),OR(AN790="",AN790="Unknown"),OR(AQ790="",AQ790="Unknown"),OR(AR790="",AR790="Unknown",AR790="TBD"),OR(BC790="",NOT(ISNUMBER(BC790)))),"Evidence incomplete","Evidence recorded; review scope")))))</x:f>
      </x:c>
      <x:c r="BN790" s="73"/>
    </x:row>
    <x:row r="791" ht="34" customHeight="1">
      <x:c r="A791" s="73"/>
      <x:c r="B791" s="73"/>
      <x:c r="C791" s="73"/>
      <x:c r="D791" s="73"/>
      <x:c r="E791" s="73"/>
      <x:c r="F791" s="73"/>
      <x:c r="G791" s="73"/>
      <x:c r="H791" s="73"/>
      <x:c r="I791" s="75"/>
      <x:c r="J791" s="73"/>
      <x:c r="K791" s="73"/>
      <x:c r="L791" s="76"/>
      <x:c r="M791" s="73"/>
      <x:c r="N791" s="73"/>
      <x:c r="O791" s="73"/>
      <x:c r="P791" s="73"/>
      <x:c r="Q791" s="76"/>
      <x:c r="R791" s="73"/>
      <x:c r="S791" s="73"/>
      <x:c r="T791" s="73"/>
      <x:c r="U791" s="73"/>
      <x:c r="V791" s="73"/>
      <x:c r="W791" s="73"/>
      <x:c r="X791" s="73"/>
      <x:c r="Y791" s="73"/>
      <x:c r="Z791" s="73"/>
      <x:c r="AA791" s="73"/>
      <x:c r="AB791" s="76" t="str">
        <x:f>IF(A791="","",IF(OR(NOT(ISNUMBER(I791)),I791&lt;0,NOT(ISNUMBER(AP791)),AP791&lt;0,NOT(ISNUMBER(L791)),L791&lt;1,L791&gt;5,L791&lt;&gt;INT(L791),AND(J791&lt;&gt;"Public",J791&lt;&gt;"Partner",J791&lt;&gt;"Internal",J791&lt;&gt;"None"),AND(K791&lt;&gt;"High",K791&lt;&gt;"Medium",K791&lt;&gt;"Low",K791&lt;&gt;"None"),AND(W791&lt;&gt;"Hard-coded",W791&lt;&gt;"Configurable",W791&lt;&gt;"Policy-managed",W791&lt;&gt;"API/Library abstraction",W791&lt;&gt;"Automated"),AND(Z791&lt;&gt;"Y",Z791&lt;&gt;"N"),AND(AA791&lt;&gt;"Y",AA791&lt;&gt;"N")),"Incomplete",IF(Z791="Y",20,0)+L791*5+IF(AA791="Y",15,0)+IF(J791="Public",10,IF(J791="Partner",7,IF(J791="Internal",3,0)))+IF(W791="Hard-coded",10,IF(W791="Configurable",3,0))+IF(MAX(I791,AP791)&gt;=10,10,IF(MAX(I791,AP791)&gt;=5,7,IF(MAX(I791,AP791)&gt;=2,3,0)))+IF(K791="High",10,IF(K791="Medium",5,0))))</x:f>
      </x:c>
      <x:c r="AC791" s="73" t="str">
        <x:f>IF(A791="","",IF(NOT(ISNUMBER(AB791)),"Review inputs",IF(AB791&gt;=70,"P0 - Immediate",IF(AB791&gt;=50,"P1 - High",IF(AB791&gt;=30,"P2 - Medium",IF(AB791&gt;=15,"P3 - Low","P4 - Monitor"))))))</x:f>
      </x:c>
      <x:c r="AD791" s="73"/>
      <x:c r="AE791" s="73"/>
      <x:c r="AF791" s="73"/>
      <x:c r="AG791" s="77"/>
      <x:c r="AH791" s="73"/>
      <x:c r="AI791" s="91"/>
      <x:c r="AJ791" s="91"/>
      <x:c r="AK791" s="91"/>
      <x:c r="AL791" s="92"/>
      <x:c r="AM791" s="91"/>
      <x:c r="AN791" s="91"/>
      <x:c r="AO791" s="93"/>
      <x:c r="AP791" s="94"/>
      <x:c r="AQ791" s="91"/>
      <x:c r="AR791" s="91"/>
      <x:c r="AS791" s="91"/>
      <x:c r="AT791" s="91"/>
      <x:c r="AU791" s="91"/>
      <x:c r="AV791" s="91"/>
      <x:c r="AW791" s="91"/>
      <x:c r="AX791" s="91"/>
      <x:c r="AY791" s="91"/>
      <x:c r="AZ791" s="92"/>
      <x:c r="BA791" s="94"/>
      <x:c r="BB791" s="91"/>
      <x:c r="BC791" s="92"/>
      <x:c r="BD791" s="92"/>
      <x:c r="BE791" s="91"/>
      <x:c r="BF791" s="91"/>
      <x:c r="BG791" s="91"/>
      <x:c r="BH791" s="91"/>
      <x:c r="BI791" s="91"/>
      <x:c r="BJ791" s="91"/>
      <x:c r="BK791" s="91"/>
      <x:c r="BL791" s="91"/>
      <x:c r="BM791" s="73" t="str">
        <x:f>IF(A791="","",IF(AI791="Example","Example only",IF(AI791&lt;&gt;"Actual","Set record type",IF(COUNTIF($A$2:$A$1001,A791)&gt;1,"Duplicate record ID",IF(OR(D791="",E791="",AF791="",NOT(ISNUMBER(AG791)),AJ791="",AK791="",NOT(ISNUMBER(AL791)),AND(AM791&lt;&gt;"Observed",AM791&lt;&gt;"Corroborated",AM791&lt;&gt;"Declared"),OR(AN791="",AN791="Unknown"),OR(AQ791="",AQ791="Unknown"),OR(AR791="",AR791="Unknown",AR791="TBD"),OR(BC791="",NOT(ISNUMBER(BC791)))),"Evidence incomplete","Evidence recorded; review scope")))))</x:f>
      </x:c>
      <x:c r="BN791" s="73"/>
    </x:row>
    <x:row r="792" ht="34" customHeight="1">
      <x:c r="A792" s="73"/>
      <x:c r="B792" s="73"/>
      <x:c r="C792" s="73"/>
      <x:c r="D792" s="73"/>
      <x:c r="E792" s="73"/>
      <x:c r="F792" s="73"/>
      <x:c r="G792" s="73"/>
      <x:c r="H792" s="73"/>
      <x:c r="I792" s="75"/>
      <x:c r="J792" s="73"/>
      <x:c r="K792" s="73"/>
      <x:c r="L792" s="76"/>
      <x:c r="M792" s="73"/>
      <x:c r="N792" s="73"/>
      <x:c r="O792" s="73"/>
      <x:c r="P792" s="73"/>
      <x:c r="Q792" s="76"/>
      <x:c r="R792" s="73"/>
      <x:c r="S792" s="73"/>
      <x:c r="T792" s="73"/>
      <x:c r="U792" s="73"/>
      <x:c r="V792" s="73"/>
      <x:c r="W792" s="73"/>
      <x:c r="X792" s="73"/>
      <x:c r="Y792" s="73"/>
      <x:c r="Z792" s="73"/>
      <x:c r="AA792" s="73"/>
      <x:c r="AB792" s="76" t="str">
        <x:f>IF(A792="","",IF(OR(NOT(ISNUMBER(I792)),I792&lt;0,NOT(ISNUMBER(AP792)),AP792&lt;0,NOT(ISNUMBER(L792)),L792&lt;1,L792&gt;5,L792&lt;&gt;INT(L792),AND(J792&lt;&gt;"Public",J792&lt;&gt;"Partner",J792&lt;&gt;"Internal",J792&lt;&gt;"None"),AND(K792&lt;&gt;"High",K792&lt;&gt;"Medium",K792&lt;&gt;"Low",K792&lt;&gt;"None"),AND(W792&lt;&gt;"Hard-coded",W792&lt;&gt;"Configurable",W792&lt;&gt;"Policy-managed",W792&lt;&gt;"API/Library abstraction",W792&lt;&gt;"Automated"),AND(Z792&lt;&gt;"Y",Z792&lt;&gt;"N"),AND(AA792&lt;&gt;"Y",AA792&lt;&gt;"N")),"Incomplete",IF(Z792="Y",20,0)+L792*5+IF(AA792="Y",15,0)+IF(J792="Public",10,IF(J792="Partner",7,IF(J792="Internal",3,0)))+IF(W792="Hard-coded",10,IF(W792="Configurable",3,0))+IF(MAX(I792,AP792)&gt;=10,10,IF(MAX(I792,AP792)&gt;=5,7,IF(MAX(I792,AP792)&gt;=2,3,0)))+IF(K792="High",10,IF(K792="Medium",5,0))))</x:f>
      </x:c>
      <x:c r="AC792" s="73" t="str">
        <x:f>IF(A792="","",IF(NOT(ISNUMBER(AB792)),"Review inputs",IF(AB792&gt;=70,"P0 - Immediate",IF(AB792&gt;=50,"P1 - High",IF(AB792&gt;=30,"P2 - Medium",IF(AB792&gt;=15,"P3 - Low","P4 - Monitor"))))))</x:f>
      </x:c>
      <x:c r="AD792" s="73"/>
      <x:c r="AE792" s="73"/>
      <x:c r="AF792" s="73"/>
      <x:c r="AG792" s="77"/>
      <x:c r="AH792" s="73"/>
      <x:c r="AI792" s="91"/>
      <x:c r="AJ792" s="91"/>
      <x:c r="AK792" s="91"/>
      <x:c r="AL792" s="92"/>
      <x:c r="AM792" s="91"/>
      <x:c r="AN792" s="91"/>
      <x:c r="AO792" s="93"/>
      <x:c r="AP792" s="94"/>
      <x:c r="AQ792" s="91"/>
      <x:c r="AR792" s="91"/>
      <x:c r="AS792" s="91"/>
      <x:c r="AT792" s="91"/>
      <x:c r="AU792" s="91"/>
      <x:c r="AV792" s="91"/>
      <x:c r="AW792" s="91"/>
      <x:c r="AX792" s="91"/>
      <x:c r="AY792" s="91"/>
      <x:c r="AZ792" s="92"/>
      <x:c r="BA792" s="94"/>
      <x:c r="BB792" s="91"/>
      <x:c r="BC792" s="92"/>
      <x:c r="BD792" s="92"/>
      <x:c r="BE792" s="91"/>
      <x:c r="BF792" s="91"/>
      <x:c r="BG792" s="91"/>
      <x:c r="BH792" s="91"/>
      <x:c r="BI792" s="91"/>
      <x:c r="BJ792" s="91"/>
      <x:c r="BK792" s="91"/>
      <x:c r="BL792" s="91"/>
      <x:c r="BM792" s="73" t="str">
        <x:f>IF(A792="","",IF(AI792="Example","Example only",IF(AI792&lt;&gt;"Actual","Set record type",IF(COUNTIF($A$2:$A$1001,A792)&gt;1,"Duplicate record ID",IF(OR(D792="",E792="",AF792="",NOT(ISNUMBER(AG792)),AJ792="",AK792="",NOT(ISNUMBER(AL792)),AND(AM792&lt;&gt;"Observed",AM792&lt;&gt;"Corroborated",AM792&lt;&gt;"Declared"),OR(AN792="",AN792="Unknown"),OR(AQ792="",AQ792="Unknown"),OR(AR792="",AR792="Unknown",AR792="TBD"),OR(BC792="",NOT(ISNUMBER(BC792)))),"Evidence incomplete","Evidence recorded; review scope")))))</x:f>
      </x:c>
      <x:c r="BN792" s="73"/>
    </x:row>
    <x:row r="793" ht="34" customHeight="1">
      <x:c r="A793" s="73"/>
      <x:c r="B793" s="73"/>
      <x:c r="C793" s="73"/>
      <x:c r="D793" s="73"/>
      <x:c r="E793" s="73"/>
      <x:c r="F793" s="73"/>
      <x:c r="G793" s="73"/>
      <x:c r="H793" s="73"/>
      <x:c r="I793" s="75"/>
      <x:c r="J793" s="73"/>
      <x:c r="K793" s="73"/>
      <x:c r="L793" s="76"/>
      <x:c r="M793" s="73"/>
      <x:c r="N793" s="73"/>
      <x:c r="O793" s="73"/>
      <x:c r="P793" s="73"/>
      <x:c r="Q793" s="76"/>
      <x:c r="R793" s="73"/>
      <x:c r="S793" s="73"/>
      <x:c r="T793" s="73"/>
      <x:c r="U793" s="73"/>
      <x:c r="V793" s="73"/>
      <x:c r="W793" s="73"/>
      <x:c r="X793" s="73"/>
      <x:c r="Y793" s="73"/>
      <x:c r="Z793" s="73"/>
      <x:c r="AA793" s="73"/>
      <x:c r="AB793" s="76" t="str">
        <x:f>IF(A793="","",IF(OR(NOT(ISNUMBER(I793)),I793&lt;0,NOT(ISNUMBER(AP793)),AP793&lt;0,NOT(ISNUMBER(L793)),L793&lt;1,L793&gt;5,L793&lt;&gt;INT(L793),AND(J793&lt;&gt;"Public",J793&lt;&gt;"Partner",J793&lt;&gt;"Internal",J793&lt;&gt;"None"),AND(K793&lt;&gt;"High",K793&lt;&gt;"Medium",K793&lt;&gt;"Low",K793&lt;&gt;"None"),AND(W793&lt;&gt;"Hard-coded",W793&lt;&gt;"Configurable",W793&lt;&gt;"Policy-managed",W793&lt;&gt;"API/Library abstraction",W793&lt;&gt;"Automated"),AND(Z793&lt;&gt;"Y",Z793&lt;&gt;"N"),AND(AA793&lt;&gt;"Y",AA793&lt;&gt;"N")),"Incomplete",IF(Z793="Y",20,0)+L793*5+IF(AA793="Y",15,0)+IF(J793="Public",10,IF(J793="Partner",7,IF(J793="Internal",3,0)))+IF(W793="Hard-coded",10,IF(W793="Configurable",3,0))+IF(MAX(I793,AP793)&gt;=10,10,IF(MAX(I793,AP793)&gt;=5,7,IF(MAX(I793,AP793)&gt;=2,3,0)))+IF(K793="High",10,IF(K793="Medium",5,0))))</x:f>
      </x:c>
      <x:c r="AC793" s="73" t="str">
        <x:f>IF(A793="","",IF(NOT(ISNUMBER(AB793)),"Review inputs",IF(AB793&gt;=70,"P0 - Immediate",IF(AB793&gt;=50,"P1 - High",IF(AB793&gt;=30,"P2 - Medium",IF(AB793&gt;=15,"P3 - Low","P4 - Monitor"))))))</x:f>
      </x:c>
      <x:c r="AD793" s="73"/>
      <x:c r="AE793" s="73"/>
      <x:c r="AF793" s="73"/>
      <x:c r="AG793" s="77"/>
      <x:c r="AH793" s="73"/>
      <x:c r="AI793" s="91"/>
      <x:c r="AJ793" s="91"/>
      <x:c r="AK793" s="91"/>
      <x:c r="AL793" s="92"/>
      <x:c r="AM793" s="91"/>
      <x:c r="AN793" s="91"/>
      <x:c r="AO793" s="93"/>
      <x:c r="AP793" s="94"/>
      <x:c r="AQ793" s="91"/>
      <x:c r="AR793" s="91"/>
      <x:c r="AS793" s="91"/>
      <x:c r="AT793" s="91"/>
      <x:c r="AU793" s="91"/>
      <x:c r="AV793" s="91"/>
      <x:c r="AW793" s="91"/>
      <x:c r="AX793" s="91"/>
      <x:c r="AY793" s="91"/>
      <x:c r="AZ793" s="92"/>
      <x:c r="BA793" s="94"/>
      <x:c r="BB793" s="91"/>
      <x:c r="BC793" s="92"/>
      <x:c r="BD793" s="92"/>
      <x:c r="BE793" s="91"/>
      <x:c r="BF793" s="91"/>
      <x:c r="BG793" s="91"/>
      <x:c r="BH793" s="91"/>
      <x:c r="BI793" s="91"/>
      <x:c r="BJ793" s="91"/>
      <x:c r="BK793" s="91"/>
      <x:c r="BL793" s="91"/>
      <x:c r="BM793" s="73" t="str">
        <x:f>IF(A793="","",IF(AI793="Example","Example only",IF(AI793&lt;&gt;"Actual","Set record type",IF(COUNTIF($A$2:$A$1001,A793)&gt;1,"Duplicate record ID",IF(OR(D793="",E793="",AF793="",NOT(ISNUMBER(AG793)),AJ793="",AK793="",NOT(ISNUMBER(AL793)),AND(AM793&lt;&gt;"Observed",AM793&lt;&gt;"Corroborated",AM793&lt;&gt;"Declared"),OR(AN793="",AN793="Unknown"),OR(AQ793="",AQ793="Unknown"),OR(AR793="",AR793="Unknown",AR793="TBD"),OR(BC793="",NOT(ISNUMBER(BC793)))),"Evidence incomplete","Evidence recorded; review scope")))))</x:f>
      </x:c>
      <x:c r="BN793" s="73"/>
    </x:row>
    <x:row r="794" ht="34" customHeight="1">
      <x:c r="A794" s="73"/>
      <x:c r="B794" s="73"/>
      <x:c r="C794" s="73"/>
      <x:c r="D794" s="73"/>
      <x:c r="E794" s="73"/>
      <x:c r="F794" s="73"/>
      <x:c r="G794" s="73"/>
      <x:c r="H794" s="73"/>
      <x:c r="I794" s="75"/>
      <x:c r="J794" s="73"/>
      <x:c r="K794" s="73"/>
      <x:c r="L794" s="76"/>
      <x:c r="M794" s="73"/>
      <x:c r="N794" s="73"/>
      <x:c r="O794" s="73"/>
      <x:c r="P794" s="73"/>
      <x:c r="Q794" s="76"/>
      <x:c r="R794" s="73"/>
      <x:c r="S794" s="73"/>
      <x:c r="T794" s="73"/>
      <x:c r="U794" s="73"/>
      <x:c r="V794" s="73"/>
      <x:c r="W794" s="73"/>
      <x:c r="X794" s="73"/>
      <x:c r="Y794" s="73"/>
      <x:c r="Z794" s="73"/>
      <x:c r="AA794" s="73"/>
      <x:c r="AB794" s="76" t="str">
        <x:f>IF(A794="","",IF(OR(NOT(ISNUMBER(I794)),I794&lt;0,NOT(ISNUMBER(AP794)),AP794&lt;0,NOT(ISNUMBER(L794)),L794&lt;1,L794&gt;5,L794&lt;&gt;INT(L794),AND(J794&lt;&gt;"Public",J794&lt;&gt;"Partner",J794&lt;&gt;"Internal",J794&lt;&gt;"None"),AND(K794&lt;&gt;"High",K794&lt;&gt;"Medium",K794&lt;&gt;"Low",K794&lt;&gt;"None"),AND(W794&lt;&gt;"Hard-coded",W794&lt;&gt;"Configurable",W794&lt;&gt;"Policy-managed",W794&lt;&gt;"API/Library abstraction",W794&lt;&gt;"Automated"),AND(Z794&lt;&gt;"Y",Z794&lt;&gt;"N"),AND(AA794&lt;&gt;"Y",AA794&lt;&gt;"N")),"Incomplete",IF(Z794="Y",20,0)+L794*5+IF(AA794="Y",15,0)+IF(J794="Public",10,IF(J794="Partner",7,IF(J794="Internal",3,0)))+IF(W794="Hard-coded",10,IF(W794="Configurable",3,0))+IF(MAX(I794,AP794)&gt;=10,10,IF(MAX(I794,AP794)&gt;=5,7,IF(MAX(I794,AP794)&gt;=2,3,0)))+IF(K794="High",10,IF(K794="Medium",5,0))))</x:f>
      </x:c>
      <x:c r="AC794" s="73" t="str">
        <x:f>IF(A794="","",IF(NOT(ISNUMBER(AB794)),"Review inputs",IF(AB794&gt;=70,"P0 - Immediate",IF(AB794&gt;=50,"P1 - High",IF(AB794&gt;=30,"P2 - Medium",IF(AB794&gt;=15,"P3 - Low","P4 - Monitor"))))))</x:f>
      </x:c>
      <x:c r="AD794" s="73"/>
      <x:c r="AE794" s="73"/>
      <x:c r="AF794" s="73"/>
      <x:c r="AG794" s="77"/>
      <x:c r="AH794" s="73"/>
      <x:c r="AI794" s="91"/>
      <x:c r="AJ794" s="91"/>
      <x:c r="AK794" s="91"/>
      <x:c r="AL794" s="92"/>
      <x:c r="AM794" s="91"/>
      <x:c r="AN794" s="91"/>
      <x:c r="AO794" s="93"/>
      <x:c r="AP794" s="94"/>
      <x:c r="AQ794" s="91"/>
      <x:c r="AR794" s="91"/>
      <x:c r="AS794" s="91"/>
      <x:c r="AT794" s="91"/>
      <x:c r="AU794" s="91"/>
      <x:c r="AV794" s="91"/>
      <x:c r="AW794" s="91"/>
      <x:c r="AX794" s="91"/>
      <x:c r="AY794" s="91"/>
      <x:c r="AZ794" s="92"/>
      <x:c r="BA794" s="94"/>
      <x:c r="BB794" s="91"/>
      <x:c r="BC794" s="92"/>
      <x:c r="BD794" s="92"/>
      <x:c r="BE794" s="91"/>
      <x:c r="BF794" s="91"/>
      <x:c r="BG794" s="91"/>
      <x:c r="BH794" s="91"/>
      <x:c r="BI794" s="91"/>
      <x:c r="BJ794" s="91"/>
      <x:c r="BK794" s="91"/>
      <x:c r="BL794" s="91"/>
      <x:c r="BM794" s="73" t="str">
        <x:f>IF(A794="","",IF(AI794="Example","Example only",IF(AI794&lt;&gt;"Actual","Set record type",IF(COUNTIF($A$2:$A$1001,A794)&gt;1,"Duplicate record ID",IF(OR(D794="",E794="",AF794="",NOT(ISNUMBER(AG794)),AJ794="",AK794="",NOT(ISNUMBER(AL794)),AND(AM794&lt;&gt;"Observed",AM794&lt;&gt;"Corroborated",AM794&lt;&gt;"Declared"),OR(AN794="",AN794="Unknown"),OR(AQ794="",AQ794="Unknown"),OR(AR794="",AR794="Unknown",AR794="TBD"),OR(BC794="",NOT(ISNUMBER(BC794)))),"Evidence incomplete","Evidence recorded; review scope")))))</x:f>
      </x:c>
      <x:c r="BN794" s="73"/>
    </x:row>
    <x:row r="795" ht="34" customHeight="1">
      <x:c r="A795" s="73"/>
      <x:c r="B795" s="73"/>
      <x:c r="C795" s="73"/>
      <x:c r="D795" s="73"/>
      <x:c r="E795" s="73"/>
      <x:c r="F795" s="73"/>
      <x:c r="G795" s="73"/>
      <x:c r="H795" s="73"/>
      <x:c r="I795" s="75"/>
      <x:c r="J795" s="73"/>
      <x:c r="K795" s="73"/>
      <x:c r="L795" s="76"/>
      <x:c r="M795" s="73"/>
      <x:c r="N795" s="73"/>
      <x:c r="O795" s="73"/>
      <x:c r="P795" s="73"/>
      <x:c r="Q795" s="76"/>
      <x:c r="R795" s="73"/>
      <x:c r="S795" s="73"/>
      <x:c r="T795" s="73"/>
      <x:c r="U795" s="73"/>
      <x:c r="V795" s="73"/>
      <x:c r="W795" s="73"/>
      <x:c r="X795" s="73"/>
      <x:c r="Y795" s="73"/>
      <x:c r="Z795" s="73"/>
      <x:c r="AA795" s="73"/>
      <x:c r="AB795" s="76" t="str">
        <x:f>IF(A795="","",IF(OR(NOT(ISNUMBER(I795)),I795&lt;0,NOT(ISNUMBER(AP795)),AP795&lt;0,NOT(ISNUMBER(L795)),L795&lt;1,L795&gt;5,L795&lt;&gt;INT(L795),AND(J795&lt;&gt;"Public",J795&lt;&gt;"Partner",J795&lt;&gt;"Internal",J795&lt;&gt;"None"),AND(K795&lt;&gt;"High",K795&lt;&gt;"Medium",K795&lt;&gt;"Low",K795&lt;&gt;"None"),AND(W795&lt;&gt;"Hard-coded",W795&lt;&gt;"Configurable",W795&lt;&gt;"Policy-managed",W795&lt;&gt;"API/Library abstraction",W795&lt;&gt;"Automated"),AND(Z795&lt;&gt;"Y",Z795&lt;&gt;"N"),AND(AA795&lt;&gt;"Y",AA795&lt;&gt;"N")),"Incomplete",IF(Z795="Y",20,0)+L795*5+IF(AA795="Y",15,0)+IF(J795="Public",10,IF(J795="Partner",7,IF(J795="Internal",3,0)))+IF(W795="Hard-coded",10,IF(W795="Configurable",3,0))+IF(MAX(I795,AP795)&gt;=10,10,IF(MAX(I795,AP795)&gt;=5,7,IF(MAX(I795,AP795)&gt;=2,3,0)))+IF(K795="High",10,IF(K795="Medium",5,0))))</x:f>
      </x:c>
      <x:c r="AC795" s="73" t="str">
        <x:f>IF(A795="","",IF(NOT(ISNUMBER(AB795)),"Review inputs",IF(AB795&gt;=70,"P0 - Immediate",IF(AB795&gt;=50,"P1 - High",IF(AB795&gt;=30,"P2 - Medium",IF(AB795&gt;=15,"P3 - Low","P4 - Monitor"))))))</x:f>
      </x:c>
      <x:c r="AD795" s="73"/>
      <x:c r="AE795" s="73"/>
      <x:c r="AF795" s="73"/>
      <x:c r="AG795" s="77"/>
      <x:c r="AH795" s="73"/>
      <x:c r="AI795" s="91"/>
      <x:c r="AJ795" s="91"/>
      <x:c r="AK795" s="91"/>
      <x:c r="AL795" s="92"/>
      <x:c r="AM795" s="91"/>
      <x:c r="AN795" s="91"/>
      <x:c r="AO795" s="93"/>
      <x:c r="AP795" s="94"/>
      <x:c r="AQ795" s="91"/>
      <x:c r="AR795" s="91"/>
      <x:c r="AS795" s="91"/>
      <x:c r="AT795" s="91"/>
      <x:c r="AU795" s="91"/>
      <x:c r="AV795" s="91"/>
      <x:c r="AW795" s="91"/>
      <x:c r="AX795" s="91"/>
      <x:c r="AY795" s="91"/>
      <x:c r="AZ795" s="92"/>
      <x:c r="BA795" s="94"/>
      <x:c r="BB795" s="91"/>
      <x:c r="BC795" s="92"/>
      <x:c r="BD795" s="92"/>
      <x:c r="BE795" s="91"/>
      <x:c r="BF795" s="91"/>
      <x:c r="BG795" s="91"/>
      <x:c r="BH795" s="91"/>
      <x:c r="BI795" s="91"/>
      <x:c r="BJ795" s="91"/>
      <x:c r="BK795" s="91"/>
      <x:c r="BL795" s="91"/>
      <x:c r="BM795" s="73" t="str">
        <x:f>IF(A795="","",IF(AI795="Example","Example only",IF(AI795&lt;&gt;"Actual","Set record type",IF(COUNTIF($A$2:$A$1001,A795)&gt;1,"Duplicate record ID",IF(OR(D795="",E795="",AF795="",NOT(ISNUMBER(AG795)),AJ795="",AK795="",NOT(ISNUMBER(AL795)),AND(AM795&lt;&gt;"Observed",AM795&lt;&gt;"Corroborated",AM795&lt;&gt;"Declared"),OR(AN795="",AN795="Unknown"),OR(AQ795="",AQ795="Unknown"),OR(AR795="",AR795="Unknown",AR795="TBD"),OR(BC795="",NOT(ISNUMBER(BC795)))),"Evidence incomplete","Evidence recorded; review scope")))))</x:f>
      </x:c>
      <x:c r="BN795" s="73"/>
    </x:row>
    <x:row r="796" ht="34" customHeight="1">
      <x:c r="A796" s="73"/>
      <x:c r="B796" s="73"/>
      <x:c r="C796" s="73"/>
      <x:c r="D796" s="73"/>
      <x:c r="E796" s="73"/>
      <x:c r="F796" s="73"/>
      <x:c r="G796" s="73"/>
      <x:c r="H796" s="73"/>
      <x:c r="I796" s="75"/>
      <x:c r="J796" s="73"/>
      <x:c r="K796" s="73"/>
      <x:c r="L796" s="76"/>
      <x:c r="M796" s="73"/>
      <x:c r="N796" s="73"/>
      <x:c r="O796" s="73"/>
      <x:c r="P796" s="73"/>
      <x:c r="Q796" s="76"/>
      <x:c r="R796" s="73"/>
      <x:c r="S796" s="73"/>
      <x:c r="T796" s="73"/>
      <x:c r="U796" s="73"/>
      <x:c r="V796" s="73"/>
      <x:c r="W796" s="73"/>
      <x:c r="X796" s="73"/>
      <x:c r="Y796" s="73"/>
      <x:c r="Z796" s="73"/>
      <x:c r="AA796" s="73"/>
      <x:c r="AB796" s="76" t="str">
        <x:f>IF(A796="","",IF(OR(NOT(ISNUMBER(I796)),I796&lt;0,NOT(ISNUMBER(AP796)),AP796&lt;0,NOT(ISNUMBER(L796)),L796&lt;1,L796&gt;5,L796&lt;&gt;INT(L796),AND(J796&lt;&gt;"Public",J796&lt;&gt;"Partner",J796&lt;&gt;"Internal",J796&lt;&gt;"None"),AND(K796&lt;&gt;"High",K796&lt;&gt;"Medium",K796&lt;&gt;"Low",K796&lt;&gt;"None"),AND(W796&lt;&gt;"Hard-coded",W796&lt;&gt;"Configurable",W796&lt;&gt;"Policy-managed",W796&lt;&gt;"API/Library abstraction",W796&lt;&gt;"Automated"),AND(Z796&lt;&gt;"Y",Z796&lt;&gt;"N"),AND(AA796&lt;&gt;"Y",AA796&lt;&gt;"N")),"Incomplete",IF(Z796="Y",20,0)+L796*5+IF(AA796="Y",15,0)+IF(J796="Public",10,IF(J796="Partner",7,IF(J796="Internal",3,0)))+IF(W796="Hard-coded",10,IF(W796="Configurable",3,0))+IF(MAX(I796,AP796)&gt;=10,10,IF(MAX(I796,AP796)&gt;=5,7,IF(MAX(I796,AP796)&gt;=2,3,0)))+IF(K796="High",10,IF(K796="Medium",5,0))))</x:f>
      </x:c>
      <x:c r="AC796" s="73" t="str">
        <x:f>IF(A796="","",IF(NOT(ISNUMBER(AB796)),"Review inputs",IF(AB796&gt;=70,"P0 - Immediate",IF(AB796&gt;=50,"P1 - High",IF(AB796&gt;=30,"P2 - Medium",IF(AB796&gt;=15,"P3 - Low","P4 - Monitor"))))))</x:f>
      </x:c>
      <x:c r="AD796" s="73"/>
      <x:c r="AE796" s="73"/>
      <x:c r="AF796" s="73"/>
      <x:c r="AG796" s="77"/>
      <x:c r="AH796" s="73"/>
      <x:c r="AI796" s="91"/>
      <x:c r="AJ796" s="91"/>
      <x:c r="AK796" s="91"/>
      <x:c r="AL796" s="92"/>
      <x:c r="AM796" s="91"/>
      <x:c r="AN796" s="91"/>
      <x:c r="AO796" s="93"/>
      <x:c r="AP796" s="94"/>
      <x:c r="AQ796" s="91"/>
      <x:c r="AR796" s="91"/>
      <x:c r="AS796" s="91"/>
      <x:c r="AT796" s="91"/>
      <x:c r="AU796" s="91"/>
      <x:c r="AV796" s="91"/>
      <x:c r="AW796" s="91"/>
      <x:c r="AX796" s="91"/>
      <x:c r="AY796" s="91"/>
      <x:c r="AZ796" s="92"/>
      <x:c r="BA796" s="94"/>
      <x:c r="BB796" s="91"/>
      <x:c r="BC796" s="92"/>
      <x:c r="BD796" s="92"/>
      <x:c r="BE796" s="91"/>
      <x:c r="BF796" s="91"/>
      <x:c r="BG796" s="91"/>
      <x:c r="BH796" s="91"/>
      <x:c r="BI796" s="91"/>
      <x:c r="BJ796" s="91"/>
      <x:c r="BK796" s="91"/>
      <x:c r="BL796" s="91"/>
      <x:c r="BM796" s="73" t="str">
        <x:f>IF(A796="","",IF(AI796="Example","Example only",IF(AI796&lt;&gt;"Actual","Set record type",IF(COUNTIF($A$2:$A$1001,A796)&gt;1,"Duplicate record ID",IF(OR(D796="",E796="",AF796="",NOT(ISNUMBER(AG796)),AJ796="",AK796="",NOT(ISNUMBER(AL796)),AND(AM796&lt;&gt;"Observed",AM796&lt;&gt;"Corroborated",AM796&lt;&gt;"Declared"),OR(AN796="",AN796="Unknown"),OR(AQ796="",AQ796="Unknown"),OR(AR796="",AR796="Unknown",AR796="TBD"),OR(BC796="",NOT(ISNUMBER(BC796)))),"Evidence incomplete","Evidence recorded; review scope")))))</x:f>
      </x:c>
      <x:c r="BN796" s="73"/>
    </x:row>
    <x:row r="797" ht="34" customHeight="1">
      <x:c r="A797" s="73"/>
      <x:c r="B797" s="73"/>
      <x:c r="C797" s="73"/>
      <x:c r="D797" s="73"/>
      <x:c r="E797" s="73"/>
      <x:c r="F797" s="73"/>
      <x:c r="G797" s="73"/>
      <x:c r="H797" s="73"/>
      <x:c r="I797" s="75"/>
      <x:c r="J797" s="73"/>
      <x:c r="K797" s="73"/>
      <x:c r="L797" s="76"/>
      <x:c r="M797" s="73"/>
      <x:c r="N797" s="73"/>
      <x:c r="O797" s="73"/>
      <x:c r="P797" s="73"/>
      <x:c r="Q797" s="76"/>
      <x:c r="R797" s="73"/>
      <x:c r="S797" s="73"/>
      <x:c r="T797" s="73"/>
      <x:c r="U797" s="73"/>
      <x:c r="V797" s="73"/>
      <x:c r="W797" s="73"/>
      <x:c r="X797" s="73"/>
      <x:c r="Y797" s="73"/>
      <x:c r="Z797" s="73"/>
      <x:c r="AA797" s="73"/>
      <x:c r="AB797" s="76" t="str">
        <x:f>IF(A797="","",IF(OR(NOT(ISNUMBER(I797)),I797&lt;0,NOT(ISNUMBER(AP797)),AP797&lt;0,NOT(ISNUMBER(L797)),L797&lt;1,L797&gt;5,L797&lt;&gt;INT(L797),AND(J797&lt;&gt;"Public",J797&lt;&gt;"Partner",J797&lt;&gt;"Internal",J797&lt;&gt;"None"),AND(K797&lt;&gt;"High",K797&lt;&gt;"Medium",K797&lt;&gt;"Low",K797&lt;&gt;"None"),AND(W797&lt;&gt;"Hard-coded",W797&lt;&gt;"Configurable",W797&lt;&gt;"Policy-managed",W797&lt;&gt;"API/Library abstraction",W797&lt;&gt;"Automated"),AND(Z797&lt;&gt;"Y",Z797&lt;&gt;"N"),AND(AA797&lt;&gt;"Y",AA797&lt;&gt;"N")),"Incomplete",IF(Z797="Y",20,0)+L797*5+IF(AA797="Y",15,0)+IF(J797="Public",10,IF(J797="Partner",7,IF(J797="Internal",3,0)))+IF(W797="Hard-coded",10,IF(W797="Configurable",3,0))+IF(MAX(I797,AP797)&gt;=10,10,IF(MAX(I797,AP797)&gt;=5,7,IF(MAX(I797,AP797)&gt;=2,3,0)))+IF(K797="High",10,IF(K797="Medium",5,0))))</x:f>
      </x:c>
      <x:c r="AC797" s="73" t="str">
        <x:f>IF(A797="","",IF(NOT(ISNUMBER(AB797)),"Review inputs",IF(AB797&gt;=70,"P0 - Immediate",IF(AB797&gt;=50,"P1 - High",IF(AB797&gt;=30,"P2 - Medium",IF(AB797&gt;=15,"P3 - Low","P4 - Monitor"))))))</x:f>
      </x:c>
      <x:c r="AD797" s="73"/>
      <x:c r="AE797" s="73"/>
      <x:c r="AF797" s="73"/>
      <x:c r="AG797" s="77"/>
      <x:c r="AH797" s="73"/>
      <x:c r="AI797" s="91"/>
      <x:c r="AJ797" s="91"/>
      <x:c r="AK797" s="91"/>
      <x:c r="AL797" s="92"/>
      <x:c r="AM797" s="91"/>
      <x:c r="AN797" s="91"/>
      <x:c r="AO797" s="93"/>
      <x:c r="AP797" s="94"/>
      <x:c r="AQ797" s="91"/>
      <x:c r="AR797" s="91"/>
      <x:c r="AS797" s="91"/>
      <x:c r="AT797" s="91"/>
      <x:c r="AU797" s="91"/>
      <x:c r="AV797" s="91"/>
      <x:c r="AW797" s="91"/>
      <x:c r="AX797" s="91"/>
      <x:c r="AY797" s="91"/>
      <x:c r="AZ797" s="92"/>
      <x:c r="BA797" s="94"/>
      <x:c r="BB797" s="91"/>
      <x:c r="BC797" s="92"/>
      <x:c r="BD797" s="92"/>
      <x:c r="BE797" s="91"/>
      <x:c r="BF797" s="91"/>
      <x:c r="BG797" s="91"/>
      <x:c r="BH797" s="91"/>
      <x:c r="BI797" s="91"/>
      <x:c r="BJ797" s="91"/>
      <x:c r="BK797" s="91"/>
      <x:c r="BL797" s="91"/>
      <x:c r="BM797" s="73" t="str">
        <x:f>IF(A797="","",IF(AI797="Example","Example only",IF(AI797&lt;&gt;"Actual","Set record type",IF(COUNTIF($A$2:$A$1001,A797)&gt;1,"Duplicate record ID",IF(OR(D797="",E797="",AF797="",NOT(ISNUMBER(AG797)),AJ797="",AK797="",NOT(ISNUMBER(AL797)),AND(AM797&lt;&gt;"Observed",AM797&lt;&gt;"Corroborated",AM797&lt;&gt;"Declared"),OR(AN797="",AN797="Unknown"),OR(AQ797="",AQ797="Unknown"),OR(AR797="",AR797="Unknown",AR797="TBD"),OR(BC797="",NOT(ISNUMBER(BC797)))),"Evidence incomplete","Evidence recorded; review scope")))))</x:f>
      </x:c>
      <x:c r="BN797" s="73"/>
    </x:row>
    <x:row r="798" ht="34" customHeight="1">
      <x:c r="A798" s="73"/>
      <x:c r="B798" s="73"/>
      <x:c r="C798" s="73"/>
      <x:c r="D798" s="73"/>
      <x:c r="E798" s="73"/>
      <x:c r="F798" s="73"/>
      <x:c r="G798" s="73"/>
      <x:c r="H798" s="73"/>
      <x:c r="I798" s="75"/>
      <x:c r="J798" s="73"/>
      <x:c r="K798" s="73"/>
      <x:c r="L798" s="76"/>
      <x:c r="M798" s="73"/>
      <x:c r="N798" s="73"/>
      <x:c r="O798" s="73"/>
      <x:c r="P798" s="73"/>
      <x:c r="Q798" s="76"/>
      <x:c r="R798" s="73"/>
      <x:c r="S798" s="73"/>
      <x:c r="T798" s="73"/>
      <x:c r="U798" s="73"/>
      <x:c r="V798" s="73"/>
      <x:c r="W798" s="73"/>
      <x:c r="X798" s="73"/>
      <x:c r="Y798" s="73"/>
      <x:c r="Z798" s="73"/>
      <x:c r="AA798" s="73"/>
      <x:c r="AB798" s="76" t="str">
        <x:f>IF(A798="","",IF(OR(NOT(ISNUMBER(I798)),I798&lt;0,NOT(ISNUMBER(AP798)),AP798&lt;0,NOT(ISNUMBER(L798)),L798&lt;1,L798&gt;5,L798&lt;&gt;INT(L798),AND(J798&lt;&gt;"Public",J798&lt;&gt;"Partner",J798&lt;&gt;"Internal",J798&lt;&gt;"None"),AND(K798&lt;&gt;"High",K798&lt;&gt;"Medium",K798&lt;&gt;"Low",K798&lt;&gt;"None"),AND(W798&lt;&gt;"Hard-coded",W798&lt;&gt;"Configurable",W798&lt;&gt;"Policy-managed",W798&lt;&gt;"API/Library abstraction",W798&lt;&gt;"Automated"),AND(Z798&lt;&gt;"Y",Z798&lt;&gt;"N"),AND(AA798&lt;&gt;"Y",AA798&lt;&gt;"N")),"Incomplete",IF(Z798="Y",20,0)+L798*5+IF(AA798="Y",15,0)+IF(J798="Public",10,IF(J798="Partner",7,IF(J798="Internal",3,0)))+IF(W798="Hard-coded",10,IF(W798="Configurable",3,0))+IF(MAX(I798,AP798)&gt;=10,10,IF(MAX(I798,AP798)&gt;=5,7,IF(MAX(I798,AP798)&gt;=2,3,0)))+IF(K798="High",10,IF(K798="Medium",5,0))))</x:f>
      </x:c>
      <x:c r="AC798" s="73" t="str">
        <x:f>IF(A798="","",IF(NOT(ISNUMBER(AB798)),"Review inputs",IF(AB798&gt;=70,"P0 - Immediate",IF(AB798&gt;=50,"P1 - High",IF(AB798&gt;=30,"P2 - Medium",IF(AB798&gt;=15,"P3 - Low","P4 - Monitor"))))))</x:f>
      </x:c>
      <x:c r="AD798" s="73"/>
      <x:c r="AE798" s="73"/>
      <x:c r="AF798" s="73"/>
      <x:c r="AG798" s="77"/>
      <x:c r="AH798" s="73"/>
      <x:c r="AI798" s="91"/>
      <x:c r="AJ798" s="91"/>
      <x:c r="AK798" s="91"/>
      <x:c r="AL798" s="92"/>
      <x:c r="AM798" s="91"/>
      <x:c r="AN798" s="91"/>
      <x:c r="AO798" s="93"/>
      <x:c r="AP798" s="94"/>
      <x:c r="AQ798" s="91"/>
      <x:c r="AR798" s="91"/>
      <x:c r="AS798" s="91"/>
      <x:c r="AT798" s="91"/>
      <x:c r="AU798" s="91"/>
      <x:c r="AV798" s="91"/>
      <x:c r="AW798" s="91"/>
      <x:c r="AX798" s="91"/>
      <x:c r="AY798" s="91"/>
      <x:c r="AZ798" s="92"/>
      <x:c r="BA798" s="94"/>
      <x:c r="BB798" s="91"/>
      <x:c r="BC798" s="92"/>
      <x:c r="BD798" s="92"/>
      <x:c r="BE798" s="91"/>
      <x:c r="BF798" s="91"/>
      <x:c r="BG798" s="91"/>
      <x:c r="BH798" s="91"/>
      <x:c r="BI798" s="91"/>
      <x:c r="BJ798" s="91"/>
      <x:c r="BK798" s="91"/>
      <x:c r="BL798" s="91"/>
      <x:c r="BM798" s="73" t="str">
        <x:f>IF(A798="","",IF(AI798="Example","Example only",IF(AI798&lt;&gt;"Actual","Set record type",IF(COUNTIF($A$2:$A$1001,A798)&gt;1,"Duplicate record ID",IF(OR(D798="",E798="",AF798="",NOT(ISNUMBER(AG798)),AJ798="",AK798="",NOT(ISNUMBER(AL798)),AND(AM798&lt;&gt;"Observed",AM798&lt;&gt;"Corroborated",AM798&lt;&gt;"Declared"),OR(AN798="",AN798="Unknown"),OR(AQ798="",AQ798="Unknown"),OR(AR798="",AR798="Unknown",AR798="TBD"),OR(BC798="",NOT(ISNUMBER(BC798)))),"Evidence incomplete","Evidence recorded; review scope")))))</x:f>
      </x:c>
      <x:c r="BN798" s="73"/>
    </x:row>
    <x:row r="799" ht="34" customHeight="1">
      <x:c r="A799" s="73"/>
      <x:c r="B799" s="73"/>
      <x:c r="C799" s="73"/>
      <x:c r="D799" s="73"/>
      <x:c r="E799" s="73"/>
      <x:c r="F799" s="73"/>
      <x:c r="G799" s="73"/>
      <x:c r="H799" s="73"/>
      <x:c r="I799" s="75"/>
      <x:c r="J799" s="73"/>
      <x:c r="K799" s="73"/>
      <x:c r="L799" s="76"/>
      <x:c r="M799" s="73"/>
      <x:c r="N799" s="73"/>
      <x:c r="O799" s="73"/>
      <x:c r="P799" s="73"/>
      <x:c r="Q799" s="76"/>
      <x:c r="R799" s="73"/>
      <x:c r="S799" s="73"/>
      <x:c r="T799" s="73"/>
      <x:c r="U799" s="73"/>
      <x:c r="V799" s="73"/>
      <x:c r="W799" s="73"/>
      <x:c r="X799" s="73"/>
      <x:c r="Y799" s="73"/>
      <x:c r="Z799" s="73"/>
      <x:c r="AA799" s="73"/>
      <x:c r="AB799" s="76" t="str">
        <x:f>IF(A799="","",IF(OR(NOT(ISNUMBER(I799)),I799&lt;0,NOT(ISNUMBER(AP799)),AP799&lt;0,NOT(ISNUMBER(L799)),L799&lt;1,L799&gt;5,L799&lt;&gt;INT(L799),AND(J799&lt;&gt;"Public",J799&lt;&gt;"Partner",J799&lt;&gt;"Internal",J799&lt;&gt;"None"),AND(K799&lt;&gt;"High",K799&lt;&gt;"Medium",K799&lt;&gt;"Low",K799&lt;&gt;"None"),AND(W799&lt;&gt;"Hard-coded",W799&lt;&gt;"Configurable",W799&lt;&gt;"Policy-managed",W799&lt;&gt;"API/Library abstraction",W799&lt;&gt;"Automated"),AND(Z799&lt;&gt;"Y",Z799&lt;&gt;"N"),AND(AA799&lt;&gt;"Y",AA799&lt;&gt;"N")),"Incomplete",IF(Z799="Y",20,0)+L799*5+IF(AA799="Y",15,0)+IF(J799="Public",10,IF(J799="Partner",7,IF(J799="Internal",3,0)))+IF(W799="Hard-coded",10,IF(W799="Configurable",3,0))+IF(MAX(I799,AP799)&gt;=10,10,IF(MAX(I799,AP799)&gt;=5,7,IF(MAX(I799,AP799)&gt;=2,3,0)))+IF(K799="High",10,IF(K799="Medium",5,0))))</x:f>
      </x:c>
      <x:c r="AC799" s="73" t="str">
        <x:f>IF(A799="","",IF(NOT(ISNUMBER(AB799)),"Review inputs",IF(AB799&gt;=70,"P0 - Immediate",IF(AB799&gt;=50,"P1 - High",IF(AB799&gt;=30,"P2 - Medium",IF(AB799&gt;=15,"P3 - Low","P4 - Monitor"))))))</x:f>
      </x:c>
      <x:c r="AD799" s="73"/>
      <x:c r="AE799" s="73"/>
      <x:c r="AF799" s="73"/>
      <x:c r="AG799" s="77"/>
      <x:c r="AH799" s="73"/>
      <x:c r="AI799" s="91"/>
      <x:c r="AJ799" s="91"/>
      <x:c r="AK799" s="91"/>
      <x:c r="AL799" s="92"/>
      <x:c r="AM799" s="91"/>
      <x:c r="AN799" s="91"/>
      <x:c r="AO799" s="93"/>
      <x:c r="AP799" s="94"/>
      <x:c r="AQ799" s="91"/>
      <x:c r="AR799" s="91"/>
      <x:c r="AS799" s="91"/>
      <x:c r="AT799" s="91"/>
      <x:c r="AU799" s="91"/>
      <x:c r="AV799" s="91"/>
      <x:c r="AW799" s="91"/>
      <x:c r="AX799" s="91"/>
      <x:c r="AY799" s="91"/>
      <x:c r="AZ799" s="92"/>
      <x:c r="BA799" s="94"/>
      <x:c r="BB799" s="91"/>
      <x:c r="BC799" s="92"/>
      <x:c r="BD799" s="92"/>
      <x:c r="BE799" s="91"/>
      <x:c r="BF799" s="91"/>
      <x:c r="BG799" s="91"/>
      <x:c r="BH799" s="91"/>
      <x:c r="BI799" s="91"/>
      <x:c r="BJ799" s="91"/>
      <x:c r="BK799" s="91"/>
      <x:c r="BL799" s="91"/>
      <x:c r="BM799" s="73" t="str">
        <x:f>IF(A799="","",IF(AI799="Example","Example only",IF(AI799&lt;&gt;"Actual","Set record type",IF(COUNTIF($A$2:$A$1001,A799)&gt;1,"Duplicate record ID",IF(OR(D799="",E799="",AF799="",NOT(ISNUMBER(AG799)),AJ799="",AK799="",NOT(ISNUMBER(AL799)),AND(AM799&lt;&gt;"Observed",AM799&lt;&gt;"Corroborated",AM799&lt;&gt;"Declared"),OR(AN799="",AN799="Unknown"),OR(AQ799="",AQ799="Unknown"),OR(AR799="",AR799="Unknown",AR799="TBD"),OR(BC799="",NOT(ISNUMBER(BC799)))),"Evidence incomplete","Evidence recorded; review scope")))))</x:f>
      </x:c>
      <x:c r="BN799" s="73"/>
    </x:row>
    <x:row r="800" ht="34" customHeight="1">
      <x:c r="A800" s="73"/>
      <x:c r="B800" s="73"/>
      <x:c r="C800" s="73"/>
      <x:c r="D800" s="73"/>
      <x:c r="E800" s="73"/>
      <x:c r="F800" s="73"/>
      <x:c r="G800" s="73"/>
      <x:c r="H800" s="73"/>
      <x:c r="I800" s="75"/>
      <x:c r="J800" s="73"/>
      <x:c r="K800" s="73"/>
      <x:c r="L800" s="76"/>
      <x:c r="M800" s="73"/>
      <x:c r="N800" s="73"/>
      <x:c r="O800" s="73"/>
      <x:c r="P800" s="73"/>
      <x:c r="Q800" s="76"/>
      <x:c r="R800" s="73"/>
      <x:c r="S800" s="73"/>
      <x:c r="T800" s="73"/>
      <x:c r="U800" s="73"/>
      <x:c r="V800" s="73"/>
      <x:c r="W800" s="73"/>
      <x:c r="X800" s="73"/>
      <x:c r="Y800" s="73"/>
      <x:c r="Z800" s="73"/>
      <x:c r="AA800" s="73"/>
      <x:c r="AB800" s="76" t="str">
        <x:f>IF(A800="","",IF(OR(NOT(ISNUMBER(I800)),I800&lt;0,NOT(ISNUMBER(AP800)),AP800&lt;0,NOT(ISNUMBER(L800)),L800&lt;1,L800&gt;5,L800&lt;&gt;INT(L800),AND(J800&lt;&gt;"Public",J800&lt;&gt;"Partner",J800&lt;&gt;"Internal",J800&lt;&gt;"None"),AND(K800&lt;&gt;"High",K800&lt;&gt;"Medium",K800&lt;&gt;"Low",K800&lt;&gt;"None"),AND(W800&lt;&gt;"Hard-coded",W800&lt;&gt;"Configurable",W800&lt;&gt;"Policy-managed",W800&lt;&gt;"API/Library abstraction",W800&lt;&gt;"Automated"),AND(Z800&lt;&gt;"Y",Z800&lt;&gt;"N"),AND(AA800&lt;&gt;"Y",AA800&lt;&gt;"N")),"Incomplete",IF(Z800="Y",20,0)+L800*5+IF(AA800="Y",15,0)+IF(J800="Public",10,IF(J800="Partner",7,IF(J800="Internal",3,0)))+IF(W800="Hard-coded",10,IF(W800="Configurable",3,0))+IF(MAX(I800,AP800)&gt;=10,10,IF(MAX(I800,AP800)&gt;=5,7,IF(MAX(I800,AP800)&gt;=2,3,0)))+IF(K800="High",10,IF(K800="Medium",5,0))))</x:f>
      </x:c>
      <x:c r="AC800" s="73" t="str">
        <x:f>IF(A800="","",IF(NOT(ISNUMBER(AB800)),"Review inputs",IF(AB800&gt;=70,"P0 - Immediate",IF(AB800&gt;=50,"P1 - High",IF(AB800&gt;=30,"P2 - Medium",IF(AB800&gt;=15,"P3 - Low","P4 - Monitor"))))))</x:f>
      </x:c>
      <x:c r="AD800" s="73"/>
      <x:c r="AE800" s="73"/>
      <x:c r="AF800" s="73"/>
      <x:c r="AG800" s="77"/>
      <x:c r="AH800" s="73"/>
      <x:c r="AI800" s="91"/>
      <x:c r="AJ800" s="91"/>
      <x:c r="AK800" s="91"/>
      <x:c r="AL800" s="92"/>
      <x:c r="AM800" s="91"/>
      <x:c r="AN800" s="91"/>
      <x:c r="AO800" s="93"/>
      <x:c r="AP800" s="94"/>
      <x:c r="AQ800" s="91"/>
      <x:c r="AR800" s="91"/>
      <x:c r="AS800" s="91"/>
      <x:c r="AT800" s="91"/>
      <x:c r="AU800" s="91"/>
      <x:c r="AV800" s="91"/>
      <x:c r="AW800" s="91"/>
      <x:c r="AX800" s="91"/>
      <x:c r="AY800" s="91"/>
      <x:c r="AZ800" s="92"/>
      <x:c r="BA800" s="94"/>
      <x:c r="BB800" s="91"/>
      <x:c r="BC800" s="92"/>
      <x:c r="BD800" s="92"/>
      <x:c r="BE800" s="91"/>
      <x:c r="BF800" s="91"/>
      <x:c r="BG800" s="91"/>
      <x:c r="BH800" s="91"/>
      <x:c r="BI800" s="91"/>
      <x:c r="BJ800" s="91"/>
      <x:c r="BK800" s="91"/>
      <x:c r="BL800" s="91"/>
      <x:c r="BM800" s="73" t="str">
        <x:f>IF(A800="","",IF(AI800="Example","Example only",IF(AI800&lt;&gt;"Actual","Set record type",IF(COUNTIF($A$2:$A$1001,A800)&gt;1,"Duplicate record ID",IF(OR(D800="",E800="",AF800="",NOT(ISNUMBER(AG800)),AJ800="",AK800="",NOT(ISNUMBER(AL800)),AND(AM800&lt;&gt;"Observed",AM800&lt;&gt;"Corroborated",AM800&lt;&gt;"Declared"),OR(AN800="",AN800="Unknown"),OR(AQ800="",AQ800="Unknown"),OR(AR800="",AR800="Unknown",AR800="TBD"),OR(BC800="",NOT(ISNUMBER(BC800)))),"Evidence incomplete","Evidence recorded; review scope")))))</x:f>
      </x:c>
      <x:c r="BN800" s="73"/>
    </x:row>
    <x:row r="801" ht="34" customHeight="1">
      <x:c r="A801" s="73"/>
      <x:c r="B801" s="73"/>
      <x:c r="C801" s="73"/>
      <x:c r="D801" s="73"/>
      <x:c r="E801" s="73"/>
      <x:c r="F801" s="73"/>
      <x:c r="G801" s="73"/>
      <x:c r="H801" s="73"/>
      <x:c r="I801" s="75"/>
      <x:c r="J801" s="73"/>
      <x:c r="K801" s="73"/>
      <x:c r="L801" s="76"/>
      <x:c r="M801" s="73"/>
      <x:c r="N801" s="73"/>
      <x:c r="O801" s="73"/>
      <x:c r="P801" s="73"/>
      <x:c r="Q801" s="76"/>
      <x:c r="R801" s="73"/>
      <x:c r="S801" s="73"/>
      <x:c r="T801" s="73"/>
      <x:c r="U801" s="73"/>
      <x:c r="V801" s="73"/>
      <x:c r="W801" s="73"/>
      <x:c r="X801" s="73"/>
      <x:c r="Y801" s="73"/>
      <x:c r="Z801" s="73"/>
      <x:c r="AA801" s="73"/>
      <x:c r="AB801" s="76" t="str">
        <x:f>IF(A801="","",IF(OR(NOT(ISNUMBER(I801)),I801&lt;0,NOT(ISNUMBER(AP801)),AP801&lt;0,NOT(ISNUMBER(L801)),L801&lt;1,L801&gt;5,L801&lt;&gt;INT(L801),AND(J801&lt;&gt;"Public",J801&lt;&gt;"Partner",J801&lt;&gt;"Internal",J801&lt;&gt;"None"),AND(K801&lt;&gt;"High",K801&lt;&gt;"Medium",K801&lt;&gt;"Low",K801&lt;&gt;"None"),AND(W801&lt;&gt;"Hard-coded",W801&lt;&gt;"Configurable",W801&lt;&gt;"Policy-managed",W801&lt;&gt;"API/Library abstraction",W801&lt;&gt;"Automated"),AND(Z801&lt;&gt;"Y",Z801&lt;&gt;"N"),AND(AA801&lt;&gt;"Y",AA801&lt;&gt;"N")),"Incomplete",IF(Z801="Y",20,0)+L801*5+IF(AA801="Y",15,0)+IF(J801="Public",10,IF(J801="Partner",7,IF(J801="Internal",3,0)))+IF(W801="Hard-coded",10,IF(W801="Configurable",3,0))+IF(MAX(I801,AP801)&gt;=10,10,IF(MAX(I801,AP801)&gt;=5,7,IF(MAX(I801,AP801)&gt;=2,3,0)))+IF(K801="High",10,IF(K801="Medium",5,0))))</x:f>
      </x:c>
      <x:c r="AC801" s="73" t="str">
        <x:f>IF(A801="","",IF(NOT(ISNUMBER(AB801)),"Review inputs",IF(AB801&gt;=70,"P0 - Immediate",IF(AB801&gt;=50,"P1 - High",IF(AB801&gt;=30,"P2 - Medium",IF(AB801&gt;=15,"P3 - Low","P4 - Monitor"))))))</x:f>
      </x:c>
      <x:c r="AD801" s="73"/>
      <x:c r="AE801" s="73"/>
      <x:c r="AF801" s="73"/>
      <x:c r="AG801" s="77"/>
      <x:c r="AH801" s="73"/>
      <x:c r="AI801" s="91"/>
      <x:c r="AJ801" s="91"/>
      <x:c r="AK801" s="91"/>
      <x:c r="AL801" s="92"/>
      <x:c r="AM801" s="91"/>
      <x:c r="AN801" s="91"/>
      <x:c r="AO801" s="93"/>
      <x:c r="AP801" s="94"/>
      <x:c r="AQ801" s="91"/>
      <x:c r="AR801" s="91"/>
      <x:c r="AS801" s="91"/>
      <x:c r="AT801" s="91"/>
      <x:c r="AU801" s="91"/>
      <x:c r="AV801" s="91"/>
      <x:c r="AW801" s="91"/>
      <x:c r="AX801" s="91"/>
      <x:c r="AY801" s="91"/>
      <x:c r="AZ801" s="92"/>
      <x:c r="BA801" s="94"/>
      <x:c r="BB801" s="91"/>
      <x:c r="BC801" s="92"/>
      <x:c r="BD801" s="92"/>
      <x:c r="BE801" s="91"/>
      <x:c r="BF801" s="91"/>
      <x:c r="BG801" s="91"/>
      <x:c r="BH801" s="91"/>
      <x:c r="BI801" s="91"/>
      <x:c r="BJ801" s="91"/>
      <x:c r="BK801" s="91"/>
      <x:c r="BL801" s="91"/>
      <x:c r="BM801" s="73" t="str">
        <x:f>IF(A801="","",IF(AI801="Example","Example only",IF(AI801&lt;&gt;"Actual","Set record type",IF(COUNTIF($A$2:$A$1001,A801)&gt;1,"Duplicate record ID",IF(OR(D801="",E801="",AF801="",NOT(ISNUMBER(AG801)),AJ801="",AK801="",NOT(ISNUMBER(AL801)),AND(AM801&lt;&gt;"Observed",AM801&lt;&gt;"Corroborated",AM801&lt;&gt;"Declared"),OR(AN801="",AN801="Unknown"),OR(AQ801="",AQ801="Unknown"),OR(AR801="",AR801="Unknown",AR801="TBD"),OR(BC801="",NOT(ISNUMBER(BC801)))),"Evidence incomplete","Evidence recorded; review scope")))))</x:f>
      </x:c>
      <x:c r="BN801" s="73"/>
    </x:row>
    <x:row r="802" ht="34" customHeight="1">
      <x:c r="A802" s="73"/>
      <x:c r="B802" s="73"/>
      <x:c r="C802" s="73"/>
      <x:c r="D802" s="73"/>
      <x:c r="E802" s="73"/>
      <x:c r="F802" s="73"/>
      <x:c r="G802" s="73"/>
      <x:c r="H802" s="73"/>
      <x:c r="I802" s="75"/>
      <x:c r="J802" s="73"/>
      <x:c r="K802" s="73"/>
      <x:c r="L802" s="76"/>
      <x:c r="M802" s="73"/>
      <x:c r="N802" s="73"/>
      <x:c r="O802" s="73"/>
      <x:c r="P802" s="73"/>
      <x:c r="Q802" s="76"/>
      <x:c r="R802" s="73"/>
      <x:c r="S802" s="73"/>
      <x:c r="T802" s="73"/>
      <x:c r="U802" s="73"/>
      <x:c r="V802" s="73"/>
      <x:c r="W802" s="73"/>
      <x:c r="X802" s="73"/>
      <x:c r="Y802" s="73"/>
      <x:c r="Z802" s="73"/>
      <x:c r="AA802" s="73"/>
      <x:c r="AB802" s="76" t="str">
        <x:f>IF(A802="","",IF(OR(NOT(ISNUMBER(I802)),I802&lt;0,NOT(ISNUMBER(AP802)),AP802&lt;0,NOT(ISNUMBER(L802)),L802&lt;1,L802&gt;5,L802&lt;&gt;INT(L802),AND(J802&lt;&gt;"Public",J802&lt;&gt;"Partner",J802&lt;&gt;"Internal",J802&lt;&gt;"None"),AND(K802&lt;&gt;"High",K802&lt;&gt;"Medium",K802&lt;&gt;"Low",K802&lt;&gt;"None"),AND(W802&lt;&gt;"Hard-coded",W802&lt;&gt;"Configurable",W802&lt;&gt;"Policy-managed",W802&lt;&gt;"API/Library abstraction",W802&lt;&gt;"Automated"),AND(Z802&lt;&gt;"Y",Z802&lt;&gt;"N"),AND(AA802&lt;&gt;"Y",AA802&lt;&gt;"N")),"Incomplete",IF(Z802="Y",20,0)+L802*5+IF(AA802="Y",15,0)+IF(J802="Public",10,IF(J802="Partner",7,IF(J802="Internal",3,0)))+IF(W802="Hard-coded",10,IF(W802="Configurable",3,0))+IF(MAX(I802,AP802)&gt;=10,10,IF(MAX(I802,AP802)&gt;=5,7,IF(MAX(I802,AP802)&gt;=2,3,0)))+IF(K802="High",10,IF(K802="Medium",5,0))))</x:f>
      </x:c>
      <x:c r="AC802" s="73" t="str">
        <x:f>IF(A802="","",IF(NOT(ISNUMBER(AB802)),"Review inputs",IF(AB802&gt;=70,"P0 - Immediate",IF(AB802&gt;=50,"P1 - High",IF(AB802&gt;=30,"P2 - Medium",IF(AB802&gt;=15,"P3 - Low","P4 - Monitor"))))))</x:f>
      </x:c>
      <x:c r="AD802" s="73"/>
      <x:c r="AE802" s="73"/>
      <x:c r="AF802" s="73"/>
      <x:c r="AG802" s="77"/>
      <x:c r="AH802" s="73"/>
      <x:c r="AI802" s="91"/>
      <x:c r="AJ802" s="91"/>
      <x:c r="AK802" s="91"/>
      <x:c r="AL802" s="92"/>
      <x:c r="AM802" s="91"/>
      <x:c r="AN802" s="91"/>
      <x:c r="AO802" s="93"/>
      <x:c r="AP802" s="94"/>
      <x:c r="AQ802" s="91"/>
      <x:c r="AR802" s="91"/>
      <x:c r="AS802" s="91"/>
      <x:c r="AT802" s="91"/>
      <x:c r="AU802" s="91"/>
      <x:c r="AV802" s="91"/>
      <x:c r="AW802" s="91"/>
      <x:c r="AX802" s="91"/>
      <x:c r="AY802" s="91"/>
      <x:c r="AZ802" s="92"/>
      <x:c r="BA802" s="94"/>
      <x:c r="BB802" s="91"/>
      <x:c r="BC802" s="92"/>
      <x:c r="BD802" s="92"/>
      <x:c r="BE802" s="91"/>
      <x:c r="BF802" s="91"/>
      <x:c r="BG802" s="91"/>
      <x:c r="BH802" s="91"/>
      <x:c r="BI802" s="91"/>
      <x:c r="BJ802" s="91"/>
      <x:c r="BK802" s="91"/>
      <x:c r="BL802" s="91"/>
      <x:c r="BM802" s="73" t="str">
        <x:f>IF(A802="","",IF(AI802="Example","Example only",IF(AI802&lt;&gt;"Actual","Set record type",IF(COUNTIF($A$2:$A$1001,A802)&gt;1,"Duplicate record ID",IF(OR(D802="",E802="",AF802="",NOT(ISNUMBER(AG802)),AJ802="",AK802="",NOT(ISNUMBER(AL802)),AND(AM802&lt;&gt;"Observed",AM802&lt;&gt;"Corroborated",AM802&lt;&gt;"Declared"),OR(AN802="",AN802="Unknown"),OR(AQ802="",AQ802="Unknown"),OR(AR802="",AR802="Unknown",AR802="TBD"),OR(BC802="",NOT(ISNUMBER(BC802)))),"Evidence incomplete","Evidence recorded; review scope")))))</x:f>
      </x:c>
      <x:c r="BN802" s="73"/>
    </x:row>
    <x:row r="803" ht="34" customHeight="1">
      <x:c r="A803" s="73"/>
      <x:c r="B803" s="73"/>
      <x:c r="C803" s="73"/>
      <x:c r="D803" s="73"/>
      <x:c r="E803" s="73"/>
      <x:c r="F803" s="73"/>
      <x:c r="G803" s="73"/>
      <x:c r="H803" s="73"/>
      <x:c r="I803" s="75"/>
      <x:c r="J803" s="73"/>
      <x:c r="K803" s="73"/>
      <x:c r="L803" s="76"/>
      <x:c r="M803" s="73"/>
      <x:c r="N803" s="73"/>
      <x:c r="O803" s="73"/>
      <x:c r="P803" s="73"/>
      <x:c r="Q803" s="76"/>
      <x:c r="R803" s="73"/>
      <x:c r="S803" s="73"/>
      <x:c r="T803" s="73"/>
      <x:c r="U803" s="73"/>
      <x:c r="V803" s="73"/>
      <x:c r="W803" s="73"/>
      <x:c r="X803" s="73"/>
      <x:c r="Y803" s="73"/>
      <x:c r="Z803" s="73"/>
      <x:c r="AA803" s="73"/>
      <x:c r="AB803" s="76" t="str">
        <x:f>IF(A803="","",IF(OR(NOT(ISNUMBER(I803)),I803&lt;0,NOT(ISNUMBER(AP803)),AP803&lt;0,NOT(ISNUMBER(L803)),L803&lt;1,L803&gt;5,L803&lt;&gt;INT(L803),AND(J803&lt;&gt;"Public",J803&lt;&gt;"Partner",J803&lt;&gt;"Internal",J803&lt;&gt;"None"),AND(K803&lt;&gt;"High",K803&lt;&gt;"Medium",K803&lt;&gt;"Low",K803&lt;&gt;"None"),AND(W803&lt;&gt;"Hard-coded",W803&lt;&gt;"Configurable",W803&lt;&gt;"Policy-managed",W803&lt;&gt;"API/Library abstraction",W803&lt;&gt;"Automated"),AND(Z803&lt;&gt;"Y",Z803&lt;&gt;"N"),AND(AA803&lt;&gt;"Y",AA803&lt;&gt;"N")),"Incomplete",IF(Z803="Y",20,0)+L803*5+IF(AA803="Y",15,0)+IF(J803="Public",10,IF(J803="Partner",7,IF(J803="Internal",3,0)))+IF(W803="Hard-coded",10,IF(W803="Configurable",3,0))+IF(MAX(I803,AP803)&gt;=10,10,IF(MAX(I803,AP803)&gt;=5,7,IF(MAX(I803,AP803)&gt;=2,3,0)))+IF(K803="High",10,IF(K803="Medium",5,0))))</x:f>
      </x:c>
      <x:c r="AC803" s="73" t="str">
        <x:f>IF(A803="","",IF(NOT(ISNUMBER(AB803)),"Review inputs",IF(AB803&gt;=70,"P0 - Immediate",IF(AB803&gt;=50,"P1 - High",IF(AB803&gt;=30,"P2 - Medium",IF(AB803&gt;=15,"P3 - Low","P4 - Monitor"))))))</x:f>
      </x:c>
      <x:c r="AD803" s="73"/>
      <x:c r="AE803" s="73"/>
      <x:c r="AF803" s="73"/>
      <x:c r="AG803" s="77"/>
      <x:c r="AH803" s="73"/>
      <x:c r="AI803" s="91"/>
      <x:c r="AJ803" s="91"/>
      <x:c r="AK803" s="91"/>
      <x:c r="AL803" s="92"/>
      <x:c r="AM803" s="91"/>
      <x:c r="AN803" s="91"/>
      <x:c r="AO803" s="93"/>
      <x:c r="AP803" s="94"/>
      <x:c r="AQ803" s="91"/>
      <x:c r="AR803" s="91"/>
      <x:c r="AS803" s="91"/>
      <x:c r="AT803" s="91"/>
      <x:c r="AU803" s="91"/>
      <x:c r="AV803" s="91"/>
      <x:c r="AW803" s="91"/>
      <x:c r="AX803" s="91"/>
      <x:c r="AY803" s="91"/>
      <x:c r="AZ803" s="92"/>
      <x:c r="BA803" s="94"/>
      <x:c r="BB803" s="91"/>
      <x:c r="BC803" s="92"/>
      <x:c r="BD803" s="92"/>
      <x:c r="BE803" s="91"/>
      <x:c r="BF803" s="91"/>
      <x:c r="BG803" s="91"/>
      <x:c r="BH803" s="91"/>
      <x:c r="BI803" s="91"/>
      <x:c r="BJ803" s="91"/>
      <x:c r="BK803" s="91"/>
      <x:c r="BL803" s="91"/>
      <x:c r="BM803" s="73" t="str">
        <x:f>IF(A803="","",IF(AI803="Example","Example only",IF(AI803&lt;&gt;"Actual","Set record type",IF(COUNTIF($A$2:$A$1001,A803)&gt;1,"Duplicate record ID",IF(OR(D803="",E803="",AF803="",NOT(ISNUMBER(AG803)),AJ803="",AK803="",NOT(ISNUMBER(AL803)),AND(AM803&lt;&gt;"Observed",AM803&lt;&gt;"Corroborated",AM803&lt;&gt;"Declared"),OR(AN803="",AN803="Unknown"),OR(AQ803="",AQ803="Unknown"),OR(AR803="",AR803="Unknown",AR803="TBD"),OR(BC803="",NOT(ISNUMBER(BC803)))),"Evidence incomplete","Evidence recorded; review scope")))))</x:f>
      </x:c>
      <x:c r="BN803" s="73"/>
    </x:row>
    <x:row r="804" ht="34" customHeight="1">
      <x:c r="A804" s="73"/>
      <x:c r="B804" s="73"/>
      <x:c r="C804" s="73"/>
      <x:c r="D804" s="73"/>
      <x:c r="E804" s="73"/>
      <x:c r="F804" s="73"/>
      <x:c r="G804" s="73"/>
      <x:c r="H804" s="73"/>
      <x:c r="I804" s="75"/>
      <x:c r="J804" s="73"/>
      <x:c r="K804" s="73"/>
      <x:c r="L804" s="76"/>
      <x:c r="M804" s="73"/>
      <x:c r="N804" s="73"/>
      <x:c r="O804" s="73"/>
      <x:c r="P804" s="73"/>
      <x:c r="Q804" s="76"/>
      <x:c r="R804" s="73"/>
      <x:c r="S804" s="73"/>
      <x:c r="T804" s="73"/>
      <x:c r="U804" s="73"/>
      <x:c r="V804" s="73"/>
      <x:c r="W804" s="73"/>
      <x:c r="X804" s="73"/>
      <x:c r="Y804" s="73"/>
      <x:c r="Z804" s="73"/>
      <x:c r="AA804" s="73"/>
      <x:c r="AB804" s="76" t="str">
        <x:f>IF(A804="","",IF(OR(NOT(ISNUMBER(I804)),I804&lt;0,NOT(ISNUMBER(AP804)),AP804&lt;0,NOT(ISNUMBER(L804)),L804&lt;1,L804&gt;5,L804&lt;&gt;INT(L804),AND(J804&lt;&gt;"Public",J804&lt;&gt;"Partner",J804&lt;&gt;"Internal",J804&lt;&gt;"None"),AND(K804&lt;&gt;"High",K804&lt;&gt;"Medium",K804&lt;&gt;"Low",K804&lt;&gt;"None"),AND(W804&lt;&gt;"Hard-coded",W804&lt;&gt;"Configurable",W804&lt;&gt;"Policy-managed",W804&lt;&gt;"API/Library abstraction",W804&lt;&gt;"Automated"),AND(Z804&lt;&gt;"Y",Z804&lt;&gt;"N"),AND(AA804&lt;&gt;"Y",AA804&lt;&gt;"N")),"Incomplete",IF(Z804="Y",20,0)+L804*5+IF(AA804="Y",15,0)+IF(J804="Public",10,IF(J804="Partner",7,IF(J804="Internal",3,0)))+IF(W804="Hard-coded",10,IF(W804="Configurable",3,0))+IF(MAX(I804,AP804)&gt;=10,10,IF(MAX(I804,AP804)&gt;=5,7,IF(MAX(I804,AP804)&gt;=2,3,0)))+IF(K804="High",10,IF(K804="Medium",5,0))))</x:f>
      </x:c>
      <x:c r="AC804" s="73" t="str">
        <x:f>IF(A804="","",IF(NOT(ISNUMBER(AB804)),"Review inputs",IF(AB804&gt;=70,"P0 - Immediate",IF(AB804&gt;=50,"P1 - High",IF(AB804&gt;=30,"P2 - Medium",IF(AB804&gt;=15,"P3 - Low","P4 - Monitor"))))))</x:f>
      </x:c>
      <x:c r="AD804" s="73"/>
      <x:c r="AE804" s="73"/>
      <x:c r="AF804" s="73"/>
      <x:c r="AG804" s="77"/>
      <x:c r="AH804" s="73"/>
      <x:c r="AI804" s="91"/>
      <x:c r="AJ804" s="91"/>
      <x:c r="AK804" s="91"/>
      <x:c r="AL804" s="92"/>
      <x:c r="AM804" s="91"/>
      <x:c r="AN804" s="91"/>
      <x:c r="AO804" s="93"/>
      <x:c r="AP804" s="94"/>
      <x:c r="AQ804" s="91"/>
      <x:c r="AR804" s="91"/>
      <x:c r="AS804" s="91"/>
      <x:c r="AT804" s="91"/>
      <x:c r="AU804" s="91"/>
      <x:c r="AV804" s="91"/>
      <x:c r="AW804" s="91"/>
      <x:c r="AX804" s="91"/>
      <x:c r="AY804" s="91"/>
      <x:c r="AZ804" s="92"/>
      <x:c r="BA804" s="94"/>
      <x:c r="BB804" s="91"/>
      <x:c r="BC804" s="92"/>
      <x:c r="BD804" s="92"/>
      <x:c r="BE804" s="91"/>
      <x:c r="BF804" s="91"/>
      <x:c r="BG804" s="91"/>
      <x:c r="BH804" s="91"/>
      <x:c r="BI804" s="91"/>
      <x:c r="BJ804" s="91"/>
      <x:c r="BK804" s="91"/>
      <x:c r="BL804" s="91"/>
      <x:c r="BM804" s="73" t="str">
        <x:f>IF(A804="","",IF(AI804="Example","Example only",IF(AI804&lt;&gt;"Actual","Set record type",IF(COUNTIF($A$2:$A$1001,A804)&gt;1,"Duplicate record ID",IF(OR(D804="",E804="",AF804="",NOT(ISNUMBER(AG804)),AJ804="",AK804="",NOT(ISNUMBER(AL804)),AND(AM804&lt;&gt;"Observed",AM804&lt;&gt;"Corroborated",AM804&lt;&gt;"Declared"),OR(AN804="",AN804="Unknown"),OR(AQ804="",AQ804="Unknown"),OR(AR804="",AR804="Unknown",AR804="TBD"),OR(BC804="",NOT(ISNUMBER(BC804)))),"Evidence incomplete","Evidence recorded; review scope")))))</x:f>
      </x:c>
      <x:c r="BN804" s="73"/>
    </x:row>
    <x:row r="805" ht="34" customHeight="1">
      <x:c r="A805" s="73"/>
      <x:c r="B805" s="73"/>
      <x:c r="C805" s="73"/>
      <x:c r="D805" s="73"/>
      <x:c r="E805" s="73"/>
      <x:c r="F805" s="73"/>
      <x:c r="G805" s="73"/>
      <x:c r="H805" s="73"/>
      <x:c r="I805" s="75"/>
      <x:c r="J805" s="73"/>
      <x:c r="K805" s="73"/>
      <x:c r="L805" s="76"/>
      <x:c r="M805" s="73"/>
      <x:c r="N805" s="73"/>
      <x:c r="O805" s="73"/>
      <x:c r="P805" s="73"/>
      <x:c r="Q805" s="76"/>
      <x:c r="R805" s="73"/>
      <x:c r="S805" s="73"/>
      <x:c r="T805" s="73"/>
      <x:c r="U805" s="73"/>
      <x:c r="V805" s="73"/>
      <x:c r="W805" s="73"/>
      <x:c r="X805" s="73"/>
      <x:c r="Y805" s="73"/>
      <x:c r="Z805" s="73"/>
      <x:c r="AA805" s="73"/>
      <x:c r="AB805" s="76" t="str">
        <x:f>IF(A805="","",IF(OR(NOT(ISNUMBER(I805)),I805&lt;0,NOT(ISNUMBER(AP805)),AP805&lt;0,NOT(ISNUMBER(L805)),L805&lt;1,L805&gt;5,L805&lt;&gt;INT(L805),AND(J805&lt;&gt;"Public",J805&lt;&gt;"Partner",J805&lt;&gt;"Internal",J805&lt;&gt;"None"),AND(K805&lt;&gt;"High",K805&lt;&gt;"Medium",K805&lt;&gt;"Low",K805&lt;&gt;"None"),AND(W805&lt;&gt;"Hard-coded",W805&lt;&gt;"Configurable",W805&lt;&gt;"Policy-managed",W805&lt;&gt;"API/Library abstraction",W805&lt;&gt;"Automated"),AND(Z805&lt;&gt;"Y",Z805&lt;&gt;"N"),AND(AA805&lt;&gt;"Y",AA805&lt;&gt;"N")),"Incomplete",IF(Z805="Y",20,0)+L805*5+IF(AA805="Y",15,0)+IF(J805="Public",10,IF(J805="Partner",7,IF(J805="Internal",3,0)))+IF(W805="Hard-coded",10,IF(W805="Configurable",3,0))+IF(MAX(I805,AP805)&gt;=10,10,IF(MAX(I805,AP805)&gt;=5,7,IF(MAX(I805,AP805)&gt;=2,3,0)))+IF(K805="High",10,IF(K805="Medium",5,0))))</x:f>
      </x:c>
      <x:c r="AC805" s="73" t="str">
        <x:f>IF(A805="","",IF(NOT(ISNUMBER(AB805)),"Review inputs",IF(AB805&gt;=70,"P0 - Immediate",IF(AB805&gt;=50,"P1 - High",IF(AB805&gt;=30,"P2 - Medium",IF(AB805&gt;=15,"P3 - Low","P4 - Monitor"))))))</x:f>
      </x:c>
      <x:c r="AD805" s="73"/>
      <x:c r="AE805" s="73"/>
      <x:c r="AF805" s="73"/>
      <x:c r="AG805" s="77"/>
      <x:c r="AH805" s="73"/>
      <x:c r="AI805" s="91"/>
      <x:c r="AJ805" s="91"/>
      <x:c r="AK805" s="91"/>
      <x:c r="AL805" s="92"/>
      <x:c r="AM805" s="91"/>
      <x:c r="AN805" s="91"/>
      <x:c r="AO805" s="93"/>
      <x:c r="AP805" s="94"/>
      <x:c r="AQ805" s="91"/>
      <x:c r="AR805" s="91"/>
      <x:c r="AS805" s="91"/>
      <x:c r="AT805" s="91"/>
      <x:c r="AU805" s="91"/>
      <x:c r="AV805" s="91"/>
      <x:c r="AW805" s="91"/>
      <x:c r="AX805" s="91"/>
      <x:c r="AY805" s="91"/>
      <x:c r="AZ805" s="92"/>
      <x:c r="BA805" s="94"/>
      <x:c r="BB805" s="91"/>
      <x:c r="BC805" s="92"/>
      <x:c r="BD805" s="92"/>
      <x:c r="BE805" s="91"/>
      <x:c r="BF805" s="91"/>
      <x:c r="BG805" s="91"/>
      <x:c r="BH805" s="91"/>
      <x:c r="BI805" s="91"/>
      <x:c r="BJ805" s="91"/>
      <x:c r="BK805" s="91"/>
      <x:c r="BL805" s="91"/>
      <x:c r="BM805" s="73" t="str">
        <x:f>IF(A805="","",IF(AI805="Example","Example only",IF(AI805&lt;&gt;"Actual","Set record type",IF(COUNTIF($A$2:$A$1001,A805)&gt;1,"Duplicate record ID",IF(OR(D805="",E805="",AF805="",NOT(ISNUMBER(AG805)),AJ805="",AK805="",NOT(ISNUMBER(AL805)),AND(AM805&lt;&gt;"Observed",AM805&lt;&gt;"Corroborated",AM805&lt;&gt;"Declared"),OR(AN805="",AN805="Unknown"),OR(AQ805="",AQ805="Unknown"),OR(AR805="",AR805="Unknown",AR805="TBD"),OR(BC805="",NOT(ISNUMBER(BC805)))),"Evidence incomplete","Evidence recorded; review scope")))))</x:f>
      </x:c>
      <x:c r="BN805" s="73"/>
    </x:row>
    <x:row r="806" ht="34" customHeight="1">
      <x:c r="A806" s="73"/>
      <x:c r="B806" s="73"/>
      <x:c r="C806" s="73"/>
      <x:c r="D806" s="73"/>
      <x:c r="E806" s="73"/>
      <x:c r="F806" s="73"/>
      <x:c r="G806" s="73"/>
      <x:c r="H806" s="73"/>
      <x:c r="I806" s="75"/>
      <x:c r="J806" s="73"/>
      <x:c r="K806" s="73"/>
      <x:c r="L806" s="76"/>
      <x:c r="M806" s="73"/>
      <x:c r="N806" s="73"/>
      <x:c r="O806" s="73"/>
      <x:c r="P806" s="73"/>
      <x:c r="Q806" s="76"/>
      <x:c r="R806" s="73"/>
      <x:c r="S806" s="73"/>
      <x:c r="T806" s="73"/>
      <x:c r="U806" s="73"/>
      <x:c r="V806" s="73"/>
      <x:c r="W806" s="73"/>
      <x:c r="X806" s="73"/>
      <x:c r="Y806" s="73"/>
      <x:c r="Z806" s="73"/>
      <x:c r="AA806" s="73"/>
      <x:c r="AB806" s="76" t="str">
        <x:f>IF(A806="","",IF(OR(NOT(ISNUMBER(I806)),I806&lt;0,NOT(ISNUMBER(AP806)),AP806&lt;0,NOT(ISNUMBER(L806)),L806&lt;1,L806&gt;5,L806&lt;&gt;INT(L806),AND(J806&lt;&gt;"Public",J806&lt;&gt;"Partner",J806&lt;&gt;"Internal",J806&lt;&gt;"None"),AND(K806&lt;&gt;"High",K806&lt;&gt;"Medium",K806&lt;&gt;"Low",K806&lt;&gt;"None"),AND(W806&lt;&gt;"Hard-coded",W806&lt;&gt;"Configurable",W806&lt;&gt;"Policy-managed",W806&lt;&gt;"API/Library abstraction",W806&lt;&gt;"Automated"),AND(Z806&lt;&gt;"Y",Z806&lt;&gt;"N"),AND(AA806&lt;&gt;"Y",AA806&lt;&gt;"N")),"Incomplete",IF(Z806="Y",20,0)+L806*5+IF(AA806="Y",15,0)+IF(J806="Public",10,IF(J806="Partner",7,IF(J806="Internal",3,0)))+IF(W806="Hard-coded",10,IF(W806="Configurable",3,0))+IF(MAX(I806,AP806)&gt;=10,10,IF(MAX(I806,AP806)&gt;=5,7,IF(MAX(I806,AP806)&gt;=2,3,0)))+IF(K806="High",10,IF(K806="Medium",5,0))))</x:f>
      </x:c>
      <x:c r="AC806" s="73" t="str">
        <x:f>IF(A806="","",IF(NOT(ISNUMBER(AB806)),"Review inputs",IF(AB806&gt;=70,"P0 - Immediate",IF(AB806&gt;=50,"P1 - High",IF(AB806&gt;=30,"P2 - Medium",IF(AB806&gt;=15,"P3 - Low","P4 - Monitor"))))))</x:f>
      </x:c>
      <x:c r="AD806" s="73"/>
      <x:c r="AE806" s="73"/>
      <x:c r="AF806" s="73"/>
      <x:c r="AG806" s="77"/>
      <x:c r="AH806" s="73"/>
      <x:c r="AI806" s="91"/>
      <x:c r="AJ806" s="91"/>
      <x:c r="AK806" s="91"/>
      <x:c r="AL806" s="92"/>
      <x:c r="AM806" s="91"/>
      <x:c r="AN806" s="91"/>
      <x:c r="AO806" s="93"/>
      <x:c r="AP806" s="94"/>
      <x:c r="AQ806" s="91"/>
      <x:c r="AR806" s="91"/>
      <x:c r="AS806" s="91"/>
      <x:c r="AT806" s="91"/>
      <x:c r="AU806" s="91"/>
      <x:c r="AV806" s="91"/>
      <x:c r="AW806" s="91"/>
      <x:c r="AX806" s="91"/>
      <x:c r="AY806" s="91"/>
      <x:c r="AZ806" s="92"/>
      <x:c r="BA806" s="94"/>
      <x:c r="BB806" s="91"/>
      <x:c r="BC806" s="92"/>
      <x:c r="BD806" s="92"/>
      <x:c r="BE806" s="91"/>
      <x:c r="BF806" s="91"/>
      <x:c r="BG806" s="91"/>
      <x:c r="BH806" s="91"/>
      <x:c r="BI806" s="91"/>
      <x:c r="BJ806" s="91"/>
      <x:c r="BK806" s="91"/>
      <x:c r="BL806" s="91"/>
      <x:c r="BM806" s="73" t="str">
        <x:f>IF(A806="","",IF(AI806="Example","Example only",IF(AI806&lt;&gt;"Actual","Set record type",IF(COUNTIF($A$2:$A$1001,A806)&gt;1,"Duplicate record ID",IF(OR(D806="",E806="",AF806="",NOT(ISNUMBER(AG806)),AJ806="",AK806="",NOT(ISNUMBER(AL806)),AND(AM806&lt;&gt;"Observed",AM806&lt;&gt;"Corroborated",AM806&lt;&gt;"Declared"),OR(AN806="",AN806="Unknown"),OR(AQ806="",AQ806="Unknown"),OR(AR806="",AR806="Unknown",AR806="TBD"),OR(BC806="",NOT(ISNUMBER(BC806)))),"Evidence incomplete","Evidence recorded; review scope")))))</x:f>
      </x:c>
      <x:c r="BN806" s="73"/>
    </x:row>
    <x:row r="807" ht="34" customHeight="1">
      <x:c r="A807" s="73"/>
      <x:c r="B807" s="73"/>
      <x:c r="C807" s="73"/>
      <x:c r="D807" s="73"/>
      <x:c r="E807" s="73"/>
      <x:c r="F807" s="73"/>
      <x:c r="G807" s="73"/>
      <x:c r="H807" s="73"/>
      <x:c r="I807" s="75"/>
      <x:c r="J807" s="73"/>
      <x:c r="K807" s="73"/>
      <x:c r="L807" s="76"/>
      <x:c r="M807" s="73"/>
      <x:c r="N807" s="73"/>
      <x:c r="O807" s="73"/>
      <x:c r="P807" s="73"/>
      <x:c r="Q807" s="76"/>
      <x:c r="R807" s="73"/>
      <x:c r="S807" s="73"/>
      <x:c r="T807" s="73"/>
      <x:c r="U807" s="73"/>
      <x:c r="V807" s="73"/>
      <x:c r="W807" s="73"/>
      <x:c r="X807" s="73"/>
      <x:c r="Y807" s="73"/>
      <x:c r="Z807" s="73"/>
      <x:c r="AA807" s="73"/>
      <x:c r="AB807" s="76" t="str">
        <x:f>IF(A807="","",IF(OR(NOT(ISNUMBER(I807)),I807&lt;0,NOT(ISNUMBER(AP807)),AP807&lt;0,NOT(ISNUMBER(L807)),L807&lt;1,L807&gt;5,L807&lt;&gt;INT(L807),AND(J807&lt;&gt;"Public",J807&lt;&gt;"Partner",J807&lt;&gt;"Internal",J807&lt;&gt;"None"),AND(K807&lt;&gt;"High",K807&lt;&gt;"Medium",K807&lt;&gt;"Low",K807&lt;&gt;"None"),AND(W807&lt;&gt;"Hard-coded",W807&lt;&gt;"Configurable",W807&lt;&gt;"Policy-managed",W807&lt;&gt;"API/Library abstraction",W807&lt;&gt;"Automated"),AND(Z807&lt;&gt;"Y",Z807&lt;&gt;"N"),AND(AA807&lt;&gt;"Y",AA807&lt;&gt;"N")),"Incomplete",IF(Z807="Y",20,0)+L807*5+IF(AA807="Y",15,0)+IF(J807="Public",10,IF(J807="Partner",7,IF(J807="Internal",3,0)))+IF(W807="Hard-coded",10,IF(W807="Configurable",3,0))+IF(MAX(I807,AP807)&gt;=10,10,IF(MAX(I807,AP807)&gt;=5,7,IF(MAX(I807,AP807)&gt;=2,3,0)))+IF(K807="High",10,IF(K807="Medium",5,0))))</x:f>
      </x:c>
      <x:c r="AC807" s="73" t="str">
        <x:f>IF(A807="","",IF(NOT(ISNUMBER(AB807)),"Review inputs",IF(AB807&gt;=70,"P0 - Immediate",IF(AB807&gt;=50,"P1 - High",IF(AB807&gt;=30,"P2 - Medium",IF(AB807&gt;=15,"P3 - Low","P4 - Monitor"))))))</x:f>
      </x:c>
      <x:c r="AD807" s="73"/>
      <x:c r="AE807" s="73"/>
      <x:c r="AF807" s="73"/>
      <x:c r="AG807" s="77"/>
      <x:c r="AH807" s="73"/>
      <x:c r="AI807" s="91"/>
      <x:c r="AJ807" s="91"/>
      <x:c r="AK807" s="91"/>
      <x:c r="AL807" s="92"/>
      <x:c r="AM807" s="91"/>
      <x:c r="AN807" s="91"/>
      <x:c r="AO807" s="93"/>
      <x:c r="AP807" s="94"/>
      <x:c r="AQ807" s="91"/>
      <x:c r="AR807" s="91"/>
      <x:c r="AS807" s="91"/>
      <x:c r="AT807" s="91"/>
      <x:c r="AU807" s="91"/>
      <x:c r="AV807" s="91"/>
      <x:c r="AW807" s="91"/>
      <x:c r="AX807" s="91"/>
      <x:c r="AY807" s="91"/>
      <x:c r="AZ807" s="92"/>
      <x:c r="BA807" s="94"/>
      <x:c r="BB807" s="91"/>
      <x:c r="BC807" s="92"/>
      <x:c r="BD807" s="92"/>
      <x:c r="BE807" s="91"/>
      <x:c r="BF807" s="91"/>
      <x:c r="BG807" s="91"/>
      <x:c r="BH807" s="91"/>
      <x:c r="BI807" s="91"/>
      <x:c r="BJ807" s="91"/>
      <x:c r="BK807" s="91"/>
      <x:c r="BL807" s="91"/>
      <x:c r="BM807" s="73" t="str">
        <x:f>IF(A807="","",IF(AI807="Example","Example only",IF(AI807&lt;&gt;"Actual","Set record type",IF(COUNTIF($A$2:$A$1001,A807)&gt;1,"Duplicate record ID",IF(OR(D807="",E807="",AF807="",NOT(ISNUMBER(AG807)),AJ807="",AK807="",NOT(ISNUMBER(AL807)),AND(AM807&lt;&gt;"Observed",AM807&lt;&gt;"Corroborated",AM807&lt;&gt;"Declared"),OR(AN807="",AN807="Unknown"),OR(AQ807="",AQ807="Unknown"),OR(AR807="",AR807="Unknown",AR807="TBD"),OR(BC807="",NOT(ISNUMBER(BC807)))),"Evidence incomplete","Evidence recorded; review scope")))))</x:f>
      </x:c>
      <x:c r="BN807" s="73"/>
    </x:row>
    <x:row r="808" ht="34" customHeight="1">
      <x:c r="A808" s="73"/>
      <x:c r="B808" s="73"/>
      <x:c r="C808" s="73"/>
      <x:c r="D808" s="73"/>
      <x:c r="E808" s="73"/>
      <x:c r="F808" s="73"/>
      <x:c r="G808" s="73"/>
      <x:c r="H808" s="73"/>
      <x:c r="I808" s="75"/>
      <x:c r="J808" s="73"/>
      <x:c r="K808" s="73"/>
      <x:c r="L808" s="76"/>
      <x:c r="M808" s="73"/>
      <x:c r="N808" s="73"/>
      <x:c r="O808" s="73"/>
      <x:c r="P808" s="73"/>
      <x:c r="Q808" s="76"/>
      <x:c r="R808" s="73"/>
      <x:c r="S808" s="73"/>
      <x:c r="T808" s="73"/>
      <x:c r="U808" s="73"/>
      <x:c r="V808" s="73"/>
      <x:c r="W808" s="73"/>
      <x:c r="X808" s="73"/>
      <x:c r="Y808" s="73"/>
      <x:c r="Z808" s="73"/>
      <x:c r="AA808" s="73"/>
      <x:c r="AB808" s="76" t="str">
        <x:f>IF(A808="","",IF(OR(NOT(ISNUMBER(I808)),I808&lt;0,NOT(ISNUMBER(AP808)),AP808&lt;0,NOT(ISNUMBER(L808)),L808&lt;1,L808&gt;5,L808&lt;&gt;INT(L808),AND(J808&lt;&gt;"Public",J808&lt;&gt;"Partner",J808&lt;&gt;"Internal",J808&lt;&gt;"None"),AND(K808&lt;&gt;"High",K808&lt;&gt;"Medium",K808&lt;&gt;"Low",K808&lt;&gt;"None"),AND(W808&lt;&gt;"Hard-coded",W808&lt;&gt;"Configurable",W808&lt;&gt;"Policy-managed",W808&lt;&gt;"API/Library abstraction",W808&lt;&gt;"Automated"),AND(Z808&lt;&gt;"Y",Z808&lt;&gt;"N"),AND(AA808&lt;&gt;"Y",AA808&lt;&gt;"N")),"Incomplete",IF(Z808="Y",20,0)+L808*5+IF(AA808="Y",15,0)+IF(J808="Public",10,IF(J808="Partner",7,IF(J808="Internal",3,0)))+IF(W808="Hard-coded",10,IF(W808="Configurable",3,0))+IF(MAX(I808,AP808)&gt;=10,10,IF(MAX(I808,AP808)&gt;=5,7,IF(MAX(I808,AP808)&gt;=2,3,0)))+IF(K808="High",10,IF(K808="Medium",5,0))))</x:f>
      </x:c>
      <x:c r="AC808" s="73" t="str">
        <x:f>IF(A808="","",IF(NOT(ISNUMBER(AB808)),"Review inputs",IF(AB808&gt;=70,"P0 - Immediate",IF(AB808&gt;=50,"P1 - High",IF(AB808&gt;=30,"P2 - Medium",IF(AB808&gt;=15,"P3 - Low","P4 - Monitor"))))))</x:f>
      </x:c>
      <x:c r="AD808" s="73"/>
      <x:c r="AE808" s="73"/>
      <x:c r="AF808" s="73"/>
      <x:c r="AG808" s="77"/>
      <x:c r="AH808" s="73"/>
      <x:c r="AI808" s="91"/>
      <x:c r="AJ808" s="91"/>
      <x:c r="AK808" s="91"/>
      <x:c r="AL808" s="92"/>
      <x:c r="AM808" s="91"/>
      <x:c r="AN808" s="91"/>
      <x:c r="AO808" s="93"/>
      <x:c r="AP808" s="94"/>
      <x:c r="AQ808" s="91"/>
      <x:c r="AR808" s="91"/>
      <x:c r="AS808" s="91"/>
      <x:c r="AT808" s="91"/>
      <x:c r="AU808" s="91"/>
      <x:c r="AV808" s="91"/>
      <x:c r="AW808" s="91"/>
      <x:c r="AX808" s="91"/>
      <x:c r="AY808" s="91"/>
      <x:c r="AZ808" s="92"/>
      <x:c r="BA808" s="94"/>
      <x:c r="BB808" s="91"/>
      <x:c r="BC808" s="92"/>
      <x:c r="BD808" s="92"/>
      <x:c r="BE808" s="91"/>
      <x:c r="BF808" s="91"/>
      <x:c r="BG808" s="91"/>
      <x:c r="BH808" s="91"/>
      <x:c r="BI808" s="91"/>
      <x:c r="BJ808" s="91"/>
      <x:c r="BK808" s="91"/>
      <x:c r="BL808" s="91"/>
      <x:c r="BM808" s="73" t="str">
        <x:f>IF(A808="","",IF(AI808="Example","Example only",IF(AI808&lt;&gt;"Actual","Set record type",IF(COUNTIF($A$2:$A$1001,A808)&gt;1,"Duplicate record ID",IF(OR(D808="",E808="",AF808="",NOT(ISNUMBER(AG808)),AJ808="",AK808="",NOT(ISNUMBER(AL808)),AND(AM808&lt;&gt;"Observed",AM808&lt;&gt;"Corroborated",AM808&lt;&gt;"Declared"),OR(AN808="",AN808="Unknown"),OR(AQ808="",AQ808="Unknown"),OR(AR808="",AR808="Unknown",AR808="TBD"),OR(BC808="",NOT(ISNUMBER(BC808)))),"Evidence incomplete","Evidence recorded; review scope")))))</x:f>
      </x:c>
      <x:c r="BN808" s="73"/>
    </x:row>
    <x:row r="809" ht="34" customHeight="1">
      <x:c r="A809" s="73"/>
      <x:c r="B809" s="73"/>
      <x:c r="C809" s="73"/>
      <x:c r="D809" s="73"/>
      <x:c r="E809" s="73"/>
      <x:c r="F809" s="73"/>
      <x:c r="G809" s="73"/>
      <x:c r="H809" s="73"/>
      <x:c r="I809" s="75"/>
      <x:c r="J809" s="73"/>
      <x:c r="K809" s="73"/>
      <x:c r="L809" s="76"/>
      <x:c r="M809" s="73"/>
      <x:c r="N809" s="73"/>
      <x:c r="O809" s="73"/>
      <x:c r="P809" s="73"/>
      <x:c r="Q809" s="76"/>
      <x:c r="R809" s="73"/>
      <x:c r="S809" s="73"/>
      <x:c r="T809" s="73"/>
      <x:c r="U809" s="73"/>
      <x:c r="V809" s="73"/>
      <x:c r="W809" s="73"/>
      <x:c r="X809" s="73"/>
      <x:c r="Y809" s="73"/>
      <x:c r="Z809" s="73"/>
      <x:c r="AA809" s="73"/>
      <x:c r="AB809" s="76" t="str">
        <x:f>IF(A809="","",IF(OR(NOT(ISNUMBER(I809)),I809&lt;0,NOT(ISNUMBER(AP809)),AP809&lt;0,NOT(ISNUMBER(L809)),L809&lt;1,L809&gt;5,L809&lt;&gt;INT(L809),AND(J809&lt;&gt;"Public",J809&lt;&gt;"Partner",J809&lt;&gt;"Internal",J809&lt;&gt;"None"),AND(K809&lt;&gt;"High",K809&lt;&gt;"Medium",K809&lt;&gt;"Low",K809&lt;&gt;"None"),AND(W809&lt;&gt;"Hard-coded",W809&lt;&gt;"Configurable",W809&lt;&gt;"Policy-managed",W809&lt;&gt;"API/Library abstraction",W809&lt;&gt;"Automated"),AND(Z809&lt;&gt;"Y",Z809&lt;&gt;"N"),AND(AA809&lt;&gt;"Y",AA809&lt;&gt;"N")),"Incomplete",IF(Z809="Y",20,0)+L809*5+IF(AA809="Y",15,0)+IF(J809="Public",10,IF(J809="Partner",7,IF(J809="Internal",3,0)))+IF(W809="Hard-coded",10,IF(W809="Configurable",3,0))+IF(MAX(I809,AP809)&gt;=10,10,IF(MAX(I809,AP809)&gt;=5,7,IF(MAX(I809,AP809)&gt;=2,3,0)))+IF(K809="High",10,IF(K809="Medium",5,0))))</x:f>
      </x:c>
      <x:c r="AC809" s="73" t="str">
        <x:f>IF(A809="","",IF(NOT(ISNUMBER(AB809)),"Review inputs",IF(AB809&gt;=70,"P0 - Immediate",IF(AB809&gt;=50,"P1 - High",IF(AB809&gt;=30,"P2 - Medium",IF(AB809&gt;=15,"P3 - Low","P4 - Monitor"))))))</x:f>
      </x:c>
      <x:c r="AD809" s="73"/>
      <x:c r="AE809" s="73"/>
      <x:c r="AF809" s="73"/>
      <x:c r="AG809" s="77"/>
      <x:c r="AH809" s="73"/>
      <x:c r="AI809" s="91"/>
      <x:c r="AJ809" s="91"/>
      <x:c r="AK809" s="91"/>
      <x:c r="AL809" s="92"/>
      <x:c r="AM809" s="91"/>
      <x:c r="AN809" s="91"/>
      <x:c r="AO809" s="93"/>
      <x:c r="AP809" s="94"/>
      <x:c r="AQ809" s="91"/>
      <x:c r="AR809" s="91"/>
      <x:c r="AS809" s="91"/>
      <x:c r="AT809" s="91"/>
      <x:c r="AU809" s="91"/>
      <x:c r="AV809" s="91"/>
      <x:c r="AW809" s="91"/>
      <x:c r="AX809" s="91"/>
      <x:c r="AY809" s="91"/>
      <x:c r="AZ809" s="92"/>
      <x:c r="BA809" s="94"/>
      <x:c r="BB809" s="91"/>
      <x:c r="BC809" s="92"/>
      <x:c r="BD809" s="92"/>
      <x:c r="BE809" s="91"/>
      <x:c r="BF809" s="91"/>
      <x:c r="BG809" s="91"/>
      <x:c r="BH809" s="91"/>
      <x:c r="BI809" s="91"/>
      <x:c r="BJ809" s="91"/>
      <x:c r="BK809" s="91"/>
      <x:c r="BL809" s="91"/>
      <x:c r="BM809" s="73" t="str">
        <x:f>IF(A809="","",IF(AI809="Example","Example only",IF(AI809&lt;&gt;"Actual","Set record type",IF(COUNTIF($A$2:$A$1001,A809)&gt;1,"Duplicate record ID",IF(OR(D809="",E809="",AF809="",NOT(ISNUMBER(AG809)),AJ809="",AK809="",NOT(ISNUMBER(AL809)),AND(AM809&lt;&gt;"Observed",AM809&lt;&gt;"Corroborated",AM809&lt;&gt;"Declared"),OR(AN809="",AN809="Unknown"),OR(AQ809="",AQ809="Unknown"),OR(AR809="",AR809="Unknown",AR809="TBD"),OR(BC809="",NOT(ISNUMBER(BC809)))),"Evidence incomplete","Evidence recorded; review scope")))))</x:f>
      </x:c>
      <x:c r="BN809" s="73"/>
    </x:row>
    <x:row r="810" ht="34" customHeight="1">
      <x:c r="A810" s="73"/>
      <x:c r="B810" s="73"/>
      <x:c r="C810" s="73"/>
      <x:c r="D810" s="73"/>
      <x:c r="E810" s="73"/>
      <x:c r="F810" s="73"/>
      <x:c r="G810" s="73"/>
      <x:c r="H810" s="73"/>
      <x:c r="I810" s="75"/>
      <x:c r="J810" s="73"/>
      <x:c r="K810" s="73"/>
      <x:c r="L810" s="76"/>
      <x:c r="M810" s="73"/>
      <x:c r="N810" s="73"/>
      <x:c r="O810" s="73"/>
      <x:c r="P810" s="73"/>
      <x:c r="Q810" s="76"/>
      <x:c r="R810" s="73"/>
      <x:c r="S810" s="73"/>
      <x:c r="T810" s="73"/>
      <x:c r="U810" s="73"/>
      <x:c r="V810" s="73"/>
      <x:c r="W810" s="73"/>
      <x:c r="X810" s="73"/>
      <x:c r="Y810" s="73"/>
      <x:c r="Z810" s="73"/>
      <x:c r="AA810" s="73"/>
      <x:c r="AB810" s="76" t="str">
        <x:f>IF(A810="","",IF(OR(NOT(ISNUMBER(I810)),I810&lt;0,NOT(ISNUMBER(AP810)),AP810&lt;0,NOT(ISNUMBER(L810)),L810&lt;1,L810&gt;5,L810&lt;&gt;INT(L810),AND(J810&lt;&gt;"Public",J810&lt;&gt;"Partner",J810&lt;&gt;"Internal",J810&lt;&gt;"None"),AND(K810&lt;&gt;"High",K810&lt;&gt;"Medium",K810&lt;&gt;"Low",K810&lt;&gt;"None"),AND(W810&lt;&gt;"Hard-coded",W810&lt;&gt;"Configurable",W810&lt;&gt;"Policy-managed",W810&lt;&gt;"API/Library abstraction",W810&lt;&gt;"Automated"),AND(Z810&lt;&gt;"Y",Z810&lt;&gt;"N"),AND(AA810&lt;&gt;"Y",AA810&lt;&gt;"N")),"Incomplete",IF(Z810="Y",20,0)+L810*5+IF(AA810="Y",15,0)+IF(J810="Public",10,IF(J810="Partner",7,IF(J810="Internal",3,0)))+IF(W810="Hard-coded",10,IF(W810="Configurable",3,0))+IF(MAX(I810,AP810)&gt;=10,10,IF(MAX(I810,AP810)&gt;=5,7,IF(MAX(I810,AP810)&gt;=2,3,0)))+IF(K810="High",10,IF(K810="Medium",5,0))))</x:f>
      </x:c>
      <x:c r="AC810" s="73" t="str">
        <x:f>IF(A810="","",IF(NOT(ISNUMBER(AB810)),"Review inputs",IF(AB810&gt;=70,"P0 - Immediate",IF(AB810&gt;=50,"P1 - High",IF(AB810&gt;=30,"P2 - Medium",IF(AB810&gt;=15,"P3 - Low","P4 - Monitor"))))))</x:f>
      </x:c>
      <x:c r="AD810" s="73"/>
      <x:c r="AE810" s="73"/>
      <x:c r="AF810" s="73"/>
      <x:c r="AG810" s="77"/>
      <x:c r="AH810" s="73"/>
      <x:c r="AI810" s="91"/>
      <x:c r="AJ810" s="91"/>
      <x:c r="AK810" s="91"/>
      <x:c r="AL810" s="92"/>
      <x:c r="AM810" s="91"/>
      <x:c r="AN810" s="91"/>
      <x:c r="AO810" s="93"/>
      <x:c r="AP810" s="94"/>
      <x:c r="AQ810" s="91"/>
      <x:c r="AR810" s="91"/>
      <x:c r="AS810" s="91"/>
      <x:c r="AT810" s="91"/>
      <x:c r="AU810" s="91"/>
      <x:c r="AV810" s="91"/>
      <x:c r="AW810" s="91"/>
      <x:c r="AX810" s="91"/>
      <x:c r="AY810" s="91"/>
      <x:c r="AZ810" s="92"/>
      <x:c r="BA810" s="94"/>
      <x:c r="BB810" s="91"/>
      <x:c r="BC810" s="92"/>
      <x:c r="BD810" s="92"/>
      <x:c r="BE810" s="91"/>
      <x:c r="BF810" s="91"/>
      <x:c r="BG810" s="91"/>
      <x:c r="BH810" s="91"/>
      <x:c r="BI810" s="91"/>
      <x:c r="BJ810" s="91"/>
      <x:c r="BK810" s="91"/>
      <x:c r="BL810" s="91"/>
      <x:c r="BM810" s="73" t="str">
        <x:f>IF(A810="","",IF(AI810="Example","Example only",IF(AI810&lt;&gt;"Actual","Set record type",IF(COUNTIF($A$2:$A$1001,A810)&gt;1,"Duplicate record ID",IF(OR(D810="",E810="",AF810="",NOT(ISNUMBER(AG810)),AJ810="",AK810="",NOT(ISNUMBER(AL810)),AND(AM810&lt;&gt;"Observed",AM810&lt;&gt;"Corroborated",AM810&lt;&gt;"Declared"),OR(AN810="",AN810="Unknown"),OR(AQ810="",AQ810="Unknown"),OR(AR810="",AR810="Unknown",AR810="TBD"),OR(BC810="",NOT(ISNUMBER(BC810)))),"Evidence incomplete","Evidence recorded; review scope")))))</x:f>
      </x:c>
      <x:c r="BN810" s="73"/>
    </x:row>
    <x:row r="811" ht="34" customHeight="1">
      <x:c r="A811" s="73"/>
      <x:c r="B811" s="73"/>
      <x:c r="C811" s="73"/>
      <x:c r="D811" s="73"/>
      <x:c r="E811" s="73"/>
      <x:c r="F811" s="73"/>
      <x:c r="G811" s="73"/>
      <x:c r="H811" s="73"/>
      <x:c r="I811" s="75"/>
      <x:c r="J811" s="73"/>
      <x:c r="K811" s="73"/>
      <x:c r="L811" s="76"/>
      <x:c r="M811" s="73"/>
      <x:c r="N811" s="73"/>
      <x:c r="O811" s="73"/>
      <x:c r="P811" s="73"/>
      <x:c r="Q811" s="76"/>
      <x:c r="R811" s="73"/>
      <x:c r="S811" s="73"/>
      <x:c r="T811" s="73"/>
      <x:c r="U811" s="73"/>
      <x:c r="V811" s="73"/>
      <x:c r="W811" s="73"/>
      <x:c r="X811" s="73"/>
      <x:c r="Y811" s="73"/>
      <x:c r="Z811" s="73"/>
      <x:c r="AA811" s="73"/>
      <x:c r="AB811" s="76" t="str">
        <x:f>IF(A811="","",IF(OR(NOT(ISNUMBER(I811)),I811&lt;0,NOT(ISNUMBER(AP811)),AP811&lt;0,NOT(ISNUMBER(L811)),L811&lt;1,L811&gt;5,L811&lt;&gt;INT(L811),AND(J811&lt;&gt;"Public",J811&lt;&gt;"Partner",J811&lt;&gt;"Internal",J811&lt;&gt;"None"),AND(K811&lt;&gt;"High",K811&lt;&gt;"Medium",K811&lt;&gt;"Low",K811&lt;&gt;"None"),AND(W811&lt;&gt;"Hard-coded",W811&lt;&gt;"Configurable",W811&lt;&gt;"Policy-managed",W811&lt;&gt;"API/Library abstraction",W811&lt;&gt;"Automated"),AND(Z811&lt;&gt;"Y",Z811&lt;&gt;"N"),AND(AA811&lt;&gt;"Y",AA811&lt;&gt;"N")),"Incomplete",IF(Z811="Y",20,0)+L811*5+IF(AA811="Y",15,0)+IF(J811="Public",10,IF(J811="Partner",7,IF(J811="Internal",3,0)))+IF(W811="Hard-coded",10,IF(W811="Configurable",3,0))+IF(MAX(I811,AP811)&gt;=10,10,IF(MAX(I811,AP811)&gt;=5,7,IF(MAX(I811,AP811)&gt;=2,3,0)))+IF(K811="High",10,IF(K811="Medium",5,0))))</x:f>
      </x:c>
      <x:c r="AC811" s="73" t="str">
        <x:f>IF(A811="","",IF(NOT(ISNUMBER(AB811)),"Review inputs",IF(AB811&gt;=70,"P0 - Immediate",IF(AB811&gt;=50,"P1 - High",IF(AB811&gt;=30,"P2 - Medium",IF(AB811&gt;=15,"P3 - Low","P4 - Monitor"))))))</x:f>
      </x:c>
      <x:c r="AD811" s="73"/>
      <x:c r="AE811" s="73"/>
      <x:c r="AF811" s="73"/>
      <x:c r="AG811" s="77"/>
      <x:c r="AH811" s="73"/>
      <x:c r="AI811" s="91"/>
      <x:c r="AJ811" s="91"/>
      <x:c r="AK811" s="91"/>
      <x:c r="AL811" s="92"/>
      <x:c r="AM811" s="91"/>
      <x:c r="AN811" s="91"/>
      <x:c r="AO811" s="93"/>
      <x:c r="AP811" s="94"/>
      <x:c r="AQ811" s="91"/>
      <x:c r="AR811" s="91"/>
      <x:c r="AS811" s="91"/>
      <x:c r="AT811" s="91"/>
      <x:c r="AU811" s="91"/>
      <x:c r="AV811" s="91"/>
      <x:c r="AW811" s="91"/>
      <x:c r="AX811" s="91"/>
      <x:c r="AY811" s="91"/>
      <x:c r="AZ811" s="92"/>
      <x:c r="BA811" s="94"/>
      <x:c r="BB811" s="91"/>
      <x:c r="BC811" s="92"/>
      <x:c r="BD811" s="92"/>
      <x:c r="BE811" s="91"/>
      <x:c r="BF811" s="91"/>
      <x:c r="BG811" s="91"/>
      <x:c r="BH811" s="91"/>
      <x:c r="BI811" s="91"/>
      <x:c r="BJ811" s="91"/>
      <x:c r="BK811" s="91"/>
      <x:c r="BL811" s="91"/>
      <x:c r="BM811" s="73" t="str">
        <x:f>IF(A811="","",IF(AI811="Example","Example only",IF(AI811&lt;&gt;"Actual","Set record type",IF(COUNTIF($A$2:$A$1001,A811)&gt;1,"Duplicate record ID",IF(OR(D811="",E811="",AF811="",NOT(ISNUMBER(AG811)),AJ811="",AK811="",NOT(ISNUMBER(AL811)),AND(AM811&lt;&gt;"Observed",AM811&lt;&gt;"Corroborated",AM811&lt;&gt;"Declared"),OR(AN811="",AN811="Unknown"),OR(AQ811="",AQ811="Unknown"),OR(AR811="",AR811="Unknown",AR811="TBD"),OR(BC811="",NOT(ISNUMBER(BC811)))),"Evidence incomplete","Evidence recorded; review scope")))))</x:f>
      </x:c>
      <x:c r="BN811" s="73"/>
    </x:row>
    <x:row r="812" ht="34" customHeight="1">
      <x:c r="A812" s="73"/>
      <x:c r="B812" s="73"/>
      <x:c r="C812" s="73"/>
      <x:c r="D812" s="73"/>
      <x:c r="E812" s="73"/>
      <x:c r="F812" s="73"/>
      <x:c r="G812" s="73"/>
      <x:c r="H812" s="73"/>
      <x:c r="I812" s="75"/>
      <x:c r="J812" s="73"/>
      <x:c r="K812" s="73"/>
      <x:c r="L812" s="76"/>
      <x:c r="M812" s="73"/>
      <x:c r="N812" s="73"/>
      <x:c r="O812" s="73"/>
      <x:c r="P812" s="73"/>
      <x:c r="Q812" s="76"/>
      <x:c r="R812" s="73"/>
      <x:c r="S812" s="73"/>
      <x:c r="T812" s="73"/>
      <x:c r="U812" s="73"/>
      <x:c r="V812" s="73"/>
      <x:c r="W812" s="73"/>
      <x:c r="X812" s="73"/>
      <x:c r="Y812" s="73"/>
      <x:c r="Z812" s="73"/>
      <x:c r="AA812" s="73"/>
      <x:c r="AB812" s="76" t="str">
        <x:f>IF(A812="","",IF(OR(NOT(ISNUMBER(I812)),I812&lt;0,NOT(ISNUMBER(AP812)),AP812&lt;0,NOT(ISNUMBER(L812)),L812&lt;1,L812&gt;5,L812&lt;&gt;INT(L812),AND(J812&lt;&gt;"Public",J812&lt;&gt;"Partner",J812&lt;&gt;"Internal",J812&lt;&gt;"None"),AND(K812&lt;&gt;"High",K812&lt;&gt;"Medium",K812&lt;&gt;"Low",K812&lt;&gt;"None"),AND(W812&lt;&gt;"Hard-coded",W812&lt;&gt;"Configurable",W812&lt;&gt;"Policy-managed",W812&lt;&gt;"API/Library abstraction",W812&lt;&gt;"Automated"),AND(Z812&lt;&gt;"Y",Z812&lt;&gt;"N"),AND(AA812&lt;&gt;"Y",AA812&lt;&gt;"N")),"Incomplete",IF(Z812="Y",20,0)+L812*5+IF(AA812="Y",15,0)+IF(J812="Public",10,IF(J812="Partner",7,IF(J812="Internal",3,0)))+IF(W812="Hard-coded",10,IF(W812="Configurable",3,0))+IF(MAX(I812,AP812)&gt;=10,10,IF(MAX(I812,AP812)&gt;=5,7,IF(MAX(I812,AP812)&gt;=2,3,0)))+IF(K812="High",10,IF(K812="Medium",5,0))))</x:f>
      </x:c>
      <x:c r="AC812" s="73" t="str">
        <x:f>IF(A812="","",IF(NOT(ISNUMBER(AB812)),"Review inputs",IF(AB812&gt;=70,"P0 - Immediate",IF(AB812&gt;=50,"P1 - High",IF(AB812&gt;=30,"P2 - Medium",IF(AB812&gt;=15,"P3 - Low","P4 - Monitor"))))))</x:f>
      </x:c>
      <x:c r="AD812" s="73"/>
      <x:c r="AE812" s="73"/>
      <x:c r="AF812" s="73"/>
      <x:c r="AG812" s="77"/>
      <x:c r="AH812" s="73"/>
      <x:c r="AI812" s="91"/>
      <x:c r="AJ812" s="91"/>
      <x:c r="AK812" s="91"/>
      <x:c r="AL812" s="92"/>
      <x:c r="AM812" s="91"/>
      <x:c r="AN812" s="91"/>
      <x:c r="AO812" s="93"/>
      <x:c r="AP812" s="94"/>
      <x:c r="AQ812" s="91"/>
      <x:c r="AR812" s="91"/>
      <x:c r="AS812" s="91"/>
      <x:c r="AT812" s="91"/>
      <x:c r="AU812" s="91"/>
      <x:c r="AV812" s="91"/>
      <x:c r="AW812" s="91"/>
      <x:c r="AX812" s="91"/>
      <x:c r="AY812" s="91"/>
      <x:c r="AZ812" s="92"/>
      <x:c r="BA812" s="94"/>
      <x:c r="BB812" s="91"/>
      <x:c r="BC812" s="92"/>
      <x:c r="BD812" s="92"/>
      <x:c r="BE812" s="91"/>
      <x:c r="BF812" s="91"/>
      <x:c r="BG812" s="91"/>
      <x:c r="BH812" s="91"/>
      <x:c r="BI812" s="91"/>
      <x:c r="BJ812" s="91"/>
      <x:c r="BK812" s="91"/>
      <x:c r="BL812" s="91"/>
      <x:c r="BM812" s="73" t="str">
        <x:f>IF(A812="","",IF(AI812="Example","Example only",IF(AI812&lt;&gt;"Actual","Set record type",IF(COUNTIF($A$2:$A$1001,A812)&gt;1,"Duplicate record ID",IF(OR(D812="",E812="",AF812="",NOT(ISNUMBER(AG812)),AJ812="",AK812="",NOT(ISNUMBER(AL812)),AND(AM812&lt;&gt;"Observed",AM812&lt;&gt;"Corroborated",AM812&lt;&gt;"Declared"),OR(AN812="",AN812="Unknown"),OR(AQ812="",AQ812="Unknown"),OR(AR812="",AR812="Unknown",AR812="TBD"),OR(BC812="",NOT(ISNUMBER(BC812)))),"Evidence incomplete","Evidence recorded; review scope")))))</x:f>
      </x:c>
      <x:c r="BN812" s="73"/>
    </x:row>
    <x:row r="813" ht="34" customHeight="1">
      <x:c r="A813" s="73"/>
      <x:c r="B813" s="73"/>
      <x:c r="C813" s="73"/>
      <x:c r="D813" s="73"/>
      <x:c r="E813" s="73"/>
      <x:c r="F813" s="73"/>
      <x:c r="G813" s="73"/>
      <x:c r="H813" s="73"/>
      <x:c r="I813" s="75"/>
      <x:c r="J813" s="73"/>
      <x:c r="K813" s="73"/>
      <x:c r="L813" s="76"/>
      <x:c r="M813" s="73"/>
      <x:c r="N813" s="73"/>
      <x:c r="O813" s="73"/>
      <x:c r="P813" s="73"/>
      <x:c r="Q813" s="76"/>
      <x:c r="R813" s="73"/>
      <x:c r="S813" s="73"/>
      <x:c r="T813" s="73"/>
      <x:c r="U813" s="73"/>
      <x:c r="V813" s="73"/>
      <x:c r="W813" s="73"/>
      <x:c r="X813" s="73"/>
      <x:c r="Y813" s="73"/>
      <x:c r="Z813" s="73"/>
      <x:c r="AA813" s="73"/>
      <x:c r="AB813" s="76" t="str">
        <x:f>IF(A813="","",IF(OR(NOT(ISNUMBER(I813)),I813&lt;0,NOT(ISNUMBER(AP813)),AP813&lt;0,NOT(ISNUMBER(L813)),L813&lt;1,L813&gt;5,L813&lt;&gt;INT(L813),AND(J813&lt;&gt;"Public",J813&lt;&gt;"Partner",J813&lt;&gt;"Internal",J813&lt;&gt;"None"),AND(K813&lt;&gt;"High",K813&lt;&gt;"Medium",K813&lt;&gt;"Low",K813&lt;&gt;"None"),AND(W813&lt;&gt;"Hard-coded",W813&lt;&gt;"Configurable",W813&lt;&gt;"Policy-managed",W813&lt;&gt;"API/Library abstraction",W813&lt;&gt;"Automated"),AND(Z813&lt;&gt;"Y",Z813&lt;&gt;"N"),AND(AA813&lt;&gt;"Y",AA813&lt;&gt;"N")),"Incomplete",IF(Z813="Y",20,0)+L813*5+IF(AA813="Y",15,0)+IF(J813="Public",10,IF(J813="Partner",7,IF(J813="Internal",3,0)))+IF(W813="Hard-coded",10,IF(W813="Configurable",3,0))+IF(MAX(I813,AP813)&gt;=10,10,IF(MAX(I813,AP813)&gt;=5,7,IF(MAX(I813,AP813)&gt;=2,3,0)))+IF(K813="High",10,IF(K813="Medium",5,0))))</x:f>
      </x:c>
      <x:c r="AC813" s="73" t="str">
        <x:f>IF(A813="","",IF(NOT(ISNUMBER(AB813)),"Review inputs",IF(AB813&gt;=70,"P0 - Immediate",IF(AB813&gt;=50,"P1 - High",IF(AB813&gt;=30,"P2 - Medium",IF(AB813&gt;=15,"P3 - Low","P4 - Monitor"))))))</x:f>
      </x:c>
      <x:c r="AD813" s="73"/>
      <x:c r="AE813" s="73"/>
      <x:c r="AF813" s="73"/>
      <x:c r="AG813" s="77"/>
      <x:c r="AH813" s="73"/>
      <x:c r="AI813" s="91"/>
      <x:c r="AJ813" s="91"/>
      <x:c r="AK813" s="91"/>
      <x:c r="AL813" s="92"/>
      <x:c r="AM813" s="91"/>
      <x:c r="AN813" s="91"/>
      <x:c r="AO813" s="93"/>
      <x:c r="AP813" s="94"/>
      <x:c r="AQ813" s="91"/>
      <x:c r="AR813" s="91"/>
      <x:c r="AS813" s="91"/>
      <x:c r="AT813" s="91"/>
      <x:c r="AU813" s="91"/>
      <x:c r="AV813" s="91"/>
      <x:c r="AW813" s="91"/>
      <x:c r="AX813" s="91"/>
      <x:c r="AY813" s="91"/>
      <x:c r="AZ813" s="92"/>
      <x:c r="BA813" s="94"/>
      <x:c r="BB813" s="91"/>
      <x:c r="BC813" s="92"/>
      <x:c r="BD813" s="92"/>
      <x:c r="BE813" s="91"/>
      <x:c r="BF813" s="91"/>
      <x:c r="BG813" s="91"/>
      <x:c r="BH813" s="91"/>
      <x:c r="BI813" s="91"/>
      <x:c r="BJ813" s="91"/>
      <x:c r="BK813" s="91"/>
      <x:c r="BL813" s="91"/>
      <x:c r="BM813" s="73" t="str">
        <x:f>IF(A813="","",IF(AI813="Example","Example only",IF(AI813&lt;&gt;"Actual","Set record type",IF(COUNTIF($A$2:$A$1001,A813)&gt;1,"Duplicate record ID",IF(OR(D813="",E813="",AF813="",NOT(ISNUMBER(AG813)),AJ813="",AK813="",NOT(ISNUMBER(AL813)),AND(AM813&lt;&gt;"Observed",AM813&lt;&gt;"Corroborated",AM813&lt;&gt;"Declared"),OR(AN813="",AN813="Unknown"),OR(AQ813="",AQ813="Unknown"),OR(AR813="",AR813="Unknown",AR813="TBD"),OR(BC813="",NOT(ISNUMBER(BC813)))),"Evidence incomplete","Evidence recorded; review scope")))))</x:f>
      </x:c>
      <x:c r="BN813" s="73"/>
    </x:row>
    <x:row r="814" ht="34" customHeight="1">
      <x:c r="A814" s="73"/>
      <x:c r="B814" s="73"/>
      <x:c r="C814" s="73"/>
      <x:c r="D814" s="73"/>
      <x:c r="E814" s="73"/>
      <x:c r="F814" s="73"/>
      <x:c r="G814" s="73"/>
      <x:c r="H814" s="73"/>
      <x:c r="I814" s="75"/>
      <x:c r="J814" s="73"/>
      <x:c r="K814" s="73"/>
      <x:c r="L814" s="76"/>
      <x:c r="M814" s="73"/>
      <x:c r="N814" s="73"/>
      <x:c r="O814" s="73"/>
      <x:c r="P814" s="73"/>
      <x:c r="Q814" s="76"/>
      <x:c r="R814" s="73"/>
      <x:c r="S814" s="73"/>
      <x:c r="T814" s="73"/>
      <x:c r="U814" s="73"/>
      <x:c r="V814" s="73"/>
      <x:c r="W814" s="73"/>
      <x:c r="X814" s="73"/>
      <x:c r="Y814" s="73"/>
      <x:c r="Z814" s="73"/>
      <x:c r="AA814" s="73"/>
      <x:c r="AB814" s="76" t="str">
        <x:f>IF(A814="","",IF(OR(NOT(ISNUMBER(I814)),I814&lt;0,NOT(ISNUMBER(AP814)),AP814&lt;0,NOT(ISNUMBER(L814)),L814&lt;1,L814&gt;5,L814&lt;&gt;INT(L814),AND(J814&lt;&gt;"Public",J814&lt;&gt;"Partner",J814&lt;&gt;"Internal",J814&lt;&gt;"None"),AND(K814&lt;&gt;"High",K814&lt;&gt;"Medium",K814&lt;&gt;"Low",K814&lt;&gt;"None"),AND(W814&lt;&gt;"Hard-coded",W814&lt;&gt;"Configurable",W814&lt;&gt;"Policy-managed",W814&lt;&gt;"API/Library abstraction",W814&lt;&gt;"Automated"),AND(Z814&lt;&gt;"Y",Z814&lt;&gt;"N"),AND(AA814&lt;&gt;"Y",AA814&lt;&gt;"N")),"Incomplete",IF(Z814="Y",20,0)+L814*5+IF(AA814="Y",15,0)+IF(J814="Public",10,IF(J814="Partner",7,IF(J814="Internal",3,0)))+IF(W814="Hard-coded",10,IF(W814="Configurable",3,0))+IF(MAX(I814,AP814)&gt;=10,10,IF(MAX(I814,AP814)&gt;=5,7,IF(MAX(I814,AP814)&gt;=2,3,0)))+IF(K814="High",10,IF(K814="Medium",5,0))))</x:f>
      </x:c>
      <x:c r="AC814" s="73" t="str">
        <x:f>IF(A814="","",IF(NOT(ISNUMBER(AB814)),"Review inputs",IF(AB814&gt;=70,"P0 - Immediate",IF(AB814&gt;=50,"P1 - High",IF(AB814&gt;=30,"P2 - Medium",IF(AB814&gt;=15,"P3 - Low","P4 - Monitor"))))))</x:f>
      </x:c>
      <x:c r="AD814" s="73"/>
      <x:c r="AE814" s="73"/>
      <x:c r="AF814" s="73"/>
      <x:c r="AG814" s="77"/>
      <x:c r="AH814" s="73"/>
      <x:c r="AI814" s="91"/>
      <x:c r="AJ814" s="91"/>
      <x:c r="AK814" s="91"/>
      <x:c r="AL814" s="92"/>
      <x:c r="AM814" s="91"/>
      <x:c r="AN814" s="91"/>
      <x:c r="AO814" s="93"/>
      <x:c r="AP814" s="94"/>
      <x:c r="AQ814" s="91"/>
      <x:c r="AR814" s="91"/>
      <x:c r="AS814" s="91"/>
      <x:c r="AT814" s="91"/>
      <x:c r="AU814" s="91"/>
      <x:c r="AV814" s="91"/>
      <x:c r="AW814" s="91"/>
      <x:c r="AX814" s="91"/>
      <x:c r="AY814" s="91"/>
      <x:c r="AZ814" s="92"/>
      <x:c r="BA814" s="94"/>
      <x:c r="BB814" s="91"/>
      <x:c r="BC814" s="92"/>
      <x:c r="BD814" s="92"/>
      <x:c r="BE814" s="91"/>
      <x:c r="BF814" s="91"/>
      <x:c r="BG814" s="91"/>
      <x:c r="BH814" s="91"/>
      <x:c r="BI814" s="91"/>
      <x:c r="BJ814" s="91"/>
      <x:c r="BK814" s="91"/>
      <x:c r="BL814" s="91"/>
      <x:c r="BM814" s="73" t="str">
        <x:f>IF(A814="","",IF(AI814="Example","Example only",IF(AI814&lt;&gt;"Actual","Set record type",IF(COUNTIF($A$2:$A$1001,A814)&gt;1,"Duplicate record ID",IF(OR(D814="",E814="",AF814="",NOT(ISNUMBER(AG814)),AJ814="",AK814="",NOT(ISNUMBER(AL814)),AND(AM814&lt;&gt;"Observed",AM814&lt;&gt;"Corroborated",AM814&lt;&gt;"Declared"),OR(AN814="",AN814="Unknown"),OR(AQ814="",AQ814="Unknown"),OR(AR814="",AR814="Unknown",AR814="TBD"),OR(BC814="",NOT(ISNUMBER(BC814)))),"Evidence incomplete","Evidence recorded; review scope")))))</x:f>
      </x:c>
      <x:c r="BN814" s="73"/>
    </x:row>
    <x:row r="815" ht="34" customHeight="1">
      <x:c r="A815" s="73"/>
      <x:c r="B815" s="73"/>
      <x:c r="C815" s="73"/>
      <x:c r="D815" s="73"/>
      <x:c r="E815" s="73"/>
      <x:c r="F815" s="73"/>
      <x:c r="G815" s="73"/>
      <x:c r="H815" s="73"/>
      <x:c r="I815" s="75"/>
      <x:c r="J815" s="73"/>
      <x:c r="K815" s="73"/>
      <x:c r="L815" s="76"/>
      <x:c r="M815" s="73"/>
      <x:c r="N815" s="73"/>
      <x:c r="O815" s="73"/>
      <x:c r="P815" s="73"/>
      <x:c r="Q815" s="76"/>
      <x:c r="R815" s="73"/>
      <x:c r="S815" s="73"/>
      <x:c r="T815" s="73"/>
      <x:c r="U815" s="73"/>
      <x:c r="V815" s="73"/>
      <x:c r="W815" s="73"/>
      <x:c r="X815" s="73"/>
      <x:c r="Y815" s="73"/>
      <x:c r="Z815" s="73"/>
      <x:c r="AA815" s="73"/>
      <x:c r="AB815" s="76" t="str">
        <x:f>IF(A815="","",IF(OR(NOT(ISNUMBER(I815)),I815&lt;0,NOT(ISNUMBER(AP815)),AP815&lt;0,NOT(ISNUMBER(L815)),L815&lt;1,L815&gt;5,L815&lt;&gt;INT(L815),AND(J815&lt;&gt;"Public",J815&lt;&gt;"Partner",J815&lt;&gt;"Internal",J815&lt;&gt;"None"),AND(K815&lt;&gt;"High",K815&lt;&gt;"Medium",K815&lt;&gt;"Low",K815&lt;&gt;"None"),AND(W815&lt;&gt;"Hard-coded",W815&lt;&gt;"Configurable",W815&lt;&gt;"Policy-managed",W815&lt;&gt;"API/Library abstraction",W815&lt;&gt;"Automated"),AND(Z815&lt;&gt;"Y",Z815&lt;&gt;"N"),AND(AA815&lt;&gt;"Y",AA815&lt;&gt;"N")),"Incomplete",IF(Z815="Y",20,0)+L815*5+IF(AA815="Y",15,0)+IF(J815="Public",10,IF(J815="Partner",7,IF(J815="Internal",3,0)))+IF(W815="Hard-coded",10,IF(W815="Configurable",3,0))+IF(MAX(I815,AP815)&gt;=10,10,IF(MAX(I815,AP815)&gt;=5,7,IF(MAX(I815,AP815)&gt;=2,3,0)))+IF(K815="High",10,IF(K815="Medium",5,0))))</x:f>
      </x:c>
      <x:c r="AC815" s="73" t="str">
        <x:f>IF(A815="","",IF(NOT(ISNUMBER(AB815)),"Review inputs",IF(AB815&gt;=70,"P0 - Immediate",IF(AB815&gt;=50,"P1 - High",IF(AB815&gt;=30,"P2 - Medium",IF(AB815&gt;=15,"P3 - Low","P4 - Monitor"))))))</x:f>
      </x:c>
      <x:c r="AD815" s="73"/>
      <x:c r="AE815" s="73"/>
      <x:c r="AF815" s="73"/>
      <x:c r="AG815" s="77"/>
      <x:c r="AH815" s="73"/>
      <x:c r="AI815" s="91"/>
      <x:c r="AJ815" s="91"/>
      <x:c r="AK815" s="91"/>
      <x:c r="AL815" s="92"/>
      <x:c r="AM815" s="91"/>
      <x:c r="AN815" s="91"/>
      <x:c r="AO815" s="93"/>
      <x:c r="AP815" s="94"/>
      <x:c r="AQ815" s="91"/>
      <x:c r="AR815" s="91"/>
      <x:c r="AS815" s="91"/>
      <x:c r="AT815" s="91"/>
      <x:c r="AU815" s="91"/>
      <x:c r="AV815" s="91"/>
      <x:c r="AW815" s="91"/>
      <x:c r="AX815" s="91"/>
      <x:c r="AY815" s="91"/>
      <x:c r="AZ815" s="92"/>
      <x:c r="BA815" s="94"/>
      <x:c r="BB815" s="91"/>
      <x:c r="BC815" s="92"/>
      <x:c r="BD815" s="92"/>
      <x:c r="BE815" s="91"/>
      <x:c r="BF815" s="91"/>
      <x:c r="BG815" s="91"/>
      <x:c r="BH815" s="91"/>
      <x:c r="BI815" s="91"/>
      <x:c r="BJ815" s="91"/>
      <x:c r="BK815" s="91"/>
      <x:c r="BL815" s="91"/>
      <x:c r="BM815" s="73" t="str">
        <x:f>IF(A815="","",IF(AI815="Example","Example only",IF(AI815&lt;&gt;"Actual","Set record type",IF(COUNTIF($A$2:$A$1001,A815)&gt;1,"Duplicate record ID",IF(OR(D815="",E815="",AF815="",NOT(ISNUMBER(AG815)),AJ815="",AK815="",NOT(ISNUMBER(AL815)),AND(AM815&lt;&gt;"Observed",AM815&lt;&gt;"Corroborated",AM815&lt;&gt;"Declared"),OR(AN815="",AN815="Unknown"),OR(AQ815="",AQ815="Unknown"),OR(AR815="",AR815="Unknown",AR815="TBD"),OR(BC815="",NOT(ISNUMBER(BC815)))),"Evidence incomplete","Evidence recorded; review scope")))))</x:f>
      </x:c>
      <x:c r="BN815" s="73"/>
    </x:row>
    <x:row r="816" ht="34" customHeight="1">
      <x:c r="A816" s="73"/>
      <x:c r="B816" s="73"/>
      <x:c r="C816" s="73"/>
      <x:c r="D816" s="73"/>
      <x:c r="E816" s="73"/>
      <x:c r="F816" s="73"/>
      <x:c r="G816" s="73"/>
      <x:c r="H816" s="73"/>
      <x:c r="I816" s="75"/>
      <x:c r="J816" s="73"/>
      <x:c r="K816" s="73"/>
      <x:c r="L816" s="76"/>
      <x:c r="M816" s="73"/>
      <x:c r="N816" s="73"/>
      <x:c r="O816" s="73"/>
      <x:c r="P816" s="73"/>
      <x:c r="Q816" s="76"/>
      <x:c r="R816" s="73"/>
      <x:c r="S816" s="73"/>
      <x:c r="T816" s="73"/>
      <x:c r="U816" s="73"/>
      <x:c r="V816" s="73"/>
      <x:c r="W816" s="73"/>
      <x:c r="X816" s="73"/>
      <x:c r="Y816" s="73"/>
      <x:c r="Z816" s="73"/>
      <x:c r="AA816" s="73"/>
      <x:c r="AB816" s="76" t="str">
        <x:f>IF(A816="","",IF(OR(NOT(ISNUMBER(I816)),I816&lt;0,NOT(ISNUMBER(AP816)),AP816&lt;0,NOT(ISNUMBER(L816)),L816&lt;1,L816&gt;5,L816&lt;&gt;INT(L816),AND(J816&lt;&gt;"Public",J816&lt;&gt;"Partner",J816&lt;&gt;"Internal",J816&lt;&gt;"None"),AND(K816&lt;&gt;"High",K816&lt;&gt;"Medium",K816&lt;&gt;"Low",K816&lt;&gt;"None"),AND(W816&lt;&gt;"Hard-coded",W816&lt;&gt;"Configurable",W816&lt;&gt;"Policy-managed",W816&lt;&gt;"API/Library abstraction",W816&lt;&gt;"Automated"),AND(Z816&lt;&gt;"Y",Z816&lt;&gt;"N"),AND(AA816&lt;&gt;"Y",AA816&lt;&gt;"N")),"Incomplete",IF(Z816="Y",20,0)+L816*5+IF(AA816="Y",15,0)+IF(J816="Public",10,IF(J816="Partner",7,IF(J816="Internal",3,0)))+IF(W816="Hard-coded",10,IF(W816="Configurable",3,0))+IF(MAX(I816,AP816)&gt;=10,10,IF(MAX(I816,AP816)&gt;=5,7,IF(MAX(I816,AP816)&gt;=2,3,0)))+IF(K816="High",10,IF(K816="Medium",5,0))))</x:f>
      </x:c>
      <x:c r="AC816" s="73" t="str">
        <x:f>IF(A816="","",IF(NOT(ISNUMBER(AB816)),"Review inputs",IF(AB816&gt;=70,"P0 - Immediate",IF(AB816&gt;=50,"P1 - High",IF(AB816&gt;=30,"P2 - Medium",IF(AB816&gt;=15,"P3 - Low","P4 - Monitor"))))))</x:f>
      </x:c>
      <x:c r="AD816" s="73"/>
      <x:c r="AE816" s="73"/>
      <x:c r="AF816" s="73"/>
      <x:c r="AG816" s="77"/>
      <x:c r="AH816" s="73"/>
      <x:c r="AI816" s="91"/>
      <x:c r="AJ816" s="91"/>
      <x:c r="AK816" s="91"/>
      <x:c r="AL816" s="92"/>
      <x:c r="AM816" s="91"/>
      <x:c r="AN816" s="91"/>
      <x:c r="AO816" s="93"/>
      <x:c r="AP816" s="94"/>
      <x:c r="AQ816" s="91"/>
      <x:c r="AR816" s="91"/>
      <x:c r="AS816" s="91"/>
      <x:c r="AT816" s="91"/>
      <x:c r="AU816" s="91"/>
      <x:c r="AV816" s="91"/>
      <x:c r="AW816" s="91"/>
      <x:c r="AX816" s="91"/>
      <x:c r="AY816" s="91"/>
      <x:c r="AZ816" s="92"/>
      <x:c r="BA816" s="94"/>
      <x:c r="BB816" s="91"/>
      <x:c r="BC816" s="92"/>
      <x:c r="BD816" s="92"/>
      <x:c r="BE816" s="91"/>
      <x:c r="BF816" s="91"/>
      <x:c r="BG816" s="91"/>
      <x:c r="BH816" s="91"/>
      <x:c r="BI816" s="91"/>
      <x:c r="BJ816" s="91"/>
      <x:c r="BK816" s="91"/>
      <x:c r="BL816" s="91"/>
      <x:c r="BM816" s="73" t="str">
        <x:f>IF(A816="","",IF(AI816="Example","Example only",IF(AI816&lt;&gt;"Actual","Set record type",IF(COUNTIF($A$2:$A$1001,A816)&gt;1,"Duplicate record ID",IF(OR(D816="",E816="",AF816="",NOT(ISNUMBER(AG816)),AJ816="",AK816="",NOT(ISNUMBER(AL816)),AND(AM816&lt;&gt;"Observed",AM816&lt;&gt;"Corroborated",AM816&lt;&gt;"Declared"),OR(AN816="",AN816="Unknown"),OR(AQ816="",AQ816="Unknown"),OR(AR816="",AR816="Unknown",AR816="TBD"),OR(BC816="",NOT(ISNUMBER(BC816)))),"Evidence incomplete","Evidence recorded; review scope")))))</x:f>
      </x:c>
      <x:c r="BN816" s="73"/>
    </x:row>
    <x:row r="817" ht="34" customHeight="1">
      <x:c r="A817" s="73"/>
      <x:c r="B817" s="73"/>
      <x:c r="C817" s="73"/>
      <x:c r="D817" s="73"/>
      <x:c r="E817" s="73"/>
      <x:c r="F817" s="73"/>
      <x:c r="G817" s="73"/>
      <x:c r="H817" s="73"/>
      <x:c r="I817" s="75"/>
      <x:c r="J817" s="73"/>
      <x:c r="K817" s="73"/>
      <x:c r="L817" s="76"/>
      <x:c r="M817" s="73"/>
      <x:c r="N817" s="73"/>
      <x:c r="O817" s="73"/>
      <x:c r="P817" s="73"/>
      <x:c r="Q817" s="76"/>
      <x:c r="R817" s="73"/>
      <x:c r="S817" s="73"/>
      <x:c r="T817" s="73"/>
      <x:c r="U817" s="73"/>
      <x:c r="V817" s="73"/>
      <x:c r="W817" s="73"/>
      <x:c r="X817" s="73"/>
      <x:c r="Y817" s="73"/>
      <x:c r="Z817" s="73"/>
      <x:c r="AA817" s="73"/>
      <x:c r="AB817" s="76" t="str">
        <x:f>IF(A817="","",IF(OR(NOT(ISNUMBER(I817)),I817&lt;0,NOT(ISNUMBER(AP817)),AP817&lt;0,NOT(ISNUMBER(L817)),L817&lt;1,L817&gt;5,L817&lt;&gt;INT(L817),AND(J817&lt;&gt;"Public",J817&lt;&gt;"Partner",J817&lt;&gt;"Internal",J817&lt;&gt;"None"),AND(K817&lt;&gt;"High",K817&lt;&gt;"Medium",K817&lt;&gt;"Low",K817&lt;&gt;"None"),AND(W817&lt;&gt;"Hard-coded",W817&lt;&gt;"Configurable",W817&lt;&gt;"Policy-managed",W817&lt;&gt;"API/Library abstraction",W817&lt;&gt;"Automated"),AND(Z817&lt;&gt;"Y",Z817&lt;&gt;"N"),AND(AA817&lt;&gt;"Y",AA817&lt;&gt;"N")),"Incomplete",IF(Z817="Y",20,0)+L817*5+IF(AA817="Y",15,0)+IF(J817="Public",10,IF(J817="Partner",7,IF(J817="Internal",3,0)))+IF(W817="Hard-coded",10,IF(W817="Configurable",3,0))+IF(MAX(I817,AP817)&gt;=10,10,IF(MAX(I817,AP817)&gt;=5,7,IF(MAX(I817,AP817)&gt;=2,3,0)))+IF(K817="High",10,IF(K817="Medium",5,0))))</x:f>
      </x:c>
      <x:c r="AC817" s="73" t="str">
        <x:f>IF(A817="","",IF(NOT(ISNUMBER(AB817)),"Review inputs",IF(AB817&gt;=70,"P0 - Immediate",IF(AB817&gt;=50,"P1 - High",IF(AB817&gt;=30,"P2 - Medium",IF(AB817&gt;=15,"P3 - Low","P4 - Monitor"))))))</x:f>
      </x:c>
      <x:c r="AD817" s="73"/>
      <x:c r="AE817" s="73"/>
      <x:c r="AF817" s="73"/>
      <x:c r="AG817" s="77"/>
      <x:c r="AH817" s="73"/>
      <x:c r="AI817" s="91"/>
      <x:c r="AJ817" s="91"/>
      <x:c r="AK817" s="91"/>
      <x:c r="AL817" s="92"/>
      <x:c r="AM817" s="91"/>
      <x:c r="AN817" s="91"/>
      <x:c r="AO817" s="93"/>
      <x:c r="AP817" s="94"/>
      <x:c r="AQ817" s="91"/>
      <x:c r="AR817" s="91"/>
      <x:c r="AS817" s="91"/>
      <x:c r="AT817" s="91"/>
      <x:c r="AU817" s="91"/>
      <x:c r="AV817" s="91"/>
      <x:c r="AW817" s="91"/>
      <x:c r="AX817" s="91"/>
      <x:c r="AY817" s="91"/>
      <x:c r="AZ817" s="92"/>
      <x:c r="BA817" s="94"/>
      <x:c r="BB817" s="91"/>
      <x:c r="BC817" s="92"/>
      <x:c r="BD817" s="92"/>
      <x:c r="BE817" s="91"/>
      <x:c r="BF817" s="91"/>
      <x:c r="BG817" s="91"/>
      <x:c r="BH817" s="91"/>
      <x:c r="BI817" s="91"/>
      <x:c r="BJ817" s="91"/>
      <x:c r="BK817" s="91"/>
      <x:c r="BL817" s="91"/>
      <x:c r="BM817" s="73" t="str">
        <x:f>IF(A817="","",IF(AI817="Example","Example only",IF(AI817&lt;&gt;"Actual","Set record type",IF(COUNTIF($A$2:$A$1001,A817)&gt;1,"Duplicate record ID",IF(OR(D817="",E817="",AF817="",NOT(ISNUMBER(AG817)),AJ817="",AK817="",NOT(ISNUMBER(AL817)),AND(AM817&lt;&gt;"Observed",AM817&lt;&gt;"Corroborated",AM817&lt;&gt;"Declared"),OR(AN817="",AN817="Unknown"),OR(AQ817="",AQ817="Unknown"),OR(AR817="",AR817="Unknown",AR817="TBD"),OR(BC817="",NOT(ISNUMBER(BC817)))),"Evidence incomplete","Evidence recorded; review scope")))))</x:f>
      </x:c>
      <x:c r="BN817" s="73"/>
    </x:row>
    <x:row r="818" ht="34" customHeight="1">
      <x:c r="A818" s="73"/>
      <x:c r="B818" s="73"/>
      <x:c r="C818" s="73"/>
      <x:c r="D818" s="73"/>
      <x:c r="E818" s="73"/>
      <x:c r="F818" s="73"/>
      <x:c r="G818" s="73"/>
      <x:c r="H818" s="73"/>
      <x:c r="I818" s="75"/>
      <x:c r="J818" s="73"/>
      <x:c r="K818" s="73"/>
      <x:c r="L818" s="76"/>
      <x:c r="M818" s="73"/>
      <x:c r="N818" s="73"/>
      <x:c r="O818" s="73"/>
      <x:c r="P818" s="73"/>
      <x:c r="Q818" s="76"/>
      <x:c r="R818" s="73"/>
      <x:c r="S818" s="73"/>
      <x:c r="T818" s="73"/>
      <x:c r="U818" s="73"/>
      <x:c r="V818" s="73"/>
      <x:c r="W818" s="73"/>
      <x:c r="X818" s="73"/>
      <x:c r="Y818" s="73"/>
      <x:c r="Z818" s="73"/>
      <x:c r="AA818" s="73"/>
      <x:c r="AB818" s="76" t="str">
        <x:f>IF(A818="","",IF(OR(NOT(ISNUMBER(I818)),I818&lt;0,NOT(ISNUMBER(AP818)),AP818&lt;0,NOT(ISNUMBER(L818)),L818&lt;1,L818&gt;5,L818&lt;&gt;INT(L818),AND(J818&lt;&gt;"Public",J818&lt;&gt;"Partner",J818&lt;&gt;"Internal",J818&lt;&gt;"None"),AND(K818&lt;&gt;"High",K818&lt;&gt;"Medium",K818&lt;&gt;"Low",K818&lt;&gt;"None"),AND(W818&lt;&gt;"Hard-coded",W818&lt;&gt;"Configurable",W818&lt;&gt;"Policy-managed",W818&lt;&gt;"API/Library abstraction",W818&lt;&gt;"Automated"),AND(Z818&lt;&gt;"Y",Z818&lt;&gt;"N"),AND(AA818&lt;&gt;"Y",AA818&lt;&gt;"N")),"Incomplete",IF(Z818="Y",20,0)+L818*5+IF(AA818="Y",15,0)+IF(J818="Public",10,IF(J818="Partner",7,IF(J818="Internal",3,0)))+IF(W818="Hard-coded",10,IF(W818="Configurable",3,0))+IF(MAX(I818,AP818)&gt;=10,10,IF(MAX(I818,AP818)&gt;=5,7,IF(MAX(I818,AP818)&gt;=2,3,0)))+IF(K818="High",10,IF(K818="Medium",5,0))))</x:f>
      </x:c>
      <x:c r="AC818" s="73" t="str">
        <x:f>IF(A818="","",IF(NOT(ISNUMBER(AB818)),"Review inputs",IF(AB818&gt;=70,"P0 - Immediate",IF(AB818&gt;=50,"P1 - High",IF(AB818&gt;=30,"P2 - Medium",IF(AB818&gt;=15,"P3 - Low","P4 - Monitor"))))))</x:f>
      </x:c>
      <x:c r="AD818" s="73"/>
      <x:c r="AE818" s="73"/>
      <x:c r="AF818" s="73"/>
      <x:c r="AG818" s="77"/>
      <x:c r="AH818" s="73"/>
      <x:c r="AI818" s="91"/>
      <x:c r="AJ818" s="91"/>
      <x:c r="AK818" s="91"/>
      <x:c r="AL818" s="92"/>
      <x:c r="AM818" s="91"/>
      <x:c r="AN818" s="91"/>
      <x:c r="AO818" s="93"/>
      <x:c r="AP818" s="94"/>
      <x:c r="AQ818" s="91"/>
      <x:c r="AR818" s="91"/>
      <x:c r="AS818" s="91"/>
      <x:c r="AT818" s="91"/>
      <x:c r="AU818" s="91"/>
      <x:c r="AV818" s="91"/>
      <x:c r="AW818" s="91"/>
      <x:c r="AX818" s="91"/>
      <x:c r="AY818" s="91"/>
      <x:c r="AZ818" s="92"/>
      <x:c r="BA818" s="94"/>
      <x:c r="BB818" s="91"/>
      <x:c r="BC818" s="92"/>
      <x:c r="BD818" s="92"/>
      <x:c r="BE818" s="91"/>
      <x:c r="BF818" s="91"/>
      <x:c r="BG818" s="91"/>
      <x:c r="BH818" s="91"/>
      <x:c r="BI818" s="91"/>
      <x:c r="BJ818" s="91"/>
      <x:c r="BK818" s="91"/>
      <x:c r="BL818" s="91"/>
      <x:c r="BM818" s="73" t="str">
        <x:f>IF(A818="","",IF(AI818="Example","Example only",IF(AI818&lt;&gt;"Actual","Set record type",IF(COUNTIF($A$2:$A$1001,A818)&gt;1,"Duplicate record ID",IF(OR(D818="",E818="",AF818="",NOT(ISNUMBER(AG818)),AJ818="",AK818="",NOT(ISNUMBER(AL818)),AND(AM818&lt;&gt;"Observed",AM818&lt;&gt;"Corroborated",AM818&lt;&gt;"Declared"),OR(AN818="",AN818="Unknown"),OR(AQ818="",AQ818="Unknown"),OR(AR818="",AR818="Unknown",AR818="TBD"),OR(BC818="",NOT(ISNUMBER(BC818)))),"Evidence incomplete","Evidence recorded; review scope")))))</x:f>
      </x:c>
      <x:c r="BN818" s="73"/>
    </x:row>
    <x:row r="819" ht="34" customHeight="1">
      <x:c r="A819" s="73"/>
      <x:c r="B819" s="73"/>
      <x:c r="C819" s="73"/>
      <x:c r="D819" s="73"/>
      <x:c r="E819" s="73"/>
      <x:c r="F819" s="73"/>
      <x:c r="G819" s="73"/>
      <x:c r="H819" s="73"/>
      <x:c r="I819" s="75"/>
      <x:c r="J819" s="73"/>
      <x:c r="K819" s="73"/>
      <x:c r="L819" s="76"/>
      <x:c r="M819" s="73"/>
      <x:c r="N819" s="73"/>
      <x:c r="O819" s="73"/>
      <x:c r="P819" s="73"/>
      <x:c r="Q819" s="76"/>
      <x:c r="R819" s="73"/>
      <x:c r="S819" s="73"/>
      <x:c r="T819" s="73"/>
      <x:c r="U819" s="73"/>
      <x:c r="V819" s="73"/>
      <x:c r="W819" s="73"/>
      <x:c r="X819" s="73"/>
      <x:c r="Y819" s="73"/>
      <x:c r="Z819" s="73"/>
      <x:c r="AA819" s="73"/>
      <x:c r="AB819" s="76" t="str">
        <x:f>IF(A819="","",IF(OR(NOT(ISNUMBER(I819)),I819&lt;0,NOT(ISNUMBER(AP819)),AP819&lt;0,NOT(ISNUMBER(L819)),L819&lt;1,L819&gt;5,L819&lt;&gt;INT(L819),AND(J819&lt;&gt;"Public",J819&lt;&gt;"Partner",J819&lt;&gt;"Internal",J819&lt;&gt;"None"),AND(K819&lt;&gt;"High",K819&lt;&gt;"Medium",K819&lt;&gt;"Low",K819&lt;&gt;"None"),AND(W819&lt;&gt;"Hard-coded",W819&lt;&gt;"Configurable",W819&lt;&gt;"Policy-managed",W819&lt;&gt;"API/Library abstraction",W819&lt;&gt;"Automated"),AND(Z819&lt;&gt;"Y",Z819&lt;&gt;"N"),AND(AA819&lt;&gt;"Y",AA819&lt;&gt;"N")),"Incomplete",IF(Z819="Y",20,0)+L819*5+IF(AA819="Y",15,0)+IF(J819="Public",10,IF(J819="Partner",7,IF(J819="Internal",3,0)))+IF(W819="Hard-coded",10,IF(W819="Configurable",3,0))+IF(MAX(I819,AP819)&gt;=10,10,IF(MAX(I819,AP819)&gt;=5,7,IF(MAX(I819,AP819)&gt;=2,3,0)))+IF(K819="High",10,IF(K819="Medium",5,0))))</x:f>
      </x:c>
      <x:c r="AC819" s="73" t="str">
        <x:f>IF(A819="","",IF(NOT(ISNUMBER(AB819)),"Review inputs",IF(AB819&gt;=70,"P0 - Immediate",IF(AB819&gt;=50,"P1 - High",IF(AB819&gt;=30,"P2 - Medium",IF(AB819&gt;=15,"P3 - Low","P4 - Monitor"))))))</x:f>
      </x:c>
      <x:c r="AD819" s="73"/>
      <x:c r="AE819" s="73"/>
      <x:c r="AF819" s="73"/>
      <x:c r="AG819" s="77"/>
      <x:c r="AH819" s="73"/>
      <x:c r="AI819" s="91"/>
      <x:c r="AJ819" s="91"/>
      <x:c r="AK819" s="91"/>
      <x:c r="AL819" s="92"/>
      <x:c r="AM819" s="91"/>
      <x:c r="AN819" s="91"/>
      <x:c r="AO819" s="93"/>
      <x:c r="AP819" s="94"/>
      <x:c r="AQ819" s="91"/>
      <x:c r="AR819" s="91"/>
      <x:c r="AS819" s="91"/>
      <x:c r="AT819" s="91"/>
      <x:c r="AU819" s="91"/>
      <x:c r="AV819" s="91"/>
      <x:c r="AW819" s="91"/>
      <x:c r="AX819" s="91"/>
      <x:c r="AY819" s="91"/>
      <x:c r="AZ819" s="92"/>
      <x:c r="BA819" s="94"/>
      <x:c r="BB819" s="91"/>
      <x:c r="BC819" s="92"/>
      <x:c r="BD819" s="92"/>
      <x:c r="BE819" s="91"/>
      <x:c r="BF819" s="91"/>
      <x:c r="BG819" s="91"/>
      <x:c r="BH819" s="91"/>
      <x:c r="BI819" s="91"/>
      <x:c r="BJ819" s="91"/>
      <x:c r="BK819" s="91"/>
      <x:c r="BL819" s="91"/>
      <x:c r="BM819" s="73" t="str">
        <x:f>IF(A819="","",IF(AI819="Example","Example only",IF(AI819&lt;&gt;"Actual","Set record type",IF(COUNTIF($A$2:$A$1001,A819)&gt;1,"Duplicate record ID",IF(OR(D819="",E819="",AF819="",NOT(ISNUMBER(AG819)),AJ819="",AK819="",NOT(ISNUMBER(AL819)),AND(AM819&lt;&gt;"Observed",AM819&lt;&gt;"Corroborated",AM819&lt;&gt;"Declared"),OR(AN819="",AN819="Unknown"),OR(AQ819="",AQ819="Unknown"),OR(AR819="",AR819="Unknown",AR819="TBD"),OR(BC819="",NOT(ISNUMBER(BC819)))),"Evidence incomplete","Evidence recorded; review scope")))))</x:f>
      </x:c>
      <x:c r="BN819" s="73"/>
    </x:row>
    <x:row r="820" ht="34" customHeight="1">
      <x:c r="A820" s="73"/>
      <x:c r="B820" s="73"/>
      <x:c r="C820" s="73"/>
      <x:c r="D820" s="73"/>
      <x:c r="E820" s="73"/>
      <x:c r="F820" s="73"/>
      <x:c r="G820" s="73"/>
      <x:c r="H820" s="73"/>
      <x:c r="I820" s="75"/>
      <x:c r="J820" s="73"/>
      <x:c r="K820" s="73"/>
      <x:c r="L820" s="76"/>
      <x:c r="M820" s="73"/>
      <x:c r="N820" s="73"/>
      <x:c r="O820" s="73"/>
      <x:c r="P820" s="73"/>
      <x:c r="Q820" s="76"/>
      <x:c r="R820" s="73"/>
      <x:c r="S820" s="73"/>
      <x:c r="T820" s="73"/>
      <x:c r="U820" s="73"/>
      <x:c r="V820" s="73"/>
      <x:c r="W820" s="73"/>
      <x:c r="X820" s="73"/>
      <x:c r="Y820" s="73"/>
      <x:c r="Z820" s="73"/>
      <x:c r="AA820" s="73"/>
      <x:c r="AB820" s="76" t="str">
        <x:f>IF(A820="","",IF(OR(NOT(ISNUMBER(I820)),I820&lt;0,NOT(ISNUMBER(AP820)),AP820&lt;0,NOT(ISNUMBER(L820)),L820&lt;1,L820&gt;5,L820&lt;&gt;INT(L820),AND(J820&lt;&gt;"Public",J820&lt;&gt;"Partner",J820&lt;&gt;"Internal",J820&lt;&gt;"None"),AND(K820&lt;&gt;"High",K820&lt;&gt;"Medium",K820&lt;&gt;"Low",K820&lt;&gt;"None"),AND(W820&lt;&gt;"Hard-coded",W820&lt;&gt;"Configurable",W820&lt;&gt;"Policy-managed",W820&lt;&gt;"API/Library abstraction",W820&lt;&gt;"Automated"),AND(Z820&lt;&gt;"Y",Z820&lt;&gt;"N"),AND(AA820&lt;&gt;"Y",AA820&lt;&gt;"N")),"Incomplete",IF(Z820="Y",20,0)+L820*5+IF(AA820="Y",15,0)+IF(J820="Public",10,IF(J820="Partner",7,IF(J820="Internal",3,0)))+IF(W820="Hard-coded",10,IF(W820="Configurable",3,0))+IF(MAX(I820,AP820)&gt;=10,10,IF(MAX(I820,AP820)&gt;=5,7,IF(MAX(I820,AP820)&gt;=2,3,0)))+IF(K820="High",10,IF(K820="Medium",5,0))))</x:f>
      </x:c>
      <x:c r="AC820" s="73" t="str">
        <x:f>IF(A820="","",IF(NOT(ISNUMBER(AB820)),"Review inputs",IF(AB820&gt;=70,"P0 - Immediate",IF(AB820&gt;=50,"P1 - High",IF(AB820&gt;=30,"P2 - Medium",IF(AB820&gt;=15,"P3 - Low","P4 - Monitor"))))))</x:f>
      </x:c>
      <x:c r="AD820" s="73"/>
      <x:c r="AE820" s="73"/>
      <x:c r="AF820" s="73"/>
      <x:c r="AG820" s="77"/>
      <x:c r="AH820" s="73"/>
      <x:c r="AI820" s="91"/>
      <x:c r="AJ820" s="91"/>
      <x:c r="AK820" s="91"/>
      <x:c r="AL820" s="92"/>
      <x:c r="AM820" s="91"/>
      <x:c r="AN820" s="91"/>
      <x:c r="AO820" s="93"/>
      <x:c r="AP820" s="94"/>
      <x:c r="AQ820" s="91"/>
      <x:c r="AR820" s="91"/>
      <x:c r="AS820" s="91"/>
      <x:c r="AT820" s="91"/>
      <x:c r="AU820" s="91"/>
      <x:c r="AV820" s="91"/>
      <x:c r="AW820" s="91"/>
      <x:c r="AX820" s="91"/>
      <x:c r="AY820" s="91"/>
      <x:c r="AZ820" s="92"/>
      <x:c r="BA820" s="94"/>
      <x:c r="BB820" s="91"/>
      <x:c r="BC820" s="92"/>
      <x:c r="BD820" s="92"/>
      <x:c r="BE820" s="91"/>
      <x:c r="BF820" s="91"/>
      <x:c r="BG820" s="91"/>
      <x:c r="BH820" s="91"/>
      <x:c r="BI820" s="91"/>
      <x:c r="BJ820" s="91"/>
      <x:c r="BK820" s="91"/>
      <x:c r="BL820" s="91"/>
      <x:c r="BM820" s="73" t="str">
        <x:f>IF(A820="","",IF(AI820="Example","Example only",IF(AI820&lt;&gt;"Actual","Set record type",IF(COUNTIF($A$2:$A$1001,A820)&gt;1,"Duplicate record ID",IF(OR(D820="",E820="",AF820="",NOT(ISNUMBER(AG820)),AJ820="",AK820="",NOT(ISNUMBER(AL820)),AND(AM820&lt;&gt;"Observed",AM820&lt;&gt;"Corroborated",AM820&lt;&gt;"Declared"),OR(AN820="",AN820="Unknown"),OR(AQ820="",AQ820="Unknown"),OR(AR820="",AR820="Unknown",AR820="TBD"),OR(BC820="",NOT(ISNUMBER(BC820)))),"Evidence incomplete","Evidence recorded; review scope")))))</x:f>
      </x:c>
      <x:c r="BN820" s="73"/>
    </x:row>
    <x:row r="821" ht="34" customHeight="1">
      <x:c r="A821" s="73"/>
      <x:c r="B821" s="73"/>
      <x:c r="C821" s="73"/>
      <x:c r="D821" s="73"/>
      <x:c r="E821" s="73"/>
      <x:c r="F821" s="73"/>
      <x:c r="G821" s="73"/>
      <x:c r="H821" s="73"/>
      <x:c r="I821" s="75"/>
      <x:c r="J821" s="73"/>
      <x:c r="K821" s="73"/>
      <x:c r="L821" s="76"/>
      <x:c r="M821" s="73"/>
      <x:c r="N821" s="73"/>
      <x:c r="O821" s="73"/>
      <x:c r="P821" s="73"/>
      <x:c r="Q821" s="76"/>
      <x:c r="R821" s="73"/>
      <x:c r="S821" s="73"/>
      <x:c r="T821" s="73"/>
      <x:c r="U821" s="73"/>
      <x:c r="V821" s="73"/>
      <x:c r="W821" s="73"/>
      <x:c r="X821" s="73"/>
      <x:c r="Y821" s="73"/>
      <x:c r="Z821" s="73"/>
      <x:c r="AA821" s="73"/>
      <x:c r="AB821" s="76" t="str">
        <x:f>IF(A821="","",IF(OR(NOT(ISNUMBER(I821)),I821&lt;0,NOT(ISNUMBER(AP821)),AP821&lt;0,NOT(ISNUMBER(L821)),L821&lt;1,L821&gt;5,L821&lt;&gt;INT(L821),AND(J821&lt;&gt;"Public",J821&lt;&gt;"Partner",J821&lt;&gt;"Internal",J821&lt;&gt;"None"),AND(K821&lt;&gt;"High",K821&lt;&gt;"Medium",K821&lt;&gt;"Low",K821&lt;&gt;"None"),AND(W821&lt;&gt;"Hard-coded",W821&lt;&gt;"Configurable",W821&lt;&gt;"Policy-managed",W821&lt;&gt;"API/Library abstraction",W821&lt;&gt;"Automated"),AND(Z821&lt;&gt;"Y",Z821&lt;&gt;"N"),AND(AA821&lt;&gt;"Y",AA821&lt;&gt;"N")),"Incomplete",IF(Z821="Y",20,0)+L821*5+IF(AA821="Y",15,0)+IF(J821="Public",10,IF(J821="Partner",7,IF(J821="Internal",3,0)))+IF(W821="Hard-coded",10,IF(W821="Configurable",3,0))+IF(MAX(I821,AP821)&gt;=10,10,IF(MAX(I821,AP821)&gt;=5,7,IF(MAX(I821,AP821)&gt;=2,3,0)))+IF(K821="High",10,IF(K821="Medium",5,0))))</x:f>
      </x:c>
      <x:c r="AC821" s="73" t="str">
        <x:f>IF(A821="","",IF(NOT(ISNUMBER(AB821)),"Review inputs",IF(AB821&gt;=70,"P0 - Immediate",IF(AB821&gt;=50,"P1 - High",IF(AB821&gt;=30,"P2 - Medium",IF(AB821&gt;=15,"P3 - Low","P4 - Monitor"))))))</x:f>
      </x:c>
      <x:c r="AD821" s="73"/>
      <x:c r="AE821" s="73"/>
      <x:c r="AF821" s="73"/>
      <x:c r="AG821" s="77"/>
      <x:c r="AH821" s="73"/>
      <x:c r="AI821" s="91"/>
      <x:c r="AJ821" s="91"/>
      <x:c r="AK821" s="91"/>
      <x:c r="AL821" s="92"/>
      <x:c r="AM821" s="91"/>
      <x:c r="AN821" s="91"/>
      <x:c r="AO821" s="93"/>
      <x:c r="AP821" s="94"/>
      <x:c r="AQ821" s="91"/>
      <x:c r="AR821" s="91"/>
      <x:c r="AS821" s="91"/>
      <x:c r="AT821" s="91"/>
      <x:c r="AU821" s="91"/>
      <x:c r="AV821" s="91"/>
      <x:c r="AW821" s="91"/>
      <x:c r="AX821" s="91"/>
      <x:c r="AY821" s="91"/>
      <x:c r="AZ821" s="92"/>
      <x:c r="BA821" s="94"/>
      <x:c r="BB821" s="91"/>
      <x:c r="BC821" s="92"/>
      <x:c r="BD821" s="92"/>
      <x:c r="BE821" s="91"/>
      <x:c r="BF821" s="91"/>
      <x:c r="BG821" s="91"/>
      <x:c r="BH821" s="91"/>
      <x:c r="BI821" s="91"/>
      <x:c r="BJ821" s="91"/>
      <x:c r="BK821" s="91"/>
      <x:c r="BL821" s="91"/>
      <x:c r="BM821" s="73" t="str">
        <x:f>IF(A821="","",IF(AI821="Example","Example only",IF(AI821&lt;&gt;"Actual","Set record type",IF(COUNTIF($A$2:$A$1001,A821)&gt;1,"Duplicate record ID",IF(OR(D821="",E821="",AF821="",NOT(ISNUMBER(AG821)),AJ821="",AK821="",NOT(ISNUMBER(AL821)),AND(AM821&lt;&gt;"Observed",AM821&lt;&gt;"Corroborated",AM821&lt;&gt;"Declared"),OR(AN821="",AN821="Unknown"),OR(AQ821="",AQ821="Unknown"),OR(AR821="",AR821="Unknown",AR821="TBD"),OR(BC821="",NOT(ISNUMBER(BC821)))),"Evidence incomplete","Evidence recorded; review scope")))))</x:f>
      </x:c>
      <x:c r="BN821" s="73"/>
    </x:row>
    <x:row r="822" ht="34" customHeight="1">
      <x:c r="A822" s="73"/>
      <x:c r="B822" s="73"/>
      <x:c r="C822" s="73"/>
      <x:c r="D822" s="73"/>
      <x:c r="E822" s="73"/>
      <x:c r="F822" s="73"/>
      <x:c r="G822" s="73"/>
      <x:c r="H822" s="73"/>
      <x:c r="I822" s="75"/>
      <x:c r="J822" s="73"/>
      <x:c r="K822" s="73"/>
      <x:c r="L822" s="76"/>
      <x:c r="M822" s="73"/>
      <x:c r="N822" s="73"/>
      <x:c r="O822" s="73"/>
      <x:c r="P822" s="73"/>
      <x:c r="Q822" s="76"/>
      <x:c r="R822" s="73"/>
      <x:c r="S822" s="73"/>
      <x:c r="T822" s="73"/>
      <x:c r="U822" s="73"/>
      <x:c r="V822" s="73"/>
      <x:c r="W822" s="73"/>
      <x:c r="X822" s="73"/>
      <x:c r="Y822" s="73"/>
      <x:c r="Z822" s="73"/>
      <x:c r="AA822" s="73"/>
      <x:c r="AB822" s="76" t="str">
        <x:f>IF(A822="","",IF(OR(NOT(ISNUMBER(I822)),I822&lt;0,NOT(ISNUMBER(AP822)),AP822&lt;0,NOT(ISNUMBER(L822)),L822&lt;1,L822&gt;5,L822&lt;&gt;INT(L822),AND(J822&lt;&gt;"Public",J822&lt;&gt;"Partner",J822&lt;&gt;"Internal",J822&lt;&gt;"None"),AND(K822&lt;&gt;"High",K822&lt;&gt;"Medium",K822&lt;&gt;"Low",K822&lt;&gt;"None"),AND(W822&lt;&gt;"Hard-coded",W822&lt;&gt;"Configurable",W822&lt;&gt;"Policy-managed",W822&lt;&gt;"API/Library abstraction",W822&lt;&gt;"Automated"),AND(Z822&lt;&gt;"Y",Z822&lt;&gt;"N"),AND(AA822&lt;&gt;"Y",AA822&lt;&gt;"N")),"Incomplete",IF(Z822="Y",20,0)+L822*5+IF(AA822="Y",15,0)+IF(J822="Public",10,IF(J822="Partner",7,IF(J822="Internal",3,0)))+IF(W822="Hard-coded",10,IF(W822="Configurable",3,0))+IF(MAX(I822,AP822)&gt;=10,10,IF(MAX(I822,AP822)&gt;=5,7,IF(MAX(I822,AP822)&gt;=2,3,0)))+IF(K822="High",10,IF(K822="Medium",5,0))))</x:f>
      </x:c>
      <x:c r="AC822" s="73" t="str">
        <x:f>IF(A822="","",IF(NOT(ISNUMBER(AB822)),"Review inputs",IF(AB822&gt;=70,"P0 - Immediate",IF(AB822&gt;=50,"P1 - High",IF(AB822&gt;=30,"P2 - Medium",IF(AB822&gt;=15,"P3 - Low","P4 - Monitor"))))))</x:f>
      </x:c>
      <x:c r="AD822" s="73"/>
      <x:c r="AE822" s="73"/>
      <x:c r="AF822" s="73"/>
      <x:c r="AG822" s="77"/>
      <x:c r="AH822" s="73"/>
      <x:c r="AI822" s="91"/>
      <x:c r="AJ822" s="91"/>
      <x:c r="AK822" s="91"/>
      <x:c r="AL822" s="92"/>
      <x:c r="AM822" s="91"/>
      <x:c r="AN822" s="91"/>
      <x:c r="AO822" s="93"/>
      <x:c r="AP822" s="94"/>
      <x:c r="AQ822" s="91"/>
      <x:c r="AR822" s="91"/>
      <x:c r="AS822" s="91"/>
      <x:c r="AT822" s="91"/>
      <x:c r="AU822" s="91"/>
      <x:c r="AV822" s="91"/>
      <x:c r="AW822" s="91"/>
      <x:c r="AX822" s="91"/>
      <x:c r="AY822" s="91"/>
      <x:c r="AZ822" s="92"/>
      <x:c r="BA822" s="94"/>
      <x:c r="BB822" s="91"/>
      <x:c r="BC822" s="92"/>
      <x:c r="BD822" s="92"/>
      <x:c r="BE822" s="91"/>
      <x:c r="BF822" s="91"/>
      <x:c r="BG822" s="91"/>
      <x:c r="BH822" s="91"/>
      <x:c r="BI822" s="91"/>
      <x:c r="BJ822" s="91"/>
      <x:c r="BK822" s="91"/>
      <x:c r="BL822" s="91"/>
      <x:c r="BM822" s="73" t="str">
        <x:f>IF(A822="","",IF(AI822="Example","Example only",IF(AI822&lt;&gt;"Actual","Set record type",IF(COUNTIF($A$2:$A$1001,A822)&gt;1,"Duplicate record ID",IF(OR(D822="",E822="",AF822="",NOT(ISNUMBER(AG822)),AJ822="",AK822="",NOT(ISNUMBER(AL822)),AND(AM822&lt;&gt;"Observed",AM822&lt;&gt;"Corroborated",AM822&lt;&gt;"Declared"),OR(AN822="",AN822="Unknown"),OR(AQ822="",AQ822="Unknown"),OR(AR822="",AR822="Unknown",AR822="TBD"),OR(BC822="",NOT(ISNUMBER(BC822)))),"Evidence incomplete","Evidence recorded; review scope")))))</x:f>
      </x:c>
      <x:c r="BN822" s="73"/>
    </x:row>
    <x:row r="823" ht="34" customHeight="1">
      <x:c r="A823" s="73"/>
      <x:c r="B823" s="73"/>
      <x:c r="C823" s="73"/>
      <x:c r="D823" s="73"/>
      <x:c r="E823" s="73"/>
      <x:c r="F823" s="73"/>
      <x:c r="G823" s="73"/>
      <x:c r="H823" s="73"/>
      <x:c r="I823" s="75"/>
      <x:c r="J823" s="73"/>
      <x:c r="K823" s="73"/>
      <x:c r="L823" s="76"/>
      <x:c r="M823" s="73"/>
      <x:c r="N823" s="73"/>
      <x:c r="O823" s="73"/>
      <x:c r="P823" s="73"/>
      <x:c r="Q823" s="76"/>
      <x:c r="R823" s="73"/>
      <x:c r="S823" s="73"/>
      <x:c r="T823" s="73"/>
      <x:c r="U823" s="73"/>
      <x:c r="V823" s="73"/>
      <x:c r="W823" s="73"/>
      <x:c r="X823" s="73"/>
      <x:c r="Y823" s="73"/>
      <x:c r="Z823" s="73"/>
      <x:c r="AA823" s="73"/>
      <x:c r="AB823" s="76" t="str">
        <x:f>IF(A823="","",IF(OR(NOT(ISNUMBER(I823)),I823&lt;0,NOT(ISNUMBER(AP823)),AP823&lt;0,NOT(ISNUMBER(L823)),L823&lt;1,L823&gt;5,L823&lt;&gt;INT(L823),AND(J823&lt;&gt;"Public",J823&lt;&gt;"Partner",J823&lt;&gt;"Internal",J823&lt;&gt;"None"),AND(K823&lt;&gt;"High",K823&lt;&gt;"Medium",K823&lt;&gt;"Low",K823&lt;&gt;"None"),AND(W823&lt;&gt;"Hard-coded",W823&lt;&gt;"Configurable",W823&lt;&gt;"Policy-managed",W823&lt;&gt;"API/Library abstraction",W823&lt;&gt;"Automated"),AND(Z823&lt;&gt;"Y",Z823&lt;&gt;"N"),AND(AA823&lt;&gt;"Y",AA823&lt;&gt;"N")),"Incomplete",IF(Z823="Y",20,0)+L823*5+IF(AA823="Y",15,0)+IF(J823="Public",10,IF(J823="Partner",7,IF(J823="Internal",3,0)))+IF(W823="Hard-coded",10,IF(W823="Configurable",3,0))+IF(MAX(I823,AP823)&gt;=10,10,IF(MAX(I823,AP823)&gt;=5,7,IF(MAX(I823,AP823)&gt;=2,3,0)))+IF(K823="High",10,IF(K823="Medium",5,0))))</x:f>
      </x:c>
      <x:c r="AC823" s="73" t="str">
        <x:f>IF(A823="","",IF(NOT(ISNUMBER(AB823)),"Review inputs",IF(AB823&gt;=70,"P0 - Immediate",IF(AB823&gt;=50,"P1 - High",IF(AB823&gt;=30,"P2 - Medium",IF(AB823&gt;=15,"P3 - Low","P4 - Monitor"))))))</x:f>
      </x:c>
      <x:c r="AD823" s="73"/>
      <x:c r="AE823" s="73"/>
      <x:c r="AF823" s="73"/>
      <x:c r="AG823" s="77"/>
      <x:c r="AH823" s="73"/>
      <x:c r="AI823" s="91"/>
      <x:c r="AJ823" s="91"/>
      <x:c r="AK823" s="91"/>
      <x:c r="AL823" s="92"/>
      <x:c r="AM823" s="91"/>
      <x:c r="AN823" s="91"/>
      <x:c r="AO823" s="93"/>
      <x:c r="AP823" s="94"/>
      <x:c r="AQ823" s="91"/>
      <x:c r="AR823" s="91"/>
      <x:c r="AS823" s="91"/>
      <x:c r="AT823" s="91"/>
      <x:c r="AU823" s="91"/>
      <x:c r="AV823" s="91"/>
      <x:c r="AW823" s="91"/>
      <x:c r="AX823" s="91"/>
      <x:c r="AY823" s="91"/>
      <x:c r="AZ823" s="92"/>
      <x:c r="BA823" s="94"/>
      <x:c r="BB823" s="91"/>
      <x:c r="BC823" s="92"/>
      <x:c r="BD823" s="92"/>
      <x:c r="BE823" s="91"/>
      <x:c r="BF823" s="91"/>
      <x:c r="BG823" s="91"/>
      <x:c r="BH823" s="91"/>
      <x:c r="BI823" s="91"/>
      <x:c r="BJ823" s="91"/>
      <x:c r="BK823" s="91"/>
      <x:c r="BL823" s="91"/>
      <x:c r="BM823" s="73" t="str">
        <x:f>IF(A823="","",IF(AI823="Example","Example only",IF(AI823&lt;&gt;"Actual","Set record type",IF(COUNTIF($A$2:$A$1001,A823)&gt;1,"Duplicate record ID",IF(OR(D823="",E823="",AF823="",NOT(ISNUMBER(AG823)),AJ823="",AK823="",NOT(ISNUMBER(AL823)),AND(AM823&lt;&gt;"Observed",AM823&lt;&gt;"Corroborated",AM823&lt;&gt;"Declared"),OR(AN823="",AN823="Unknown"),OR(AQ823="",AQ823="Unknown"),OR(AR823="",AR823="Unknown",AR823="TBD"),OR(BC823="",NOT(ISNUMBER(BC823)))),"Evidence incomplete","Evidence recorded; review scope")))))</x:f>
      </x:c>
      <x:c r="BN823" s="73"/>
    </x:row>
    <x:row r="824" ht="34" customHeight="1">
      <x:c r="A824" s="73"/>
      <x:c r="B824" s="73"/>
      <x:c r="C824" s="73"/>
      <x:c r="D824" s="73"/>
      <x:c r="E824" s="73"/>
      <x:c r="F824" s="73"/>
      <x:c r="G824" s="73"/>
      <x:c r="H824" s="73"/>
      <x:c r="I824" s="75"/>
      <x:c r="J824" s="73"/>
      <x:c r="K824" s="73"/>
      <x:c r="L824" s="76"/>
      <x:c r="M824" s="73"/>
      <x:c r="N824" s="73"/>
      <x:c r="O824" s="73"/>
      <x:c r="P824" s="73"/>
      <x:c r="Q824" s="76"/>
      <x:c r="R824" s="73"/>
      <x:c r="S824" s="73"/>
      <x:c r="T824" s="73"/>
      <x:c r="U824" s="73"/>
      <x:c r="V824" s="73"/>
      <x:c r="W824" s="73"/>
      <x:c r="X824" s="73"/>
      <x:c r="Y824" s="73"/>
      <x:c r="Z824" s="73"/>
      <x:c r="AA824" s="73"/>
      <x:c r="AB824" s="76" t="str">
        <x:f>IF(A824="","",IF(OR(NOT(ISNUMBER(I824)),I824&lt;0,NOT(ISNUMBER(AP824)),AP824&lt;0,NOT(ISNUMBER(L824)),L824&lt;1,L824&gt;5,L824&lt;&gt;INT(L824),AND(J824&lt;&gt;"Public",J824&lt;&gt;"Partner",J824&lt;&gt;"Internal",J824&lt;&gt;"None"),AND(K824&lt;&gt;"High",K824&lt;&gt;"Medium",K824&lt;&gt;"Low",K824&lt;&gt;"None"),AND(W824&lt;&gt;"Hard-coded",W824&lt;&gt;"Configurable",W824&lt;&gt;"Policy-managed",W824&lt;&gt;"API/Library abstraction",W824&lt;&gt;"Automated"),AND(Z824&lt;&gt;"Y",Z824&lt;&gt;"N"),AND(AA824&lt;&gt;"Y",AA824&lt;&gt;"N")),"Incomplete",IF(Z824="Y",20,0)+L824*5+IF(AA824="Y",15,0)+IF(J824="Public",10,IF(J824="Partner",7,IF(J824="Internal",3,0)))+IF(W824="Hard-coded",10,IF(W824="Configurable",3,0))+IF(MAX(I824,AP824)&gt;=10,10,IF(MAX(I824,AP824)&gt;=5,7,IF(MAX(I824,AP824)&gt;=2,3,0)))+IF(K824="High",10,IF(K824="Medium",5,0))))</x:f>
      </x:c>
      <x:c r="AC824" s="73" t="str">
        <x:f>IF(A824="","",IF(NOT(ISNUMBER(AB824)),"Review inputs",IF(AB824&gt;=70,"P0 - Immediate",IF(AB824&gt;=50,"P1 - High",IF(AB824&gt;=30,"P2 - Medium",IF(AB824&gt;=15,"P3 - Low","P4 - Monitor"))))))</x:f>
      </x:c>
      <x:c r="AD824" s="73"/>
      <x:c r="AE824" s="73"/>
      <x:c r="AF824" s="73"/>
      <x:c r="AG824" s="77"/>
      <x:c r="AH824" s="73"/>
      <x:c r="AI824" s="91"/>
      <x:c r="AJ824" s="91"/>
      <x:c r="AK824" s="91"/>
      <x:c r="AL824" s="92"/>
      <x:c r="AM824" s="91"/>
      <x:c r="AN824" s="91"/>
      <x:c r="AO824" s="93"/>
      <x:c r="AP824" s="94"/>
      <x:c r="AQ824" s="91"/>
      <x:c r="AR824" s="91"/>
      <x:c r="AS824" s="91"/>
      <x:c r="AT824" s="91"/>
      <x:c r="AU824" s="91"/>
      <x:c r="AV824" s="91"/>
      <x:c r="AW824" s="91"/>
      <x:c r="AX824" s="91"/>
      <x:c r="AY824" s="91"/>
      <x:c r="AZ824" s="92"/>
      <x:c r="BA824" s="94"/>
      <x:c r="BB824" s="91"/>
      <x:c r="BC824" s="92"/>
      <x:c r="BD824" s="92"/>
      <x:c r="BE824" s="91"/>
      <x:c r="BF824" s="91"/>
      <x:c r="BG824" s="91"/>
      <x:c r="BH824" s="91"/>
      <x:c r="BI824" s="91"/>
      <x:c r="BJ824" s="91"/>
      <x:c r="BK824" s="91"/>
      <x:c r="BL824" s="91"/>
      <x:c r="BM824" s="73" t="str">
        <x:f>IF(A824="","",IF(AI824="Example","Example only",IF(AI824&lt;&gt;"Actual","Set record type",IF(COUNTIF($A$2:$A$1001,A824)&gt;1,"Duplicate record ID",IF(OR(D824="",E824="",AF824="",NOT(ISNUMBER(AG824)),AJ824="",AK824="",NOT(ISNUMBER(AL824)),AND(AM824&lt;&gt;"Observed",AM824&lt;&gt;"Corroborated",AM824&lt;&gt;"Declared"),OR(AN824="",AN824="Unknown"),OR(AQ824="",AQ824="Unknown"),OR(AR824="",AR824="Unknown",AR824="TBD"),OR(BC824="",NOT(ISNUMBER(BC824)))),"Evidence incomplete","Evidence recorded; review scope")))))</x:f>
      </x:c>
      <x:c r="BN824" s="73"/>
    </x:row>
    <x:row r="825" ht="34" customHeight="1">
      <x:c r="A825" s="73"/>
      <x:c r="B825" s="73"/>
      <x:c r="C825" s="73"/>
      <x:c r="D825" s="73"/>
      <x:c r="E825" s="73"/>
      <x:c r="F825" s="73"/>
      <x:c r="G825" s="73"/>
      <x:c r="H825" s="73"/>
      <x:c r="I825" s="75"/>
      <x:c r="J825" s="73"/>
      <x:c r="K825" s="73"/>
      <x:c r="L825" s="76"/>
      <x:c r="M825" s="73"/>
      <x:c r="N825" s="73"/>
      <x:c r="O825" s="73"/>
      <x:c r="P825" s="73"/>
      <x:c r="Q825" s="76"/>
      <x:c r="R825" s="73"/>
      <x:c r="S825" s="73"/>
      <x:c r="T825" s="73"/>
      <x:c r="U825" s="73"/>
      <x:c r="V825" s="73"/>
      <x:c r="W825" s="73"/>
      <x:c r="X825" s="73"/>
      <x:c r="Y825" s="73"/>
      <x:c r="Z825" s="73"/>
      <x:c r="AA825" s="73"/>
      <x:c r="AB825" s="76" t="str">
        <x:f>IF(A825="","",IF(OR(NOT(ISNUMBER(I825)),I825&lt;0,NOT(ISNUMBER(AP825)),AP825&lt;0,NOT(ISNUMBER(L825)),L825&lt;1,L825&gt;5,L825&lt;&gt;INT(L825),AND(J825&lt;&gt;"Public",J825&lt;&gt;"Partner",J825&lt;&gt;"Internal",J825&lt;&gt;"None"),AND(K825&lt;&gt;"High",K825&lt;&gt;"Medium",K825&lt;&gt;"Low",K825&lt;&gt;"None"),AND(W825&lt;&gt;"Hard-coded",W825&lt;&gt;"Configurable",W825&lt;&gt;"Policy-managed",W825&lt;&gt;"API/Library abstraction",W825&lt;&gt;"Automated"),AND(Z825&lt;&gt;"Y",Z825&lt;&gt;"N"),AND(AA825&lt;&gt;"Y",AA825&lt;&gt;"N")),"Incomplete",IF(Z825="Y",20,0)+L825*5+IF(AA825="Y",15,0)+IF(J825="Public",10,IF(J825="Partner",7,IF(J825="Internal",3,0)))+IF(W825="Hard-coded",10,IF(W825="Configurable",3,0))+IF(MAX(I825,AP825)&gt;=10,10,IF(MAX(I825,AP825)&gt;=5,7,IF(MAX(I825,AP825)&gt;=2,3,0)))+IF(K825="High",10,IF(K825="Medium",5,0))))</x:f>
      </x:c>
      <x:c r="AC825" s="73" t="str">
        <x:f>IF(A825="","",IF(NOT(ISNUMBER(AB825)),"Review inputs",IF(AB825&gt;=70,"P0 - Immediate",IF(AB825&gt;=50,"P1 - High",IF(AB825&gt;=30,"P2 - Medium",IF(AB825&gt;=15,"P3 - Low","P4 - Monitor"))))))</x:f>
      </x:c>
      <x:c r="AD825" s="73"/>
      <x:c r="AE825" s="73"/>
      <x:c r="AF825" s="73"/>
      <x:c r="AG825" s="77"/>
      <x:c r="AH825" s="73"/>
      <x:c r="AI825" s="91"/>
      <x:c r="AJ825" s="91"/>
      <x:c r="AK825" s="91"/>
      <x:c r="AL825" s="92"/>
      <x:c r="AM825" s="91"/>
      <x:c r="AN825" s="91"/>
      <x:c r="AO825" s="93"/>
      <x:c r="AP825" s="94"/>
      <x:c r="AQ825" s="91"/>
      <x:c r="AR825" s="91"/>
      <x:c r="AS825" s="91"/>
      <x:c r="AT825" s="91"/>
      <x:c r="AU825" s="91"/>
      <x:c r="AV825" s="91"/>
      <x:c r="AW825" s="91"/>
      <x:c r="AX825" s="91"/>
      <x:c r="AY825" s="91"/>
      <x:c r="AZ825" s="92"/>
      <x:c r="BA825" s="94"/>
      <x:c r="BB825" s="91"/>
      <x:c r="BC825" s="92"/>
      <x:c r="BD825" s="92"/>
      <x:c r="BE825" s="91"/>
      <x:c r="BF825" s="91"/>
      <x:c r="BG825" s="91"/>
      <x:c r="BH825" s="91"/>
      <x:c r="BI825" s="91"/>
      <x:c r="BJ825" s="91"/>
      <x:c r="BK825" s="91"/>
      <x:c r="BL825" s="91"/>
      <x:c r="BM825" s="73" t="str">
        <x:f>IF(A825="","",IF(AI825="Example","Example only",IF(AI825&lt;&gt;"Actual","Set record type",IF(COUNTIF($A$2:$A$1001,A825)&gt;1,"Duplicate record ID",IF(OR(D825="",E825="",AF825="",NOT(ISNUMBER(AG825)),AJ825="",AK825="",NOT(ISNUMBER(AL825)),AND(AM825&lt;&gt;"Observed",AM825&lt;&gt;"Corroborated",AM825&lt;&gt;"Declared"),OR(AN825="",AN825="Unknown"),OR(AQ825="",AQ825="Unknown"),OR(AR825="",AR825="Unknown",AR825="TBD"),OR(BC825="",NOT(ISNUMBER(BC825)))),"Evidence incomplete","Evidence recorded; review scope")))))</x:f>
      </x:c>
      <x:c r="BN825" s="73"/>
    </x:row>
    <x:row r="826" ht="34" customHeight="1">
      <x:c r="A826" s="73"/>
      <x:c r="B826" s="73"/>
      <x:c r="C826" s="73"/>
      <x:c r="D826" s="73"/>
      <x:c r="E826" s="73"/>
      <x:c r="F826" s="73"/>
      <x:c r="G826" s="73"/>
      <x:c r="H826" s="73"/>
      <x:c r="I826" s="75"/>
      <x:c r="J826" s="73"/>
      <x:c r="K826" s="73"/>
      <x:c r="L826" s="76"/>
      <x:c r="M826" s="73"/>
      <x:c r="N826" s="73"/>
      <x:c r="O826" s="73"/>
      <x:c r="P826" s="73"/>
      <x:c r="Q826" s="76"/>
      <x:c r="R826" s="73"/>
      <x:c r="S826" s="73"/>
      <x:c r="T826" s="73"/>
      <x:c r="U826" s="73"/>
      <x:c r="V826" s="73"/>
      <x:c r="W826" s="73"/>
      <x:c r="X826" s="73"/>
      <x:c r="Y826" s="73"/>
      <x:c r="Z826" s="73"/>
      <x:c r="AA826" s="73"/>
      <x:c r="AB826" s="76" t="str">
        <x:f>IF(A826="","",IF(OR(NOT(ISNUMBER(I826)),I826&lt;0,NOT(ISNUMBER(AP826)),AP826&lt;0,NOT(ISNUMBER(L826)),L826&lt;1,L826&gt;5,L826&lt;&gt;INT(L826),AND(J826&lt;&gt;"Public",J826&lt;&gt;"Partner",J826&lt;&gt;"Internal",J826&lt;&gt;"None"),AND(K826&lt;&gt;"High",K826&lt;&gt;"Medium",K826&lt;&gt;"Low",K826&lt;&gt;"None"),AND(W826&lt;&gt;"Hard-coded",W826&lt;&gt;"Configurable",W826&lt;&gt;"Policy-managed",W826&lt;&gt;"API/Library abstraction",W826&lt;&gt;"Automated"),AND(Z826&lt;&gt;"Y",Z826&lt;&gt;"N"),AND(AA826&lt;&gt;"Y",AA826&lt;&gt;"N")),"Incomplete",IF(Z826="Y",20,0)+L826*5+IF(AA826="Y",15,0)+IF(J826="Public",10,IF(J826="Partner",7,IF(J826="Internal",3,0)))+IF(W826="Hard-coded",10,IF(W826="Configurable",3,0))+IF(MAX(I826,AP826)&gt;=10,10,IF(MAX(I826,AP826)&gt;=5,7,IF(MAX(I826,AP826)&gt;=2,3,0)))+IF(K826="High",10,IF(K826="Medium",5,0))))</x:f>
      </x:c>
      <x:c r="AC826" s="73" t="str">
        <x:f>IF(A826="","",IF(NOT(ISNUMBER(AB826)),"Review inputs",IF(AB826&gt;=70,"P0 - Immediate",IF(AB826&gt;=50,"P1 - High",IF(AB826&gt;=30,"P2 - Medium",IF(AB826&gt;=15,"P3 - Low","P4 - Monitor"))))))</x:f>
      </x:c>
      <x:c r="AD826" s="73"/>
      <x:c r="AE826" s="73"/>
      <x:c r="AF826" s="73"/>
      <x:c r="AG826" s="77"/>
      <x:c r="AH826" s="73"/>
      <x:c r="AI826" s="91"/>
      <x:c r="AJ826" s="91"/>
      <x:c r="AK826" s="91"/>
      <x:c r="AL826" s="92"/>
      <x:c r="AM826" s="91"/>
      <x:c r="AN826" s="91"/>
      <x:c r="AO826" s="93"/>
      <x:c r="AP826" s="94"/>
      <x:c r="AQ826" s="91"/>
      <x:c r="AR826" s="91"/>
      <x:c r="AS826" s="91"/>
      <x:c r="AT826" s="91"/>
      <x:c r="AU826" s="91"/>
      <x:c r="AV826" s="91"/>
      <x:c r="AW826" s="91"/>
      <x:c r="AX826" s="91"/>
      <x:c r="AY826" s="91"/>
      <x:c r="AZ826" s="92"/>
      <x:c r="BA826" s="94"/>
      <x:c r="BB826" s="91"/>
      <x:c r="BC826" s="92"/>
      <x:c r="BD826" s="92"/>
      <x:c r="BE826" s="91"/>
      <x:c r="BF826" s="91"/>
      <x:c r="BG826" s="91"/>
      <x:c r="BH826" s="91"/>
      <x:c r="BI826" s="91"/>
      <x:c r="BJ826" s="91"/>
      <x:c r="BK826" s="91"/>
      <x:c r="BL826" s="91"/>
      <x:c r="BM826" s="73" t="str">
        <x:f>IF(A826="","",IF(AI826="Example","Example only",IF(AI826&lt;&gt;"Actual","Set record type",IF(COUNTIF($A$2:$A$1001,A826)&gt;1,"Duplicate record ID",IF(OR(D826="",E826="",AF826="",NOT(ISNUMBER(AG826)),AJ826="",AK826="",NOT(ISNUMBER(AL826)),AND(AM826&lt;&gt;"Observed",AM826&lt;&gt;"Corroborated",AM826&lt;&gt;"Declared"),OR(AN826="",AN826="Unknown"),OR(AQ826="",AQ826="Unknown"),OR(AR826="",AR826="Unknown",AR826="TBD"),OR(BC826="",NOT(ISNUMBER(BC826)))),"Evidence incomplete","Evidence recorded; review scope")))))</x:f>
      </x:c>
      <x:c r="BN826" s="73"/>
    </x:row>
    <x:row r="827" ht="34" customHeight="1">
      <x:c r="A827" s="73"/>
      <x:c r="B827" s="73"/>
      <x:c r="C827" s="73"/>
      <x:c r="D827" s="73"/>
      <x:c r="E827" s="73"/>
      <x:c r="F827" s="73"/>
      <x:c r="G827" s="73"/>
      <x:c r="H827" s="73"/>
      <x:c r="I827" s="75"/>
      <x:c r="J827" s="73"/>
      <x:c r="K827" s="73"/>
      <x:c r="L827" s="76"/>
      <x:c r="M827" s="73"/>
      <x:c r="N827" s="73"/>
      <x:c r="O827" s="73"/>
      <x:c r="P827" s="73"/>
      <x:c r="Q827" s="76"/>
      <x:c r="R827" s="73"/>
      <x:c r="S827" s="73"/>
      <x:c r="T827" s="73"/>
      <x:c r="U827" s="73"/>
      <x:c r="V827" s="73"/>
      <x:c r="W827" s="73"/>
      <x:c r="X827" s="73"/>
      <x:c r="Y827" s="73"/>
      <x:c r="Z827" s="73"/>
      <x:c r="AA827" s="73"/>
      <x:c r="AB827" s="76" t="str">
        <x:f>IF(A827="","",IF(OR(NOT(ISNUMBER(I827)),I827&lt;0,NOT(ISNUMBER(AP827)),AP827&lt;0,NOT(ISNUMBER(L827)),L827&lt;1,L827&gt;5,L827&lt;&gt;INT(L827),AND(J827&lt;&gt;"Public",J827&lt;&gt;"Partner",J827&lt;&gt;"Internal",J827&lt;&gt;"None"),AND(K827&lt;&gt;"High",K827&lt;&gt;"Medium",K827&lt;&gt;"Low",K827&lt;&gt;"None"),AND(W827&lt;&gt;"Hard-coded",W827&lt;&gt;"Configurable",W827&lt;&gt;"Policy-managed",W827&lt;&gt;"API/Library abstraction",W827&lt;&gt;"Automated"),AND(Z827&lt;&gt;"Y",Z827&lt;&gt;"N"),AND(AA827&lt;&gt;"Y",AA827&lt;&gt;"N")),"Incomplete",IF(Z827="Y",20,0)+L827*5+IF(AA827="Y",15,0)+IF(J827="Public",10,IF(J827="Partner",7,IF(J827="Internal",3,0)))+IF(W827="Hard-coded",10,IF(W827="Configurable",3,0))+IF(MAX(I827,AP827)&gt;=10,10,IF(MAX(I827,AP827)&gt;=5,7,IF(MAX(I827,AP827)&gt;=2,3,0)))+IF(K827="High",10,IF(K827="Medium",5,0))))</x:f>
      </x:c>
      <x:c r="AC827" s="73" t="str">
        <x:f>IF(A827="","",IF(NOT(ISNUMBER(AB827)),"Review inputs",IF(AB827&gt;=70,"P0 - Immediate",IF(AB827&gt;=50,"P1 - High",IF(AB827&gt;=30,"P2 - Medium",IF(AB827&gt;=15,"P3 - Low","P4 - Monitor"))))))</x:f>
      </x:c>
      <x:c r="AD827" s="73"/>
      <x:c r="AE827" s="73"/>
      <x:c r="AF827" s="73"/>
      <x:c r="AG827" s="77"/>
      <x:c r="AH827" s="73"/>
      <x:c r="AI827" s="91"/>
      <x:c r="AJ827" s="91"/>
      <x:c r="AK827" s="91"/>
      <x:c r="AL827" s="92"/>
      <x:c r="AM827" s="91"/>
      <x:c r="AN827" s="91"/>
      <x:c r="AO827" s="93"/>
      <x:c r="AP827" s="94"/>
      <x:c r="AQ827" s="91"/>
      <x:c r="AR827" s="91"/>
      <x:c r="AS827" s="91"/>
      <x:c r="AT827" s="91"/>
      <x:c r="AU827" s="91"/>
      <x:c r="AV827" s="91"/>
      <x:c r="AW827" s="91"/>
      <x:c r="AX827" s="91"/>
      <x:c r="AY827" s="91"/>
      <x:c r="AZ827" s="92"/>
      <x:c r="BA827" s="94"/>
      <x:c r="BB827" s="91"/>
      <x:c r="BC827" s="92"/>
      <x:c r="BD827" s="92"/>
      <x:c r="BE827" s="91"/>
      <x:c r="BF827" s="91"/>
      <x:c r="BG827" s="91"/>
      <x:c r="BH827" s="91"/>
      <x:c r="BI827" s="91"/>
      <x:c r="BJ827" s="91"/>
      <x:c r="BK827" s="91"/>
      <x:c r="BL827" s="91"/>
      <x:c r="BM827" s="73" t="str">
        <x:f>IF(A827="","",IF(AI827="Example","Example only",IF(AI827&lt;&gt;"Actual","Set record type",IF(COUNTIF($A$2:$A$1001,A827)&gt;1,"Duplicate record ID",IF(OR(D827="",E827="",AF827="",NOT(ISNUMBER(AG827)),AJ827="",AK827="",NOT(ISNUMBER(AL827)),AND(AM827&lt;&gt;"Observed",AM827&lt;&gt;"Corroborated",AM827&lt;&gt;"Declared"),OR(AN827="",AN827="Unknown"),OR(AQ827="",AQ827="Unknown"),OR(AR827="",AR827="Unknown",AR827="TBD"),OR(BC827="",NOT(ISNUMBER(BC827)))),"Evidence incomplete","Evidence recorded; review scope")))))</x:f>
      </x:c>
      <x:c r="BN827" s="73"/>
    </x:row>
    <x:row r="828" ht="34" customHeight="1">
      <x:c r="A828" s="73"/>
      <x:c r="B828" s="73"/>
      <x:c r="C828" s="73"/>
      <x:c r="D828" s="73"/>
      <x:c r="E828" s="73"/>
      <x:c r="F828" s="73"/>
      <x:c r="G828" s="73"/>
      <x:c r="H828" s="73"/>
      <x:c r="I828" s="75"/>
      <x:c r="J828" s="73"/>
      <x:c r="K828" s="73"/>
      <x:c r="L828" s="76"/>
      <x:c r="M828" s="73"/>
      <x:c r="N828" s="73"/>
      <x:c r="O828" s="73"/>
      <x:c r="P828" s="73"/>
      <x:c r="Q828" s="76"/>
      <x:c r="R828" s="73"/>
      <x:c r="S828" s="73"/>
      <x:c r="T828" s="73"/>
      <x:c r="U828" s="73"/>
      <x:c r="V828" s="73"/>
      <x:c r="W828" s="73"/>
      <x:c r="X828" s="73"/>
      <x:c r="Y828" s="73"/>
      <x:c r="Z828" s="73"/>
      <x:c r="AA828" s="73"/>
      <x:c r="AB828" s="76" t="str">
        <x:f>IF(A828="","",IF(OR(NOT(ISNUMBER(I828)),I828&lt;0,NOT(ISNUMBER(AP828)),AP828&lt;0,NOT(ISNUMBER(L828)),L828&lt;1,L828&gt;5,L828&lt;&gt;INT(L828),AND(J828&lt;&gt;"Public",J828&lt;&gt;"Partner",J828&lt;&gt;"Internal",J828&lt;&gt;"None"),AND(K828&lt;&gt;"High",K828&lt;&gt;"Medium",K828&lt;&gt;"Low",K828&lt;&gt;"None"),AND(W828&lt;&gt;"Hard-coded",W828&lt;&gt;"Configurable",W828&lt;&gt;"Policy-managed",W828&lt;&gt;"API/Library abstraction",W828&lt;&gt;"Automated"),AND(Z828&lt;&gt;"Y",Z828&lt;&gt;"N"),AND(AA828&lt;&gt;"Y",AA828&lt;&gt;"N")),"Incomplete",IF(Z828="Y",20,0)+L828*5+IF(AA828="Y",15,0)+IF(J828="Public",10,IF(J828="Partner",7,IF(J828="Internal",3,0)))+IF(W828="Hard-coded",10,IF(W828="Configurable",3,0))+IF(MAX(I828,AP828)&gt;=10,10,IF(MAX(I828,AP828)&gt;=5,7,IF(MAX(I828,AP828)&gt;=2,3,0)))+IF(K828="High",10,IF(K828="Medium",5,0))))</x:f>
      </x:c>
      <x:c r="AC828" s="73" t="str">
        <x:f>IF(A828="","",IF(NOT(ISNUMBER(AB828)),"Review inputs",IF(AB828&gt;=70,"P0 - Immediate",IF(AB828&gt;=50,"P1 - High",IF(AB828&gt;=30,"P2 - Medium",IF(AB828&gt;=15,"P3 - Low","P4 - Monitor"))))))</x:f>
      </x:c>
      <x:c r="AD828" s="73"/>
      <x:c r="AE828" s="73"/>
      <x:c r="AF828" s="73"/>
      <x:c r="AG828" s="77"/>
      <x:c r="AH828" s="73"/>
      <x:c r="AI828" s="91"/>
      <x:c r="AJ828" s="91"/>
      <x:c r="AK828" s="91"/>
      <x:c r="AL828" s="92"/>
      <x:c r="AM828" s="91"/>
      <x:c r="AN828" s="91"/>
      <x:c r="AO828" s="93"/>
      <x:c r="AP828" s="94"/>
      <x:c r="AQ828" s="91"/>
      <x:c r="AR828" s="91"/>
      <x:c r="AS828" s="91"/>
      <x:c r="AT828" s="91"/>
      <x:c r="AU828" s="91"/>
      <x:c r="AV828" s="91"/>
      <x:c r="AW828" s="91"/>
      <x:c r="AX828" s="91"/>
      <x:c r="AY828" s="91"/>
      <x:c r="AZ828" s="92"/>
      <x:c r="BA828" s="94"/>
      <x:c r="BB828" s="91"/>
      <x:c r="BC828" s="92"/>
      <x:c r="BD828" s="92"/>
      <x:c r="BE828" s="91"/>
      <x:c r="BF828" s="91"/>
      <x:c r="BG828" s="91"/>
      <x:c r="BH828" s="91"/>
      <x:c r="BI828" s="91"/>
      <x:c r="BJ828" s="91"/>
      <x:c r="BK828" s="91"/>
      <x:c r="BL828" s="91"/>
      <x:c r="BM828" s="73" t="str">
        <x:f>IF(A828="","",IF(AI828="Example","Example only",IF(AI828&lt;&gt;"Actual","Set record type",IF(COUNTIF($A$2:$A$1001,A828)&gt;1,"Duplicate record ID",IF(OR(D828="",E828="",AF828="",NOT(ISNUMBER(AG828)),AJ828="",AK828="",NOT(ISNUMBER(AL828)),AND(AM828&lt;&gt;"Observed",AM828&lt;&gt;"Corroborated",AM828&lt;&gt;"Declared"),OR(AN828="",AN828="Unknown"),OR(AQ828="",AQ828="Unknown"),OR(AR828="",AR828="Unknown",AR828="TBD"),OR(BC828="",NOT(ISNUMBER(BC828)))),"Evidence incomplete","Evidence recorded; review scope")))))</x:f>
      </x:c>
      <x:c r="BN828" s="73"/>
    </x:row>
    <x:row r="829" ht="34" customHeight="1">
      <x:c r="A829" s="73"/>
      <x:c r="B829" s="73"/>
      <x:c r="C829" s="73"/>
      <x:c r="D829" s="73"/>
      <x:c r="E829" s="73"/>
      <x:c r="F829" s="73"/>
      <x:c r="G829" s="73"/>
      <x:c r="H829" s="73"/>
      <x:c r="I829" s="75"/>
      <x:c r="J829" s="73"/>
      <x:c r="K829" s="73"/>
      <x:c r="L829" s="76"/>
      <x:c r="M829" s="73"/>
      <x:c r="N829" s="73"/>
      <x:c r="O829" s="73"/>
      <x:c r="P829" s="73"/>
      <x:c r="Q829" s="76"/>
      <x:c r="R829" s="73"/>
      <x:c r="S829" s="73"/>
      <x:c r="T829" s="73"/>
      <x:c r="U829" s="73"/>
      <x:c r="V829" s="73"/>
      <x:c r="W829" s="73"/>
      <x:c r="X829" s="73"/>
      <x:c r="Y829" s="73"/>
      <x:c r="Z829" s="73"/>
      <x:c r="AA829" s="73"/>
      <x:c r="AB829" s="76" t="str">
        <x:f>IF(A829="","",IF(OR(NOT(ISNUMBER(I829)),I829&lt;0,NOT(ISNUMBER(AP829)),AP829&lt;0,NOT(ISNUMBER(L829)),L829&lt;1,L829&gt;5,L829&lt;&gt;INT(L829),AND(J829&lt;&gt;"Public",J829&lt;&gt;"Partner",J829&lt;&gt;"Internal",J829&lt;&gt;"None"),AND(K829&lt;&gt;"High",K829&lt;&gt;"Medium",K829&lt;&gt;"Low",K829&lt;&gt;"None"),AND(W829&lt;&gt;"Hard-coded",W829&lt;&gt;"Configurable",W829&lt;&gt;"Policy-managed",W829&lt;&gt;"API/Library abstraction",W829&lt;&gt;"Automated"),AND(Z829&lt;&gt;"Y",Z829&lt;&gt;"N"),AND(AA829&lt;&gt;"Y",AA829&lt;&gt;"N")),"Incomplete",IF(Z829="Y",20,0)+L829*5+IF(AA829="Y",15,0)+IF(J829="Public",10,IF(J829="Partner",7,IF(J829="Internal",3,0)))+IF(W829="Hard-coded",10,IF(W829="Configurable",3,0))+IF(MAX(I829,AP829)&gt;=10,10,IF(MAX(I829,AP829)&gt;=5,7,IF(MAX(I829,AP829)&gt;=2,3,0)))+IF(K829="High",10,IF(K829="Medium",5,0))))</x:f>
      </x:c>
      <x:c r="AC829" s="73" t="str">
        <x:f>IF(A829="","",IF(NOT(ISNUMBER(AB829)),"Review inputs",IF(AB829&gt;=70,"P0 - Immediate",IF(AB829&gt;=50,"P1 - High",IF(AB829&gt;=30,"P2 - Medium",IF(AB829&gt;=15,"P3 - Low","P4 - Monitor"))))))</x:f>
      </x:c>
      <x:c r="AD829" s="73"/>
      <x:c r="AE829" s="73"/>
      <x:c r="AF829" s="73"/>
      <x:c r="AG829" s="77"/>
      <x:c r="AH829" s="73"/>
      <x:c r="AI829" s="91"/>
      <x:c r="AJ829" s="91"/>
      <x:c r="AK829" s="91"/>
      <x:c r="AL829" s="92"/>
      <x:c r="AM829" s="91"/>
      <x:c r="AN829" s="91"/>
      <x:c r="AO829" s="93"/>
      <x:c r="AP829" s="94"/>
      <x:c r="AQ829" s="91"/>
      <x:c r="AR829" s="91"/>
      <x:c r="AS829" s="91"/>
      <x:c r="AT829" s="91"/>
      <x:c r="AU829" s="91"/>
      <x:c r="AV829" s="91"/>
      <x:c r="AW829" s="91"/>
      <x:c r="AX829" s="91"/>
      <x:c r="AY829" s="91"/>
      <x:c r="AZ829" s="92"/>
      <x:c r="BA829" s="94"/>
      <x:c r="BB829" s="91"/>
      <x:c r="BC829" s="92"/>
      <x:c r="BD829" s="92"/>
      <x:c r="BE829" s="91"/>
      <x:c r="BF829" s="91"/>
      <x:c r="BG829" s="91"/>
      <x:c r="BH829" s="91"/>
      <x:c r="BI829" s="91"/>
      <x:c r="BJ829" s="91"/>
      <x:c r="BK829" s="91"/>
      <x:c r="BL829" s="91"/>
      <x:c r="BM829" s="73" t="str">
        <x:f>IF(A829="","",IF(AI829="Example","Example only",IF(AI829&lt;&gt;"Actual","Set record type",IF(COUNTIF($A$2:$A$1001,A829)&gt;1,"Duplicate record ID",IF(OR(D829="",E829="",AF829="",NOT(ISNUMBER(AG829)),AJ829="",AK829="",NOT(ISNUMBER(AL829)),AND(AM829&lt;&gt;"Observed",AM829&lt;&gt;"Corroborated",AM829&lt;&gt;"Declared"),OR(AN829="",AN829="Unknown"),OR(AQ829="",AQ829="Unknown"),OR(AR829="",AR829="Unknown",AR829="TBD"),OR(BC829="",NOT(ISNUMBER(BC829)))),"Evidence incomplete","Evidence recorded; review scope")))))</x:f>
      </x:c>
      <x:c r="BN829" s="73"/>
    </x:row>
    <x:row r="830" ht="34" customHeight="1">
      <x:c r="A830" s="73"/>
      <x:c r="B830" s="73"/>
      <x:c r="C830" s="73"/>
      <x:c r="D830" s="73"/>
      <x:c r="E830" s="73"/>
      <x:c r="F830" s="73"/>
      <x:c r="G830" s="73"/>
      <x:c r="H830" s="73"/>
      <x:c r="I830" s="75"/>
      <x:c r="J830" s="73"/>
      <x:c r="K830" s="73"/>
      <x:c r="L830" s="76"/>
      <x:c r="M830" s="73"/>
      <x:c r="N830" s="73"/>
      <x:c r="O830" s="73"/>
      <x:c r="P830" s="73"/>
      <x:c r="Q830" s="76"/>
      <x:c r="R830" s="73"/>
      <x:c r="S830" s="73"/>
      <x:c r="T830" s="73"/>
      <x:c r="U830" s="73"/>
      <x:c r="V830" s="73"/>
      <x:c r="W830" s="73"/>
      <x:c r="X830" s="73"/>
      <x:c r="Y830" s="73"/>
      <x:c r="Z830" s="73"/>
      <x:c r="AA830" s="73"/>
      <x:c r="AB830" s="76" t="str">
        <x:f>IF(A830="","",IF(OR(NOT(ISNUMBER(I830)),I830&lt;0,NOT(ISNUMBER(AP830)),AP830&lt;0,NOT(ISNUMBER(L830)),L830&lt;1,L830&gt;5,L830&lt;&gt;INT(L830),AND(J830&lt;&gt;"Public",J830&lt;&gt;"Partner",J830&lt;&gt;"Internal",J830&lt;&gt;"None"),AND(K830&lt;&gt;"High",K830&lt;&gt;"Medium",K830&lt;&gt;"Low",K830&lt;&gt;"None"),AND(W830&lt;&gt;"Hard-coded",W830&lt;&gt;"Configurable",W830&lt;&gt;"Policy-managed",W830&lt;&gt;"API/Library abstraction",W830&lt;&gt;"Automated"),AND(Z830&lt;&gt;"Y",Z830&lt;&gt;"N"),AND(AA830&lt;&gt;"Y",AA830&lt;&gt;"N")),"Incomplete",IF(Z830="Y",20,0)+L830*5+IF(AA830="Y",15,0)+IF(J830="Public",10,IF(J830="Partner",7,IF(J830="Internal",3,0)))+IF(W830="Hard-coded",10,IF(W830="Configurable",3,0))+IF(MAX(I830,AP830)&gt;=10,10,IF(MAX(I830,AP830)&gt;=5,7,IF(MAX(I830,AP830)&gt;=2,3,0)))+IF(K830="High",10,IF(K830="Medium",5,0))))</x:f>
      </x:c>
      <x:c r="AC830" s="73" t="str">
        <x:f>IF(A830="","",IF(NOT(ISNUMBER(AB830)),"Review inputs",IF(AB830&gt;=70,"P0 - Immediate",IF(AB830&gt;=50,"P1 - High",IF(AB830&gt;=30,"P2 - Medium",IF(AB830&gt;=15,"P3 - Low","P4 - Monitor"))))))</x:f>
      </x:c>
      <x:c r="AD830" s="73"/>
      <x:c r="AE830" s="73"/>
      <x:c r="AF830" s="73"/>
      <x:c r="AG830" s="77"/>
      <x:c r="AH830" s="73"/>
      <x:c r="AI830" s="91"/>
      <x:c r="AJ830" s="91"/>
      <x:c r="AK830" s="91"/>
      <x:c r="AL830" s="92"/>
      <x:c r="AM830" s="91"/>
      <x:c r="AN830" s="91"/>
      <x:c r="AO830" s="93"/>
      <x:c r="AP830" s="94"/>
      <x:c r="AQ830" s="91"/>
      <x:c r="AR830" s="91"/>
      <x:c r="AS830" s="91"/>
      <x:c r="AT830" s="91"/>
      <x:c r="AU830" s="91"/>
      <x:c r="AV830" s="91"/>
      <x:c r="AW830" s="91"/>
      <x:c r="AX830" s="91"/>
      <x:c r="AY830" s="91"/>
      <x:c r="AZ830" s="92"/>
      <x:c r="BA830" s="94"/>
      <x:c r="BB830" s="91"/>
      <x:c r="BC830" s="92"/>
      <x:c r="BD830" s="92"/>
      <x:c r="BE830" s="91"/>
      <x:c r="BF830" s="91"/>
      <x:c r="BG830" s="91"/>
      <x:c r="BH830" s="91"/>
      <x:c r="BI830" s="91"/>
      <x:c r="BJ830" s="91"/>
      <x:c r="BK830" s="91"/>
      <x:c r="BL830" s="91"/>
      <x:c r="BM830" s="73" t="str">
        <x:f>IF(A830="","",IF(AI830="Example","Example only",IF(AI830&lt;&gt;"Actual","Set record type",IF(COUNTIF($A$2:$A$1001,A830)&gt;1,"Duplicate record ID",IF(OR(D830="",E830="",AF830="",NOT(ISNUMBER(AG830)),AJ830="",AK830="",NOT(ISNUMBER(AL830)),AND(AM830&lt;&gt;"Observed",AM830&lt;&gt;"Corroborated",AM830&lt;&gt;"Declared"),OR(AN830="",AN830="Unknown"),OR(AQ830="",AQ830="Unknown"),OR(AR830="",AR830="Unknown",AR830="TBD"),OR(BC830="",NOT(ISNUMBER(BC830)))),"Evidence incomplete","Evidence recorded; review scope")))))</x:f>
      </x:c>
      <x:c r="BN830" s="73"/>
    </x:row>
    <x:row r="831" ht="34" customHeight="1">
      <x:c r="A831" s="73"/>
      <x:c r="B831" s="73"/>
      <x:c r="C831" s="73"/>
      <x:c r="D831" s="73"/>
      <x:c r="E831" s="73"/>
      <x:c r="F831" s="73"/>
      <x:c r="G831" s="73"/>
      <x:c r="H831" s="73"/>
      <x:c r="I831" s="75"/>
      <x:c r="J831" s="73"/>
      <x:c r="K831" s="73"/>
      <x:c r="L831" s="76"/>
      <x:c r="M831" s="73"/>
      <x:c r="N831" s="73"/>
      <x:c r="O831" s="73"/>
      <x:c r="P831" s="73"/>
      <x:c r="Q831" s="76"/>
      <x:c r="R831" s="73"/>
      <x:c r="S831" s="73"/>
      <x:c r="T831" s="73"/>
      <x:c r="U831" s="73"/>
      <x:c r="V831" s="73"/>
      <x:c r="W831" s="73"/>
      <x:c r="X831" s="73"/>
      <x:c r="Y831" s="73"/>
      <x:c r="Z831" s="73"/>
      <x:c r="AA831" s="73"/>
      <x:c r="AB831" s="76" t="str">
        <x:f>IF(A831="","",IF(OR(NOT(ISNUMBER(I831)),I831&lt;0,NOT(ISNUMBER(AP831)),AP831&lt;0,NOT(ISNUMBER(L831)),L831&lt;1,L831&gt;5,L831&lt;&gt;INT(L831),AND(J831&lt;&gt;"Public",J831&lt;&gt;"Partner",J831&lt;&gt;"Internal",J831&lt;&gt;"None"),AND(K831&lt;&gt;"High",K831&lt;&gt;"Medium",K831&lt;&gt;"Low",K831&lt;&gt;"None"),AND(W831&lt;&gt;"Hard-coded",W831&lt;&gt;"Configurable",W831&lt;&gt;"Policy-managed",W831&lt;&gt;"API/Library abstraction",W831&lt;&gt;"Automated"),AND(Z831&lt;&gt;"Y",Z831&lt;&gt;"N"),AND(AA831&lt;&gt;"Y",AA831&lt;&gt;"N")),"Incomplete",IF(Z831="Y",20,0)+L831*5+IF(AA831="Y",15,0)+IF(J831="Public",10,IF(J831="Partner",7,IF(J831="Internal",3,0)))+IF(W831="Hard-coded",10,IF(W831="Configurable",3,0))+IF(MAX(I831,AP831)&gt;=10,10,IF(MAX(I831,AP831)&gt;=5,7,IF(MAX(I831,AP831)&gt;=2,3,0)))+IF(K831="High",10,IF(K831="Medium",5,0))))</x:f>
      </x:c>
      <x:c r="AC831" s="73" t="str">
        <x:f>IF(A831="","",IF(NOT(ISNUMBER(AB831)),"Review inputs",IF(AB831&gt;=70,"P0 - Immediate",IF(AB831&gt;=50,"P1 - High",IF(AB831&gt;=30,"P2 - Medium",IF(AB831&gt;=15,"P3 - Low","P4 - Monitor"))))))</x:f>
      </x:c>
      <x:c r="AD831" s="73"/>
      <x:c r="AE831" s="73"/>
      <x:c r="AF831" s="73"/>
      <x:c r="AG831" s="77"/>
      <x:c r="AH831" s="73"/>
      <x:c r="AI831" s="91"/>
      <x:c r="AJ831" s="91"/>
      <x:c r="AK831" s="91"/>
      <x:c r="AL831" s="92"/>
      <x:c r="AM831" s="91"/>
      <x:c r="AN831" s="91"/>
      <x:c r="AO831" s="93"/>
      <x:c r="AP831" s="94"/>
      <x:c r="AQ831" s="91"/>
      <x:c r="AR831" s="91"/>
      <x:c r="AS831" s="91"/>
      <x:c r="AT831" s="91"/>
      <x:c r="AU831" s="91"/>
      <x:c r="AV831" s="91"/>
      <x:c r="AW831" s="91"/>
      <x:c r="AX831" s="91"/>
      <x:c r="AY831" s="91"/>
      <x:c r="AZ831" s="92"/>
      <x:c r="BA831" s="94"/>
      <x:c r="BB831" s="91"/>
      <x:c r="BC831" s="92"/>
      <x:c r="BD831" s="92"/>
      <x:c r="BE831" s="91"/>
      <x:c r="BF831" s="91"/>
      <x:c r="BG831" s="91"/>
      <x:c r="BH831" s="91"/>
      <x:c r="BI831" s="91"/>
      <x:c r="BJ831" s="91"/>
      <x:c r="BK831" s="91"/>
      <x:c r="BL831" s="91"/>
      <x:c r="BM831" s="73" t="str">
        <x:f>IF(A831="","",IF(AI831="Example","Example only",IF(AI831&lt;&gt;"Actual","Set record type",IF(COUNTIF($A$2:$A$1001,A831)&gt;1,"Duplicate record ID",IF(OR(D831="",E831="",AF831="",NOT(ISNUMBER(AG831)),AJ831="",AK831="",NOT(ISNUMBER(AL831)),AND(AM831&lt;&gt;"Observed",AM831&lt;&gt;"Corroborated",AM831&lt;&gt;"Declared"),OR(AN831="",AN831="Unknown"),OR(AQ831="",AQ831="Unknown"),OR(AR831="",AR831="Unknown",AR831="TBD"),OR(BC831="",NOT(ISNUMBER(BC831)))),"Evidence incomplete","Evidence recorded; review scope")))))</x:f>
      </x:c>
      <x:c r="BN831" s="73"/>
    </x:row>
    <x:row r="832" ht="34" customHeight="1">
      <x:c r="A832" s="73"/>
      <x:c r="B832" s="73"/>
      <x:c r="C832" s="73"/>
      <x:c r="D832" s="73"/>
      <x:c r="E832" s="73"/>
      <x:c r="F832" s="73"/>
      <x:c r="G832" s="73"/>
      <x:c r="H832" s="73"/>
      <x:c r="I832" s="75"/>
      <x:c r="J832" s="73"/>
      <x:c r="K832" s="73"/>
      <x:c r="L832" s="76"/>
      <x:c r="M832" s="73"/>
      <x:c r="N832" s="73"/>
      <x:c r="O832" s="73"/>
      <x:c r="P832" s="73"/>
      <x:c r="Q832" s="76"/>
      <x:c r="R832" s="73"/>
      <x:c r="S832" s="73"/>
      <x:c r="T832" s="73"/>
      <x:c r="U832" s="73"/>
      <x:c r="V832" s="73"/>
      <x:c r="W832" s="73"/>
      <x:c r="X832" s="73"/>
      <x:c r="Y832" s="73"/>
      <x:c r="Z832" s="73"/>
      <x:c r="AA832" s="73"/>
      <x:c r="AB832" s="76" t="str">
        <x:f>IF(A832="","",IF(OR(NOT(ISNUMBER(I832)),I832&lt;0,NOT(ISNUMBER(AP832)),AP832&lt;0,NOT(ISNUMBER(L832)),L832&lt;1,L832&gt;5,L832&lt;&gt;INT(L832),AND(J832&lt;&gt;"Public",J832&lt;&gt;"Partner",J832&lt;&gt;"Internal",J832&lt;&gt;"None"),AND(K832&lt;&gt;"High",K832&lt;&gt;"Medium",K832&lt;&gt;"Low",K832&lt;&gt;"None"),AND(W832&lt;&gt;"Hard-coded",W832&lt;&gt;"Configurable",W832&lt;&gt;"Policy-managed",W832&lt;&gt;"API/Library abstraction",W832&lt;&gt;"Automated"),AND(Z832&lt;&gt;"Y",Z832&lt;&gt;"N"),AND(AA832&lt;&gt;"Y",AA832&lt;&gt;"N")),"Incomplete",IF(Z832="Y",20,0)+L832*5+IF(AA832="Y",15,0)+IF(J832="Public",10,IF(J832="Partner",7,IF(J832="Internal",3,0)))+IF(W832="Hard-coded",10,IF(W832="Configurable",3,0))+IF(MAX(I832,AP832)&gt;=10,10,IF(MAX(I832,AP832)&gt;=5,7,IF(MAX(I832,AP832)&gt;=2,3,0)))+IF(K832="High",10,IF(K832="Medium",5,0))))</x:f>
      </x:c>
      <x:c r="AC832" s="73" t="str">
        <x:f>IF(A832="","",IF(NOT(ISNUMBER(AB832)),"Review inputs",IF(AB832&gt;=70,"P0 - Immediate",IF(AB832&gt;=50,"P1 - High",IF(AB832&gt;=30,"P2 - Medium",IF(AB832&gt;=15,"P3 - Low","P4 - Monitor"))))))</x:f>
      </x:c>
      <x:c r="AD832" s="73"/>
      <x:c r="AE832" s="73"/>
      <x:c r="AF832" s="73"/>
      <x:c r="AG832" s="77"/>
      <x:c r="AH832" s="73"/>
      <x:c r="AI832" s="91"/>
      <x:c r="AJ832" s="91"/>
      <x:c r="AK832" s="91"/>
      <x:c r="AL832" s="92"/>
      <x:c r="AM832" s="91"/>
      <x:c r="AN832" s="91"/>
      <x:c r="AO832" s="93"/>
      <x:c r="AP832" s="94"/>
      <x:c r="AQ832" s="91"/>
      <x:c r="AR832" s="91"/>
      <x:c r="AS832" s="91"/>
      <x:c r="AT832" s="91"/>
      <x:c r="AU832" s="91"/>
      <x:c r="AV832" s="91"/>
      <x:c r="AW832" s="91"/>
      <x:c r="AX832" s="91"/>
      <x:c r="AY832" s="91"/>
      <x:c r="AZ832" s="92"/>
      <x:c r="BA832" s="94"/>
      <x:c r="BB832" s="91"/>
      <x:c r="BC832" s="92"/>
      <x:c r="BD832" s="92"/>
      <x:c r="BE832" s="91"/>
      <x:c r="BF832" s="91"/>
      <x:c r="BG832" s="91"/>
      <x:c r="BH832" s="91"/>
      <x:c r="BI832" s="91"/>
      <x:c r="BJ832" s="91"/>
      <x:c r="BK832" s="91"/>
      <x:c r="BL832" s="91"/>
      <x:c r="BM832" s="73" t="str">
        <x:f>IF(A832="","",IF(AI832="Example","Example only",IF(AI832&lt;&gt;"Actual","Set record type",IF(COUNTIF($A$2:$A$1001,A832)&gt;1,"Duplicate record ID",IF(OR(D832="",E832="",AF832="",NOT(ISNUMBER(AG832)),AJ832="",AK832="",NOT(ISNUMBER(AL832)),AND(AM832&lt;&gt;"Observed",AM832&lt;&gt;"Corroborated",AM832&lt;&gt;"Declared"),OR(AN832="",AN832="Unknown"),OR(AQ832="",AQ832="Unknown"),OR(AR832="",AR832="Unknown",AR832="TBD"),OR(BC832="",NOT(ISNUMBER(BC832)))),"Evidence incomplete","Evidence recorded; review scope")))))</x:f>
      </x:c>
      <x:c r="BN832" s="73"/>
    </x:row>
    <x:row r="833" ht="34" customHeight="1">
      <x:c r="A833" s="73"/>
      <x:c r="B833" s="73"/>
      <x:c r="C833" s="73"/>
      <x:c r="D833" s="73"/>
      <x:c r="E833" s="73"/>
      <x:c r="F833" s="73"/>
      <x:c r="G833" s="73"/>
      <x:c r="H833" s="73"/>
      <x:c r="I833" s="75"/>
      <x:c r="J833" s="73"/>
      <x:c r="K833" s="73"/>
      <x:c r="L833" s="76"/>
      <x:c r="M833" s="73"/>
      <x:c r="N833" s="73"/>
      <x:c r="O833" s="73"/>
      <x:c r="P833" s="73"/>
      <x:c r="Q833" s="76"/>
      <x:c r="R833" s="73"/>
      <x:c r="S833" s="73"/>
      <x:c r="T833" s="73"/>
      <x:c r="U833" s="73"/>
      <x:c r="V833" s="73"/>
      <x:c r="W833" s="73"/>
      <x:c r="X833" s="73"/>
      <x:c r="Y833" s="73"/>
      <x:c r="Z833" s="73"/>
      <x:c r="AA833" s="73"/>
      <x:c r="AB833" s="76" t="str">
        <x:f>IF(A833="","",IF(OR(NOT(ISNUMBER(I833)),I833&lt;0,NOT(ISNUMBER(AP833)),AP833&lt;0,NOT(ISNUMBER(L833)),L833&lt;1,L833&gt;5,L833&lt;&gt;INT(L833),AND(J833&lt;&gt;"Public",J833&lt;&gt;"Partner",J833&lt;&gt;"Internal",J833&lt;&gt;"None"),AND(K833&lt;&gt;"High",K833&lt;&gt;"Medium",K833&lt;&gt;"Low",K833&lt;&gt;"None"),AND(W833&lt;&gt;"Hard-coded",W833&lt;&gt;"Configurable",W833&lt;&gt;"Policy-managed",W833&lt;&gt;"API/Library abstraction",W833&lt;&gt;"Automated"),AND(Z833&lt;&gt;"Y",Z833&lt;&gt;"N"),AND(AA833&lt;&gt;"Y",AA833&lt;&gt;"N")),"Incomplete",IF(Z833="Y",20,0)+L833*5+IF(AA833="Y",15,0)+IF(J833="Public",10,IF(J833="Partner",7,IF(J833="Internal",3,0)))+IF(W833="Hard-coded",10,IF(W833="Configurable",3,0))+IF(MAX(I833,AP833)&gt;=10,10,IF(MAX(I833,AP833)&gt;=5,7,IF(MAX(I833,AP833)&gt;=2,3,0)))+IF(K833="High",10,IF(K833="Medium",5,0))))</x:f>
      </x:c>
      <x:c r="AC833" s="73" t="str">
        <x:f>IF(A833="","",IF(NOT(ISNUMBER(AB833)),"Review inputs",IF(AB833&gt;=70,"P0 - Immediate",IF(AB833&gt;=50,"P1 - High",IF(AB833&gt;=30,"P2 - Medium",IF(AB833&gt;=15,"P3 - Low","P4 - Monitor"))))))</x:f>
      </x:c>
      <x:c r="AD833" s="73"/>
      <x:c r="AE833" s="73"/>
      <x:c r="AF833" s="73"/>
      <x:c r="AG833" s="77"/>
      <x:c r="AH833" s="73"/>
      <x:c r="AI833" s="91"/>
      <x:c r="AJ833" s="91"/>
      <x:c r="AK833" s="91"/>
      <x:c r="AL833" s="92"/>
      <x:c r="AM833" s="91"/>
      <x:c r="AN833" s="91"/>
      <x:c r="AO833" s="93"/>
      <x:c r="AP833" s="94"/>
      <x:c r="AQ833" s="91"/>
      <x:c r="AR833" s="91"/>
      <x:c r="AS833" s="91"/>
      <x:c r="AT833" s="91"/>
      <x:c r="AU833" s="91"/>
      <x:c r="AV833" s="91"/>
      <x:c r="AW833" s="91"/>
      <x:c r="AX833" s="91"/>
      <x:c r="AY833" s="91"/>
      <x:c r="AZ833" s="92"/>
      <x:c r="BA833" s="94"/>
      <x:c r="BB833" s="91"/>
      <x:c r="BC833" s="92"/>
      <x:c r="BD833" s="92"/>
      <x:c r="BE833" s="91"/>
      <x:c r="BF833" s="91"/>
      <x:c r="BG833" s="91"/>
      <x:c r="BH833" s="91"/>
      <x:c r="BI833" s="91"/>
      <x:c r="BJ833" s="91"/>
      <x:c r="BK833" s="91"/>
      <x:c r="BL833" s="91"/>
      <x:c r="BM833" s="73" t="str">
        <x:f>IF(A833="","",IF(AI833="Example","Example only",IF(AI833&lt;&gt;"Actual","Set record type",IF(COUNTIF($A$2:$A$1001,A833)&gt;1,"Duplicate record ID",IF(OR(D833="",E833="",AF833="",NOT(ISNUMBER(AG833)),AJ833="",AK833="",NOT(ISNUMBER(AL833)),AND(AM833&lt;&gt;"Observed",AM833&lt;&gt;"Corroborated",AM833&lt;&gt;"Declared"),OR(AN833="",AN833="Unknown"),OR(AQ833="",AQ833="Unknown"),OR(AR833="",AR833="Unknown",AR833="TBD"),OR(BC833="",NOT(ISNUMBER(BC833)))),"Evidence incomplete","Evidence recorded; review scope")))))</x:f>
      </x:c>
      <x:c r="BN833" s="73"/>
    </x:row>
    <x:row r="834" ht="34" customHeight="1">
      <x:c r="A834" s="73"/>
      <x:c r="B834" s="73"/>
      <x:c r="C834" s="73"/>
      <x:c r="D834" s="73"/>
      <x:c r="E834" s="73"/>
      <x:c r="F834" s="73"/>
      <x:c r="G834" s="73"/>
      <x:c r="H834" s="73"/>
      <x:c r="I834" s="75"/>
      <x:c r="J834" s="73"/>
      <x:c r="K834" s="73"/>
      <x:c r="L834" s="76"/>
      <x:c r="M834" s="73"/>
      <x:c r="N834" s="73"/>
      <x:c r="O834" s="73"/>
      <x:c r="P834" s="73"/>
      <x:c r="Q834" s="76"/>
      <x:c r="R834" s="73"/>
      <x:c r="S834" s="73"/>
      <x:c r="T834" s="73"/>
      <x:c r="U834" s="73"/>
      <x:c r="V834" s="73"/>
      <x:c r="W834" s="73"/>
      <x:c r="X834" s="73"/>
      <x:c r="Y834" s="73"/>
      <x:c r="Z834" s="73"/>
      <x:c r="AA834" s="73"/>
      <x:c r="AB834" s="76" t="str">
        <x:f>IF(A834="","",IF(OR(NOT(ISNUMBER(I834)),I834&lt;0,NOT(ISNUMBER(AP834)),AP834&lt;0,NOT(ISNUMBER(L834)),L834&lt;1,L834&gt;5,L834&lt;&gt;INT(L834),AND(J834&lt;&gt;"Public",J834&lt;&gt;"Partner",J834&lt;&gt;"Internal",J834&lt;&gt;"None"),AND(K834&lt;&gt;"High",K834&lt;&gt;"Medium",K834&lt;&gt;"Low",K834&lt;&gt;"None"),AND(W834&lt;&gt;"Hard-coded",W834&lt;&gt;"Configurable",W834&lt;&gt;"Policy-managed",W834&lt;&gt;"API/Library abstraction",W834&lt;&gt;"Automated"),AND(Z834&lt;&gt;"Y",Z834&lt;&gt;"N"),AND(AA834&lt;&gt;"Y",AA834&lt;&gt;"N")),"Incomplete",IF(Z834="Y",20,0)+L834*5+IF(AA834="Y",15,0)+IF(J834="Public",10,IF(J834="Partner",7,IF(J834="Internal",3,0)))+IF(W834="Hard-coded",10,IF(W834="Configurable",3,0))+IF(MAX(I834,AP834)&gt;=10,10,IF(MAX(I834,AP834)&gt;=5,7,IF(MAX(I834,AP834)&gt;=2,3,0)))+IF(K834="High",10,IF(K834="Medium",5,0))))</x:f>
      </x:c>
      <x:c r="AC834" s="73" t="str">
        <x:f>IF(A834="","",IF(NOT(ISNUMBER(AB834)),"Review inputs",IF(AB834&gt;=70,"P0 - Immediate",IF(AB834&gt;=50,"P1 - High",IF(AB834&gt;=30,"P2 - Medium",IF(AB834&gt;=15,"P3 - Low","P4 - Monitor"))))))</x:f>
      </x:c>
      <x:c r="AD834" s="73"/>
      <x:c r="AE834" s="73"/>
      <x:c r="AF834" s="73"/>
      <x:c r="AG834" s="77"/>
      <x:c r="AH834" s="73"/>
      <x:c r="AI834" s="91"/>
      <x:c r="AJ834" s="91"/>
      <x:c r="AK834" s="91"/>
      <x:c r="AL834" s="92"/>
      <x:c r="AM834" s="91"/>
      <x:c r="AN834" s="91"/>
      <x:c r="AO834" s="93"/>
      <x:c r="AP834" s="94"/>
      <x:c r="AQ834" s="91"/>
      <x:c r="AR834" s="91"/>
      <x:c r="AS834" s="91"/>
      <x:c r="AT834" s="91"/>
      <x:c r="AU834" s="91"/>
      <x:c r="AV834" s="91"/>
      <x:c r="AW834" s="91"/>
      <x:c r="AX834" s="91"/>
      <x:c r="AY834" s="91"/>
      <x:c r="AZ834" s="92"/>
      <x:c r="BA834" s="94"/>
      <x:c r="BB834" s="91"/>
      <x:c r="BC834" s="92"/>
      <x:c r="BD834" s="92"/>
      <x:c r="BE834" s="91"/>
      <x:c r="BF834" s="91"/>
      <x:c r="BG834" s="91"/>
      <x:c r="BH834" s="91"/>
      <x:c r="BI834" s="91"/>
      <x:c r="BJ834" s="91"/>
      <x:c r="BK834" s="91"/>
      <x:c r="BL834" s="91"/>
      <x:c r="BM834" s="73" t="str">
        <x:f>IF(A834="","",IF(AI834="Example","Example only",IF(AI834&lt;&gt;"Actual","Set record type",IF(COUNTIF($A$2:$A$1001,A834)&gt;1,"Duplicate record ID",IF(OR(D834="",E834="",AF834="",NOT(ISNUMBER(AG834)),AJ834="",AK834="",NOT(ISNUMBER(AL834)),AND(AM834&lt;&gt;"Observed",AM834&lt;&gt;"Corroborated",AM834&lt;&gt;"Declared"),OR(AN834="",AN834="Unknown"),OR(AQ834="",AQ834="Unknown"),OR(AR834="",AR834="Unknown",AR834="TBD"),OR(BC834="",NOT(ISNUMBER(BC834)))),"Evidence incomplete","Evidence recorded; review scope")))))</x:f>
      </x:c>
      <x:c r="BN834" s="73"/>
    </x:row>
    <x:row r="835" ht="34" customHeight="1">
      <x:c r="A835" s="73"/>
      <x:c r="B835" s="73"/>
      <x:c r="C835" s="73"/>
      <x:c r="D835" s="73"/>
      <x:c r="E835" s="73"/>
      <x:c r="F835" s="73"/>
      <x:c r="G835" s="73"/>
      <x:c r="H835" s="73"/>
      <x:c r="I835" s="75"/>
      <x:c r="J835" s="73"/>
      <x:c r="K835" s="73"/>
      <x:c r="L835" s="76"/>
      <x:c r="M835" s="73"/>
      <x:c r="N835" s="73"/>
      <x:c r="O835" s="73"/>
      <x:c r="P835" s="73"/>
      <x:c r="Q835" s="76"/>
      <x:c r="R835" s="73"/>
      <x:c r="S835" s="73"/>
      <x:c r="T835" s="73"/>
      <x:c r="U835" s="73"/>
      <x:c r="V835" s="73"/>
      <x:c r="W835" s="73"/>
      <x:c r="X835" s="73"/>
      <x:c r="Y835" s="73"/>
      <x:c r="Z835" s="73"/>
      <x:c r="AA835" s="73"/>
      <x:c r="AB835" s="76" t="str">
        <x:f>IF(A835="","",IF(OR(NOT(ISNUMBER(I835)),I835&lt;0,NOT(ISNUMBER(AP835)),AP835&lt;0,NOT(ISNUMBER(L835)),L835&lt;1,L835&gt;5,L835&lt;&gt;INT(L835),AND(J835&lt;&gt;"Public",J835&lt;&gt;"Partner",J835&lt;&gt;"Internal",J835&lt;&gt;"None"),AND(K835&lt;&gt;"High",K835&lt;&gt;"Medium",K835&lt;&gt;"Low",K835&lt;&gt;"None"),AND(W835&lt;&gt;"Hard-coded",W835&lt;&gt;"Configurable",W835&lt;&gt;"Policy-managed",W835&lt;&gt;"API/Library abstraction",W835&lt;&gt;"Automated"),AND(Z835&lt;&gt;"Y",Z835&lt;&gt;"N"),AND(AA835&lt;&gt;"Y",AA835&lt;&gt;"N")),"Incomplete",IF(Z835="Y",20,0)+L835*5+IF(AA835="Y",15,0)+IF(J835="Public",10,IF(J835="Partner",7,IF(J835="Internal",3,0)))+IF(W835="Hard-coded",10,IF(W835="Configurable",3,0))+IF(MAX(I835,AP835)&gt;=10,10,IF(MAX(I835,AP835)&gt;=5,7,IF(MAX(I835,AP835)&gt;=2,3,0)))+IF(K835="High",10,IF(K835="Medium",5,0))))</x:f>
      </x:c>
      <x:c r="AC835" s="73" t="str">
        <x:f>IF(A835="","",IF(NOT(ISNUMBER(AB835)),"Review inputs",IF(AB835&gt;=70,"P0 - Immediate",IF(AB835&gt;=50,"P1 - High",IF(AB835&gt;=30,"P2 - Medium",IF(AB835&gt;=15,"P3 - Low","P4 - Monitor"))))))</x:f>
      </x:c>
      <x:c r="AD835" s="73"/>
      <x:c r="AE835" s="73"/>
      <x:c r="AF835" s="73"/>
      <x:c r="AG835" s="77"/>
      <x:c r="AH835" s="73"/>
      <x:c r="AI835" s="91"/>
      <x:c r="AJ835" s="91"/>
      <x:c r="AK835" s="91"/>
      <x:c r="AL835" s="92"/>
      <x:c r="AM835" s="91"/>
      <x:c r="AN835" s="91"/>
      <x:c r="AO835" s="93"/>
      <x:c r="AP835" s="94"/>
      <x:c r="AQ835" s="91"/>
      <x:c r="AR835" s="91"/>
      <x:c r="AS835" s="91"/>
      <x:c r="AT835" s="91"/>
      <x:c r="AU835" s="91"/>
      <x:c r="AV835" s="91"/>
      <x:c r="AW835" s="91"/>
      <x:c r="AX835" s="91"/>
      <x:c r="AY835" s="91"/>
      <x:c r="AZ835" s="92"/>
      <x:c r="BA835" s="94"/>
      <x:c r="BB835" s="91"/>
      <x:c r="BC835" s="92"/>
      <x:c r="BD835" s="92"/>
      <x:c r="BE835" s="91"/>
      <x:c r="BF835" s="91"/>
      <x:c r="BG835" s="91"/>
      <x:c r="BH835" s="91"/>
      <x:c r="BI835" s="91"/>
      <x:c r="BJ835" s="91"/>
      <x:c r="BK835" s="91"/>
      <x:c r="BL835" s="91"/>
      <x:c r="BM835" s="73" t="str">
        <x:f>IF(A835="","",IF(AI835="Example","Example only",IF(AI835&lt;&gt;"Actual","Set record type",IF(COUNTIF($A$2:$A$1001,A835)&gt;1,"Duplicate record ID",IF(OR(D835="",E835="",AF835="",NOT(ISNUMBER(AG835)),AJ835="",AK835="",NOT(ISNUMBER(AL835)),AND(AM835&lt;&gt;"Observed",AM835&lt;&gt;"Corroborated",AM835&lt;&gt;"Declared"),OR(AN835="",AN835="Unknown"),OR(AQ835="",AQ835="Unknown"),OR(AR835="",AR835="Unknown",AR835="TBD"),OR(BC835="",NOT(ISNUMBER(BC835)))),"Evidence incomplete","Evidence recorded; review scope")))))</x:f>
      </x:c>
      <x:c r="BN835" s="73"/>
    </x:row>
    <x:row r="836" ht="34" customHeight="1">
      <x:c r="A836" s="73"/>
      <x:c r="B836" s="73"/>
      <x:c r="C836" s="73"/>
      <x:c r="D836" s="73"/>
      <x:c r="E836" s="73"/>
      <x:c r="F836" s="73"/>
      <x:c r="G836" s="73"/>
      <x:c r="H836" s="73"/>
      <x:c r="I836" s="75"/>
      <x:c r="J836" s="73"/>
      <x:c r="K836" s="73"/>
      <x:c r="L836" s="76"/>
      <x:c r="M836" s="73"/>
      <x:c r="N836" s="73"/>
      <x:c r="O836" s="73"/>
      <x:c r="P836" s="73"/>
      <x:c r="Q836" s="76"/>
      <x:c r="R836" s="73"/>
      <x:c r="S836" s="73"/>
      <x:c r="T836" s="73"/>
      <x:c r="U836" s="73"/>
      <x:c r="V836" s="73"/>
      <x:c r="W836" s="73"/>
      <x:c r="X836" s="73"/>
      <x:c r="Y836" s="73"/>
      <x:c r="Z836" s="73"/>
      <x:c r="AA836" s="73"/>
      <x:c r="AB836" s="76" t="str">
        <x:f>IF(A836="","",IF(OR(NOT(ISNUMBER(I836)),I836&lt;0,NOT(ISNUMBER(AP836)),AP836&lt;0,NOT(ISNUMBER(L836)),L836&lt;1,L836&gt;5,L836&lt;&gt;INT(L836),AND(J836&lt;&gt;"Public",J836&lt;&gt;"Partner",J836&lt;&gt;"Internal",J836&lt;&gt;"None"),AND(K836&lt;&gt;"High",K836&lt;&gt;"Medium",K836&lt;&gt;"Low",K836&lt;&gt;"None"),AND(W836&lt;&gt;"Hard-coded",W836&lt;&gt;"Configurable",W836&lt;&gt;"Policy-managed",W836&lt;&gt;"API/Library abstraction",W836&lt;&gt;"Automated"),AND(Z836&lt;&gt;"Y",Z836&lt;&gt;"N"),AND(AA836&lt;&gt;"Y",AA836&lt;&gt;"N")),"Incomplete",IF(Z836="Y",20,0)+L836*5+IF(AA836="Y",15,0)+IF(J836="Public",10,IF(J836="Partner",7,IF(J836="Internal",3,0)))+IF(W836="Hard-coded",10,IF(W836="Configurable",3,0))+IF(MAX(I836,AP836)&gt;=10,10,IF(MAX(I836,AP836)&gt;=5,7,IF(MAX(I836,AP836)&gt;=2,3,0)))+IF(K836="High",10,IF(K836="Medium",5,0))))</x:f>
      </x:c>
      <x:c r="AC836" s="73" t="str">
        <x:f>IF(A836="","",IF(NOT(ISNUMBER(AB836)),"Review inputs",IF(AB836&gt;=70,"P0 - Immediate",IF(AB836&gt;=50,"P1 - High",IF(AB836&gt;=30,"P2 - Medium",IF(AB836&gt;=15,"P3 - Low","P4 - Monitor"))))))</x:f>
      </x:c>
      <x:c r="AD836" s="73"/>
      <x:c r="AE836" s="73"/>
      <x:c r="AF836" s="73"/>
      <x:c r="AG836" s="77"/>
      <x:c r="AH836" s="73"/>
      <x:c r="AI836" s="91"/>
      <x:c r="AJ836" s="91"/>
      <x:c r="AK836" s="91"/>
      <x:c r="AL836" s="92"/>
      <x:c r="AM836" s="91"/>
      <x:c r="AN836" s="91"/>
      <x:c r="AO836" s="93"/>
      <x:c r="AP836" s="94"/>
      <x:c r="AQ836" s="91"/>
      <x:c r="AR836" s="91"/>
      <x:c r="AS836" s="91"/>
      <x:c r="AT836" s="91"/>
      <x:c r="AU836" s="91"/>
      <x:c r="AV836" s="91"/>
      <x:c r="AW836" s="91"/>
      <x:c r="AX836" s="91"/>
      <x:c r="AY836" s="91"/>
      <x:c r="AZ836" s="92"/>
      <x:c r="BA836" s="94"/>
      <x:c r="BB836" s="91"/>
      <x:c r="BC836" s="92"/>
      <x:c r="BD836" s="92"/>
      <x:c r="BE836" s="91"/>
      <x:c r="BF836" s="91"/>
      <x:c r="BG836" s="91"/>
      <x:c r="BH836" s="91"/>
      <x:c r="BI836" s="91"/>
      <x:c r="BJ836" s="91"/>
      <x:c r="BK836" s="91"/>
      <x:c r="BL836" s="91"/>
      <x:c r="BM836" s="73" t="str">
        <x:f>IF(A836="","",IF(AI836="Example","Example only",IF(AI836&lt;&gt;"Actual","Set record type",IF(COUNTIF($A$2:$A$1001,A836)&gt;1,"Duplicate record ID",IF(OR(D836="",E836="",AF836="",NOT(ISNUMBER(AG836)),AJ836="",AK836="",NOT(ISNUMBER(AL836)),AND(AM836&lt;&gt;"Observed",AM836&lt;&gt;"Corroborated",AM836&lt;&gt;"Declared"),OR(AN836="",AN836="Unknown"),OR(AQ836="",AQ836="Unknown"),OR(AR836="",AR836="Unknown",AR836="TBD"),OR(BC836="",NOT(ISNUMBER(BC836)))),"Evidence incomplete","Evidence recorded; review scope")))))</x:f>
      </x:c>
      <x:c r="BN836" s="73"/>
    </x:row>
    <x:row r="837" ht="34" customHeight="1">
      <x:c r="A837" s="73"/>
      <x:c r="B837" s="73"/>
      <x:c r="C837" s="73"/>
      <x:c r="D837" s="73"/>
      <x:c r="E837" s="73"/>
      <x:c r="F837" s="73"/>
      <x:c r="G837" s="73"/>
      <x:c r="H837" s="73"/>
      <x:c r="I837" s="75"/>
      <x:c r="J837" s="73"/>
      <x:c r="K837" s="73"/>
      <x:c r="L837" s="76"/>
      <x:c r="M837" s="73"/>
      <x:c r="N837" s="73"/>
      <x:c r="O837" s="73"/>
      <x:c r="P837" s="73"/>
      <x:c r="Q837" s="76"/>
      <x:c r="R837" s="73"/>
      <x:c r="S837" s="73"/>
      <x:c r="T837" s="73"/>
      <x:c r="U837" s="73"/>
      <x:c r="V837" s="73"/>
      <x:c r="W837" s="73"/>
      <x:c r="X837" s="73"/>
      <x:c r="Y837" s="73"/>
      <x:c r="Z837" s="73"/>
      <x:c r="AA837" s="73"/>
      <x:c r="AB837" s="76" t="str">
        <x:f>IF(A837="","",IF(OR(NOT(ISNUMBER(I837)),I837&lt;0,NOT(ISNUMBER(AP837)),AP837&lt;0,NOT(ISNUMBER(L837)),L837&lt;1,L837&gt;5,L837&lt;&gt;INT(L837),AND(J837&lt;&gt;"Public",J837&lt;&gt;"Partner",J837&lt;&gt;"Internal",J837&lt;&gt;"None"),AND(K837&lt;&gt;"High",K837&lt;&gt;"Medium",K837&lt;&gt;"Low",K837&lt;&gt;"None"),AND(W837&lt;&gt;"Hard-coded",W837&lt;&gt;"Configurable",W837&lt;&gt;"Policy-managed",W837&lt;&gt;"API/Library abstraction",W837&lt;&gt;"Automated"),AND(Z837&lt;&gt;"Y",Z837&lt;&gt;"N"),AND(AA837&lt;&gt;"Y",AA837&lt;&gt;"N")),"Incomplete",IF(Z837="Y",20,0)+L837*5+IF(AA837="Y",15,0)+IF(J837="Public",10,IF(J837="Partner",7,IF(J837="Internal",3,0)))+IF(W837="Hard-coded",10,IF(W837="Configurable",3,0))+IF(MAX(I837,AP837)&gt;=10,10,IF(MAX(I837,AP837)&gt;=5,7,IF(MAX(I837,AP837)&gt;=2,3,0)))+IF(K837="High",10,IF(K837="Medium",5,0))))</x:f>
      </x:c>
      <x:c r="AC837" s="73" t="str">
        <x:f>IF(A837="","",IF(NOT(ISNUMBER(AB837)),"Review inputs",IF(AB837&gt;=70,"P0 - Immediate",IF(AB837&gt;=50,"P1 - High",IF(AB837&gt;=30,"P2 - Medium",IF(AB837&gt;=15,"P3 - Low","P4 - Monitor"))))))</x:f>
      </x:c>
      <x:c r="AD837" s="73"/>
      <x:c r="AE837" s="73"/>
      <x:c r="AF837" s="73"/>
      <x:c r="AG837" s="77"/>
      <x:c r="AH837" s="73"/>
      <x:c r="AI837" s="91"/>
      <x:c r="AJ837" s="91"/>
      <x:c r="AK837" s="91"/>
      <x:c r="AL837" s="92"/>
      <x:c r="AM837" s="91"/>
      <x:c r="AN837" s="91"/>
      <x:c r="AO837" s="93"/>
      <x:c r="AP837" s="94"/>
      <x:c r="AQ837" s="91"/>
      <x:c r="AR837" s="91"/>
      <x:c r="AS837" s="91"/>
      <x:c r="AT837" s="91"/>
      <x:c r="AU837" s="91"/>
      <x:c r="AV837" s="91"/>
      <x:c r="AW837" s="91"/>
      <x:c r="AX837" s="91"/>
      <x:c r="AY837" s="91"/>
      <x:c r="AZ837" s="92"/>
      <x:c r="BA837" s="94"/>
      <x:c r="BB837" s="91"/>
      <x:c r="BC837" s="92"/>
      <x:c r="BD837" s="92"/>
      <x:c r="BE837" s="91"/>
      <x:c r="BF837" s="91"/>
      <x:c r="BG837" s="91"/>
      <x:c r="BH837" s="91"/>
      <x:c r="BI837" s="91"/>
      <x:c r="BJ837" s="91"/>
      <x:c r="BK837" s="91"/>
      <x:c r="BL837" s="91"/>
      <x:c r="BM837" s="73" t="str">
        <x:f>IF(A837="","",IF(AI837="Example","Example only",IF(AI837&lt;&gt;"Actual","Set record type",IF(COUNTIF($A$2:$A$1001,A837)&gt;1,"Duplicate record ID",IF(OR(D837="",E837="",AF837="",NOT(ISNUMBER(AG837)),AJ837="",AK837="",NOT(ISNUMBER(AL837)),AND(AM837&lt;&gt;"Observed",AM837&lt;&gt;"Corroborated",AM837&lt;&gt;"Declared"),OR(AN837="",AN837="Unknown"),OR(AQ837="",AQ837="Unknown"),OR(AR837="",AR837="Unknown",AR837="TBD"),OR(BC837="",NOT(ISNUMBER(BC837)))),"Evidence incomplete","Evidence recorded; review scope")))))</x:f>
      </x:c>
      <x:c r="BN837" s="73"/>
    </x:row>
    <x:row r="838" ht="34" customHeight="1">
      <x:c r="A838" s="73"/>
      <x:c r="B838" s="73"/>
      <x:c r="C838" s="73"/>
      <x:c r="D838" s="73"/>
      <x:c r="E838" s="73"/>
      <x:c r="F838" s="73"/>
      <x:c r="G838" s="73"/>
      <x:c r="H838" s="73"/>
      <x:c r="I838" s="75"/>
      <x:c r="J838" s="73"/>
      <x:c r="K838" s="73"/>
      <x:c r="L838" s="76"/>
      <x:c r="M838" s="73"/>
      <x:c r="N838" s="73"/>
      <x:c r="O838" s="73"/>
      <x:c r="P838" s="73"/>
      <x:c r="Q838" s="76"/>
      <x:c r="R838" s="73"/>
      <x:c r="S838" s="73"/>
      <x:c r="T838" s="73"/>
      <x:c r="U838" s="73"/>
      <x:c r="V838" s="73"/>
      <x:c r="W838" s="73"/>
      <x:c r="X838" s="73"/>
      <x:c r="Y838" s="73"/>
      <x:c r="Z838" s="73"/>
      <x:c r="AA838" s="73"/>
      <x:c r="AB838" s="76" t="str">
        <x:f>IF(A838="","",IF(OR(NOT(ISNUMBER(I838)),I838&lt;0,NOT(ISNUMBER(AP838)),AP838&lt;0,NOT(ISNUMBER(L838)),L838&lt;1,L838&gt;5,L838&lt;&gt;INT(L838),AND(J838&lt;&gt;"Public",J838&lt;&gt;"Partner",J838&lt;&gt;"Internal",J838&lt;&gt;"None"),AND(K838&lt;&gt;"High",K838&lt;&gt;"Medium",K838&lt;&gt;"Low",K838&lt;&gt;"None"),AND(W838&lt;&gt;"Hard-coded",W838&lt;&gt;"Configurable",W838&lt;&gt;"Policy-managed",W838&lt;&gt;"API/Library abstraction",W838&lt;&gt;"Automated"),AND(Z838&lt;&gt;"Y",Z838&lt;&gt;"N"),AND(AA838&lt;&gt;"Y",AA838&lt;&gt;"N")),"Incomplete",IF(Z838="Y",20,0)+L838*5+IF(AA838="Y",15,0)+IF(J838="Public",10,IF(J838="Partner",7,IF(J838="Internal",3,0)))+IF(W838="Hard-coded",10,IF(W838="Configurable",3,0))+IF(MAX(I838,AP838)&gt;=10,10,IF(MAX(I838,AP838)&gt;=5,7,IF(MAX(I838,AP838)&gt;=2,3,0)))+IF(K838="High",10,IF(K838="Medium",5,0))))</x:f>
      </x:c>
      <x:c r="AC838" s="73" t="str">
        <x:f>IF(A838="","",IF(NOT(ISNUMBER(AB838)),"Review inputs",IF(AB838&gt;=70,"P0 - Immediate",IF(AB838&gt;=50,"P1 - High",IF(AB838&gt;=30,"P2 - Medium",IF(AB838&gt;=15,"P3 - Low","P4 - Monitor"))))))</x:f>
      </x:c>
      <x:c r="AD838" s="73"/>
      <x:c r="AE838" s="73"/>
      <x:c r="AF838" s="73"/>
      <x:c r="AG838" s="77"/>
      <x:c r="AH838" s="73"/>
      <x:c r="AI838" s="91"/>
      <x:c r="AJ838" s="91"/>
      <x:c r="AK838" s="91"/>
      <x:c r="AL838" s="92"/>
      <x:c r="AM838" s="91"/>
      <x:c r="AN838" s="91"/>
      <x:c r="AO838" s="93"/>
      <x:c r="AP838" s="94"/>
      <x:c r="AQ838" s="91"/>
      <x:c r="AR838" s="91"/>
      <x:c r="AS838" s="91"/>
      <x:c r="AT838" s="91"/>
      <x:c r="AU838" s="91"/>
      <x:c r="AV838" s="91"/>
      <x:c r="AW838" s="91"/>
      <x:c r="AX838" s="91"/>
      <x:c r="AY838" s="91"/>
      <x:c r="AZ838" s="92"/>
      <x:c r="BA838" s="94"/>
      <x:c r="BB838" s="91"/>
      <x:c r="BC838" s="92"/>
      <x:c r="BD838" s="92"/>
      <x:c r="BE838" s="91"/>
      <x:c r="BF838" s="91"/>
      <x:c r="BG838" s="91"/>
      <x:c r="BH838" s="91"/>
      <x:c r="BI838" s="91"/>
      <x:c r="BJ838" s="91"/>
      <x:c r="BK838" s="91"/>
      <x:c r="BL838" s="91"/>
      <x:c r="BM838" s="73" t="str">
        <x:f>IF(A838="","",IF(AI838="Example","Example only",IF(AI838&lt;&gt;"Actual","Set record type",IF(COUNTIF($A$2:$A$1001,A838)&gt;1,"Duplicate record ID",IF(OR(D838="",E838="",AF838="",NOT(ISNUMBER(AG838)),AJ838="",AK838="",NOT(ISNUMBER(AL838)),AND(AM838&lt;&gt;"Observed",AM838&lt;&gt;"Corroborated",AM838&lt;&gt;"Declared"),OR(AN838="",AN838="Unknown"),OR(AQ838="",AQ838="Unknown"),OR(AR838="",AR838="Unknown",AR838="TBD"),OR(BC838="",NOT(ISNUMBER(BC838)))),"Evidence incomplete","Evidence recorded; review scope")))))</x:f>
      </x:c>
      <x:c r="BN838" s="73"/>
    </x:row>
    <x:row r="839" ht="34" customHeight="1">
      <x:c r="A839" s="73"/>
      <x:c r="B839" s="73"/>
      <x:c r="C839" s="73"/>
      <x:c r="D839" s="73"/>
      <x:c r="E839" s="73"/>
      <x:c r="F839" s="73"/>
      <x:c r="G839" s="73"/>
      <x:c r="H839" s="73"/>
      <x:c r="I839" s="75"/>
      <x:c r="J839" s="73"/>
      <x:c r="K839" s="73"/>
      <x:c r="L839" s="76"/>
      <x:c r="M839" s="73"/>
      <x:c r="N839" s="73"/>
      <x:c r="O839" s="73"/>
      <x:c r="P839" s="73"/>
      <x:c r="Q839" s="76"/>
      <x:c r="R839" s="73"/>
      <x:c r="S839" s="73"/>
      <x:c r="T839" s="73"/>
      <x:c r="U839" s="73"/>
      <x:c r="V839" s="73"/>
      <x:c r="W839" s="73"/>
      <x:c r="X839" s="73"/>
      <x:c r="Y839" s="73"/>
      <x:c r="Z839" s="73"/>
      <x:c r="AA839" s="73"/>
      <x:c r="AB839" s="76" t="str">
        <x:f>IF(A839="","",IF(OR(NOT(ISNUMBER(I839)),I839&lt;0,NOT(ISNUMBER(AP839)),AP839&lt;0,NOT(ISNUMBER(L839)),L839&lt;1,L839&gt;5,L839&lt;&gt;INT(L839),AND(J839&lt;&gt;"Public",J839&lt;&gt;"Partner",J839&lt;&gt;"Internal",J839&lt;&gt;"None"),AND(K839&lt;&gt;"High",K839&lt;&gt;"Medium",K839&lt;&gt;"Low",K839&lt;&gt;"None"),AND(W839&lt;&gt;"Hard-coded",W839&lt;&gt;"Configurable",W839&lt;&gt;"Policy-managed",W839&lt;&gt;"API/Library abstraction",W839&lt;&gt;"Automated"),AND(Z839&lt;&gt;"Y",Z839&lt;&gt;"N"),AND(AA839&lt;&gt;"Y",AA839&lt;&gt;"N")),"Incomplete",IF(Z839="Y",20,0)+L839*5+IF(AA839="Y",15,0)+IF(J839="Public",10,IF(J839="Partner",7,IF(J839="Internal",3,0)))+IF(W839="Hard-coded",10,IF(W839="Configurable",3,0))+IF(MAX(I839,AP839)&gt;=10,10,IF(MAX(I839,AP839)&gt;=5,7,IF(MAX(I839,AP839)&gt;=2,3,0)))+IF(K839="High",10,IF(K839="Medium",5,0))))</x:f>
      </x:c>
      <x:c r="AC839" s="73" t="str">
        <x:f>IF(A839="","",IF(NOT(ISNUMBER(AB839)),"Review inputs",IF(AB839&gt;=70,"P0 - Immediate",IF(AB839&gt;=50,"P1 - High",IF(AB839&gt;=30,"P2 - Medium",IF(AB839&gt;=15,"P3 - Low","P4 - Monitor"))))))</x:f>
      </x:c>
      <x:c r="AD839" s="73"/>
      <x:c r="AE839" s="73"/>
      <x:c r="AF839" s="73"/>
      <x:c r="AG839" s="77"/>
      <x:c r="AH839" s="73"/>
      <x:c r="AI839" s="91"/>
      <x:c r="AJ839" s="91"/>
      <x:c r="AK839" s="91"/>
      <x:c r="AL839" s="92"/>
      <x:c r="AM839" s="91"/>
      <x:c r="AN839" s="91"/>
      <x:c r="AO839" s="93"/>
      <x:c r="AP839" s="94"/>
      <x:c r="AQ839" s="91"/>
      <x:c r="AR839" s="91"/>
      <x:c r="AS839" s="91"/>
      <x:c r="AT839" s="91"/>
      <x:c r="AU839" s="91"/>
      <x:c r="AV839" s="91"/>
      <x:c r="AW839" s="91"/>
      <x:c r="AX839" s="91"/>
      <x:c r="AY839" s="91"/>
      <x:c r="AZ839" s="92"/>
      <x:c r="BA839" s="94"/>
      <x:c r="BB839" s="91"/>
      <x:c r="BC839" s="92"/>
      <x:c r="BD839" s="92"/>
      <x:c r="BE839" s="91"/>
      <x:c r="BF839" s="91"/>
      <x:c r="BG839" s="91"/>
      <x:c r="BH839" s="91"/>
      <x:c r="BI839" s="91"/>
      <x:c r="BJ839" s="91"/>
      <x:c r="BK839" s="91"/>
      <x:c r="BL839" s="91"/>
      <x:c r="BM839" s="73" t="str">
        <x:f>IF(A839="","",IF(AI839="Example","Example only",IF(AI839&lt;&gt;"Actual","Set record type",IF(COUNTIF($A$2:$A$1001,A839)&gt;1,"Duplicate record ID",IF(OR(D839="",E839="",AF839="",NOT(ISNUMBER(AG839)),AJ839="",AK839="",NOT(ISNUMBER(AL839)),AND(AM839&lt;&gt;"Observed",AM839&lt;&gt;"Corroborated",AM839&lt;&gt;"Declared"),OR(AN839="",AN839="Unknown"),OR(AQ839="",AQ839="Unknown"),OR(AR839="",AR839="Unknown",AR839="TBD"),OR(BC839="",NOT(ISNUMBER(BC839)))),"Evidence incomplete","Evidence recorded; review scope")))))</x:f>
      </x:c>
      <x:c r="BN839" s="73"/>
    </x:row>
    <x:row r="840" ht="34" customHeight="1">
      <x:c r="A840" s="73"/>
      <x:c r="B840" s="73"/>
      <x:c r="C840" s="73"/>
      <x:c r="D840" s="73"/>
      <x:c r="E840" s="73"/>
      <x:c r="F840" s="73"/>
      <x:c r="G840" s="73"/>
      <x:c r="H840" s="73"/>
      <x:c r="I840" s="75"/>
      <x:c r="J840" s="73"/>
      <x:c r="K840" s="73"/>
      <x:c r="L840" s="76"/>
      <x:c r="M840" s="73"/>
      <x:c r="N840" s="73"/>
      <x:c r="O840" s="73"/>
      <x:c r="P840" s="73"/>
      <x:c r="Q840" s="76"/>
      <x:c r="R840" s="73"/>
      <x:c r="S840" s="73"/>
      <x:c r="T840" s="73"/>
      <x:c r="U840" s="73"/>
      <x:c r="V840" s="73"/>
      <x:c r="W840" s="73"/>
      <x:c r="X840" s="73"/>
      <x:c r="Y840" s="73"/>
      <x:c r="Z840" s="73"/>
      <x:c r="AA840" s="73"/>
      <x:c r="AB840" s="76" t="str">
        <x:f>IF(A840="","",IF(OR(NOT(ISNUMBER(I840)),I840&lt;0,NOT(ISNUMBER(AP840)),AP840&lt;0,NOT(ISNUMBER(L840)),L840&lt;1,L840&gt;5,L840&lt;&gt;INT(L840),AND(J840&lt;&gt;"Public",J840&lt;&gt;"Partner",J840&lt;&gt;"Internal",J840&lt;&gt;"None"),AND(K840&lt;&gt;"High",K840&lt;&gt;"Medium",K840&lt;&gt;"Low",K840&lt;&gt;"None"),AND(W840&lt;&gt;"Hard-coded",W840&lt;&gt;"Configurable",W840&lt;&gt;"Policy-managed",W840&lt;&gt;"API/Library abstraction",W840&lt;&gt;"Automated"),AND(Z840&lt;&gt;"Y",Z840&lt;&gt;"N"),AND(AA840&lt;&gt;"Y",AA840&lt;&gt;"N")),"Incomplete",IF(Z840="Y",20,0)+L840*5+IF(AA840="Y",15,0)+IF(J840="Public",10,IF(J840="Partner",7,IF(J840="Internal",3,0)))+IF(W840="Hard-coded",10,IF(W840="Configurable",3,0))+IF(MAX(I840,AP840)&gt;=10,10,IF(MAX(I840,AP840)&gt;=5,7,IF(MAX(I840,AP840)&gt;=2,3,0)))+IF(K840="High",10,IF(K840="Medium",5,0))))</x:f>
      </x:c>
      <x:c r="AC840" s="73" t="str">
        <x:f>IF(A840="","",IF(NOT(ISNUMBER(AB840)),"Review inputs",IF(AB840&gt;=70,"P0 - Immediate",IF(AB840&gt;=50,"P1 - High",IF(AB840&gt;=30,"P2 - Medium",IF(AB840&gt;=15,"P3 - Low","P4 - Monitor"))))))</x:f>
      </x:c>
      <x:c r="AD840" s="73"/>
      <x:c r="AE840" s="73"/>
      <x:c r="AF840" s="73"/>
      <x:c r="AG840" s="77"/>
      <x:c r="AH840" s="73"/>
      <x:c r="AI840" s="91"/>
      <x:c r="AJ840" s="91"/>
      <x:c r="AK840" s="91"/>
      <x:c r="AL840" s="92"/>
      <x:c r="AM840" s="91"/>
      <x:c r="AN840" s="91"/>
      <x:c r="AO840" s="93"/>
      <x:c r="AP840" s="94"/>
      <x:c r="AQ840" s="91"/>
      <x:c r="AR840" s="91"/>
      <x:c r="AS840" s="91"/>
      <x:c r="AT840" s="91"/>
      <x:c r="AU840" s="91"/>
      <x:c r="AV840" s="91"/>
      <x:c r="AW840" s="91"/>
      <x:c r="AX840" s="91"/>
      <x:c r="AY840" s="91"/>
      <x:c r="AZ840" s="92"/>
      <x:c r="BA840" s="94"/>
      <x:c r="BB840" s="91"/>
      <x:c r="BC840" s="92"/>
      <x:c r="BD840" s="92"/>
      <x:c r="BE840" s="91"/>
      <x:c r="BF840" s="91"/>
      <x:c r="BG840" s="91"/>
      <x:c r="BH840" s="91"/>
      <x:c r="BI840" s="91"/>
      <x:c r="BJ840" s="91"/>
      <x:c r="BK840" s="91"/>
      <x:c r="BL840" s="91"/>
      <x:c r="BM840" s="73" t="str">
        <x:f>IF(A840="","",IF(AI840="Example","Example only",IF(AI840&lt;&gt;"Actual","Set record type",IF(COUNTIF($A$2:$A$1001,A840)&gt;1,"Duplicate record ID",IF(OR(D840="",E840="",AF840="",NOT(ISNUMBER(AG840)),AJ840="",AK840="",NOT(ISNUMBER(AL840)),AND(AM840&lt;&gt;"Observed",AM840&lt;&gt;"Corroborated",AM840&lt;&gt;"Declared"),OR(AN840="",AN840="Unknown"),OR(AQ840="",AQ840="Unknown"),OR(AR840="",AR840="Unknown",AR840="TBD"),OR(BC840="",NOT(ISNUMBER(BC840)))),"Evidence incomplete","Evidence recorded; review scope")))))</x:f>
      </x:c>
      <x:c r="BN840" s="73"/>
    </x:row>
    <x:row r="841" ht="34" customHeight="1">
      <x:c r="A841" s="73"/>
      <x:c r="B841" s="73"/>
      <x:c r="C841" s="73"/>
      <x:c r="D841" s="73"/>
      <x:c r="E841" s="73"/>
      <x:c r="F841" s="73"/>
      <x:c r="G841" s="73"/>
      <x:c r="H841" s="73"/>
      <x:c r="I841" s="75"/>
      <x:c r="J841" s="73"/>
      <x:c r="K841" s="73"/>
      <x:c r="L841" s="76"/>
      <x:c r="M841" s="73"/>
      <x:c r="N841" s="73"/>
      <x:c r="O841" s="73"/>
      <x:c r="P841" s="73"/>
      <x:c r="Q841" s="76"/>
      <x:c r="R841" s="73"/>
      <x:c r="S841" s="73"/>
      <x:c r="T841" s="73"/>
      <x:c r="U841" s="73"/>
      <x:c r="V841" s="73"/>
      <x:c r="W841" s="73"/>
      <x:c r="X841" s="73"/>
      <x:c r="Y841" s="73"/>
      <x:c r="Z841" s="73"/>
      <x:c r="AA841" s="73"/>
      <x:c r="AB841" s="76" t="str">
        <x:f>IF(A841="","",IF(OR(NOT(ISNUMBER(I841)),I841&lt;0,NOT(ISNUMBER(AP841)),AP841&lt;0,NOT(ISNUMBER(L841)),L841&lt;1,L841&gt;5,L841&lt;&gt;INT(L841),AND(J841&lt;&gt;"Public",J841&lt;&gt;"Partner",J841&lt;&gt;"Internal",J841&lt;&gt;"None"),AND(K841&lt;&gt;"High",K841&lt;&gt;"Medium",K841&lt;&gt;"Low",K841&lt;&gt;"None"),AND(W841&lt;&gt;"Hard-coded",W841&lt;&gt;"Configurable",W841&lt;&gt;"Policy-managed",W841&lt;&gt;"API/Library abstraction",W841&lt;&gt;"Automated"),AND(Z841&lt;&gt;"Y",Z841&lt;&gt;"N"),AND(AA841&lt;&gt;"Y",AA841&lt;&gt;"N")),"Incomplete",IF(Z841="Y",20,0)+L841*5+IF(AA841="Y",15,0)+IF(J841="Public",10,IF(J841="Partner",7,IF(J841="Internal",3,0)))+IF(W841="Hard-coded",10,IF(W841="Configurable",3,0))+IF(MAX(I841,AP841)&gt;=10,10,IF(MAX(I841,AP841)&gt;=5,7,IF(MAX(I841,AP841)&gt;=2,3,0)))+IF(K841="High",10,IF(K841="Medium",5,0))))</x:f>
      </x:c>
      <x:c r="AC841" s="73" t="str">
        <x:f>IF(A841="","",IF(NOT(ISNUMBER(AB841)),"Review inputs",IF(AB841&gt;=70,"P0 - Immediate",IF(AB841&gt;=50,"P1 - High",IF(AB841&gt;=30,"P2 - Medium",IF(AB841&gt;=15,"P3 - Low","P4 - Monitor"))))))</x:f>
      </x:c>
      <x:c r="AD841" s="73"/>
      <x:c r="AE841" s="73"/>
      <x:c r="AF841" s="73"/>
      <x:c r="AG841" s="77"/>
      <x:c r="AH841" s="73"/>
      <x:c r="AI841" s="91"/>
      <x:c r="AJ841" s="91"/>
      <x:c r="AK841" s="91"/>
      <x:c r="AL841" s="92"/>
      <x:c r="AM841" s="91"/>
      <x:c r="AN841" s="91"/>
      <x:c r="AO841" s="93"/>
      <x:c r="AP841" s="94"/>
      <x:c r="AQ841" s="91"/>
      <x:c r="AR841" s="91"/>
      <x:c r="AS841" s="91"/>
      <x:c r="AT841" s="91"/>
      <x:c r="AU841" s="91"/>
      <x:c r="AV841" s="91"/>
      <x:c r="AW841" s="91"/>
      <x:c r="AX841" s="91"/>
      <x:c r="AY841" s="91"/>
      <x:c r="AZ841" s="92"/>
      <x:c r="BA841" s="94"/>
      <x:c r="BB841" s="91"/>
      <x:c r="BC841" s="92"/>
      <x:c r="BD841" s="92"/>
      <x:c r="BE841" s="91"/>
      <x:c r="BF841" s="91"/>
      <x:c r="BG841" s="91"/>
      <x:c r="BH841" s="91"/>
      <x:c r="BI841" s="91"/>
      <x:c r="BJ841" s="91"/>
      <x:c r="BK841" s="91"/>
      <x:c r="BL841" s="91"/>
      <x:c r="BM841" s="73" t="str">
        <x:f>IF(A841="","",IF(AI841="Example","Example only",IF(AI841&lt;&gt;"Actual","Set record type",IF(COUNTIF($A$2:$A$1001,A841)&gt;1,"Duplicate record ID",IF(OR(D841="",E841="",AF841="",NOT(ISNUMBER(AG841)),AJ841="",AK841="",NOT(ISNUMBER(AL841)),AND(AM841&lt;&gt;"Observed",AM841&lt;&gt;"Corroborated",AM841&lt;&gt;"Declared"),OR(AN841="",AN841="Unknown"),OR(AQ841="",AQ841="Unknown"),OR(AR841="",AR841="Unknown",AR841="TBD"),OR(BC841="",NOT(ISNUMBER(BC841)))),"Evidence incomplete","Evidence recorded; review scope")))))</x:f>
      </x:c>
      <x:c r="BN841" s="73"/>
    </x:row>
    <x:row r="842" ht="34" customHeight="1">
      <x:c r="A842" s="73"/>
      <x:c r="B842" s="73"/>
      <x:c r="C842" s="73"/>
      <x:c r="D842" s="73"/>
      <x:c r="E842" s="73"/>
      <x:c r="F842" s="73"/>
      <x:c r="G842" s="73"/>
      <x:c r="H842" s="73"/>
      <x:c r="I842" s="75"/>
      <x:c r="J842" s="73"/>
      <x:c r="K842" s="73"/>
      <x:c r="L842" s="76"/>
      <x:c r="M842" s="73"/>
      <x:c r="N842" s="73"/>
      <x:c r="O842" s="73"/>
      <x:c r="P842" s="73"/>
      <x:c r="Q842" s="76"/>
      <x:c r="R842" s="73"/>
      <x:c r="S842" s="73"/>
      <x:c r="T842" s="73"/>
      <x:c r="U842" s="73"/>
      <x:c r="V842" s="73"/>
      <x:c r="W842" s="73"/>
      <x:c r="X842" s="73"/>
      <x:c r="Y842" s="73"/>
      <x:c r="Z842" s="73"/>
      <x:c r="AA842" s="73"/>
      <x:c r="AB842" s="76" t="str">
        <x:f>IF(A842="","",IF(OR(NOT(ISNUMBER(I842)),I842&lt;0,NOT(ISNUMBER(AP842)),AP842&lt;0,NOT(ISNUMBER(L842)),L842&lt;1,L842&gt;5,L842&lt;&gt;INT(L842),AND(J842&lt;&gt;"Public",J842&lt;&gt;"Partner",J842&lt;&gt;"Internal",J842&lt;&gt;"None"),AND(K842&lt;&gt;"High",K842&lt;&gt;"Medium",K842&lt;&gt;"Low",K842&lt;&gt;"None"),AND(W842&lt;&gt;"Hard-coded",W842&lt;&gt;"Configurable",W842&lt;&gt;"Policy-managed",W842&lt;&gt;"API/Library abstraction",W842&lt;&gt;"Automated"),AND(Z842&lt;&gt;"Y",Z842&lt;&gt;"N"),AND(AA842&lt;&gt;"Y",AA842&lt;&gt;"N")),"Incomplete",IF(Z842="Y",20,0)+L842*5+IF(AA842="Y",15,0)+IF(J842="Public",10,IF(J842="Partner",7,IF(J842="Internal",3,0)))+IF(W842="Hard-coded",10,IF(W842="Configurable",3,0))+IF(MAX(I842,AP842)&gt;=10,10,IF(MAX(I842,AP842)&gt;=5,7,IF(MAX(I842,AP842)&gt;=2,3,0)))+IF(K842="High",10,IF(K842="Medium",5,0))))</x:f>
      </x:c>
      <x:c r="AC842" s="73" t="str">
        <x:f>IF(A842="","",IF(NOT(ISNUMBER(AB842)),"Review inputs",IF(AB842&gt;=70,"P0 - Immediate",IF(AB842&gt;=50,"P1 - High",IF(AB842&gt;=30,"P2 - Medium",IF(AB842&gt;=15,"P3 - Low","P4 - Monitor"))))))</x:f>
      </x:c>
      <x:c r="AD842" s="73"/>
      <x:c r="AE842" s="73"/>
      <x:c r="AF842" s="73"/>
      <x:c r="AG842" s="77"/>
      <x:c r="AH842" s="73"/>
      <x:c r="AI842" s="91"/>
      <x:c r="AJ842" s="91"/>
      <x:c r="AK842" s="91"/>
      <x:c r="AL842" s="92"/>
      <x:c r="AM842" s="91"/>
      <x:c r="AN842" s="91"/>
      <x:c r="AO842" s="93"/>
      <x:c r="AP842" s="94"/>
      <x:c r="AQ842" s="91"/>
      <x:c r="AR842" s="91"/>
      <x:c r="AS842" s="91"/>
      <x:c r="AT842" s="91"/>
      <x:c r="AU842" s="91"/>
      <x:c r="AV842" s="91"/>
      <x:c r="AW842" s="91"/>
      <x:c r="AX842" s="91"/>
      <x:c r="AY842" s="91"/>
      <x:c r="AZ842" s="92"/>
      <x:c r="BA842" s="94"/>
      <x:c r="BB842" s="91"/>
      <x:c r="BC842" s="92"/>
      <x:c r="BD842" s="92"/>
      <x:c r="BE842" s="91"/>
      <x:c r="BF842" s="91"/>
      <x:c r="BG842" s="91"/>
      <x:c r="BH842" s="91"/>
      <x:c r="BI842" s="91"/>
      <x:c r="BJ842" s="91"/>
      <x:c r="BK842" s="91"/>
      <x:c r="BL842" s="91"/>
      <x:c r="BM842" s="73" t="str">
        <x:f>IF(A842="","",IF(AI842="Example","Example only",IF(AI842&lt;&gt;"Actual","Set record type",IF(COUNTIF($A$2:$A$1001,A842)&gt;1,"Duplicate record ID",IF(OR(D842="",E842="",AF842="",NOT(ISNUMBER(AG842)),AJ842="",AK842="",NOT(ISNUMBER(AL842)),AND(AM842&lt;&gt;"Observed",AM842&lt;&gt;"Corroborated",AM842&lt;&gt;"Declared"),OR(AN842="",AN842="Unknown"),OR(AQ842="",AQ842="Unknown"),OR(AR842="",AR842="Unknown",AR842="TBD"),OR(BC842="",NOT(ISNUMBER(BC842)))),"Evidence incomplete","Evidence recorded; review scope")))))</x:f>
      </x:c>
      <x:c r="BN842" s="73"/>
    </x:row>
    <x:row r="843" ht="34" customHeight="1">
      <x:c r="A843" s="73"/>
      <x:c r="B843" s="73"/>
      <x:c r="C843" s="73"/>
      <x:c r="D843" s="73"/>
      <x:c r="E843" s="73"/>
      <x:c r="F843" s="73"/>
      <x:c r="G843" s="73"/>
      <x:c r="H843" s="73"/>
      <x:c r="I843" s="75"/>
      <x:c r="J843" s="73"/>
      <x:c r="K843" s="73"/>
      <x:c r="L843" s="76"/>
      <x:c r="M843" s="73"/>
      <x:c r="N843" s="73"/>
      <x:c r="O843" s="73"/>
      <x:c r="P843" s="73"/>
      <x:c r="Q843" s="76"/>
      <x:c r="R843" s="73"/>
      <x:c r="S843" s="73"/>
      <x:c r="T843" s="73"/>
      <x:c r="U843" s="73"/>
      <x:c r="V843" s="73"/>
      <x:c r="W843" s="73"/>
      <x:c r="X843" s="73"/>
      <x:c r="Y843" s="73"/>
      <x:c r="Z843" s="73"/>
      <x:c r="AA843" s="73"/>
      <x:c r="AB843" s="76" t="str">
        <x:f>IF(A843="","",IF(OR(NOT(ISNUMBER(I843)),I843&lt;0,NOT(ISNUMBER(AP843)),AP843&lt;0,NOT(ISNUMBER(L843)),L843&lt;1,L843&gt;5,L843&lt;&gt;INT(L843),AND(J843&lt;&gt;"Public",J843&lt;&gt;"Partner",J843&lt;&gt;"Internal",J843&lt;&gt;"None"),AND(K843&lt;&gt;"High",K843&lt;&gt;"Medium",K843&lt;&gt;"Low",K843&lt;&gt;"None"),AND(W843&lt;&gt;"Hard-coded",W843&lt;&gt;"Configurable",W843&lt;&gt;"Policy-managed",W843&lt;&gt;"API/Library abstraction",W843&lt;&gt;"Automated"),AND(Z843&lt;&gt;"Y",Z843&lt;&gt;"N"),AND(AA843&lt;&gt;"Y",AA843&lt;&gt;"N")),"Incomplete",IF(Z843="Y",20,0)+L843*5+IF(AA843="Y",15,0)+IF(J843="Public",10,IF(J843="Partner",7,IF(J843="Internal",3,0)))+IF(W843="Hard-coded",10,IF(W843="Configurable",3,0))+IF(MAX(I843,AP843)&gt;=10,10,IF(MAX(I843,AP843)&gt;=5,7,IF(MAX(I843,AP843)&gt;=2,3,0)))+IF(K843="High",10,IF(K843="Medium",5,0))))</x:f>
      </x:c>
      <x:c r="AC843" s="73" t="str">
        <x:f>IF(A843="","",IF(NOT(ISNUMBER(AB843)),"Review inputs",IF(AB843&gt;=70,"P0 - Immediate",IF(AB843&gt;=50,"P1 - High",IF(AB843&gt;=30,"P2 - Medium",IF(AB843&gt;=15,"P3 - Low","P4 - Monitor"))))))</x:f>
      </x:c>
      <x:c r="AD843" s="73"/>
      <x:c r="AE843" s="73"/>
      <x:c r="AF843" s="73"/>
      <x:c r="AG843" s="77"/>
      <x:c r="AH843" s="73"/>
      <x:c r="AI843" s="91"/>
      <x:c r="AJ843" s="91"/>
      <x:c r="AK843" s="91"/>
      <x:c r="AL843" s="92"/>
      <x:c r="AM843" s="91"/>
      <x:c r="AN843" s="91"/>
      <x:c r="AO843" s="93"/>
      <x:c r="AP843" s="94"/>
      <x:c r="AQ843" s="91"/>
      <x:c r="AR843" s="91"/>
      <x:c r="AS843" s="91"/>
      <x:c r="AT843" s="91"/>
      <x:c r="AU843" s="91"/>
      <x:c r="AV843" s="91"/>
      <x:c r="AW843" s="91"/>
      <x:c r="AX843" s="91"/>
      <x:c r="AY843" s="91"/>
      <x:c r="AZ843" s="92"/>
      <x:c r="BA843" s="94"/>
      <x:c r="BB843" s="91"/>
      <x:c r="BC843" s="92"/>
      <x:c r="BD843" s="92"/>
      <x:c r="BE843" s="91"/>
      <x:c r="BF843" s="91"/>
      <x:c r="BG843" s="91"/>
      <x:c r="BH843" s="91"/>
      <x:c r="BI843" s="91"/>
      <x:c r="BJ843" s="91"/>
      <x:c r="BK843" s="91"/>
      <x:c r="BL843" s="91"/>
      <x:c r="BM843" s="73" t="str">
        <x:f>IF(A843="","",IF(AI843="Example","Example only",IF(AI843&lt;&gt;"Actual","Set record type",IF(COUNTIF($A$2:$A$1001,A843)&gt;1,"Duplicate record ID",IF(OR(D843="",E843="",AF843="",NOT(ISNUMBER(AG843)),AJ843="",AK843="",NOT(ISNUMBER(AL843)),AND(AM843&lt;&gt;"Observed",AM843&lt;&gt;"Corroborated",AM843&lt;&gt;"Declared"),OR(AN843="",AN843="Unknown"),OR(AQ843="",AQ843="Unknown"),OR(AR843="",AR843="Unknown",AR843="TBD"),OR(BC843="",NOT(ISNUMBER(BC843)))),"Evidence incomplete","Evidence recorded; review scope")))))</x:f>
      </x:c>
      <x:c r="BN843" s="73"/>
    </x:row>
    <x:row r="844" ht="34" customHeight="1">
      <x:c r="A844" s="73"/>
      <x:c r="B844" s="73"/>
      <x:c r="C844" s="73"/>
      <x:c r="D844" s="73"/>
      <x:c r="E844" s="73"/>
      <x:c r="F844" s="73"/>
      <x:c r="G844" s="73"/>
      <x:c r="H844" s="73"/>
      <x:c r="I844" s="75"/>
      <x:c r="J844" s="73"/>
      <x:c r="K844" s="73"/>
      <x:c r="L844" s="76"/>
      <x:c r="M844" s="73"/>
      <x:c r="N844" s="73"/>
      <x:c r="O844" s="73"/>
      <x:c r="P844" s="73"/>
      <x:c r="Q844" s="76"/>
      <x:c r="R844" s="73"/>
      <x:c r="S844" s="73"/>
      <x:c r="T844" s="73"/>
      <x:c r="U844" s="73"/>
      <x:c r="V844" s="73"/>
      <x:c r="W844" s="73"/>
      <x:c r="X844" s="73"/>
      <x:c r="Y844" s="73"/>
      <x:c r="Z844" s="73"/>
      <x:c r="AA844" s="73"/>
      <x:c r="AB844" s="76" t="str">
        <x:f>IF(A844="","",IF(OR(NOT(ISNUMBER(I844)),I844&lt;0,NOT(ISNUMBER(AP844)),AP844&lt;0,NOT(ISNUMBER(L844)),L844&lt;1,L844&gt;5,L844&lt;&gt;INT(L844),AND(J844&lt;&gt;"Public",J844&lt;&gt;"Partner",J844&lt;&gt;"Internal",J844&lt;&gt;"None"),AND(K844&lt;&gt;"High",K844&lt;&gt;"Medium",K844&lt;&gt;"Low",K844&lt;&gt;"None"),AND(W844&lt;&gt;"Hard-coded",W844&lt;&gt;"Configurable",W844&lt;&gt;"Policy-managed",W844&lt;&gt;"API/Library abstraction",W844&lt;&gt;"Automated"),AND(Z844&lt;&gt;"Y",Z844&lt;&gt;"N"),AND(AA844&lt;&gt;"Y",AA844&lt;&gt;"N")),"Incomplete",IF(Z844="Y",20,0)+L844*5+IF(AA844="Y",15,0)+IF(J844="Public",10,IF(J844="Partner",7,IF(J844="Internal",3,0)))+IF(W844="Hard-coded",10,IF(W844="Configurable",3,0))+IF(MAX(I844,AP844)&gt;=10,10,IF(MAX(I844,AP844)&gt;=5,7,IF(MAX(I844,AP844)&gt;=2,3,0)))+IF(K844="High",10,IF(K844="Medium",5,0))))</x:f>
      </x:c>
      <x:c r="AC844" s="73" t="str">
        <x:f>IF(A844="","",IF(NOT(ISNUMBER(AB844)),"Review inputs",IF(AB844&gt;=70,"P0 - Immediate",IF(AB844&gt;=50,"P1 - High",IF(AB844&gt;=30,"P2 - Medium",IF(AB844&gt;=15,"P3 - Low","P4 - Monitor"))))))</x:f>
      </x:c>
      <x:c r="AD844" s="73"/>
      <x:c r="AE844" s="73"/>
      <x:c r="AF844" s="73"/>
      <x:c r="AG844" s="77"/>
      <x:c r="AH844" s="73"/>
      <x:c r="AI844" s="91"/>
      <x:c r="AJ844" s="91"/>
      <x:c r="AK844" s="91"/>
      <x:c r="AL844" s="92"/>
      <x:c r="AM844" s="91"/>
      <x:c r="AN844" s="91"/>
      <x:c r="AO844" s="93"/>
      <x:c r="AP844" s="94"/>
      <x:c r="AQ844" s="91"/>
      <x:c r="AR844" s="91"/>
      <x:c r="AS844" s="91"/>
      <x:c r="AT844" s="91"/>
      <x:c r="AU844" s="91"/>
      <x:c r="AV844" s="91"/>
      <x:c r="AW844" s="91"/>
      <x:c r="AX844" s="91"/>
      <x:c r="AY844" s="91"/>
      <x:c r="AZ844" s="92"/>
      <x:c r="BA844" s="94"/>
      <x:c r="BB844" s="91"/>
      <x:c r="BC844" s="92"/>
      <x:c r="BD844" s="92"/>
      <x:c r="BE844" s="91"/>
      <x:c r="BF844" s="91"/>
      <x:c r="BG844" s="91"/>
      <x:c r="BH844" s="91"/>
      <x:c r="BI844" s="91"/>
      <x:c r="BJ844" s="91"/>
      <x:c r="BK844" s="91"/>
      <x:c r="BL844" s="91"/>
      <x:c r="BM844" s="73" t="str">
        <x:f>IF(A844="","",IF(AI844="Example","Example only",IF(AI844&lt;&gt;"Actual","Set record type",IF(COUNTIF($A$2:$A$1001,A844)&gt;1,"Duplicate record ID",IF(OR(D844="",E844="",AF844="",NOT(ISNUMBER(AG844)),AJ844="",AK844="",NOT(ISNUMBER(AL844)),AND(AM844&lt;&gt;"Observed",AM844&lt;&gt;"Corroborated",AM844&lt;&gt;"Declared"),OR(AN844="",AN844="Unknown"),OR(AQ844="",AQ844="Unknown"),OR(AR844="",AR844="Unknown",AR844="TBD"),OR(BC844="",NOT(ISNUMBER(BC844)))),"Evidence incomplete","Evidence recorded; review scope")))))</x:f>
      </x:c>
      <x:c r="BN844" s="73"/>
    </x:row>
    <x:row r="845" ht="34" customHeight="1">
      <x:c r="A845" s="73"/>
      <x:c r="B845" s="73"/>
      <x:c r="C845" s="73"/>
      <x:c r="D845" s="73"/>
      <x:c r="E845" s="73"/>
      <x:c r="F845" s="73"/>
      <x:c r="G845" s="73"/>
      <x:c r="H845" s="73"/>
      <x:c r="I845" s="75"/>
      <x:c r="J845" s="73"/>
      <x:c r="K845" s="73"/>
      <x:c r="L845" s="76"/>
      <x:c r="M845" s="73"/>
      <x:c r="N845" s="73"/>
      <x:c r="O845" s="73"/>
      <x:c r="P845" s="73"/>
      <x:c r="Q845" s="76"/>
      <x:c r="R845" s="73"/>
      <x:c r="S845" s="73"/>
      <x:c r="T845" s="73"/>
      <x:c r="U845" s="73"/>
      <x:c r="V845" s="73"/>
      <x:c r="W845" s="73"/>
      <x:c r="X845" s="73"/>
      <x:c r="Y845" s="73"/>
      <x:c r="Z845" s="73"/>
      <x:c r="AA845" s="73"/>
      <x:c r="AB845" s="76" t="str">
        <x:f>IF(A845="","",IF(OR(NOT(ISNUMBER(I845)),I845&lt;0,NOT(ISNUMBER(AP845)),AP845&lt;0,NOT(ISNUMBER(L845)),L845&lt;1,L845&gt;5,L845&lt;&gt;INT(L845),AND(J845&lt;&gt;"Public",J845&lt;&gt;"Partner",J845&lt;&gt;"Internal",J845&lt;&gt;"None"),AND(K845&lt;&gt;"High",K845&lt;&gt;"Medium",K845&lt;&gt;"Low",K845&lt;&gt;"None"),AND(W845&lt;&gt;"Hard-coded",W845&lt;&gt;"Configurable",W845&lt;&gt;"Policy-managed",W845&lt;&gt;"API/Library abstraction",W845&lt;&gt;"Automated"),AND(Z845&lt;&gt;"Y",Z845&lt;&gt;"N"),AND(AA845&lt;&gt;"Y",AA845&lt;&gt;"N")),"Incomplete",IF(Z845="Y",20,0)+L845*5+IF(AA845="Y",15,0)+IF(J845="Public",10,IF(J845="Partner",7,IF(J845="Internal",3,0)))+IF(W845="Hard-coded",10,IF(W845="Configurable",3,0))+IF(MAX(I845,AP845)&gt;=10,10,IF(MAX(I845,AP845)&gt;=5,7,IF(MAX(I845,AP845)&gt;=2,3,0)))+IF(K845="High",10,IF(K845="Medium",5,0))))</x:f>
      </x:c>
      <x:c r="AC845" s="73" t="str">
        <x:f>IF(A845="","",IF(NOT(ISNUMBER(AB845)),"Review inputs",IF(AB845&gt;=70,"P0 - Immediate",IF(AB845&gt;=50,"P1 - High",IF(AB845&gt;=30,"P2 - Medium",IF(AB845&gt;=15,"P3 - Low","P4 - Monitor"))))))</x:f>
      </x:c>
      <x:c r="AD845" s="73"/>
      <x:c r="AE845" s="73"/>
      <x:c r="AF845" s="73"/>
      <x:c r="AG845" s="77"/>
      <x:c r="AH845" s="73"/>
      <x:c r="AI845" s="91"/>
      <x:c r="AJ845" s="91"/>
      <x:c r="AK845" s="91"/>
      <x:c r="AL845" s="92"/>
      <x:c r="AM845" s="91"/>
      <x:c r="AN845" s="91"/>
      <x:c r="AO845" s="93"/>
      <x:c r="AP845" s="94"/>
      <x:c r="AQ845" s="91"/>
      <x:c r="AR845" s="91"/>
      <x:c r="AS845" s="91"/>
      <x:c r="AT845" s="91"/>
      <x:c r="AU845" s="91"/>
      <x:c r="AV845" s="91"/>
      <x:c r="AW845" s="91"/>
      <x:c r="AX845" s="91"/>
      <x:c r="AY845" s="91"/>
      <x:c r="AZ845" s="92"/>
      <x:c r="BA845" s="94"/>
      <x:c r="BB845" s="91"/>
      <x:c r="BC845" s="92"/>
      <x:c r="BD845" s="92"/>
      <x:c r="BE845" s="91"/>
      <x:c r="BF845" s="91"/>
      <x:c r="BG845" s="91"/>
      <x:c r="BH845" s="91"/>
      <x:c r="BI845" s="91"/>
      <x:c r="BJ845" s="91"/>
      <x:c r="BK845" s="91"/>
      <x:c r="BL845" s="91"/>
      <x:c r="BM845" s="73" t="str">
        <x:f>IF(A845="","",IF(AI845="Example","Example only",IF(AI845&lt;&gt;"Actual","Set record type",IF(COUNTIF($A$2:$A$1001,A845)&gt;1,"Duplicate record ID",IF(OR(D845="",E845="",AF845="",NOT(ISNUMBER(AG845)),AJ845="",AK845="",NOT(ISNUMBER(AL845)),AND(AM845&lt;&gt;"Observed",AM845&lt;&gt;"Corroborated",AM845&lt;&gt;"Declared"),OR(AN845="",AN845="Unknown"),OR(AQ845="",AQ845="Unknown"),OR(AR845="",AR845="Unknown",AR845="TBD"),OR(BC845="",NOT(ISNUMBER(BC845)))),"Evidence incomplete","Evidence recorded; review scope")))))</x:f>
      </x:c>
      <x:c r="BN845" s="73"/>
    </x:row>
    <x:row r="846" ht="34" customHeight="1">
      <x:c r="A846" s="73"/>
      <x:c r="B846" s="73"/>
      <x:c r="C846" s="73"/>
      <x:c r="D846" s="73"/>
      <x:c r="E846" s="73"/>
      <x:c r="F846" s="73"/>
      <x:c r="G846" s="73"/>
      <x:c r="H846" s="73"/>
      <x:c r="I846" s="75"/>
      <x:c r="J846" s="73"/>
      <x:c r="K846" s="73"/>
      <x:c r="L846" s="76"/>
      <x:c r="M846" s="73"/>
      <x:c r="N846" s="73"/>
      <x:c r="O846" s="73"/>
      <x:c r="P846" s="73"/>
      <x:c r="Q846" s="76"/>
      <x:c r="R846" s="73"/>
      <x:c r="S846" s="73"/>
      <x:c r="T846" s="73"/>
      <x:c r="U846" s="73"/>
      <x:c r="V846" s="73"/>
      <x:c r="W846" s="73"/>
      <x:c r="X846" s="73"/>
      <x:c r="Y846" s="73"/>
      <x:c r="Z846" s="73"/>
      <x:c r="AA846" s="73"/>
      <x:c r="AB846" s="76" t="str">
        <x:f>IF(A846="","",IF(OR(NOT(ISNUMBER(I846)),I846&lt;0,NOT(ISNUMBER(AP846)),AP846&lt;0,NOT(ISNUMBER(L846)),L846&lt;1,L846&gt;5,L846&lt;&gt;INT(L846),AND(J846&lt;&gt;"Public",J846&lt;&gt;"Partner",J846&lt;&gt;"Internal",J846&lt;&gt;"None"),AND(K846&lt;&gt;"High",K846&lt;&gt;"Medium",K846&lt;&gt;"Low",K846&lt;&gt;"None"),AND(W846&lt;&gt;"Hard-coded",W846&lt;&gt;"Configurable",W846&lt;&gt;"Policy-managed",W846&lt;&gt;"API/Library abstraction",W846&lt;&gt;"Automated"),AND(Z846&lt;&gt;"Y",Z846&lt;&gt;"N"),AND(AA846&lt;&gt;"Y",AA846&lt;&gt;"N")),"Incomplete",IF(Z846="Y",20,0)+L846*5+IF(AA846="Y",15,0)+IF(J846="Public",10,IF(J846="Partner",7,IF(J846="Internal",3,0)))+IF(W846="Hard-coded",10,IF(W846="Configurable",3,0))+IF(MAX(I846,AP846)&gt;=10,10,IF(MAX(I846,AP846)&gt;=5,7,IF(MAX(I846,AP846)&gt;=2,3,0)))+IF(K846="High",10,IF(K846="Medium",5,0))))</x:f>
      </x:c>
      <x:c r="AC846" s="73" t="str">
        <x:f>IF(A846="","",IF(NOT(ISNUMBER(AB846)),"Review inputs",IF(AB846&gt;=70,"P0 - Immediate",IF(AB846&gt;=50,"P1 - High",IF(AB846&gt;=30,"P2 - Medium",IF(AB846&gt;=15,"P3 - Low","P4 - Monitor"))))))</x:f>
      </x:c>
      <x:c r="AD846" s="73"/>
      <x:c r="AE846" s="73"/>
      <x:c r="AF846" s="73"/>
      <x:c r="AG846" s="77"/>
      <x:c r="AH846" s="73"/>
      <x:c r="AI846" s="91"/>
      <x:c r="AJ846" s="91"/>
      <x:c r="AK846" s="91"/>
      <x:c r="AL846" s="92"/>
      <x:c r="AM846" s="91"/>
      <x:c r="AN846" s="91"/>
      <x:c r="AO846" s="93"/>
      <x:c r="AP846" s="94"/>
      <x:c r="AQ846" s="91"/>
      <x:c r="AR846" s="91"/>
      <x:c r="AS846" s="91"/>
      <x:c r="AT846" s="91"/>
      <x:c r="AU846" s="91"/>
      <x:c r="AV846" s="91"/>
      <x:c r="AW846" s="91"/>
      <x:c r="AX846" s="91"/>
      <x:c r="AY846" s="91"/>
      <x:c r="AZ846" s="92"/>
      <x:c r="BA846" s="94"/>
      <x:c r="BB846" s="91"/>
      <x:c r="BC846" s="92"/>
      <x:c r="BD846" s="92"/>
      <x:c r="BE846" s="91"/>
      <x:c r="BF846" s="91"/>
      <x:c r="BG846" s="91"/>
      <x:c r="BH846" s="91"/>
      <x:c r="BI846" s="91"/>
      <x:c r="BJ846" s="91"/>
      <x:c r="BK846" s="91"/>
      <x:c r="BL846" s="91"/>
      <x:c r="BM846" s="73" t="str">
        <x:f>IF(A846="","",IF(AI846="Example","Example only",IF(AI846&lt;&gt;"Actual","Set record type",IF(COUNTIF($A$2:$A$1001,A846)&gt;1,"Duplicate record ID",IF(OR(D846="",E846="",AF846="",NOT(ISNUMBER(AG846)),AJ846="",AK846="",NOT(ISNUMBER(AL846)),AND(AM846&lt;&gt;"Observed",AM846&lt;&gt;"Corroborated",AM846&lt;&gt;"Declared"),OR(AN846="",AN846="Unknown"),OR(AQ846="",AQ846="Unknown"),OR(AR846="",AR846="Unknown",AR846="TBD"),OR(BC846="",NOT(ISNUMBER(BC846)))),"Evidence incomplete","Evidence recorded; review scope")))))</x:f>
      </x:c>
      <x:c r="BN846" s="73"/>
    </x:row>
    <x:row r="847" ht="34" customHeight="1">
      <x:c r="A847" s="73"/>
      <x:c r="B847" s="73"/>
      <x:c r="C847" s="73"/>
      <x:c r="D847" s="73"/>
      <x:c r="E847" s="73"/>
      <x:c r="F847" s="73"/>
      <x:c r="G847" s="73"/>
      <x:c r="H847" s="73"/>
      <x:c r="I847" s="75"/>
      <x:c r="J847" s="73"/>
      <x:c r="K847" s="73"/>
      <x:c r="L847" s="76"/>
      <x:c r="M847" s="73"/>
      <x:c r="N847" s="73"/>
      <x:c r="O847" s="73"/>
      <x:c r="P847" s="73"/>
      <x:c r="Q847" s="76"/>
      <x:c r="R847" s="73"/>
      <x:c r="S847" s="73"/>
      <x:c r="T847" s="73"/>
      <x:c r="U847" s="73"/>
      <x:c r="V847" s="73"/>
      <x:c r="W847" s="73"/>
      <x:c r="X847" s="73"/>
      <x:c r="Y847" s="73"/>
      <x:c r="Z847" s="73"/>
      <x:c r="AA847" s="73"/>
      <x:c r="AB847" s="76" t="str">
        <x:f>IF(A847="","",IF(OR(NOT(ISNUMBER(I847)),I847&lt;0,NOT(ISNUMBER(AP847)),AP847&lt;0,NOT(ISNUMBER(L847)),L847&lt;1,L847&gt;5,L847&lt;&gt;INT(L847),AND(J847&lt;&gt;"Public",J847&lt;&gt;"Partner",J847&lt;&gt;"Internal",J847&lt;&gt;"None"),AND(K847&lt;&gt;"High",K847&lt;&gt;"Medium",K847&lt;&gt;"Low",K847&lt;&gt;"None"),AND(W847&lt;&gt;"Hard-coded",W847&lt;&gt;"Configurable",W847&lt;&gt;"Policy-managed",W847&lt;&gt;"API/Library abstraction",W847&lt;&gt;"Automated"),AND(Z847&lt;&gt;"Y",Z847&lt;&gt;"N"),AND(AA847&lt;&gt;"Y",AA847&lt;&gt;"N")),"Incomplete",IF(Z847="Y",20,0)+L847*5+IF(AA847="Y",15,0)+IF(J847="Public",10,IF(J847="Partner",7,IF(J847="Internal",3,0)))+IF(W847="Hard-coded",10,IF(W847="Configurable",3,0))+IF(MAX(I847,AP847)&gt;=10,10,IF(MAX(I847,AP847)&gt;=5,7,IF(MAX(I847,AP847)&gt;=2,3,0)))+IF(K847="High",10,IF(K847="Medium",5,0))))</x:f>
      </x:c>
      <x:c r="AC847" s="73" t="str">
        <x:f>IF(A847="","",IF(NOT(ISNUMBER(AB847)),"Review inputs",IF(AB847&gt;=70,"P0 - Immediate",IF(AB847&gt;=50,"P1 - High",IF(AB847&gt;=30,"P2 - Medium",IF(AB847&gt;=15,"P3 - Low","P4 - Monitor"))))))</x:f>
      </x:c>
      <x:c r="AD847" s="73"/>
      <x:c r="AE847" s="73"/>
      <x:c r="AF847" s="73"/>
      <x:c r="AG847" s="77"/>
      <x:c r="AH847" s="73"/>
      <x:c r="AI847" s="91"/>
      <x:c r="AJ847" s="91"/>
      <x:c r="AK847" s="91"/>
      <x:c r="AL847" s="92"/>
      <x:c r="AM847" s="91"/>
      <x:c r="AN847" s="91"/>
      <x:c r="AO847" s="93"/>
      <x:c r="AP847" s="94"/>
      <x:c r="AQ847" s="91"/>
      <x:c r="AR847" s="91"/>
      <x:c r="AS847" s="91"/>
      <x:c r="AT847" s="91"/>
      <x:c r="AU847" s="91"/>
      <x:c r="AV847" s="91"/>
      <x:c r="AW847" s="91"/>
      <x:c r="AX847" s="91"/>
      <x:c r="AY847" s="91"/>
      <x:c r="AZ847" s="92"/>
      <x:c r="BA847" s="94"/>
      <x:c r="BB847" s="91"/>
      <x:c r="BC847" s="92"/>
      <x:c r="BD847" s="92"/>
      <x:c r="BE847" s="91"/>
      <x:c r="BF847" s="91"/>
      <x:c r="BG847" s="91"/>
      <x:c r="BH847" s="91"/>
      <x:c r="BI847" s="91"/>
      <x:c r="BJ847" s="91"/>
      <x:c r="BK847" s="91"/>
      <x:c r="BL847" s="91"/>
      <x:c r="BM847" s="73" t="str">
        <x:f>IF(A847="","",IF(AI847="Example","Example only",IF(AI847&lt;&gt;"Actual","Set record type",IF(COUNTIF($A$2:$A$1001,A847)&gt;1,"Duplicate record ID",IF(OR(D847="",E847="",AF847="",NOT(ISNUMBER(AG847)),AJ847="",AK847="",NOT(ISNUMBER(AL847)),AND(AM847&lt;&gt;"Observed",AM847&lt;&gt;"Corroborated",AM847&lt;&gt;"Declared"),OR(AN847="",AN847="Unknown"),OR(AQ847="",AQ847="Unknown"),OR(AR847="",AR847="Unknown",AR847="TBD"),OR(BC847="",NOT(ISNUMBER(BC847)))),"Evidence incomplete","Evidence recorded; review scope")))))</x:f>
      </x:c>
      <x:c r="BN847" s="73"/>
    </x:row>
    <x:row r="848" ht="34" customHeight="1">
      <x:c r="A848" s="73"/>
      <x:c r="B848" s="73"/>
      <x:c r="C848" s="73"/>
      <x:c r="D848" s="73"/>
      <x:c r="E848" s="73"/>
      <x:c r="F848" s="73"/>
      <x:c r="G848" s="73"/>
      <x:c r="H848" s="73"/>
      <x:c r="I848" s="75"/>
      <x:c r="J848" s="73"/>
      <x:c r="K848" s="73"/>
      <x:c r="L848" s="76"/>
      <x:c r="M848" s="73"/>
      <x:c r="N848" s="73"/>
      <x:c r="O848" s="73"/>
      <x:c r="P848" s="73"/>
      <x:c r="Q848" s="76"/>
      <x:c r="R848" s="73"/>
      <x:c r="S848" s="73"/>
      <x:c r="T848" s="73"/>
      <x:c r="U848" s="73"/>
      <x:c r="V848" s="73"/>
      <x:c r="W848" s="73"/>
      <x:c r="X848" s="73"/>
      <x:c r="Y848" s="73"/>
      <x:c r="Z848" s="73"/>
      <x:c r="AA848" s="73"/>
      <x:c r="AB848" s="76" t="str">
        <x:f>IF(A848="","",IF(OR(NOT(ISNUMBER(I848)),I848&lt;0,NOT(ISNUMBER(AP848)),AP848&lt;0,NOT(ISNUMBER(L848)),L848&lt;1,L848&gt;5,L848&lt;&gt;INT(L848),AND(J848&lt;&gt;"Public",J848&lt;&gt;"Partner",J848&lt;&gt;"Internal",J848&lt;&gt;"None"),AND(K848&lt;&gt;"High",K848&lt;&gt;"Medium",K848&lt;&gt;"Low",K848&lt;&gt;"None"),AND(W848&lt;&gt;"Hard-coded",W848&lt;&gt;"Configurable",W848&lt;&gt;"Policy-managed",W848&lt;&gt;"API/Library abstraction",W848&lt;&gt;"Automated"),AND(Z848&lt;&gt;"Y",Z848&lt;&gt;"N"),AND(AA848&lt;&gt;"Y",AA848&lt;&gt;"N")),"Incomplete",IF(Z848="Y",20,0)+L848*5+IF(AA848="Y",15,0)+IF(J848="Public",10,IF(J848="Partner",7,IF(J848="Internal",3,0)))+IF(W848="Hard-coded",10,IF(W848="Configurable",3,0))+IF(MAX(I848,AP848)&gt;=10,10,IF(MAX(I848,AP848)&gt;=5,7,IF(MAX(I848,AP848)&gt;=2,3,0)))+IF(K848="High",10,IF(K848="Medium",5,0))))</x:f>
      </x:c>
      <x:c r="AC848" s="73" t="str">
        <x:f>IF(A848="","",IF(NOT(ISNUMBER(AB848)),"Review inputs",IF(AB848&gt;=70,"P0 - Immediate",IF(AB848&gt;=50,"P1 - High",IF(AB848&gt;=30,"P2 - Medium",IF(AB848&gt;=15,"P3 - Low","P4 - Monitor"))))))</x:f>
      </x:c>
      <x:c r="AD848" s="73"/>
      <x:c r="AE848" s="73"/>
      <x:c r="AF848" s="73"/>
      <x:c r="AG848" s="77"/>
      <x:c r="AH848" s="73"/>
      <x:c r="AI848" s="91"/>
      <x:c r="AJ848" s="91"/>
      <x:c r="AK848" s="91"/>
      <x:c r="AL848" s="92"/>
      <x:c r="AM848" s="91"/>
      <x:c r="AN848" s="91"/>
      <x:c r="AO848" s="93"/>
      <x:c r="AP848" s="94"/>
      <x:c r="AQ848" s="91"/>
      <x:c r="AR848" s="91"/>
      <x:c r="AS848" s="91"/>
      <x:c r="AT848" s="91"/>
      <x:c r="AU848" s="91"/>
      <x:c r="AV848" s="91"/>
      <x:c r="AW848" s="91"/>
      <x:c r="AX848" s="91"/>
      <x:c r="AY848" s="91"/>
      <x:c r="AZ848" s="92"/>
      <x:c r="BA848" s="94"/>
      <x:c r="BB848" s="91"/>
      <x:c r="BC848" s="92"/>
      <x:c r="BD848" s="92"/>
      <x:c r="BE848" s="91"/>
      <x:c r="BF848" s="91"/>
      <x:c r="BG848" s="91"/>
      <x:c r="BH848" s="91"/>
      <x:c r="BI848" s="91"/>
      <x:c r="BJ848" s="91"/>
      <x:c r="BK848" s="91"/>
      <x:c r="BL848" s="91"/>
      <x:c r="BM848" s="73" t="str">
        <x:f>IF(A848="","",IF(AI848="Example","Example only",IF(AI848&lt;&gt;"Actual","Set record type",IF(COUNTIF($A$2:$A$1001,A848)&gt;1,"Duplicate record ID",IF(OR(D848="",E848="",AF848="",NOT(ISNUMBER(AG848)),AJ848="",AK848="",NOT(ISNUMBER(AL848)),AND(AM848&lt;&gt;"Observed",AM848&lt;&gt;"Corroborated",AM848&lt;&gt;"Declared"),OR(AN848="",AN848="Unknown"),OR(AQ848="",AQ848="Unknown"),OR(AR848="",AR848="Unknown",AR848="TBD"),OR(BC848="",NOT(ISNUMBER(BC848)))),"Evidence incomplete","Evidence recorded; review scope")))))</x:f>
      </x:c>
      <x:c r="BN848" s="73"/>
    </x:row>
    <x:row r="849" ht="34" customHeight="1">
      <x:c r="A849" s="73"/>
      <x:c r="B849" s="73"/>
      <x:c r="C849" s="73"/>
      <x:c r="D849" s="73"/>
      <x:c r="E849" s="73"/>
      <x:c r="F849" s="73"/>
      <x:c r="G849" s="73"/>
      <x:c r="H849" s="73"/>
      <x:c r="I849" s="75"/>
      <x:c r="J849" s="73"/>
      <x:c r="K849" s="73"/>
      <x:c r="L849" s="76"/>
      <x:c r="M849" s="73"/>
      <x:c r="N849" s="73"/>
      <x:c r="O849" s="73"/>
      <x:c r="P849" s="73"/>
      <x:c r="Q849" s="76"/>
      <x:c r="R849" s="73"/>
      <x:c r="S849" s="73"/>
      <x:c r="T849" s="73"/>
      <x:c r="U849" s="73"/>
      <x:c r="V849" s="73"/>
      <x:c r="W849" s="73"/>
      <x:c r="X849" s="73"/>
      <x:c r="Y849" s="73"/>
      <x:c r="Z849" s="73"/>
      <x:c r="AA849" s="73"/>
      <x:c r="AB849" s="76" t="str">
        <x:f>IF(A849="","",IF(OR(NOT(ISNUMBER(I849)),I849&lt;0,NOT(ISNUMBER(AP849)),AP849&lt;0,NOT(ISNUMBER(L849)),L849&lt;1,L849&gt;5,L849&lt;&gt;INT(L849),AND(J849&lt;&gt;"Public",J849&lt;&gt;"Partner",J849&lt;&gt;"Internal",J849&lt;&gt;"None"),AND(K849&lt;&gt;"High",K849&lt;&gt;"Medium",K849&lt;&gt;"Low",K849&lt;&gt;"None"),AND(W849&lt;&gt;"Hard-coded",W849&lt;&gt;"Configurable",W849&lt;&gt;"Policy-managed",W849&lt;&gt;"API/Library abstraction",W849&lt;&gt;"Automated"),AND(Z849&lt;&gt;"Y",Z849&lt;&gt;"N"),AND(AA849&lt;&gt;"Y",AA849&lt;&gt;"N")),"Incomplete",IF(Z849="Y",20,0)+L849*5+IF(AA849="Y",15,0)+IF(J849="Public",10,IF(J849="Partner",7,IF(J849="Internal",3,0)))+IF(W849="Hard-coded",10,IF(W849="Configurable",3,0))+IF(MAX(I849,AP849)&gt;=10,10,IF(MAX(I849,AP849)&gt;=5,7,IF(MAX(I849,AP849)&gt;=2,3,0)))+IF(K849="High",10,IF(K849="Medium",5,0))))</x:f>
      </x:c>
      <x:c r="AC849" s="73" t="str">
        <x:f>IF(A849="","",IF(NOT(ISNUMBER(AB849)),"Review inputs",IF(AB849&gt;=70,"P0 - Immediate",IF(AB849&gt;=50,"P1 - High",IF(AB849&gt;=30,"P2 - Medium",IF(AB849&gt;=15,"P3 - Low","P4 - Monitor"))))))</x:f>
      </x:c>
      <x:c r="AD849" s="73"/>
      <x:c r="AE849" s="73"/>
      <x:c r="AF849" s="73"/>
      <x:c r="AG849" s="77"/>
      <x:c r="AH849" s="73"/>
      <x:c r="AI849" s="91"/>
      <x:c r="AJ849" s="91"/>
      <x:c r="AK849" s="91"/>
      <x:c r="AL849" s="92"/>
      <x:c r="AM849" s="91"/>
      <x:c r="AN849" s="91"/>
      <x:c r="AO849" s="93"/>
      <x:c r="AP849" s="94"/>
      <x:c r="AQ849" s="91"/>
      <x:c r="AR849" s="91"/>
      <x:c r="AS849" s="91"/>
      <x:c r="AT849" s="91"/>
      <x:c r="AU849" s="91"/>
      <x:c r="AV849" s="91"/>
      <x:c r="AW849" s="91"/>
      <x:c r="AX849" s="91"/>
      <x:c r="AY849" s="91"/>
      <x:c r="AZ849" s="92"/>
      <x:c r="BA849" s="94"/>
      <x:c r="BB849" s="91"/>
      <x:c r="BC849" s="92"/>
      <x:c r="BD849" s="92"/>
      <x:c r="BE849" s="91"/>
      <x:c r="BF849" s="91"/>
      <x:c r="BG849" s="91"/>
      <x:c r="BH849" s="91"/>
      <x:c r="BI849" s="91"/>
      <x:c r="BJ849" s="91"/>
      <x:c r="BK849" s="91"/>
      <x:c r="BL849" s="91"/>
      <x:c r="BM849" s="73" t="str">
        <x:f>IF(A849="","",IF(AI849="Example","Example only",IF(AI849&lt;&gt;"Actual","Set record type",IF(COUNTIF($A$2:$A$1001,A849)&gt;1,"Duplicate record ID",IF(OR(D849="",E849="",AF849="",NOT(ISNUMBER(AG849)),AJ849="",AK849="",NOT(ISNUMBER(AL849)),AND(AM849&lt;&gt;"Observed",AM849&lt;&gt;"Corroborated",AM849&lt;&gt;"Declared"),OR(AN849="",AN849="Unknown"),OR(AQ849="",AQ849="Unknown"),OR(AR849="",AR849="Unknown",AR849="TBD"),OR(BC849="",NOT(ISNUMBER(BC849)))),"Evidence incomplete","Evidence recorded; review scope")))))</x:f>
      </x:c>
      <x:c r="BN849" s="73"/>
    </x:row>
    <x:row r="850" ht="34" customHeight="1">
      <x:c r="A850" s="73"/>
      <x:c r="B850" s="73"/>
      <x:c r="C850" s="73"/>
      <x:c r="D850" s="73"/>
      <x:c r="E850" s="73"/>
      <x:c r="F850" s="73"/>
      <x:c r="G850" s="73"/>
      <x:c r="H850" s="73"/>
      <x:c r="I850" s="75"/>
      <x:c r="J850" s="73"/>
      <x:c r="K850" s="73"/>
      <x:c r="L850" s="76"/>
      <x:c r="M850" s="73"/>
      <x:c r="N850" s="73"/>
      <x:c r="O850" s="73"/>
      <x:c r="P850" s="73"/>
      <x:c r="Q850" s="76"/>
      <x:c r="R850" s="73"/>
      <x:c r="S850" s="73"/>
      <x:c r="T850" s="73"/>
      <x:c r="U850" s="73"/>
      <x:c r="V850" s="73"/>
      <x:c r="W850" s="73"/>
      <x:c r="X850" s="73"/>
      <x:c r="Y850" s="73"/>
      <x:c r="Z850" s="73"/>
      <x:c r="AA850" s="73"/>
      <x:c r="AB850" s="76" t="str">
        <x:f>IF(A850="","",IF(OR(NOT(ISNUMBER(I850)),I850&lt;0,NOT(ISNUMBER(AP850)),AP850&lt;0,NOT(ISNUMBER(L850)),L850&lt;1,L850&gt;5,L850&lt;&gt;INT(L850),AND(J850&lt;&gt;"Public",J850&lt;&gt;"Partner",J850&lt;&gt;"Internal",J850&lt;&gt;"None"),AND(K850&lt;&gt;"High",K850&lt;&gt;"Medium",K850&lt;&gt;"Low",K850&lt;&gt;"None"),AND(W850&lt;&gt;"Hard-coded",W850&lt;&gt;"Configurable",W850&lt;&gt;"Policy-managed",W850&lt;&gt;"API/Library abstraction",W850&lt;&gt;"Automated"),AND(Z850&lt;&gt;"Y",Z850&lt;&gt;"N"),AND(AA850&lt;&gt;"Y",AA850&lt;&gt;"N")),"Incomplete",IF(Z850="Y",20,0)+L850*5+IF(AA850="Y",15,0)+IF(J850="Public",10,IF(J850="Partner",7,IF(J850="Internal",3,0)))+IF(W850="Hard-coded",10,IF(W850="Configurable",3,0))+IF(MAX(I850,AP850)&gt;=10,10,IF(MAX(I850,AP850)&gt;=5,7,IF(MAX(I850,AP850)&gt;=2,3,0)))+IF(K850="High",10,IF(K850="Medium",5,0))))</x:f>
      </x:c>
      <x:c r="AC850" s="73" t="str">
        <x:f>IF(A850="","",IF(NOT(ISNUMBER(AB850)),"Review inputs",IF(AB850&gt;=70,"P0 - Immediate",IF(AB850&gt;=50,"P1 - High",IF(AB850&gt;=30,"P2 - Medium",IF(AB850&gt;=15,"P3 - Low","P4 - Monitor"))))))</x:f>
      </x:c>
      <x:c r="AD850" s="73"/>
      <x:c r="AE850" s="73"/>
      <x:c r="AF850" s="73"/>
      <x:c r="AG850" s="77"/>
      <x:c r="AH850" s="73"/>
      <x:c r="AI850" s="91"/>
      <x:c r="AJ850" s="91"/>
      <x:c r="AK850" s="91"/>
      <x:c r="AL850" s="92"/>
      <x:c r="AM850" s="91"/>
      <x:c r="AN850" s="91"/>
      <x:c r="AO850" s="93"/>
      <x:c r="AP850" s="94"/>
      <x:c r="AQ850" s="91"/>
      <x:c r="AR850" s="91"/>
      <x:c r="AS850" s="91"/>
      <x:c r="AT850" s="91"/>
      <x:c r="AU850" s="91"/>
      <x:c r="AV850" s="91"/>
      <x:c r="AW850" s="91"/>
      <x:c r="AX850" s="91"/>
      <x:c r="AY850" s="91"/>
      <x:c r="AZ850" s="92"/>
      <x:c r="BA850" s="94"/>
      <x:c r="BB850" s="91"/>
      <x:c r="BC850" s="92"/>
      <x:c r="BD850" s="92"/>
      <x:c r="BE850" s="91"/>
      <x:c r="BF850" s="91"/>
      <x:c r="BG850" s="91"/>
      <x:c r="BH850" s="91"/>
      <x:c r="BI850" s="91"/>
      <x:c r="BJ850" s="91"/>
      <x:c r="BK850" s="91"/>
      <x:c r="BL850" s="91"/>
      <x:c r="BM850" s="73" t="str">
        <x:f>IF(A850="","",IF(AI850="Example","Example only",IF(AI850&lt;&gt;"Actual","Set record type",IF(COUNTIF($A$2:$A$1001,A850)&gt;1,"Duplicate record ID",IF(OR(D850="",E850="",AF850="",NOT(ISNUMBER(AG850)),AJ850="",AK850="",NOT(ISNUMBER(AL850)),AND(AM850&lt;&gt;"Observed",AM850&lt;&gt;"Corroborated",AM850&lt;&gt;"Declared"),OR(AN850="",AN850="Unknown"),OR(AQ850="",AQ850="Unknown"),OR(AR850="",AR850="Unknown",AR850="TBD"),OR(BC850="",NOT(ISNUMBER(BC850)))),"Evidence incomplete","Evidence recorded; review scope")))))</x:f>
      </x:c>
      <x:c r="BN850" s="73"/>
    </x:row>
    <x:row r="851" ht="34" customHeight="1">
      <x:c r="A851" s="73"/>
      <x:c r="B851" s="73"/>
      <x:c r="C851" s="73"/>
      <x:c r="D851" s="73"/>
      <x:c r="E851" s="73"/>
      <x:c r="F851" s="73"/>
      <x:c r="G851" s="73"/>
      <x:c r="H851" s="73"/>
      <x:c r="I851" s="75"/>
      <x:c r="J851" s="73"/>
      <x:c r="K851" s="73"/>
      <x:c r="L851" s="76"/>
      <x:c r="M851" s="73"/>
      <x:c r="N851" s="73"/>
      <x:c r="O851" s="73"/>
      <x:c r="P851" s="73"/>
      <x:c r="Q851" s="76"/>
      <x:c r="R851" s="73"/>
      <x:c r="S851" s="73"/>
      <x:c r="T851" s="73"/>
      <x:c r="U851" s="73"/>
      <x:c r="V851" s="73"/>
      <x:c r="W851" s="73"/>
      <x:c r="X851" s="73"/>
      <x:c r="Y851" s="73"/>
      <x:c r="Z851" s="73"/>
      <x:c r="AA851" s="73"/>
      <x:c r="AB851" s="76" t="str">
        <x:f>IF(A851="","",IF(OR(NOT(ISNUMBER(I851)),I851&lt;0,NOT(ISNUMBER(AP851)),AP851&lt;0,NOT(ISNUMBER(L851)),L851&lt;1,L851&gt;5,L851&lt;&gt;INT(L851),AND(J851&lt;&gt;"Public",J851&lt;&gt;"Partner",J851&lt;&gt;"Internal",J851&lt;&gt;"None"),AND(K851&lt;&gt;"High",K851&lt;&gt;"Medium",K851&lt;&gt;"Low",K851&lt;&gt;"None"),AND(W851&lt;&gt;"Hard-coded",W851&lt;&gt;"Configurable",W851&lt;&gt;"Policy-managed",W851&lt;&gt;"API/Library abstraction",W851&lt;&gt;"Automated"),AND(Z851&lt;&gt;"Y",Z851&lt;&gt;"N"),AND(AA851&lt;&gt;"Y",AA851&lt;&gt;"N")),"Incomplete",IF(Z851="Y",20,0)+L851*5+IF(AA851="Y",15,0)+IF(J851="Public",10,IF(J851="Partner",7,IF(J851="Internal",3,0)))+IF(W851="Hard-coded",10,IF(W851="Configurable",3,0))+IF(MAX(I851,AP851)&gt;=10,10,IF(MAX(I851,AP851)&gt;=5,7,IF(MAX(I851,AP851)&gt;=2,3,0)))+IF(K851="High",10,IF(K851="Medium",5,0))))</x:f>
      </x:c>
      <x:c r="AC851" s="73" t="str">
        <x:f>IF(A851="","",IF(NOT(ISNUMBER(AB851)),"Review inputs",IF(AB851&gt;=70,"P0 - Immediate",IF(AB851&gt;=50,"P1 - High",IF(AB851&gt;=30,"P2 - Medium",IF(AB851&gt;=15,"P3 - Low","P4 - Monitor"))))))</x:f>
      </x:c>
      <x:c r="AD851" s="73"/>
      <x:c r="AE851" s="73"/>
      <x:c r="AF851" s="73"/>
      <x:c r="AG851" s="77"/>
      <x:c r="AH851" s="73"/>
      <x:c r="AI851" s="91"/>
      <x:c r="AJ851" s="91"/>
      <x:c r="AK851" s="91"/>
      <x:c r="AL851" s="92"/>
      <x:c r="AM851" s="91"/>
      <x:c r="AN851" s="91"/>
      <x:c r="AO851" s="93"/>
      <x:c r="AP851" s="94"/>
      <x:c r="AQ851" s="91"/>
      <x:c r="AR851" s="91"/>
      <x:c r="AS851" s="91"/>
      <x:c r="AT851" s="91"/>
      <x:c r="AU851" s="91"/>
      <x:c r="AV851" s="91"/>
      <x:c r="AW851" s="91"/>
      <x:c r="AX851" s="91"/>
      <x:c r="AY851" s="91"/>
      <x:c r="AZ851" s="92"/>
      <x:c r="BA851" s="94"/>
      <x:c r="BB851" s="91"/>
      <x:c r="BC851" s="92"/>
      <x:c r="BD851" s="92"/>
      <x:c r="BE851" s="91"/>
      <x:c r="BF851" s="91"/>
      <x:c r="BG851" s="91"/>
      <x:c r="BH851" s="91"/>
      <x:c r="BI851" s="91"/>
      <x:c r="BJ851" s="91"/>
      <x:c r="BK851" s="91"/>
      <x:c r="BL851" s="91"/>
      <x:c r="BM851" s="73" t="str">
        <x:f>IF(A851="","",IF(AI851="Example","Example only",IF(AI851&lt;&gt;"Actual","Set record type",IF(COUNTIF($A$2:$A$1001,A851)&gt;1,"Duplicate record ID",IF(OR(D851="",E851="",AF851="",NOT(ISNUMBER(AG851)),AJ851="",AK851="",NOT(ISNUMBER(AL851)),AND(AM851&lt;&gt;"Observed",AM851&lt;&gt;"Corroborated",AM851&lt;&gt;"Declared"),OR(AN851="",AN851="Unknown"),OR(AQ851="",AQ851="Unknown"),OR(AR851="",AR851="Unknown",AR851="TBD"),OR(BC851="",NOT(ISNUMBER(BC851)))),"Evidence incomplete","Evidence recorded; review scope")))))</x:f>
      </x:c>
      <x:c r="BN851" s="73"/>
    </x:row>
    <x:row r="852" ht="34" customHeight="1">
      <x:c r="A852" s="73"/>
      <x:c r="B852" s="73"/>
      <x:c r="C852" s="73"/>
      <x:c r="D852" s="73"/>
      <x:c r="E852" s="73"/>
      <x:c r="F852" s="73"/>
      <x:c r="G852" s="73"/>
      <x:c r="H852" s="73"/>
      <x:c r="I852" s="75"/>
      <x:c r="J852" s="73"/>
      <x:c r="K852" s="73"/>
      <x:c r="L852" s="76"/>
      <x:c r="M852" s="73"/>
      <x:c r="N852" s="73"/>
      <x:c r="O852" s="73"/>
      <x:c r="P852" s="73"/>
      <x:c r="Q852" s="76"/>
      <x:c r="R852" s="73"/>
      <x:c r="S852" s="73"/>
      <x:c r="T852" s="73"/>
      <x:c r="U852" s="73"/>
      <x:c r="V852" s="73"/>
      <x:c r="W852" s="73"/>
      <x:c r="X852" s="73"/>
      <x:c r="Y852" s="73"/>
      <x:c r="Z852" s="73"/>
      <x:c r="AA852" s="73"/>
      <x:c r="AB852" s="76" t="str">
        <x:f>IF(A852="","",IF(OR(NOT(ISNUMBER(I852)),I852&lt;0,NOT(ISNUMBER(AP852)),AP852&lt;0,NOT(ISNUMBER(L852)),L852&lt;1,L852&gt;5,L852&lt;&gt;INT(L852),AND(J852&lt;&gt;"Public",J852&lt;&gt;"Partner",J852&lt;&gt;"Internal",J852&lt;&gt;"None"),AND(K852&lt;&gt;"High",K852&lt;&gt;"Medium",K852&lt;&gt;"Low",K852&lt;&gt;"None"),AND(W852&lt;&gt;"Hard-coded",W852&lt;&gt;"Configurable",W852&lt;&gt;"Policy-managed",W852&lt;&gt;"API/Library abstraction",W852&lt;&gt;"Automated"),AND(Z852&lt;&gt;"Y",Z852&lt;&gt;"N"),AND(AA852&lt;&gt;"Y",AA852&lt;&gt;"N")),"Incomplete",IF(Z852="Y",20,0)+L852*5+IF(AA852="Y",15,0)+IF(J852="Public",10,IF(J852="Partner",7,IF(J852="Internal",3,0)))+IF(W852="Hard-coded",10,IF(W852="Configurable",3,0))+IF(MAX(I852,AP852)&gt;=10,10,IF(MAX(I852,AP852)&gt;=5,7,IF(MAX(I852,AP852)&gt;=2,3,0)))+IF(K852="High",10,IF(K852="Medium",5,0))))</x:f>
      </x:c>
      <x:c r="AC852" s="73" t="str">
        <x:f>IF(A852="","",IF(NOT(ISNUMBER(AB852)),"Review inputs",IF(AB852&gt;=70,"P0 - Immediate",IF(AB852&gt;=50,"P1 - High",IF(AB852&gt;=30,"P2 - Medium",IF(AB852&gt;=15,"P3 - Low","P4 - Monitor"))))))</x:f>
      </x:c>
      <x:c r="AD852" s="73"/>
      <x:c r="AE852" s="73"/>
      <x:c r="AF852" s="73"/>
      <x:c r="AG852" s="77"/>
      <x:c r="AH852" s="73"/>
      <x:c r="AI852" s="91"/>
      <x:c r="AJ852" s="91"/>
      <x:c r="AK852" s="91"/>
      <x:c r="AL852" s="92"/>
      <x:c r="AM852" s="91"/>
      <x:c r="AN852" s="91"/>
      <x:c r="AO852" s="93"/>
      <x:c r="AP852" s="94"/>
      <x:c r="AQ852" s="91"/>
      <x:c r="AR852" s="91"/>
      <x:c r="AS852" s="91"/>
      <x:c r="AT852" s="91"/>
      <x:c r="AU852" s="91"/>
      <x:c r="AV852" s="91"/>
      <x:c r="AW852" s="91"/>
      <x:c r="AX852" s="91"/>
      <x:c r="AY852" s="91"/>
      <x:c r="AZ852" s="92"/>
      <x:c r="BA852" s="94"/>
      <x:c r="BB852" s="91"/>
      <x:c r="BC852" s="92"/>
      <x:c r="BD852" s="92"/>
      <x:c r="BE852" s="91"/>
      <x:c r="BF852" s="91"/>
      <x:c r="BG852" s="91"/>
      <x:c r="BH852" s="91"/>
      <x:c r="BI852" s="91"/>
      <x:c r="BJ852" s="91"/>
      <x:c r="BK852" s="91"/>
      <x:c r="BL852" s="91"/>
      <x:c r="BM852" s="73" t="str">
        <x:f>IF(A852="","",IF(AI852="Example","Example only",IF(AI852&lt;&gt;"Actual","Set record type",IF(COUNTIF($A$2:$A$1001,A852)&gt;1,"Duplicate record ID",IF(OR(D852="",E852="",AF852="",NOT(ISNUMBER(AG852)),AJ852="",AK852="",NOT(ISNUMBER(AL852)),AND(AM852&lt;&gt;"Observed",AM852&lt;&gt;"Corroborated",AM852&lt;&gt;"Declared"),OR(AN852="",AN852="Unknown"),OR(AQ852="",AQ852="Unknown"),OR(AR852="",AR852="Unknown",AR852="TBD"),OR(BC852="",NOT(ISNUMBER(BC852)))),"Evidence incomplete","Evidence recorded; review scope")))))</x:f>
      </x:c>
      <x:c r="BN852" s="73"/>
    </x:row>
    <x:row r="853" ht="34" customHeight="1">
      <x:c r="A853" s="73"/>
      <x:c r="B853" s="73"/>
      <x:c r="C853" s="73"/>
      <x:c r="D853" s="73"/>
      <x:c r="E853" s="73"/>
      <x:c r="F853" s="73"/>
      <x:c r="G853" s="73"/>
      <x:c r="H853" s="73"/>
      <x:c r="I853" s="75"/>
      <x:c r="J853" s="73"/>
      <x:c r="K853" s="73"/>
      <x:c r="L853" s="76"/>
      <x:c r="M853" s="73"/>
      <x:c r="N853" s="73"/>
      <x:c r="O853" s="73"/>
      <x:c r="P853" s="73"/>
      <x:c r="Q853" s="76"/>
      <x:c r="R853" s="73"/>
      <x:c r="S853" s="73"/>
      <x:c r="T853" s="73"/>
      <x:c r="U853" s="73"/>
      <x:c r="V853" s="73"/>
      <x:c r="W853" s="73"/>
      <x:c r="X853" s="73"/>
      <x:c r="Y853" s="73"/>
      <x:c r="Z853" s="73"/>
      <x:c r="AA853" s="73"/>
      <x:c r="AB853" s="76" t="str">
        <x:f>IF(A853="","",IF(OR(NOT(ISNUMBER(I853)),I853&lt;0,NOT(ISNUMBER(AP853)),AP853&lt;0,NOT(ISNUMBER(L853)),L853&lt;1,L853&gt;5,L853&lt;&gt;INT(L853),AND(J853&lt;&gt;"Public",J853&lt;&gt;"Partner",J853&lt;&gt;"Internal",J853&lt;&gt;"None"),AND(K853&lt;&gt;"High",K853&lt;&gt;"Medium",K853&lt;&gt;"Low",K853&lt;&gt;"None"),AND(W853&lt;&gt;"Hard-coded",W853&lt;&gt;"Configurable",W853&lt;&gt;"Policy-managed",W853&lt;&gt;"API/Library abstraction",W853&lt;&gt;"Automated"),AND(Z853&lt;&gt;"Y",Z853&lt;&gt;"N"),AND(AA853&lt;&gt;"Y",AA853&lt;&gt;"N")),"Incomplete",IF(Z853="Y",20,0)+L853*5+IF(AA853="Y",15,0)+IF(J853="Public",10,IF(J853="Partner",7,IF(J853="Internal",3,0)))+IF(W853="Hard-coded",10,IF(W853="Configurable",3,0))+IF(MAX(I853,AP853)&gt;=10,10,IF(MAX(I853,AP853)&gt;=5,7,IF(MAX(I853,AP853)&gt;=2,3,0)))+IF(K853="High",10,IF(K853="Medium",5,0))))</x:f>
      </x:c>
      <x:c r="AC853" s="73" t="str">
        <x:f>IF(A853="","",IF(NOT(ISNUMBER(AB853)),"Review inputs",IF(AB853&gt;=70,"P0 - Immediate",IF(AB853&gt;=50,"P1 - High",IF(AB853&gt;=30,"P2 - Medium",IF(AB853&gt;=15,"P3 - Low","P4 - Monitor"))))))</x:f>
      </x:c>
      <x:c r="AD853" s="73"/>
      <x:c r="AE853" s="73"/>
      <x:c r="AF853" s="73"/>
      <x:c r="AG853" s="77"/>
      <x:c r="AH853" s="73"/>
      <x:c r="AI853" s="91"/>
      <x:c r="AJ853" s="91"/>
      <x:c r="AK853" s="91"/>
      <x:c r="AL853" s="92"/>
      <x:c r="AM853" s="91"/>
      <x:c r="AN853" s="91"/>
      <x:c r="AO853" s="93"/>
      <x:c r="AP853" s="94"/>
      <x:c r="AQ853" s="91"/>
      <x:c r="AR853" s="91"/>
      <x:c r="AS853" s="91"/>
      <x:c r="AT853" s="91"/>
      <x:c r="AU853" s="91"/>
      <x:c r="AV853" s="91"/>
      <x:c r="AW853" s="91"/>
      <x:c r="AX853" s="91"/>
      <x:c r="AY853" s="91"/>
      <x:c r="AZ853" s="92"/>
      <x:c r="BA853" s="94"/>
      <x:c r="BB853" s="91"/>
      <x:c r="BC853" s="92"/>
      <x:c r="BD853" s="92"/>
      <x:c r="BE853" s="91"/>
      <x:c r="BF853" s="91"/>
      <x:c r="BG853" s="91"/>
      <x:c r="BH853" s="91"/>
      <x:c r="BI853" s="91"/>
      <x:c r="BJ853" s="91"/>
      <x:c r="BK853" s="91"/>
      <x:c r="BL853" s="91"/>
      <x:c r="BM853" s="73" t="str">
        <x:f>IF(A853="","",IF(AI853="Example","Example only",IF(AI853&lt;&gt;"Actual","Set record type",IF(COUNTIF($A$2:$A$1001,A853)&gt;1,"Duplicate record ID",IF(OR(D853="",E853="",AF853="",NOT(ISNUMBER(AG853)),AJ853="",AK853="",NOT(ISNUMBER(AL853)),AND(AM853&lt;&gt;"Observed",AM853&lt;&gt;"Corroborated",AM853&lt;&gt;"Declared"),OR(AN853="",AN853="Unknown"),OR(AQ853="",AQ853="Unknown"),OR(AR853="",AR853="Unknown",AR853="TBD"),OR(BC853="",NOT(ISNUMBER(BC853)))),"Evidence incomplete","Evidence recorded; review scope")))))</x:f>
      </x:c>
      <x:c r="BN853" s="73"/>
    </x:row>
    <x:row r="854" ht="34" customHeight="1">
      <x:c r="A854" s="73"/>
      <x:c r="B854" s="73"/>
      <x:c r="C854" s="73"/>
      <x:c r="D854" s="73"/>
      <x:c r="E854" s="73"/>
      <x:c r="F854" s="73"/>
      <x:c r="G854" s="73"/>
      <x:c r="H854" s="73"/>
      <x:c r="I854" s="75"/>
      <x:c r="J854" s="73"/>
      <x:c r="K854" s="73"/>
      <x:c r="L854" s="76"/>
      <x:c r="M854" s="73"/>
      <x:c r="N854" s="73"/>
      <x:c r="O854" s="73"/>
      <x:c r="P854" s="73"/>
      <x:c r="Q854" s="76"/>
      <x:c r="R854" s="73"/>
      <x:c r="S854" s="73"/>
      <x:c r="T854" s="73"/>
      <x:c r="U854" s="73"/>
      <x:c r="V854" s="73"/>
      <x:c r="W854" s="73"/>
      <x:c r="X854" s="73"/>
      <x:c r="Y854" s="73"/>
      <x:c r="Z854" s="73"/>
      <x:c r="AA854" s="73"/>
      <x:c r="AB854" s="76" t="str">
        <x:f>IF(A854="","",IF(OR(NOT(ISNUMBER(I854)),I854&lt;0,NOT(ISNUMBER(AP854)),AP854&lt;0,NOT(ISNUMBER(L854)),L854&lt;1,L854&gt;5,L854&lt;&gt;INT(L854),AND(J854&lt;&gt;"Public",J854&lt;&gt;"Partner",J854&lt;&gt;"Internal",J854&lt;&gt;"None"),AND(K854&lt;&gt;"High",K854&lt;&gt;"Medium",K854&lt;&gt;"Low",K854&lt;&gt;"None"),AND(W854&lt;&gt;"Hard-coded",W854&lt;&gt;"Configurable",W854&lt;&gt;"Policy-managed",W854&lt;&gt;"API/Library abstraction",W854&lt;&gt;"Automated"),AND(Z854&lt;&gt;"Y",Z854&lt;&gt;"N"),AND(AA854&lt;&gt;"Y",AA854&lt;&gt;"N")),"Incomplete",IF(Z854="Y",20,0)+L854*5+IF(AA854="Y",15,0)+IF(J854="Public",10,IF(J854="Partner",7,IF(J854="Internal",3,0)))+IF(W854="Hard-coded",10,IF(W854="Configurable",3,0))+IF(MAX(I854,AP854)&gt;=10,10,IF(MAX(I854,AP854)&gt;=5,7,IF(MAX(I854,AP854)&gt;=2,3,0)))+IF(K854="High",10,IF(K854="Medium",5,0))))</x:f>
      </x:c>
      <x:c r="AC854" s="73" t="str">
        <x:f>IF(A854="","",IF(NOT(ISNUMBER(AB854)),"Review inputs",IF(AB854&gt;=70,"P0 - Immediate",IF(AB854&gt;=50,"P1 - High",IF(AB854&gt;=30,"P2 - Medium",IF(AB854&gt;=15,"P3 - Low","P4 - Monitor"))))))</x:f>
      </x:c>
      <x:c r="AD854" s="73"/>
      <x:c r="AE854" s="73"/>
      <x:c r="AF854" s="73"/>
      <x:c r="AG854" s="77"/>
      <x:c r="AH854" s="73"/>
      <x:c r="AI854" s="91"/>
      <x:c r="AJ854" s="91"/>
      <x:c r="AK854" s="91"/>
      <x:c r="AL854" s="92"/>
      <x:c r="AM854" s="91"/>
      <x:c r="AN854" s="91"/>
      <x:c r="AO854" s="93"/>
      <x:c r="AP854" s="94"/>
      <x:c r="AQ854" s="91"/>
      <x:c r="AR854" s="91"/>
      <x:c r="AS854" s="91"/>
      <x:c r="AT854" s="91"/>
      <x:c r="AU854" s="91"/>
      <x:c r="AV854" s="91"/>
      <x:c r="AW854" s="91"/>
      <x:c r="AX854" s="91"/>
      <x:c r="AY854" s="91"/>
      <x:c r="AZ854" s="92"/>
      <x:c r="BA854" s="94"/>
      <x:c r="BB854" s="91"/>
      <x:c r="BC854" s="92"/>
      <x:c r="BD854" s="92"/>
      <x:c r="BE854" s="91"/>
      <x:c r="BF854" s="91"/>
      <x:c r="BG854" s="91"/>
      <x:c r="BH854" s="91"/>
      <x:c r="BI854" s="91"/>
      <x:c r="BJ854" s="91"/>
      <x:c r="BK854" s="91"/>
      <x:c r="BL854" s="91"/>
      <x:c r="BM854" s="73" t="str">
        <x:f>IF(A854="","",IF(AI854="Example","Example only",IF(AI854&lt;&gt;"Actual","Set record type",IF(COUNTIF($A$2:$A$1001,A854)&gt;1,"Duplicate record ID",IF(OR(D854="",E854="",AF854="",NOT(ISNUMBER(AG854)),AJ854="",AK854="",NOT(ISNUMBER(AL854)),AND(AM854&lt;&gt;"Observed",AM854&lt;&gt;"Corroborated",AM854&lt;&gt;"Declared"),OR(AN854="",AN854="Unknown"),OR(AQ854="",AQ854="Unknown"),OR(AR854="",AR854="Unknown",AR854="TBD"),OR(BC854="",NOT(ISNUMBER(BC854)))),"Evidence incomplete","Evidence recorded; review scope")))))</x:f>
      </x:c>
      <x:c r="BN854" s="73"/>
    </x:row>
    <x:row r="855" ht="34" customHeight="1">
      <x:c r="A855" s="73"/>
      <x:c r="B855" s="73"/>
      <x:c r="C855" s="73"/>
      <x:c r="D855" s="73"/>
      <x:c r="E855" s="73"/>
      <x:c r="F855" s="73"/>
      <x:c r="G855" s="73"/>
      <x:c r="H855" s="73"/>
      <x:c r="I855" s="75"/>
      <x:c r="J855" s="73"/>
      <x:c r="K855" s="73"/>
      <x:c r="L855" s="76"/>
      <x:c r="M855" s="73"/>
      <x:c r="N855" s="73"/>
      <x:c r="O855" s="73"/>
      <x:c r="P855" s="73"/>
      <x:c r="Q855" s="76"/>
      <x:c r="R855" s="73"/>
      <x:c r="S855" s="73"/>
      <x:c r="T855" s="73"/>
      <x:c r="U855" s="73"/>
      <x:c r="V855" s="73"/>
      <x:c r="W855" s="73"/>
      <x:c r="X855" s="73"/>
      <x:c r="Y855" s="73"/>
      <x:c r="Z855" s="73"/>
      <x:c r="AA855" s="73"/>
      <x:c r="AB855" s="76" t="str">
        <x:f>IF(A855="","",IF(OR(NOT(ISNUMBER(I855)),I855&lt;0,NOT(ISNUMBER(AP855)),AP855&lt;0,NOT(ISNUMBER(L855)),L855&lt;1,L855&gt;5,L855&lt;&gt;INT(L855),AND(J855&lt;&gt;"Public",J855&lt;&gt;"Partner",J855&lt;&gt;"Internal",J855&lt;&gt;"None"),AND(K855&lt;&gt;"High",K855&lt;&gt;"Medium",K855&lt;&gt;"Low",K855&lt;&gt;"None"),AND(W855&lt;&gt;"Hard-coded",W855&lt;&gt;"Configurable",W855&lt;&gt;"Policy-managed",W855&lt;&gt;"API/Library abstraction",W855&lt;&gt;"Automated"),AND(Z855&lt;&gt;"Y",Z855&lt;&gt;"N"),AND(AA855&lt;&gt;"Y",AA855&lt;&gt;"N")),"Incomplete",IF(Z855="Y",20,0)+L855*5+IF(AA855="Y",15,0)+IF(J855="Public",10,IF(J855="Partner",7,IF(J855="Internal",3,0)))+IF(W855="Hard-coded",10,IF(W855="Configurable",3,0))+IF(MAX(I855,AP855)&gt;=10,10,IF(MAX(I855,AP855)&gt;=5,7,IF(MAX(I855,AP855)&gt;=2,3,0)))+IF(K855="High",10,IF(K855="Medium",5,0))))</x:f>
      </x:c>
      <x:c r="AC855" s="73" t="str">
        <x:f>IF(A855="","",IF(NOT(ISNUMBER(AB855)),"Review inputs",IF(AB855&gt;=70,"P0 - Immediate",IF(AB855&gt;=50,"P1 - High",IF(AB855&gt;=30,"P2 - Medium",IF(AB855&gt;=15,"P3 - Low","P4 - Monitor"))))))</x:f>
      </x:c>
      <x:c r="AD855" s="73"/>
      <x:c r="AE855" s="73"/>
      <x:c r="AF855" s="73"/>
      <x:c r="AG855" s="77"/>
      <x:c r="AH855" s="73"/>
      <x:c r="AI855" s="91"/>
      <x:c r="AJ855" s="91"/>
      <x:c r="AK855" s="91"/>
      <x:c r="AL855" s="92"/>
      <x:c r="AM855" s="91"/>
      <x:c r="AN855" s="91"/>
      <x:c r="AO855" s="93"/>
      <x:c r="AP855" s="94"/>
      <x:c r="AQ855" s="91"/>
      <x:c r="AR855" s="91"/>
      <x:c r="AS855" s="91"/>
      <x:c r="AT855" s="91"/>
      <x:c r="AU855" s="91"/>
      <x:c r="AV855" s="91"/>
      <x:c r="AW855" s="91"/>
      <x:c r="AX855" s="91"/>
      <x:c r="AY855" s="91"/>
      <x:c r="AZ855" s="92"/>
      <x:c r="BA855" s="94"/>
      <x:c r="BB855" s="91"/>
      <x:c r="BC855" s="92"/>
      <x:c r="BD855" s="92"/>
      <x:c r="BE855" s="91"/>
      <x:c r="BF855" s="91"/>
      <x:c r="BG855" s="91"/>
      <x:c r="BH855" s="91"/>
      <x:c r="BI855" s="91"/>
      <x:c r="BJ855" s="91"/>
      <x:c r="BK855" s="91"/>
      <x:c r="BL855" s="91"/>
      <x:c r="BM855" s="73" t="str">
        <x:f>IF(A855="","",IF(AI855="Example","Example only",IF(AI855&lt;&gt;"Actual","Set record type",IF(COUNTIF($A$2:$A$1001,A855)&gt;1,"Duplicate record ID",IF(OR(D855="",E855="",AF855="",NOT(ISNUMBER(AG855)),AJ855="",AK855="",NOT(ISNUMBER(AL855)),AND(AM855&lt;&gt;"Observed",AM855&lt;&gt;"Corroborated",AM855&lt;&gt;"Declared"),OR(AN855="",AN855="Unknown"),OR(AQ855="",AQ855="Unknown"),OR(AR855="",AR855="Unknown",AR855="TBD"),OR(BC855="",NOT(ISNUMBER(BC855)))),"Evidence incomplete","Evidence recorded; review scope")))))</x:f>
      </x:c>
      <x:c r="BN855" s="73"/>
    </x:row>
    <x:row r="856" ht="34" customHeight="1">
      <x:c r="A856" s="73"/>
      <x:c r="B856" s="73"/>
      <x:c r="C856" s="73"/>
      <x:c r="D856" s="73"/>
      <x:c r="E856" s="73"/>
      <x:c r="F856" s="73"/>
      <x:c r="G856" s="73"/>
      <x:c r="H856" s="73"/>
      <x:c r="I856" s="75"/>
      <x:c r="J856" s="73"/>
      <x:c r="K856" s="73"/>
      <x:c r="L856" s="76"/>
      <x:c r="M856" s="73"/>
      <x:c r="N856" s="73"/>
      <x:c r="O856" s="73"/>
      <x:c r="P856" s="73"/>
      <x:c r="Q856" s="76"/>
      <x:c r="R856" s="73"/>
      <x:c r="S856" s="73"/>
      <x:c r="T856" s="73"/>
      <x:c r="U856" s="73"/>
      <x:c r="V856" s="73"/>
      <x:c r="W856" s="73"/>
      <x:c r="X856" s="73"/>
      <x:c r="Y856" s="73"/>
      <x:c r="Z856" s="73"/>
      <x:c r="AA856" s="73"/>
      <x:c r="AB856" s="76" t="str">
        <x:f>IF(A856="","",IF(OR(NOT(ISNUMBER(I856)),I856&lt;0,NOT(ISNUMBER(AP856)),AP856&lt;0,NOT(ISNUMBER(L856)),L856&lt;1,L856&gt;5,L856&lt;&gt;INT(L856),AND(J856&lt;&gt;"Public",J856&lt;&gt;"Partner",J856&lt;&gt;"Internal",J856&lt;&gt;"None"),AND(K856&lt;&gt;"High",K856&lt;&gt;"Medium",K856&lt;&gt;"Low",K856&lt;&gt;"None"),AND(W856&lt;&gt;"Hard-coded",W856&lt;&gt;"Configurable",W856&lt;&gt;"Policy-managed",W856&lt;&gt;"API/Library abstraction",W856&lt;&gt;"Automated"),AND(Z856&lt;&gt;"Y",Z856&lt;&gt;"N"),AND(AA856&lt;&gt;"Y",AA856&lt;&gt;"N")),"Incomplete",IF(Z856="Y",20,0)+L856*5+IF(AA856="Y",15,0)+IF(J856="Public",10,IF(J856="Partner",7,IF(J856="Internal",3,0)))+IF(W856="Hard-coded",10,IF(W856="Configurable",3,0))+IF(MAX(I856,AP856)&gt;=10,10,IF(MAX(I856,AP856)&gt;=5,7,IF(MAX(I856,AP856)&gt;=2,3,0)))+IF(K856="High",10,IF(K856="Medium",5,0))))</x:f>
      </x:c>
      <x:c r="AC856" s="73" t="str">
        <x:f>IF(A856="","",IF(NOT(ISNUMBER(AB856)),"Review inputs",IF(AB856&gt;=70,"P0 - Immediate",IF(AB856&gt;=50,"P1 - High",IF(AB856&gt;=30,"P2 - Medium",IF(AB856&gt;=15,"P3 - Low","P4 - Monitor"))))))</x:f>
      </x:c>
      <x:c r="AD856" s="73"/>
      <x:c r="AE856" s="73"/>
      <x:c r="AF856" s="73"/>
      <x:c r="AG856" s="77"/>
      <x:c r="AH856" s="73"/>
      <x:c r="AI856" s="91"/>
      <x:c r="AJ856" s="91"/>
      <x:c r="AK856" s="91"/>
      <x:c r="AL856" s="92"/>
      <x:c r="AM856" s="91"/>
      <x:c r="AN856" s="91"/>
      <x:c r="AO856" s="93"/>
      <x:c r="AP856" s="94"/>
      <x:c r="AQ856" s="91"/>
      <x:c r="AR856" s="91"/>
      <x:c r="AS856" s="91"/>
      <x:c r="AT856" s="91"/>
      <x:c r="AU856" s="91"/>
      <x:c r="AV856" s="91"/>
      <x:c r="AW856" s="91"/>
      <x:c r="AX856" s="91"/>
      <x:c r="AY856" s="91"/>
      <x:c r="AZ856" s="92"/>
      <x:c r="BA856" s="94"/>
      <x:c r="BB856" s="91"/>
      <x:c r="BC856" s="92"/>
      <x:c r="BD856" s="92"/>
      <x:c r="BE856" s="91"/>
      <x:c r="BF856" s="91"/>
      <x:c r="BG856" s="91"/>
      <x:c r="BH856" s="91"/>
      <x:c r="BI856" s="91"/>
      <x:c r="BJ856" s="91"/>
      <x:c r="BK856" s="91"/>
      <x:c r="BL856" s="91"/>
      <x:c r="BM856" s="73" t="str">
        <x:f>IF(A856="","",IF(AI856="Example","Example only",IF(AI856&lt;&gt;"Actual","Set record type",IF(COUNTIF($A$2:$A$1001,A856)&gt;1,"Duplicate record ID",IF(OR(D856="",E856="",AF856="",NOT(ISNUMBER(AG856)),AJ856="",AK856="",NOT(ISNUMBER(AL856)),AND(AM856&lt;&gt;"Observed",AM856&lt;&gt;"Corroborated",AM856&lt;&gt;"Declared"),OR(AN856="",AN856="Unknown"),OR(AQ856="",AQ856="Unknown"),OR(AR856="",AR856="Unknown",AR856="TBD"),OR(BC856="",NOT(ISNUMBER(BC856)))),"Evidence incomplete","Evidence recorded; review scope")))))</x:f>
      </x:c>
      <x:c r="BN856" s="73"/>
    </x:row>
    <x:row r="857" ht="34" customHeight="1">
      <x:c r="A857" s="73"/>
      <x:c r="B857" s="73"/>
      <x:c r="C857" s="73"/>
      <x:c r="D857" s="73"/>
      <x:c r="E857" s="73"/>
      <x:c r="F857" s="73"/>
      <x:c r="G857" s="73"/>
      <x:c r="H857" s="73"/>
      <x:c r="I857" s="75"/>
      <x:c r="J857" s="73"/>
      <x:c r="K857" s="73"/>
      <x:c r="L857" s="76"/>
      <x:c r="M857" s="73"/>
      <x:c r="N857" s="73"/>
      <x:c r="O857" s="73"/>
      <x:c r="P857" s="73"/>
      <x:c r="Q857" s="76"/>
      <x:c r="R857" s="73"/>
      <x:c r="S857" s="73"/>
      <x:c r="T857" s="73"/>
      <x:c r="U857" s="73"/>
      <x:c r="V857" s="73"/>
      <x:c r="W857" s="73"/>
      <x:c r="X857" s="73"/>
      <x:c r="Y857" s="73"/>
      <x:c r="Z857" s="73"/>
      <x:c r="AA857" s="73"/>
      <x:c r="AB857" s="76" t="str">
        <x:f>IF(A857="","",IF(OR(NOT(ISNUMBER(I857)),I857&lt;0,NOT(ISNUMBER(AP857)),AP857&lt;0,NOT(ISNUMBER(L857)),L857&lt;1,L857&gt;5,L857&lt;&gt;INT(L857),AND(J857&lt;&gt;"Public",J857&lt;&gt;"Partner",J857&lt;&gt;"Internal",J857&lt;&gt;"None"),AND(K857&lt;&gt;"High",K857&lt;&gt;"Medium",K857&lt;&gt;"Low",K857&lt;&gt;"None"),AND(W857&lt;&gt;"Hard-coded",W857&lt;&gt;"Configurable",W857&lt;&gt;"Policy-managed",W857&lt;&gt;"API/Library abstraction",W857&lt;&gt;"Automated"),AND(Z857&lt;&gt;"Y",Z857&lt;&gt;"N"),AND(AA857&lt;&gt;"Y",AA857&lt;&gt;"N")),"Incomplete",IF(Z857="Y",20,0)+L857*5+IF(AA857="Y",15,0)+IF(J857="Public",10,IF(J857="Partner",7,IF(J857="Internal",3,0)))+IF(W857="Hard-coded",10,IF(W857="Configurable",3,0))+IF(MAX(I857,AP857)&gt;=10,10,IF(MAX(I857,AP857)&gt;=5,7,IF(MAX(I857,AP857)&gt;=2,3,0)))+IF(K857="High",10,IF(K857="Medium",5,0))))</x:f>
      </x:c>
      <x:c r="AC857" s="73" t="str">
        <x:f>IF(A857="","",IF(NOT(ISNUMBER(AB857)),"Review inputs",IF(AB857&gt;=70,"P0 - Immediate",IF(AB857&gt;=50,"P1 - High",IF(AB857&gt;=30,"P2 - Medium",IF(AB857&gt;=15,"P3 - Low","P4 - Monitor"))))))</x:f>
      </x:c>
      <x:c r="AD857" s="73"/>
      <x:c r="AE857" s="73"/>
      <x:c r="AF857" s="73"/>
      <x:c r="AG857" s="77"/>
      <x:c r="AH857" s="73"/>
      <x:c r="AI857" s="91"/>
      <x:c r="AJ857" s="91"/>
      <x:c r="AK857" s="91"/>
      <x:c r="AL857" s="92"/>
      <x:c r="AM857" s="91"/>
      <x:c r="AN857" s="91"/>
      <x:c r="AO857" s="93"/>
      <x:c r="AP857" s="94"/>
      <x:c r="AQ857" s="91"/>
      <x:c r="AR857" s="91"/>
      <x:c r="AS857" s="91"/>
      <x:c r="AT857" s="91"/>
      <x:c r="AU857" s="91"/>
      <x:c r="AV857" s="91"/>
      <x:c r="AW857" s="91"/>
      <x:c r="AX857" s="91"/>
      <x:c r="AY857" s="91"/>
      <x:c r="AZ857" s="92"/>
      <x:c r="BA857" s="94"/>
      <x:c r="BB857" s="91"/>
      <x:c r="BC857" s="92"/>
      <x:c r="BD857" s="92"/>
      <x:c r="BE857" s="91"/>
      <x:c r="BF857" s="91"/>
      <x:c r="BG857" s="91"/>
      <x:c r="BH857" s="91"/>
      <x:c r="BI857" s="91"/>
      <x:c r="BJ857" s="91"/>
      <x:c r="BK857" s="91"/>
      <x:c r="BL857" s="91"/>
      <x:c r="BM857" s="73" t="str">
        <x:f>IF(A857="","",IF(AI857="Example","Example only",IF(AI857&lt;&gt;"Actual","Set record type",IF(COUNTIF($A$2:$A$1001,A857)&gt;1,"Duplicate record ID",IF(OR(D857="",E857="",AF857="",NOT(ISNUMBER(AG857)),AJ857="",AK857="",NOT(ISNUMBER(AL857)),AND(AM857&lt;&gt;"Observed",AM857&lt;&gt;"Corroborated",AM857&lt;&gt;"Declared"),OR(AN857="",AN857="Unknown"),OR(AQ857="",AQ857="Unknown"),OR(AR857="",AR857="Unknown",AR857="TBD"),OR(BC857="",NOT(ISNUMBER(BC857)))),"Evidence incomplete","Evidence recorded; review scope")))))</x:f>
      </x:c>
      <x:c r="BN857" s="73"/>
    </x:row>
    <x:row r="858" ht="34" customHeight="1">
      <x:c r="A858" s="73"/>
      <x:c r="B858" s="73"/>
      <x:c r="C858" s="73"/>
      <x:c r="D858" s="73"/>
      <x:c r="E858" s="73"/>
      <x:c r="F858" s="73"/>
      <x:c r="G858" s="73"/>
      <x:c r="H858" s="73"/>
      <x:c r="I858" s="75"/>
      <x:c r="J858" s="73"/>
      <x:c r="K858" s="73"/>
      <x:c r="L858" s="76"/>
      <x:c r="M858" s="73"/>
      <x:c r="N858" s="73"/>
      <x:c r="O858" s="73"/>
      <x:c r="P858" s="73"/>
      <x:c r="Q858" s="76"/>
      <x:c r="R858" s="73"/>
      <x:c r="S858" s="73"/>
      <x:c r="T858" s="73"/>
      <x:c r="U858" s="73"/>
      <x:c r="V858" s="73"/>
      <x:c r="W858" s="73"/>
      <x:c r="X858" s="73"/>
      <x:c r="Y858" s="73"/>
      <x:c r="Z858" s="73"/>
      <x:c r="AA858" s="73"/>
      <x:c r="AB858" s="76" t="str">
        <x:f>IF(A858="","",IF(OR(NOT(ISNUMBER(I858)),I858&lt;0,NOT(ISNUMBER(AP858)),AP858&lt;0,NOT(ISNUMBER(L858)),L858&lt;1,L858&gt;5,L858&lt;&gt;INT(L858),AND(J858&lt;&gt;"Public",J858&lt;&gt;"Partner",J858&lt;&gt;"Internal",J858&lt;&gt;"None"),AND(K858&lt;&gt;"High",K858&lt;&gt;"Medium",K858&lt;&gt;"Low",K858&lt;&gt;"None"),AND(W858&lt;&gt;"Hard-coded",W858&lt;&gt;"Configurable",W858&lt;&gt;"Policy-managed",W858&lt;&gt;"API/Library abstraction",W858&lt;&gt;"Automated"),AND(Z858&lt;&gt;"Y",Z858&lt;&gt;"N"),AND(AA858&lt;&gt;"Y",AA858&lt;&gt;"N")),"Incomplete",IF(Z858="Y",20,0)+L858*5+IF(AA858="Y",15,0)+IF(J858="Public",10,IF(J858="Partner",7,IF(J858="Internal",3,0)))+IF(W858="Hard-coded",10,IF(W858="Configurable",3,0))+IF(MAX(I858,AP858)&gt;=10,10,IF(MAX(I858,AP858)&gt;=5,7,IF(MAX(I858,AP858)&gt;=2,3,0)))+IF(K858="High",10,IF(K858="Medium",5,0))))</x:f>
      </x:c>
      <x:c r="AC858" s="73" t="str">
        <x:f>IF(A858="","",IF(NOT(ISNUMBER(AB858)),"Review inputs",IF(AB858&gt;=70,"P0 - Immediate",IF(AB858&gt;=50,"P1 - High",IF(AB858&gt;=30,"P2 - Medium",IF(AB858&gt;=15,"P3 - Low","P4 - Monitor"))))))</x:f>
      </x:c>
      <x:c r="AD858" s="73"/>
      <x:c r="AE858" s="73"/>
      <x:c r="AF858" s="73"/>
      <x:c r="AG858" s="77"/>
      <x:c r="AH858" s="73"/>
      <x:c r="AI858" s="91"/>
      <x:c r="AJ858" s="91"/>
      <x:c r="AK858" s="91"/>
      <x:c r="AL858" s="92"/>
      <x:c r="AM858" s="91"/>
      <x:c r="AN858" s="91"/>
      <x:c r="AO858" s="93"/>
      <x:c r="AP858" s="94"/>
      <x:c r="AQ858" s="91"/>
      <x:c r="AR858" s="91"/>
      <x:c r="AS858" s="91"/>
      <x:c r="AT858" s="91"/>
      <x:c r="AU858" s="91"/>
      <x:c r="AV858" s="91"/>
      <x:c r="AW858" s="91"/>
      <x:c r="AX858" s="91"/>
      <x:c r="AY858" s="91"/>
      <x:c r="AZ858" s="92"/>
      <x:c r="BA858" s="94"/>
      <x:c r="BB858" s="91"/>
      <x:c r="BC858" s="92"/>
      <x:c r="BD858" s="92"/>
      <x:c r="BE858" s="91"/>
      <x:c r="BF858" s="91"/>
      <x:c r="BG858" s="91"/>
      <x:c r="BH858" s="91"/>
      <x:c r="BI858" s="91"/>
      <x:c r="BJ858" s="91"/>
      <x:c r="BK858" s="91"/>
      <x:c r="BL858" s="91"/>
      <x:c r="BM858" s="73" t="str">
        <x:f>IF(A858="","",IF(AI858="Example","Example only",IF(AI858&lt;&gt;"Actual","Set record type",IF(COUNTIF($A$2:$A$1001,A858)&gt;1,"Duplicate record ID",IF(OR(D858="",E858="",AF858="",NOT(ISNUMBER(AG858)),AJ858="",AK858="",NOT(ISNUMBER(AL858)),AND(AM858&lt;&gt;"Observed",AM858&lt;&gt;"Corroborated",AM858&lt;&gt;"Declared"),OR(AN858="",AN858="Unknown"),OR(AQ858="",AQ858="Unknown"),OR(AR858="",AR858="Unknown",AR858="TBD"),OR(BC858="",NOT(ISNUMBER(BC858)))),"Evidence incomplete","Evidence recorded; review scope")))))</x:f>
      </x:c>
      <x:c r="BN858" s="73"/>
    </x:row>
    <x:row r="859" ht="34" customHeight="1">
      <x:c r="A859" s="73"/>
      <x:c r="B859" s="73"/>
      <x:c r="C859" s="73"/>
      <x:c r="D859" s="73"/>
      <x:c r="E859" s="73"/>
      <x:c r="F859" s="73"/>
      <x:c r="G859" s="73"/>
      <x:c r="H859" s="73"/>
      <x:c r="I859" s="75"/>
      <x:c r="J859" s="73"/>
      <x:c r="K859" s="73"/>
      <x:c r="L859" s="76"/>
      <x:c r="M859" s="73"/>
      <x:c r="N859" s="73"/>
      <x:c r="O859" s="73"/>
      <x:c r="P859" s="73"/>
      <x:c r="Q859" s="76"/>
      <x:c r="R859" s="73"/>
      <x:c r="S859" s="73"/>
      <x:c r="T859" s="73"/>
      <x:c r="U859" s="73"/>
      <x:c r="V859" s="73"/>
      <x:c r="W859" s="73"/>
      <x:c r="X859" s="73"/>
      <x:c r="Y859" s="73"/>
      <x:c r="Z859" s="73"/>
      <x:c r="AA859" s="73"/>
      <x:c r="AB859" s="76" t="str">
        <x:f>IF(A859="","",IF(OR(NOT(ISNUMBER(I859)),I859&lt;0,NOT(ISNUMBER(AP859)),AP859&lt;0,NOT(ISNUMBER(L859)),L859&lt;1,L859&gt;5,L859&lt;&gt;INT(L859),AND(J859&lt;&gt;"Public",J859&lt;&gt;"Partner",J859&lt;&gt;"Internal",J859&lt;&gt;"None"),AND(K859&lt;&gt;"High",K859&lt;&gt;"Medium",K859&lt;&gt;"Low",K859&lt;&gt;"None"),AND(W859&lt;&gt;"Hard-coded",W859&lt;&gt;"Configurable",W859&lt;&gt;"Policy-managed",W859&lt;&gt;"API/Library abstraction",W859&lt;&gt;"Automated"),AND(Z859&lt;&gt;"Y",Z859&lt;&gt;"N"),AND(AA859&lt;&gt;"Y",AA859&lt;&gt;"N")),"Incomplete",IF(Z859="Y",20,0)+L859*5+IF(AA859="Y",15,0)+IF(J859="Public",10,IF(J859="Partner",7,IF(J859="Internal",3,0)))+IF(W859="Hard-coded",10,IF(W859="Configurable",3,0))+IF(MAX(I859,AP859)&gt;=10,10,IF(MAX(I859,AP859)&gt;=5,7,IF(MAX(I859,AP859)&gt;=2,3,0)))+IF(K859="High",10,IF(K859="Medium",5,0))))</x:f>
      </x:c>
      <x:c r="AC859" s="73" t="str">
        <x:f>IF(A859="","",IF(NOT(ISNUMBER(AB859)),"Review inputs",IF(AB859&gt;=70,"P0 - Immediate",IF(AB859&gt;=50,"P1 - High",IF(AB859&gt;=30,"P2 - Medium",IF(AB859&gt;=15,"P3 - Low","P4 - Monitor"))))))</x:f>
      </x:c>
      <x:c r="AD859" s="73"/>
      <x:c r="AE859" s="73"/>
      <x:c r="AF859" s="73"/>
      <x:c r="AG859" s="77"/>
      <x:c r="AH859" s="73"/>
      <x:c r="AI859" s="91"/>
      <x:c r="AJ859" s="91"/>
      <x:c r="AK859" s="91"/>
      <x:c r="AL859" s="92"/>
      <x:c r="AM859" s="91"/>
      <x:c r="AN859" s="91"/>
      <x:c r="AO859" s="93"/>
      <x:c r="AP859" s="94"/>
      <x:c r="AQ859" s="91"/>
      <x:c r="AR859" s="91"/>
      <x:c r="AS859" s="91"/>
      <x:c r="AT859" s="91"/>
      <x:c r="AU859" s="91"/>
      <x:c r="AV859" s="91"/>
      <x:c r="AW859" s="91"/>
      <x:c r="AX859" s="91"/>
      <x:c r="AY859" s="91"/>
      <x:c r="AZ859" s="92"/>
      <x:c r="BA859" s="94"/>
      <x:c r="BB859" s="91"/>
      <x:c r="BC859" s="92"/>
      <x:c r="BD859" s="92"/>
      <x:c r="BE859" s="91"/>
      <x:c r="BF859" s="91"/>
      <x:c r="BG859" s="91"/>
      <x:c r="BH859" s="91"/>
      <x:c r="BI859" s="91"/>
      <x:c r="BJ859" s="91"/>
      <x:c r="BK859" s="91"/>
      <x:c r="BL859" s="91"/>
      <x:c r="BM859" s="73" t="str">
        <x:f>IF(A859="","",IF(AI859="Example","Example only",IF(AI859&lt;&gt;"Actual","Set record type",IF(COUNTIF($A$2:$A$1001,A859)&gt;1,"Duplicate record ID",IF(OR(D859="",E859="",AF859="",NOT(ISNUMBER(AG859)),AJ859="",AK859="",NOT(ISNUMBER(AL859)),AND(AM859&lt;&gt;"Observed",AM859&lt;&gt;"Corroborated",AM859&lt;&gt;"Declared"),OR(AN859="",AN859="Unknown"),OR(AQ859="",AQ859="Unknown"),OR(AR859="",AR859="Unknown",AR859="TBD"),OR(BC859="",NOT(ISNUMBER(BC859)))),"Evidence incomplete","Evidence recorded; review scope")))))</x:f>
      </x:c>
      <x:c r="BN859" s="73"/>
    </x:row>
    <x:row r="860" ht="34" customHeight="1">
      <x:c r="A860" s="73"/>
      <x:c r="B860" s="73"/>
      <x:c r="C860" s="73"/>
      <x:c r="D860" s="73"/>
      <x:c r="E860" s="73"/>
      <x:c r="F860" s="73"/>
      <x:c r="G860" s="73"/>
      <x:c r="H860" s="73"/>
      <x:c r="I860" s="75"/>
      <x:c r="J860" s="73"/>
      <x:c r="K860" s="73"/>
      <x:c r="L860" s="76"/>
      <x:c r="M860" s="73"/>
      <x:c r="N860" s="73"/>
      <x:c r="O860" s="73"/>
      <x:c r="P860" s="73"/>
      <x:c r="Q860" s="76"/>
      <x:c r="R860" s="73"/>
      <x:c r="S860" s="73"/>
      <x:c r="T860" s="73"/>
      <x:c r="U860" s="73"/>
      <x:c r="V860" s="73"/>
      <x:c r="W860" s="73"/>
      <x:c r="X860" s="73"/>
      <x:c r="Y860" s="73"/>
      <x:c r="Z860" s="73"/>
      <x:c r="AA860" s="73"/>
      <x:c r="AB860" s="76" t="str">
        <x:f>IF(A860="","",IF(OR(NOT(ISNUMBER(I860)),I860&lt;0,NOT(ISNUMBER(AP860)),AP860&lt;0,NOT(ISNUMBER(L860)),L860&lt;1,L860&gt;5,L860&lt;&gt;INT(L860),AND(J860&lt;&gt;"Public",J860&lt;&gt;"Partner",J860&lt;&gt;"Internal",J860&lt;&gt;"None"),AND(K860&lt;&gt;"High",K860&lt;&gt;"Medium",K860&lt;&gt;"Low",K860&lt;&gt;"None"),AND(W860&lt;&gt;"Hard-coded",W860&lt;&gt;"Configurable",W860&lt;&gt;"Policy-managed",W860&lt;&gt;"API/Library abstraction",W860&lt;&gt;"Automated"),AND(Z860&lt;&gt;"Y",Z860&lt;&gt;"N"),AND(AA860&lt;&gt;"Y",AA860&lt;&gt;"N")),"Incomplete",IF(Z860="Y",20,0)+L860*5+IF(AA860="Y",15,0)+IF(J860="Public",10,IF(J860="Partner",7,IF(J860="Internal",3,0)))+IF(W860="Hard-coded",10,IF(W860="Configurable",3,0))+IF(MAX(I860,AP860)&gt;=10,10,IF(MAX(I860,AP860)&gt;=5,7,IF(MAX(I860,AP860)&gt;=2,3,0)))+IF(K860="High",10,IF(K860="Medium",5,0))))</x:f>
      </x:c>
      <x:c r="AC860" s="73" t="str">
        <x:f>IF(A860="","",IF(NOT(ISNUMBER(AB860)),"Review inputs",IF(AB860&gt;=70,"P0 - Immediate",IF(AB860&gt;=50,"P1 - High",IF(AB860&gt;=30,"P2 - Medium",IF(AB860&gt;=15,"P3 - Low","P4 - Monitor"))))))</x:f>
      </x:c>
      <x:c r="AD860" s="73"/>
      <x:c r="AE860" s="73"/>
      <x:c r="AF860" s="73"/>
      <x:c r="AG860" s="77"/>
      <x:c r="AH860" s="73"/>
      <x:c r="AI860" s="91"/>
      <x:c r="AJ860" s="91"/>
      <x:c r="AK860" s="91"/>
      <x:c r="AL860" s="92"/>
      <x:c r="AM860" s="91"/>
      <x:c r="AN860" s="91"/>
      <x:c r="AO860" s="93"/>
      <x:c r="AP860" s="94"/>
      <x:c r="AQ860" s="91"/>
      <x:c r="AR860" s="91"/>
      <x:c r="AS860" s="91"/>
      <x:c r="AT860" s="91"/>
      <x:c r="AU860" s="91"/>
      <x:c r="AV860" s="91"/>
      <x:c r="AW860" s="91"/>
      <x:c r="AX860" s="91"/>
      <x:c r="AY860" s="91"/>
      <x:c r="AZ860" s="92"/>
      <x:c r="BA860" s="94"/>
      <x:c r="BB860" s="91"/>
      <x:c r="BC860" s="92"/>
      <x:c r="BD860" s="92"/>
      <x:c r="BE860" s="91"/>
      <x:c r="BF860" s="91"/>
      <x:c r="BG860" s="91"/>
      <x:c r="BH860" s="91"/>
      <x:c r="BI860" s="91"/>
      <x:c r="BJ860" s="91"/>
      <x:c r="BK860" s="91"/>
      <x:c r="BL860" s="91"/>
      <x:c r="BM860" s="73" t="str">
        <x:f>IF(A860="","",IF(AI860="Example","Example only",IF(AI860&lt;&gt;"Actual","Set record type",IF(COUNTIF($A$2:$A$1001,A860)&gt;1,"Duplicate record ID",IF(OR(D860="",E860="",AF860="",NOT(ISNUMBER(AG860)),AJ860="",AK860="",NOT(ISNUMBER(AL860)),AND(AM860&lt;&gt;"Observed",AM860&lt;&gt;"Corroborated",AM860&lt;&gt;"Declared"),OR(AN860="",AN860="Unknown"),OR(AQ860="",AQ860="Unknown"),OR(AR860="",AR860="Unknown",AR860="TBD"),OR(BC860="",NOT(ISNUMBER(BC860)))),"Evidence incomplete","Evidence recorded; review scope")))))</x:f>
      </x:c>
      <x:c r="BN860" s="73"/>
    </x:row>
    <x:row r="861" ht="34" customHeight="1">
      <x:c r="A861" s="73"/>
      <x:c r="B861" s="73"/>
      <x:c r="C861" s="73"/>
      <x:c r="D861" s="73"/>
      <x:c r="E861" s="73"/>
      <x:c r="F861" s="73"/>
      <x:c r="G861" s="73"/>
      <x:c r="H861" s="73"/>
      <x:c r="I861" s="75"/>
      <x:c r="J861" s="73"/>
      <x:c r="K861" s="73"/>
      <x:c r="L861" s="76"/>
      <x:c r="M861" s="73"/>
      <x:c r="N861" s="73"/>
      <x:c r="O861" s="73"/>
      <x:c r="P861" s="73"/>
      <x:c r="Q861" s="76"/>
      <x:c r="R861" s="73"/>
      <x:c r="S861" s="73"/>
      <x:c r="T861" s="73"/>
      <x:c r="U861" s="73"/>
      <x:c r="V861" s="73"/>
      <x:c r="W861" s="73"/>
      <x:c r="X861" s="73"/>
      <x:c r="Y861" s="73"/>
      <x:c r="Z861" s="73"/>
      <x:c r="AA861" s="73"/>
      <x:c r="AB861" s="76" t="str">
        <x:f>IF(A861="","",IF(OR(NOT(ISNUMBER(I861)),I861&lt;0,NOT(ISNUMBER(AP861)),AP861&lt;0,NOT(ISNUMBER(L861)),L861&lt;1,L861&gt;5,L861&lt;&gt;INT(L861),AND(J861&lt;&gt;"Public",J861&lt;&gt;"Partner",J861&lt;&gt;"Internal",J861&lt;&gt;"None"),AND(K861&lt;&gt;"High",K861&lt;&gt;"Medium",K861&lt;&gt;"Low",K861&lt;&gt;"None"),AND(W861&lt;&gt;"Hard-coded",W861&lt;&gt;"Configurable",W861&lt;&gt;"Policy-managed",W861&lt;&gt;"API/Library abstraction",W861&lt;&gt;"Automated"),AND(Z861&lt;&gt;"Y",Z861&lt;&gt;"N"),AND(AA861&lt;&gt;"Y",AA861&lt;&gt;"N")),"Incomplete",IF(Z861="Y",20,0)+L861*5+IF(AA861="Y",15,0)+IF(J861="Public",10,IF(J861="Partner",7,IF(J861="Internal",3,0)))+IF(W861="Hard-coded",10,IF(W861="Configurable",3,0))+IF(MAX(I861,AP861)&gt;=10,10,IF(MAX(I861,AP861)&gt;=5,7,IF(MAX(I861,AP861)&gt;=2,3,0)))+IF(K861="High",10,IF(K861="Medium",5,0))))</x:f>
      </x:c>
      <x:c r="AC861" s="73" t="str">
        <x:f>IF(A861="","",IF(NOT(ISNUMBER(AB861)),"Review inputs",IF(AB861&gt;=70,"P0 - Immediate",IF(AB861&gt;=50,"P1 - High",IF(AB861&gt;=30,"P2 - Medium",IF(AB861&gt;=15,"P3 - Low","P4 - Monitor"))))))</x:f>
      </x:c>
      <x:c r="AD861" s="73"/>
      <x:c r="AE861" s="73"/>
      <x:c r="AF861" s="73"/>
      <x:c r="AG861" s="77"/>
      <x:c r="AH861" s="73"/>
      <x:c r="AI861" s="91"/>
      <x:c r="AJ861" s="91"/>
      <x:c r="AK861" s="91"/>
      <x:c r="AL861" s="92"/>
      <x:c r="AM861" s="91"/>
      <x:c r="AN861" s="91"/>
      <x:c r="AO861" s="93"/>
      <x:c r="AP861" s="94"/>
      <x:c r="AQ861" s="91"/>
      <x:c r="AR861" s="91"/>
      <x:c r="AS861" s="91"/>
      <x:c r="AT861" s="91"/>
      <x:c r="AU861" s="91"/>
      <x:c r="AV861" s="91"/>
      <x:c r="AW861" s="91"/>
      <x:c r="AX861" s="91"/>
      <x:c r="AY861" s="91"/>
      <x:c r="AZ861" s="92"/>
      <x:c r="BA861" s="94"/>
      <x:c r="BB861" s="91"/>
      <x:c r="BC861" s="92"/>
      <x:c r="BD861" s="92"/>
      <x:c r="BE861" s="91"/>
      <x:c r="BF861" s="91"/>
      <x:c r="BG861" s="91"/>
      <x:c r="BH861" s="91"/>
      <x:c r="BI861" s="91"/>
      <x:c r="BJ861" s="91"/>
      <x:c r="BK861" s="91"/>
      <x:c r="BL861" s="91"/>
      <x:c r="BM861" s="73" t="str">
        <x:f>IF(A861="","",IF(AI861="Example","Example only",IF(AI861&lt;&gt;"Actual","Set record type",IF(COUNTIF($A$2:$A$1001,A861)&gt;1,"Duplicate record ID",IF(OR(D861="",E861="",AF861="",NOT(ISNUMBER(AG861)),AJ861="",AK861="",NOT(ISNUMBER(AL861)),AND(AM861&lt;&gt;"Observed",AM861&lt;&gt;"Corroborated",AM861&lt;&gt;"Declared"),OR(AN861="",AN861="Unknown"),OR(AQ861="",AQ861="Unknown"),OR(AR861="",AR861="Unknown",AR861="TBD"),OR(BC861="",NOT(ISNUMBER(BC861)))),"Evidence incomplete","Evidence recorded; review scope")))))</x:f>
      </x:c>
      <x:c r="BN861" s="73"/>
    </x:row>
    <x:row r="862" ht="34" customHeight="1">
      <x:c r="A862" s="73"/>
      <x:c r="B862" s="73"/>
      <x:c r="C862" s="73"/>
      <x:c r="D862" s="73"/>
      <x:c r="E862" s="73"/>
      <x:c r="F862" s="73"/>
      <x:c r="G862" s="73"/>
      <x:c r="H862" s="73"/>
      <x:c r="I862" s="75"/>
      <x:c r="J862" s="73"/>
      <x:c r="K862" s="73"/>
      <x:c r="L862" s="76"/>
      <x:c r="M862" s="73"/>
      <x:c r="N862" s="73"/>
      <x:c r="O862" s="73"/>
      <x:c r="P862" s="73"/>
      <x:c r="Q862" s="76"/>
      <x:c r="R862" s="73"/>
      <x:c r="S862" s="73"/>
      <x:c r="T862" s="73"/>
      <x:c r="U862" s="73"/>
      <x:c r="V862" s="73"/>
      <x:c r="W862" s="73"/>
      <x:c r="X862" s="73"/>
      <x:c r="Y862" s="73"/>
      <x:c r="Z862" s="73"/>
      <x:c r="AA862" s="73"/>
      <x:c r="AB862" s="76" t="str">
        <x:f>IF(A862="","",IF(OR(NOT(ISNUMBER(I862)),I862&lt;0,NOT(ISNUMBER(AP862)),AP862&lt;0,NOT(ISNUMBER(L862)),L862&lt;1,L862&gt;5,L862&lt;&gt;INT(L862),AND(J862&lt;&gt;"Public",J862&lt;&gt;"Partner",J862&lt;&gt;"Internal",J862&lt;&gt;"None"),AND(K862&lt;&gt;"High",K862&lt;&gt;"Medium",K862&lt;&gt;"Low",K862&lt;&gt;"None"),AND(W862&lt;&gt;"Hard-coded",W862&lt;&gt;"Configurable",W862&lt;&gt;"Policy-managed",W862&lt;&gt;"API/Library abstraction",W862&lt;&gt;"Automated"),AND(Z862&lt;&gt;"Y",Z862&lt;&gt;"N"),AND(AA862&lt;&gt;"Y",AA862&lt;&gt;"N")),"Incomplete",IF(Z862="Y",20,0)+L862*5+IF(AA862="Y",15,0)+IF(J862="Public",10,IF(J862="Partner",7,IF(J862="Internal",3,0)))+IF(W862="Hard-coded",10,IF(W862="Configurable",3,0))+IF(MAX(I862,AP862)&gt;=10,10,IF(MAX(I862,AP862)&gt;=5,7,IF(MAX(I862,AP862)&gt;=2,3,0)))+IF(K862="High",10,IF(K862="Medium",5,0))))</x:f>
      </x:c>
      <x:c r="AC862" s="73" t="str">
        <x:f>IF(A862="","",IF(NOT(ISNUMBER(AB862)),"Review inputs",IF(AB862&gt;=70,"P0 - Immediate",IF(AB862&gt;=50,"P1 - High",IF(AB862&gt;=30,"P2 - Medium",IF(AB862&gt;=15,"P3 - Low","P4 - Monitor"))))))</x:f>
      </x:c>
      <x:c r="AD862" s="73"/>
      <x:c r="AE862" s="73"/>
      <x:c r="AF862" s="73"/>
      <x:c r="AG862" s="77"/>
      <x:c r="AH862" s="73"/>
      <x:c r="AI862" s="91"/>
      <x:c r="AJ862" s="91"/>
      <x:c r="AK862" s="91"/>
      <x:c r="AL862" s="92"/>
      <x:c r="AM862" s="91"/>
      <x:c r="AN862" s="91"/>
      <x:c r="AO862" s="93"/>
      <x:c r="AP862" s="94"/>
      <x:c r="AQ862" s="91"/>
      <x:c r="AR862" s="91"/>
      <x:c r="AS862" s="91"/>
      <x:c r="AT862" s="91"/>
      <x:c r="AU862" s="91"/>
      <x:c r="AV862" s="91"/>
      <x:c r="AW862" s="91"/>
      <x:c r="AX862" s="91"/>
      <x:c r="AY862" s="91"/>
      <x:c r="AZ862" s="92"/>
      <x:c r="BA862" s="94"/>
      <x:c r="BB862" s="91"/>
      <x:c r="BC862" s="92"/>
      <x:c r="BD862" s="92"/>
      <x:c r="BE862" s="91"/>
      <x:c r="BF862" s="91"/>
      <x:c r="BG862" s="91"/>
      <x:c r="BH862" s="91"/>
      <x:c r="BI862" s="91"/>
      <x:c r="BJ862" s="91"/>
      <x:c r="BK862" s="91"/>
      <x:c r="BL862" s="91"/>
      <x:c r="BM862" s="73" t="str">
        <x:f>IF(A862="","",IF(AI862="Example","Example only",IF(AI862&lt;&gt;"Actual","Set record type",IF(COUNTIF($A$2:$A$1001,A862)&gt;1,"Duplicate record ID",IF(OR(D862="",E862="",AF862="",NOT(ISNUMBER(AG862)),AJ862="",AK862="",NOT(ISNUMBER(AL862)),AND(AM862&lt;&gt;"Observed",AM862&lt;&gt;"Corroborated",AM862&lt;&gt;"Declared"),OR(AN862="",AN862="Unknown"),OR(AQ862="",AQ862="Unknown"),OR(AR862="",AR862="Unknown",AR862="TBD"),OR(BC862="",NOT(ISNUMBER(BC862)))),"Evidence incomplete","Evidence recorded; review scope")))))</x:f>
      </x:c>
      <x:c r="BN862" s="73"/>
    </x:row>
    <x:row r="863" ht="34" customHeight="1">
      <x:c r="A863" s="73"/>
      <x:c r="B863" s="73"/>
      <x:c r="C863" s="73"/>
      <x:c r="D863" s="73"/>
      <x:c r="E863" s="73"/>
      <x:c r="F863" s="73"/>
      <x:c r="G863" s="73"/>
      <x:c r="H863" s="73"/>
      <x:c r="I863" s="75"/>
      <x:c r="J863" s="73"/>
      <x:c r="K863" s="73"/>
      <x:c r="L863" s="76"/>
      <x:c r="M863" s="73"/>
      <x:c r="N863" s="73"/>
      <x:c r="O863" s="73"/>
      <x:c r="P863" s="73"/>
      <x:c r="Q863" s="76"/>
      <x:c r="R863" s="73"/>
      <x:c r="S863" s="73"/>
      <x:c r="T863" s="73"/>
      <x:c r="U863" s="73"/>
      <x:c r="V863" s="73"/>
      <x:c r="W863" s="73"/>
      <x:c r="X863" s="73"/>
      <x:c r="Y863" s="73"/>
      <x:c r="Z863" s="73"/>
      <x:c r="AA863" s="73"/>
      <x:c r="AB863" s="76" t="str">
        <x:f>IF(A863="","",IF(OR(NOT(ISNUMBER(I863)),I863&lt;0,NOT(ISNUMBER(AP863)),AP863&lt;0,NOT(ISNUMBER(L863)),L863&lt;1,L863&gt;5,L863&lt;&gt;INT(L863),AND(J863&lt;&gt;"Public",J863&lt;&gt;"Partner",J863&lt;&gt;"Internal",J863&lt;&gt;"None"),AND(K863&lt;&gt;"High",K863&lt;&gt;"Medium",K863&lt;&gt;"Low",K863&lt;&gt;"None"),AND(W863&lt;&gt;"Hard-coded",W863&lt;&gt;"Configurable",W863&lt;&gt;"Policy-managed",W863&lt;&gt;"API/Library abstraction",W863&lt;&gt;"Automated"),AND(Z863&lt;&gt;"Y",Z863&lt;&gt;"N"),AND(AA863&lt;&gt;"Y",AA863&lt;&gt;"N")),"Incomplete",IF(Z863="Y",20,0)+L863*5+IF(AA863="Y",15,0)+IF(J863="Public",10,IF(J863="Partner",7,IF(J863="Internal",3,0)))+IF(W863="Hard-coded",10,IF(W863="Configurable",3,0))+IF(MAX(I863,AP863)&gt;=10,10,IF(MAX(I863,AP863)&gt;=5,7,IF(MAX(I863,AP863)&gt;=2,3,0)))+IF(K863="High",10,IF(K863="Medium",5,0))))</x:f>
      </x:c>
      <x:c r="AC863" s="73" t="str">
        <x:f>IF(A863="","",IF(NOT(ISNUMBER(AB863)),"Review inputs",IF(AB863&gt;=70,"P0 - Immediate",IF(AB863&gt;=50,"P1 - High",IF(AB863&gt;=30,"P2 - Medium",IF(AB863&gt;=15,"P3 - Low","P4 - Monitor"))))))</x:f>
      </x:c>
      <x:c r="AD863" s="73"/>
      <x:c r="AE863" s="73"/>
      <x:c r="AF863" s="73"/>
      <x:c r="AG863" s="77"/>
      <x:c r="AH863" s="73"/>
      <x:c r="AI863" s="91"/>
      <x:c r="AJ863" s="91"/>
      <x:c r="AK863" s="91"/>
      <x:c r="AL863" s="92"/>
      <x:c r="AM863" s="91"/>
      <x:c r="AN863" s="91"/>
      <x:c r="AO863" s="93"/>
      <x:c r="AP863" s="94"/>
      <x:c r="AQ863" s="91"/>
      <x:c r="AR863" s="91"/>
      <x:c r="AS863" s="91"/>
      <x:c r="AT863" s="91"/>
      <x:c r="AU863" s="91"/>
      <x:c r="AV863" s="91"/>
      <x:c r="AW863" s="91"/>
      <x:c r="AX863" s="91"/>
      <x:c r="AY863" s="91"/>
      <x:c r="AZ863" s="92"/>
      <x:c r="BA863" s="94"/>
      <x:c r="BB863" s="91"/>
      <x:c r="BC863" s="92"/>
      <x:c r="BD863" s="92"/>
      <x:c r="BE863" s="91"/>
      <x:c r="BF863" s="91"/>
      <x:c r="BG863" s="91"/>
      <x:c r="BH863" s="91"/>
      <x:c r="BI863" s="91"/>
      <x:c r="BJ863" s="91"/>
      <x:c r="BK863" s="91"/>
      <x:c r="BL863" s="91"/>
      <x:c r="BM863" s="73" t="str">
        <x:f>IF(A863="","",IF(AI863="Example","Example only",IF(AI863&lt;&gt;"Actual","Set record type",IF(COUNTIF($A$2:$A$1001,A863)&gt;1,"Duplicate record ID",IF(OR(D863="",E863="",AF863="",NOT(ISNUMBER(AG863)),AJ863="",AK863="",NOT(ISNUMBER(AL863)),AND(AM863&lt;&gt;"Observed",AM863&lt;&gt;"Corroborated",AM863&lt;&gt;"Declared"),OR(AN863="",AN863="Unknown"),OR(AQ863="",AQ863="Unknown"),OR(AR863="",AR863="Unknown",AR863="TBD"),OR(BC863="",NOT(ISNUMBER(BC863)))),"Evidence incomplete","Evidence recorded; review scope")))))</x:f>
      </x:c>
      <x:c r="BN863" s="73"/>
    </x:row>
    <x:row r="864" ht="34" customHeight="1">
      <x:c r="A864" s="73"/>
      <x:c r="B864" s="73"/>
      <x:c r="C864" s="73"/>
      <x:c r="D864" s="73"/>
      <x:c r="E864" s="73"/>
      <x:c r="F864" s="73"/>
      <x:c r="G864" s="73"/>
      <x:c r="H864" s="73"/>
      <x:c r="I864" s="75"/>
      <x:c r="J864" s="73"/>
      <x:c r="K864" s="73"/>
      <x:c r="L864" s="76"/>
      <x:c r="M864" s="73"/>
      <x:c r="N864" s="73"/>
      <x:c r="O864" s="73"/>
      <x:c r="P864" s="73"/>
      <x:c r="Q864" s="76"/>
      <x:c r="R864" s="73"/>
      <x:c r="S864" s="73"/>
      <x:c r="T864" s="73"/>
      <x:c r="U864" s="73"/>
      <x:c r="V864" s="73"/>
      <x:c r="W864" s="73"/>
      <x:c r="X864" s="73"/>
      <x:c r="Y864" s="73"/>
      <x:c r="Z864" s="73"/>
      <x:c r="AA864" s="73"/>
      <x:c r="AB864" s="76" t="str">
        <x:f>IF(A864="","",IF(OR(NOT(ISNUMBER(I864)),I864&lt;0,NOT(ISNUMBER(AP864)),AP864&lt;0,NOT(ISNUMBER(L864)),L864&lt;1,L864&gt;5,L864&lt;&gt;INT(L864),AND(J864&lt;&gt;"Public",J864&lt;&gt;"Partner",J864&lt;&gt;"Internal",J864&lt;&gt;"None"),AND(K864&lt;&gt;"High",K864&lt;&gt;"Medium",K864&lt;&gt;"Low",K864&lt;&gt;"None"),AND(W864&lt;&gt;"Hard-coded",W864&lt;&gt;"Configurable",W864&lt;&gt;"Policy-managed",W864&lt;&gt;"API/Library abstraction",W864&lt;&gt;"Automated"),AND(Z864&lt;&gt;"Y",Z864&lt;&gt;"N"),AND(AA864&lt;&gt;"Y",AA864&lt;&gt;"N")),"Incomplete",IF(Z864="Y",20,0)+L864*5+IF(AA864="Y",15,0)+IF(J864="Public",10,IF(J864="Partner",7,IF(J864="Internal",3,0)))+IF(W864="Hard-coded",10,IF(W864="Configurable",3,0))+IF(MAX(I864,AP864)&gt;=10,10,IF(MAX(I864,AP864)&gt;=5,7,IF(MAX(I864,AP864)&gt;=2,3,0)))+IF(K864="High",10,IF(K864="Medium",5,0))))</x:f>
      </x:c>
      <x:c r="AC864" s="73" t="str">
        <x:f>IF(A864="","",IF(NOT(ISNUMBER(AB864)),"Review inputs",IF(AB864&gt;=70,"P0 - Immediate",IF(AB864&gt;=50,"P1 - High",IF(AB864&gt;=30,"P2 - Medium",IF(AB864&gt;=15,"P3 - Low","P4 - Monitor"))))))</x:f>
      </x:c>
      <x:c r="AD864" s="73"/>
      <x:c r="AE864" s="73"/>
      <x:c r="AF864" s="73"/>
      <x:c r="AG864" s="77"/>
      <x:c r="AH864" s="73"/>
      <x:c r="AI864" s="91"/>
      <x:c r="AJ864" s="91"/>
      <x:c r="AK864" s="91"/>
      <x:c r="AL864" s="92"/>
      <x:c r="AM864" s="91"/>
      <x:c r="AN864" s="91"/>
      <x:c r="AO864" s="93"/>
      <x:c r="AP864" s="94"/>
      <x:c r="AQ864" s="91"/>
      <x:c r="AR864" s="91"/>
      <x:c r="AS864" s="91"/>
      <x:c r="AT864" s="91"/>
      <x:c r="AU864" s="91"/>
      <x:c r="AV864" s="91"/>
      <x:c r="AW864" s="91"/>
      <x:c r="AX864" s="91"/>
      <x:c r="AY864" s="91"/>
      <x:c r="AZ864" s="92"/>
      <x:c r="BA864" s="94"/>
      <x:c r="BB864" s="91"/>
      <x:c r="BC864" s="92"/>
      <x:c r="BD864" s="92"/>
      <x:c r="BE864" s="91"/>
      <x:c r="BF864" s="91"/>
      <x:c r="BG864" s="91"/>
      <x:c r="BH864" s="91"/>
      <x:c r="BI864" s="91"/>
      <x:c r="BJ864" s="91"/>
      <x:c r="BK864" s="91"/>
      <x:c r="BL864" s="91"/>
      <x:c r="BM864" s="73" t="str">
        <x:f>IF(A864="","",IF(AI864="Example","Example only",IF(AI864&lt;&gt;"Actual","Set record type",IF(COUNTIF($A$2:$A$1001,A864)&gt;1,"Duplicate record ID",IF(OR(D864="",E864="",AF864="",NOT(ISNUMBER(AG864)),AJ864="",AK864="",NOT(ISNUMBER(AL864)),AND(AM864&lt;&gt;"Observed",AM864&lt;&gt;"Corroborated",AM864&lt;&gt;"Declared"),OR(AN864="",AN864="Unknown"),OR(AQ864="",AQ864="Unknown"),OR(AR864="",AR864="Unknown",AR864="TBD"),OR(BC864="",NOT(ISNUMBER(BC864)))),"Evidence incomplete","Evidence recorded; review scope")))))</x:f>
      </x:c>
      <x:c r="BN864" s="73"/>
    </x:row>
    <x:row r="865" ht="34" customHeight="1">
      <x:c r="A865" s="73"/>
      <x:c r="B865" s="73"/>
      <x:c r="C865" s="73"/>
      <x:c r="D865" s="73"/>
      <x:c r="E865" s="73"/>
      <x:c r="F865" s="73"/>
      <x:c r="G865" s="73"/>
      <x:c r="H865" s="73"/>
      <x:c r="I865" s="75"/>
      <x:c r="J865" s="73"/>
      <x:c r="K865" s="73"/>
      <x:c r="L865" s="76"/>
      <x:c r="M865" s="73"/>
      <x:c r="N865" s="73"/>
      <x:c r="O865" s="73"/>
      <x:c r="P865" s="73"/>
      <x:c r="Q865" s="76"/>
      <x:c r="R865" s="73"/>
      <x:c r="S865" s="73"/>
      <x:c r="T865" s="73"/>
      <x:c r="U865" s="73"/>
      <x:c r="V865" s="73"/>
      <x:c r="W865" s="73"/>
      <x:c r="X865" s="73"/>
      <x:c r="Y865" s="73"/>
      <x:c r="Z865" s="73"/>
      <x:c r="AA865" s="73"/>
      <x:c r="AB865" s="76" t="str">
        <x:f>IF(A865="","",IF(OR(NOT(ISNUMBER(I865)),I865&lt;0,NOT(ISNUMBER(AP865)),AP865&lt;0,NOT(ISNUMBER(L865)),L865&lt;1,L865&gt;5,L865&lt;&gt;INT(L865),AND(J865&lt;&gt;"Public",J865&lt;&gt;"Partner",J865&lt;&gt;"Internal",J865&lt;&gt;"None"),AND(K865&lt;&gt;"High",K865&lt;&gt;"Medium",K865&lt;&gt;"Low",K865&lt;&gt;"None"),AND(W865&lt;&gt;"Hard-coded",W865&lt;&gt;"Configurable",W865&lt;&gt;"Policy-managed",W865&lt;&gt;"API/Library abstraction",W865&lt;&gt;"Automated"),AND(Z865&lt;&gt;"Y",Z865&lt;&gt;"N"),AND(AA865&lt;&gt;"Y",AA865&lt;&gt;"N")),"Incomplete",IF(Z865="Y",20,0)+L865*5+IF(AA865="Y",15,0)+IF(J865="Public",10,IF(J865="Partner",7,IF(J865="Internal",3,0)))+IF(W865="Hard-coded",10,IF(W865="Configurable",3,0))+IF(MAX(I865,AP865)&gt;=10,10,IF(MAX(I865,AP865)&gt;=5,7,IF(MAX(I865,AP865)&gt;=2,3,0)))+IF(K865="High",10,IF(K865="Medium",5,0))))</x:f>
      </x:c>
      <x:c r="AC865" s="73" t="str">
        <x:f>IF(A865="","",IF(NOT(ISNUMBER(AB865)),"Review inputs",IF(AB865&gt;=70,"P0 - Immediate",IF(AB865&gt;=50,"P1 - High",IF(AB865&gt;=30,"P2 - Medium",IF(AB865&gt;=15,"P3 - Low","P4 - Monitor"))))))</x:f>
      </x:c>
      <x:c r="AD865" s="73"/>
      <x:c r="AE865" s="73"/>
      <x:c r="AF865" s="73"/>
      <x:c r="AG865" s="77"/>
      <x:c r="AH865" s="73"/>
      <x:c r="AI865" s="91"/>
      <x:c r="AJ865" s="91"/>
      <x:c r="AK865" s="91"/>
      <x:c r="AL865" s="92"/>
      <x:c r="AM865" s="91"/>
      <x:c r="AN865" s="91"/>
      <x:c r="AO865" s="93"/>
      <x:c r="AP865" s="94"/>
      <x:c r="AQ865" s="91"/>
      <x:c r="AR865" s="91"/>
      <x:c r="AS865" s="91"/>
      <x:c r="AT865" s="91"/>
      <x:c r="AU865" s="91"/>
      <x:c r="AV865" s="91"/>
      <x:c r="AW865" s="91"/>
      <x:c r="AX865" s="91"/>
      <x:c r="AY865" s="91"/>
      <x:c r="AZ865" s="92"/>
      <x:c r="BA865" s="94"/>
      <x:c r="BB865" s="91"/>
      <x:c r="BC865" s="92"/>
      <x:c r="BD865" s="92"/>
      <x:c r="BE865" s="91"/>
      <x:c r="BF865" s="91"/>
      <x:c r="BG865" s="91"/>
      <x:c r="BH865" s="91"/>
      <x:c r="BI865" s="91"/>
      <x:c r="BJ865" s="91"/>
      <x:c r="BK865" s="91"/>
      <x:c r="BL865" s="91"/>
      <x:c r="BM865" s="73" t="str">
        <x:f>IF(A865="","",IF(AI865="Example","Example only",IF(AI865&lt;&gt;"Actual","Set record type",IF(COUNTIF($A$2:$A$1001,A865)&gt;1,"Duplicate record ID",IF(OR(D865="",E865="",AF865="",NOT(ISNUMBER(AG865)),AJ865="",AK865="",NOT(ISNUMBER(AL865)),AND(AM865&lt;&gt;"Observed",AM865&lt;&gt;"Corroborated",AM865&lt;&gt;"Declared"),OR(AN865="",AN865="Unknown"),OR(AQ865="",AQ865="Unknown"),OR(AR865="",AR865="Unknown",AR865="TBD"),OR(BC865="",NOT(ISNUMBER(BC865)))),"Evidence incomplete","Evidence recorded; review scope")))))</x:f>
      </x:c>
      <x:c r="BN865" s="73"/>
    </x:row>
    <x:row r="866" ht="34" customHeight="1">
      <x:c r="A866" s="73"/>
      <x:c r="B866" s="73"/>
      <x:c r="C866" s="73"/>
      <x:c r="D866" s="73"/>
      <x:c r="E866" s="73"/>
      <x:c r="F866" s="73"/>
      <x:c r="G866" s="73"/>
      <x:c r="H866" s="73"/>
      <x:c r="I866" s="75"/>
      <x:c r="J866" s="73"/>
      <x:c r="K866" s="73"/>
      <x:c r="L866" s="76"/>
      <x:c r="M866" s="73"/>
      <x:c r="N866" s="73"/>
      <x:c r="O866" s="73"/>
      <x:c r="P866" s="73"/>
      <x:c r="Q866" s="76"/>
      <x:c r="R866" s="73"/>
      <x:c r="S866" s="73"/>
      <x:c r="T866" s="73"/>
      <x:c r="U866" s="73"/>
      <x:c r="V866" s="73"/>
      <x:c r="W866" s="73"/>
      <x:c r="X866" s="73"/>
      <x:c r="Y866" s="73"/>
      <x:c r="Z866" s="73"/>
      <x:c r="AA866" s="73"/>
      <x:c r="AB866" s="76" t="str">
        <x:f>IF(A866="","",IF(OR(NOT(ISNUMBER(I866)),I866&lt;0,NOT(ISNUMBER(AP866)),AP866&lt;0,NOT(ISNUMBER(L866)),L866&lt;1,L866&gt;5,L866&lt;&gt;INT(L866),AND(J866&lt;&gt;"Public",J866&lt;&gt;"Partner",J866&lt;&gt;"Internal",J866&lt;&gt;"None"),AND(K866&lt;&gt;"High",K866&lt;&gt;"Medium",K866&lt;&gt;"Low",K866&lt;&gt;"None"),AND(W866&lt;&gt;"Hard-coded",W866&lt;&gt;"Configurable",W866&lt;&gt;"Policy-managed",W866&lt;&gt;"API/Library abstraction",W866&lt;&gt;"Automated"),AND(Z866&lt;&gt;"Y",Z866&lt;&gt;"N"),AND(AA866&lt;&gt;"Y",AA866&lt;&gt;"N")),"Incomplete",IF(Z866="Y",20,0)+L866*5+IF(AA866="Y",15,0)+IF(J866="Public",10,IF(J866="Partner",7,IF(J866="Internal",3,0)))+IF(W866="Hard-coded",10,IF(W866="Configurable",3,0))+IF(MAX(I866,AP866)&gt;=10,10,IF(MAX(I866,AP866)&gt;=5,7,IF(MAX(I866,AP866)&gt;=2,3,0)))+IF(K866="High",10,IF(K866="Medium",5,0))))</x:f>
      </x:c>
      <x:c r="AC866" s="73" t="str">
        <x:f>IF(A866="","",IF(NOT(ISNUMBER(AB866)),"Review inputs",IF(AB866&gt;=70,"P0 - Immediate",IF(AB866&gt;=50,"P1 - High",IF(AB866&gt;=30,"P2 - Medium",IF(AB866&gt;=15,"P3 - Low","P4 - Monitor"))))))</x:f>
      </x:c>
      <x:c r="AD866" s="73"/>
      <x:c r="AE866" s="73"/>
      <x:c r="AF866" s="73"/>
      <x:c r="AG866" s="77"/>
      <x:c r="AH866" s="73"/>
      <x:c r="AI866" s="91"/>
      <x:c r="AJ866" s="91"/>
      <x:c r="AK866" s="91"/>
      <x:c r="AL866" s="92"/>
      <x:c r="AM866" s="91"/>
      <x:c r="AN866" s="91"/>
      <x:c r="AO866" s="93"/>
      <x:c r="AP866" s="94"/>
      <x:c r="AQ866" s="91"/>
      <x:c r="AR866" s="91"/>
      <x:c r="AS866" s="91"/>
      <x:c r="AT866" s="91"/>
      <x:c r="AU866" s="91"/>
      <x:c r="AV866" s="91"/>
      <x:c r="AW866" s="91"/>
      <x:c r="AX866" s="91"/>
      <x:c r="AY866" s="91"/>
      <x:c r="AZ866" s="92"/>
      <x:c r="BA866" s="94"/>
      <x:c r="BB866" s="91"/>
      <x:c r="BC866" s="92"/>
      <x:c r="BD866" s="92"/>
      <x:c r="BE866" s="91"/>
      <x:c r="BF866" s="91"/>
      <x:c r="BG866" s="91"/>
      <x:c r="BH866" s="91"/>
      <x:c r="BI866" s="91"/>
      <x:c r="BJ866" s="91"/>
      <x:c r="BK866" s="91"/>
      <x:c r="BL866" s="91"/>
      <x:c r="BM866" s="73" t="str">
        <x:f>IF(A866="","",IF(AI866="Example","Example only",IF(AI866&lt;&gt;"Actual","Set record type",IF(COUNTIF($A$2:$A$1001,A866)&gt;1,"Duplicate record ID",IF(OR(D866="",E866="",AF866="",NOT(ISNUMBER(AG866)),AJ866="",AK866="",NOT(ISNUMBER(AL866)),AND(AM866&lt;&gt;"Observed",AM866&lt;&gt;"Corroborated",AM866&lt;&gt;"Declared"),OR(AN866="",AN866="Unknown"),OR(AQ866="",AQ866="Unknown"),OR(AR866="",AR866="Unknown",AR866="TBD"),OR(BC866="",NOT(ISNUMBER(BC866)))),"Evidence incomplete","Evidence recorded; review scope")))))</x:f>
      </x:c>
      <x:c r="BN866" s="73"/>
    </x:row>
    <x:row r="867" ht="34" customHeight="1">
      <x:c r="A867" s="73"/>
      <x:c r="B867" s="73"/>
      <x:c r="C867" s="73"/>
      <x:c r="D867" s="73"/>
      <x:c r="E867" s="73"/>
      <x:c r="F867" s="73"/>
      <x:c r="G867" s="73"/>
      <x:c r="H867" s="73"/>
      <x:c r="I867" s="75"/>
      <x:c r="J867" s="73"/>
      <x:c r="K867" s="73"/>
      <x:c r="L867" s="76"/>
      <x:c r="M867" s="73"/>
      <x:c r="N867" s="73"/>
      <x:c r="O867" s="73"/>
      <x:c r="P867" s="73"/>
      <x:c r="Q867" s="76"/>
      <x:c r="R867" s="73"/>
      <x:c r="S867" s="73"/>
      <x:c r="T867" s="73"/>
      <x:c r="U867" s="73"/>
      <x:c r="V867" s="73"/>
      <x:c r="W867" s="73"/>
      <x:c r="X867" s="73"/>
      <x:c r="Y867" s="73"/>
      <x:c r="Z867" s="73"/>
      <x:c r="AA867" s="73"/>
      <x:c r="AB867" s="76" t="str">
        <x:f>IF(A867="","",IF(OR(NOT(ISNUMBER(I867)),I867&lt;0,NOT(ISNUMBER(AP867)),AP867&lt;0,NOT(ISNUMBER(L867)),L867&lt;1,L867&gt;5,L867&lt;&gt;INT(L867),AND(J867&lt;&gt;"Public",J867&lt;&gt;"Partner",J867&lt;&gt;"Internal",J867&lt;&gt;"None"),AND(K867&lt;&gt;"High",K867&lt;&gt;"Medium",K867&lt;&gt;"Low",K867&lt;&gt;"None"),AND(W867&lt;&gt;"Hard-coded",W867&lt;&gt;"Configurable",W867&lt;&gt;"Policy-managed",W867&lt;&gt;"API/Library abstraction",W867&lt;&gt;"Automated"),AND(Z867&lt;&gt;"Y",Z867&lt;&gt;"N"),AND(AA867&lt;&gt;"Y",AA867&lt;&gt;"N")),"Incomplete",IF(Z867="Y",20,0)+L867*5+IF(AA867="Y",15,0)+IF(J867="Public",10,IF(J867="Partner",7,IF(J867="Internal",3,0)))+IF(W867="Hard-coded",10,IF(W867="Configurable",3,0))+IF(MAX(I867,AP867)&gt;=10,10,IF(MAX(I867,AP867)&gt;=5,7,IF(MAX(I867,AP867)&gt;=2,3,0)))+IF(K867="High",10,IF(K867="Medium",5,0))))</x:f>
      </x:c>
      <x:c r="AC867" s="73" t="str">
        <x:f>IF(A867="","",IF(NOT(ISNUMBER(AB867)),"Review inputs",IF(AB867&gt;=70,"P0 - Immediate",IF(AB867&gt;=50,"P1 - High",IF(AB867&gt;=30,"P2 - Medium",IF(AB867&gt;=15,"P3 - Low","P4 - Monitor"))))))</x:f>
      </x:c>
      <x:c r="AD867" s="73"/>
      <x:c r="AE867" s="73"/>
      <x:c r="AF867" s="73"/>
      <x:c r="AG867" s="77"/>
      <x:c r="AH867" s="73"/>
      <x:c r="AI867" s="91"/>
      <x:c r="AJ867" s="91"/>
      <x:c r="AK867" s="91"/>
      <x:c r="AL867" s="92"/>
      <x:c r="AM867" s="91"/>
      <x:c r="AN867" s="91"/>
      <x:c r="AO867" s="93"/>
      <x:c r="AP867" s="94"/>
      <x:c r="AQ867" s="91"/>
      <x:c r="AR867" s="91"/>
      <x:c r="AS867" s="91"/>
      <x:c r="AT867" s="91"/>
      <x:c r="AU867" s="91"/>
      <x:c r="AV867" s="91"/>
      <x:c r="AW867" s="91"/>
      <x:c r="AX867" s="91"/>
      <x:c r="AY867" s="91"/>
      <x:c r="AZ867" s="92"/>
      <x:c r="BA867" s="94"/>
      <x:c r="BB867" s="91"/>
      <x:c r="BC867" s="92"/>
      <x:c r="BD867" s="92"/>
      <x:c r="BE867" s="91"/>
      <x:c r="BF867" s="91"/>
      <x:c r="BG867" s="91"/>
      <x:c r="BH867" s="91"/>
      <x:c r="BI867" s="91"/>
      <x:c r="BJ867" s="91"/>
      <x:c r="BK867" s="91"/>
      <x:c r="BL867" s="91"/>
      <x:c r="BM867" s="73" t="str">
        <x:f>IF(A867="","",IF(AI867="Example","Example only",IF(AI867&lt;&gt;"Actual","Set record type",IF(COUNTIF($A$2:$A$1001,A867)&gt;1,"Duplicate record ID",IF(OR(D867="",E867="",AF867="",NOT(ISNUMBER(AG867)),AJ867="",AK867="",NOT(ISNUMBER(AL867)),AND(AM867&lt;&gt;"Observed",AM867&lt;&gt;"Corroborated",AM867&lt;&gt;"Declared"),OR(AN867="",AN867="Unknown"),OR(AQ867="",AQ867="Unknown"),OR(AR867="",AR867="Unknown",AR867="TBD"),OR(BC867="",NOT(ISNUMBER(BC867)))),"Evidence incomplete","Evidence recorded; review scope")))))</x:f>
      </x:c>
      <x:c r="BN867" s="73"/>
    </x:row>
    <x:row r="868" ht="34" customHeight="1">
      <x:c r="A868" s="73"/>
      <x:c r="B868" s="73"/>
      <x:c r="C868" s="73"/>
      <x:c r="D868" s="73"/>
      <x:c r="E868" s="73"/>
      <x:c r="F868" s="73"/>
      <x:c r="G868" s="73"/>
      <x:c r="H868" s="73"/>
      <x:c r="I868" s="75"/>
      <x:c r="J868" s="73"/>
      <x:c r="K868" s="73"/>
      <x:c r="L868" s="76"/>
      <x:c r="M868" s="73"/>
      <x:c r="N868" s="73"/>
      <x:c r="O868" s="73"/>
      <x:c r="P868" s="73"/>
      <x:c r="Q868" s="76"/>
      <x:c r="R868" s="73"/>
      <x:c r="S868" s="73"/>
      <x:c r="T868" s="73"/>
      <x:c r="U868" s="73"/>
      <x:c r="V868" s="73"/>
      <x:c r="W868" s="73"/>
      <x:c r="X868" s="73"/>
      <x:c r="Y868" s="73"/>
      <x:c r="Z868" s="73"/>
      <x:c r="AA868" s="73"/>
      <x:c r="AB868" s="76" t="str">
        <x:f>IF(A868="","",IF(OR(NOT(ISNUMBER(I868)),I868&lt;0,NOT(ISNUMBER(AP868)),AP868&lt;0,NOT(ISNUMBER(L868)),L868&lt;1,L868&gt;5,L868&lt;&gt;INT(L868),AND(J868&lt;&gt;"Public",J868&lt;&gt;"Partner",J868&lt;&gt;"Internal",J868&lt;&gt;"None"),AND(K868&lt;&gt;"High",K868&lt;&gt;"Medium",K868&lt;&gt;"Low",K868&lt;&gt;"None"),AND(W868&lt;&gt;"Hard-coded",W868&lt;&gt;"Configurable",W868&lt;&gt;"Policy-managed",W868&lt;&gt;"API/Library abstraction",W868&lt;&gt;"Automated"),AND(Z868&lt;&gt;"Y",Z868&lt;&gt;"N"),AND(AA868&lt;&gt;"Y",AA868&lt;&gt;"N")),"Incomplete",IF(Z868="Y",20,0)+L868*5+IF(AA868="Y",15,0)+IF(J868="Public",10,IF(J868="Partner",7,IF(J868="Internal",3,0)))+IF(W868="Hard-coded",10,IF(W868="Configurable",3,0))+IF(MAX(I868,AP868)&gt;=10,10,IF(MAX(I868,AP868)&gt;=5,7,IF(MAX(I868,AP868)&gt;=2,3,0)))+IF(K868="High",10,IF(K868="Medium",5,0))))</x:f>
      </x:c>
      <x:c r="AC868" s="73" t="str">
        <x:f>IF(A868="","",IF(NOT(ISNUMBER(AB868)),"Review inputs",IF(AB868&gt;=70,"P0 - Immediate",IF(AB868&gt;=50,"P1 - High",IF(AB868&gt;=30,"P2 - Medium",IF(AB868&gt;=15,"P3 - Low","P4 - Monitor"))))))</x:f>
      </x:c>
      <x:c r="AD868" s="73"/>
      <x:c r="AE868" s="73"/>
      <x:c r="AF868" s="73"/>
      <x:c r="AG868" s="77"/>
      <x:c r="AH868" s="73"/>
      <x:c r="AI868" s="91"/>
      <x:c r="AJ868" s="91"/>
      <x:c r="AK868" s="91"/>
      <x:c r="AL868" s="92"/>
      <x:c r="AM868" s="91"/>
      <x:c r="AN868" s="91"/>
      <x:c r="AO868" s="93"/>
      <x:c r="AP868" s="94"/>
      <x:c r="AQ868" s="91"/>
      <x:c r="AR868" s="91"/>
      <x:c r="AS868" s="91"/>
      <x:c r="AT868" s="91"/>
      <x:c r="AU868" s="91"/>
      <x:c r="AV868" s="91"/>
      <x:c r="AW868" s="91"/>
      <x:c r="AX868" s="91"/>
      <x:c r="AY868" s="91"/>
      <x:c r="AZ868" s="92"/>
      <x:c r="BA868" s="94"/>
      <x:c r="BB868" s="91"/>
      <x:c r="BC868" s="92"/>
      <x:c r="BD868" s="92"/>
      <x:c r="BE868" s="91"/>
      <x:c r="BF868" s="91"/>
      <x:c r="BG868" s="91"/>
      <x:c r="BH868" s="91"/>
      <x:c r="BI868" s="91"/>
      <x:c r="BJ868" s="91"/>
      <x:c r="BK868" s="91"/>
      <x:c r="BL868" s="91"/>
      <x:c r="BM868" s="73" t="str">
        <x:f>IF(A868="","",IF(AI868="Example","Example only",IF(AI868&lt;&gt;"Actual","Set record type",IF(COUNTIF($A$2:$A$1001,A868)&gt;1,"Duplicate record ID",IF(OR(D868="",E868="",AF868="",NOT(ISNUMBER(AG868)),AJ868="",AK868="",NOT(ISNUMBER(AL868)),AND(AM868&lt;&gt;"Observed",AM868&lt;&gt;"Corroborated",AM868&lt;&gt;"Declared"),OR(AN868="",AN868="Unknown"),OR(AQ868="",AQ868="Unknown"),OR(AR868="",AR868="Unknown",AR868="TBD"),OR(BC868="",NOT(ISNUMBER(BC868)))),"Evidence incomplete","Evidence recorded; review scope")))))</x:f>
      </x:c>
      <x:c r="BN868" s="73"/>
    </x:row>
    <x:row r="869" ht="34" customHeight="1">
      <x:c r="A869" s="73"/>
      <x:c r="B869" s="73"/>
      <x:c r="C869" s="73"/>
      <x:c r="D869" s="73"/>
      <x:c r="E869" s="73"/>
      <x:c r="F869" s="73"/>
      <x:c r="G869" s="73"/>
      <x:c r="H869" s="73"/>
      <x:c r="I869" s="75"/>
      <x:c r="J869" s="73"/>
      <x:c r="K869" s="73"/>
      <x:c r="L869" s="76"/>
      <x:c r="M869" s="73"/>
      <x:c r="N869" s="73"/>
      <x:c r="O869" s="73"/>
      <x:c r="P869" s="73"/>
      <x:c r="Q869" s="76"/>
      <x:c r="R869" s="73"/>
      <x:c r="S869" s="73"/>
      <x:c r="T869" s="73"/>
      <x:c r="U869" s="73"/>
      <x:c r="V869" s="73"/>
      <x:c r="W869" s="73"/>
      <x:c r="X869" s="73"/>
      <x:c r="Y869" s="73"/>
      <x:c r="Z869" s="73"/>
      <x:c r="AA869" s="73"/>
      <x:c r="AB869" s="76" t="str">
        <x:f>IF(A869="","",IF(OR(NOT(ISNUMBER(I869)),I869&lt;0,NOT(ISNUMBER(AP869)),AP869&lt;0,NOT(ISNUMBER(L869)),L869&lt;1,L869&gt;5,L869&lt;&gt;INT(L869),AND(J869&lt;&gt;"Public",J869&lt;&gt;"Partner",J869&lt;&gt;"Internal",J869&lt;&gt;"None"),AND(K869&lt;&gt;"High",K869&lt;&gt;"Medium",K869&lt;&gt;"Low",K869&lt;&gt;"None"),AND(W869&lt;&gt;"Hard-coded",W869&lt;&gt;"Configurable",W869&lt;&gt;"Policy-managed",W869&lt;&gt;"API/Library abstraction",W869&lt;&gt;"Automated"),AND(Z869&lt;&gt;"Y",Z869&lt;&gt;"N"),AND(AA869&lt;&gt;"Y",AA869&lt;&gt;"N")),"Incomplete",IF(Z869="Y",20,0)+L869*5+IF(AA869="Y",15,0)+IF(J869="Public",10,IF(J869="Partner",7,IF(J869="Internal",3,0)))+IF(W869="Hard-coded",10,IF(W869="Configurable",3,0))+IF(MAX(I869,AP869)&gt;=10,10,IF(MAX(I869,AP869)&gt;=5,7,IF(MAX(I869,AP869)&gt;=2,3,0)))+IF(K869="High",10,IF(K869="Medium",5,0))))</x:f>
      </x:c>
      <x:c r="AC869" s="73" t="str">
        <x:f>IF(A869="","",IF(NOT(ISNUMBER(AB869)),"Review inputs",IF(AB869&gt;=70,"P0 - Immediate",IF(AB869&gt;=50,"P1 - High",IF(AB869&gt;=30,"P2 - Medium",IF(AB869&gt;=15,"P3 - Low","P4 - Monitor"))))))</x:f>
      </x:c>
      <x:c r="AD869" s="73"/>
      <x:c r="AE869" s="73"/>
      <x:c r="AF869" s="73"/>
      <x:c r="AG869" s="77"/>
      <x:c r="AH869" s="73"/>
      <x:c r="AI869" s="91"/>
      <x:c r="AJ869" s="91"/>
      <x:c r="AK869" s="91"/>
      <x:c r="AL869" s="92"/>
      <x:c r="AM869" s="91"/>
      <x:c r="AN869" s="91"/>
      <x:c r="AO869" s="93"/>
      <x:c r="AP869" s="94"/>
      <x:c r="AQ869" s="91"/>
      <x:c r="AR869" s="91"/>
      <x:c r="AS869" s="91"/>
      <x:c r="AT869" s="91"/>
      <x:c r="AU869" s="91"/>
      <x:c r="AV869" s="91"/>
      <x:c r="AW869" s="91"/>
      <x:c r="AX869" s="91"/>
      <x:c r="AY869" s="91"/>
      <x:c r="AZ869" s="92"/>
      <x:c r="BA869" s="94"/>
      <x:c r="BB869" s="91"/>
      <x:c r="BC869" s="92"/>
      <x:c r="BD869" s="92"/>
      <x:c r="BE869" s="91"/>
      <x:c r="BF869" s="91"/>
      <x:c r="BG869" s="91"/>
      <x:c r="BH869" s="91"/>
      <x:c r="BI869" s="91"/>
      <x:c r="BJ869" s="91"/>
      <x:c r="BK869" s="91"/>
      <x:c r="BL869" s="91"/>
      <x:c r="BM869" s="73" t="str">
        <x:f>IF(A869="","",IF(AI869="Example","Example only",IF(AI869&lt;&gt;"Actual","Set record type",IF(COUNTIF($A$2:$A$1001,A869)&gt;1,"Duplicate record ID",IF(OR(D869="",E869="",AF869="",NOT(ISNUMBER(AG869)),AJ869="",AK869="",NOT(ISNUMBER(AL869)),AND(AM869&lt;&gt;"Observed",AM869&lt;&gt;"Corroborated",AM869&lt;&gt;"Declared"),OR(AN869="",AN869="Unknown"),OR(AQ869="",AQ869="Unknown"),OR(AR869="",AR869="Unknown",AR869="TBD"),OR(BC869="",NOT(ISNUMBER(BC869)))),"Evidence incomplete","Evidence recorded; review scope")))))</x:f>
      </x:c>
      <x:c r="BN869" s="73"/>
    </x:row>
    <x:row r="870" ht="34" customHeight="1">
      <x:c r="A870" s="73"/>
      <x:c r="B870" s="73"/>
      <x:c r="C870" s="73"/>
      <x:c r="D870" s="73"/>
      <x:c r="E870" s="73"/>
      <x:c r="F870" s="73"/>
      <x:c r="G870" s="73"/>
      <x:c r="H870" s="73"/>
      <x:c r="I870" s="75"/>
      <x:c r="J870" s="73"/>
      <x:c r="K870" s="73"/>
      <x:c r="L870" s="76"/>
      <x:c r="M870" s="73"/>
      <x:c r="N870" s="73"/>
      <x:c r="O870" s="73"/>
      <x:c r="P870" s="73"/>
      <x:c r="Q870" s="76"/>
      <x:c r="R870" s="73"/>
      <x:c r="S870" s="73"/>
      <x:c r="T870" s="73"/>
      <x:c r="U870" s="73"/>
      <x:c r="V870" s="73"/>
      <x:c r="W870" s="73"/>
      <x:c r="X870" s="73"/>
      <x:c r="Y870" s="73"/>
      <x:c r="Z870" s="73"/>
      <x:c r="AA870" s="73"/>
      <x:c r="AB870" s="76" t="str">
        <x:f>IF(A870="","",IF(OR(NOT(ISNUMBER(I870)),I870&lt;0,NOT(ISNUMBER(AP870)),AP870&lt;0,NOT(ISNUMBER(L870)),L870&lt;1,L870&gt;5,L870&lt;&gt;INT(L870),AND(J870&lt;&gt;"Public",J870&lt;&gt;"Partner",J870&lt;&gt;"Internal",J870&lt;&gt;"None"),AND(K870&lt;&gt;"High",K870&lt;&gt;"Medium",K870&lt;&gt;"Low",K870&lt;&gt;"None"),AND(W870&lt;&gt;"Hard-coded",W870&lt;&gt;"Configurable",W870&lt;&gt;"Policy-managed",W870&lt;&gt;"API/Library abstraction",W870&lt;&gt;"Automated"),AND(Z870&lt;&gt;"Y",Z870&lt;&gt;"N"),AND(AA870&lt;&gt;"Y",AA870&lt;&gt;"N")),"Incomplete",IF(Z870="Y",20,0)+L870*5+IF(AA870="Y",15,0)+IF(J870="Public",10,IF(J870="Partner",7,IF(J870="Internal",3,0)))+IF(W870="Hard-coded",10,IF(W870="Configurable",3,0))+IF(MAX(I870,AP870)&gt;=10,10,IF(MAX(I870,AP870)&gt;=5,7,IF(MAX(I870,AP870)&gt;=2,3,0)))+IF(K870="High",10,IF(K870="Medium",5,0))))</x:f>
      </x:c>
      <x:c r="AC870" s="73" t="str">
        <x:f>IF(A870="","",IF(NOT(ISNUMBER(AB870)),"Review inputs",IF(AB870&gt;=70,"P0 - Immediate",IF(AB870&gt;=50,"P1 - High",IF(AB870&gt;=30,"P2 - Medium",IF(AB870&gt;=15,"P3 - Low","P4 - Monitor"))))))</x:f>
      </x:c>
      <x:c r="AD870" s="73"/>
      <x:c r="AE870" s="73"/>
      <x:c r="AF870" s="73"/>
      <x:c r="AG870" s="77"/>
      <x:c r="AH870" s="73"/>
      <x:c r="AI870" s="91"/>
      <x:c r="AJ870" s="91"/>
      <x:c r="AK870" s="91"/>
      <x:c r="AL870" s="92"/>
      <x:c r="AM870" s="91"/>
      <x:c r="AN870" s="91"/>
      <x:c r="AO870" s="93"/>
      <x:c r="AP870" s="94"/>
      <x:c r="AQ870" s="91"/>
      <x:c r="AR870" s="91"/>
      <x:c r="AS870" s="91"/>
      <x:c r="AT870" s="91"/>
      <x:c r="AU870" s="91"/>
      <x:c r="AV870" s="91"/>
      <x:c r="AW870" s="91"/>
      <x:c r="AX870" s="91"/>
      <x:c r="AY870" s="91"/>
      <x:c r="AZ870" s="92"/>
      <x:c r="BA870" s="94"/>
      <x:c r="BB870" s="91"/>
      <x:c r="BC870" s="92"/>
      <x:c r="BD870" s="92"/>
      <x:c r="BE870" s="91"/>
      <x:c r="BF870" s="91"/>
      <x:c r="BG870" s="91"/>
      <x:c r="BH870" s="91"/>
      <x:c r="BI870" s="91"/>
      <x:c r="BJ870" s="91"/>
      <x:c r="BK870" s="91"/>
      <x:c r="BL870" s="91"/>
      <x:c r="BM870" s="73" t="str">
        <x:f>IF(A870="","",IF(AI870="Example","Example only",IF(AI870&lt;&gt;"Actual","Set record type",IF(COUNTIF($A$2:$A$1001,A870)&gt;1,"Duplicate record ID",IF(OR(D870="",E870="",AF870="",NOT(ISNUMBER(AG870)),AJ870="",AK870="",NOT(ISNUMBER(AL870)),AND(AM870&lt;&gt;"Observed",AM870&lt;&gt;"Corroborated",AM870&lt;&gt;"Declared"),OR(AN870="",AN870="Unknown"),OR(AQ870="",AQ870="Unknown"),OR(AR870="",AR870="Unknown",AR870="TBD"),OR(BC870="",NOT(ISNUMBER(BC870)))),"Evidence incomplete","Evidence recorded; review scope")))))</x:f>
      </x:c>
      <x:c r="BN870" s="73"/>
    </x:row>
    <x:row r="871" ht="34" customHeight="1">
      <x:c r="A871" s="73"/>
      <x:c r="B871" s="73"/>
      <x:c r="C871" s="73"/>
      <x:c r="D871" s="73"/>
      <x:c r="E871" s="73"/>
      <x:c r="F871" s="73"/>
      <x:c r="G871" s="73"/>
      <x:c r="H871" s="73"/>
      <x:c r="I871" s="75"/>
      <x:c r="J871" s="73"/>
      <x:c r="K871" s="73"/>
      <x:c r="L871" s="76"/>
      <x:c r="M871" s="73"/>
      <x:c r="N871" s="73"/>
      <x:c r="O871" s="73"/>
      <x:c r="P871" s="73"/>
      <x:c r="Q871" s="76"/>
      <x:c r="R871" s="73"/>
      <x:c r="S871" s="73"/>
      <x:c r="T871" s="73"/>
      <x:c r="U871" s="73"/>
      <x:c r="V871" s="73"/>
      <x:c r="W871" s="73"/>
      <x:c r="X871" s="73"/>
      <x:c r="Y871" s="73"/>
      <x:c r="Z871" s="73"/>
      <x:c r="AA871" s="73"/>
      <x:c r="AB871" s="76" t="str">
        <x:f>IF(A871="","",IF(OR(NOT(ISNUMBER(I871)),I871&lt;0,NOT(ISNUMBER(AP871)),AP871&lt;0,NOT(ISNUMBER(L871)),L871&lt;1,L871&gt;5,L871&lt;&gt;INT(L871),AND(J871&lt;&gt;"Public",J871&lt;&gt;"Partner",J871&lt;&gt;"Internal",J871&lt;&gt;"None"),AND(K871&lt;&gt;"High",K871&lt;&gt;"Medium",K871&lt;&gt;"Low",K871&lt;&gt;"None"),AND(W871&lt;&gt;"Hard-coded",W871&lt;&gt;"Configurable",W871&lt;&gt;"Policy-managed",W871&lt;&gt;"API/Library abstraction",W871&lt;&gt;"Automated"),AND(Z871&lt;&gt;"Y",Z871&lt;&gt;"N"),AND(AA871&lt;&gt;"Y",AA871&lt;&gt;"N")),"Incomplete",IF(Z871="Y",20,0)+L871*5+IF(AA871="Y",15,0)+IF(J871="Public",10,IF(J871="Partner",7,IF(J871="Internal",3,0)))+IF(W871="Hard-coded",10,IF(W871="Configurable",3,0))+IF(MAX(I871,AP871)&gt;=10,10,IF(MAX(I871,AP871)&gt;=5,7,IF(MAX(I871,AP871)&gt;=2,3,0)))+IF(K871="High",10,IF(K871="Medium",5,0))))</x:f>
      </x:c>
      <x:c r="AC871" s="73" t="str">
        <x:f>IF(A871="","",IF(NOT(ISNUMBER(AB871)),"Review inputs",IF(AB871&gt;=70,"P0 - Immediate",IF(AB871&gt;=50,"P1 - High",IF(AB871&gt;=30,"P2 - Medium",IF(AB871&gt;=15,"P3 - Low","P4 - Monitor"))))))</x:f>
      </x:c>
      <x:c r="AD871" s="73"/>
      <x:c r="AE871" s="73"/>
      <x:c r="AF871" s="73"/>
      <x:c r="AG871" s="77"/>
      <x:c r="AH871" s="73"/>
      <x:c r="AI871" s="91"/>
      <x:c r="AJ871" s="91"/>
      <x:c r="AK871" s="91"/>
      <x:c r="AL871" s="92"/>
      <x:c r="AM871" s="91"/>
      <x:c r="AN871" s="91"/>
      <x:c r="AO871" s="93"/>
      <x:c r="AP871" s="94"/>
      <x:c r="AQ871" s="91"/>
      <x:c r="AR871" s="91"/>
      <x:c r="AS871" s="91"/>
      <x:c r="AT871" s="91"/>
      <x:c r="AU871" s="91"/>
      <x:c r="AV871" s="91"/>
      <x:c r="AW871" s="91"/>
      <x:c r="AX871" s="91"/>
      <x:c r="AY871" s="91"/>
      <x:c r="AZ871" s="92"/>
      <x:c r="BA871" s="94"/>
      <x:c r="BB871" s="91"/>
      <x:c r="BC871" s="92"/>
      <x:c r="BD871" s="92"/>
      <x:c r="BE871" s="91"/>
      <x:c r="BF871" s="91"/>
      <x:c r="BG871" s="91"/>
      <x:c r="BH871" s="91"/>
      <x:c r="BI871" s="91"/>
      <x:c r="BJ871" s="91"/>
      <x:c r="BK871" s="91"/>
      <x:c r="BL871" s="91"/>
      <x:c r="BM871" s="73" t="str">
        <x:f>IF(A871="","",IF(AI871="Example","Example only",IF(AI871&lt;&gt;"Actual","Set record type",IF(COUNTIF($A$2:$A$1001,A871)&gt;1,"Duplicate record ID",IF(OR(D871="",E871="",AF871="",NOT(ISNUMBER(AG871)),AJ871="",AK871="",NOT(ISNUMBER(AL871)),AND(AM871&lt;&gt;"Observed",AM871&lt;&gt;"Corroborated",AM871&lt;&gt;"Declared"),OR(AN871="",AN871="Unknown"),OR(AQ871="",AQ871="Unknown"),OR(AR871="",AR871="Unknown",AR871="TBD"),OR(BC871="",NOT(ISNUMBER(BC871)))),"Evidence incomplete","Evidence recorded; review scope")))))</x:f>
      </x:c>
      <x:c r="BN871" s="73"/>
    </x:row>
    <x:row r="872" ht="34" customHeight="1">
      <x:c r="A872" s="73"/>
      <x:c r="B872" s="73"/>
      <x:c r="C872" s="73"/>
      <x:c r="D872" s="73"/>
      <x:c r="E872" s="73"/>
      <x:c r="F872" s="73"/>
      <x:c r="G872" s="73"/>
      <x:c r="H872" s="73"/>
      <x:c r="I872" s="75"/>
      <x:c r="J872" s="73"/>
      <x:c r="K872" s="73"/>
      <x:c r="L872" s="76"/>
      <x:c r="M872" s="73"/>
      <x:c r="N872" s="73"/>
      <x:c r="O872" s="73"/>
      <x:c r="P872" s="73"/>
      <x:c r="Q872" s="76"/>
      <x:c r="R872" s="73"/>
      <x:c r="S872" s="73"/>
      <x:c r="T872" s="73"/>
      <x:c r="U872" s="73"/>
      <x:c r="V872" s="73"/>
      <x:c r="W872" s="73"/>
      <x:c r="X872" s="73"/>
      <x:c r="Y872" s="73"/>
      <x:c r="Z872" s="73"/>
      <x:c r="AA872" s="73"/>
      <x:c r="AB872" s="76" t="str">
        <x:f>IF(A872="","",IF(OR(NOT(ISNUMBER(I872)),I872&lt;0,NOT(ISNUMBER(AP872)),AP872&lt;0,NOT(ISNUMBER(L872)),L872&lt;1,L872&gt;5,L872&lt;&gt;INT(L872),AND(J872&lt;&gt;"Public",J872&lt;&gt;"Partner",J872&lt;&gt;"Internal",J872&lt;&gt;"None"),AND(K872&lt;&gt;"High",K872&lt;&gt;"Medium",K872&lt;&gt;"Low",K872&lt;&gt;"None"),AND(W872&lt;&gt;"Hard-coded",W872&lt;&gt;"Configurable",W872&lt;&gt;"Policy-managed",W872&lt;&gt;"API/Library abstraction",W872&lt;&gt;"Automated"),AND(Z872&lt;&gt;"Y",Z872&lt;&gt;"N"),AND(AA872&lt;&gt;"Y",AA872&lt;&gt;"N")),"Incomplete",IF(Z872="Y",20,0)+L872*5+IF(AA872="Y",15,0)+IF(J872="Public",10,IF(J872="Partner",7,IF(J872="Internal",3,0)))+IF(W872="Hard-coded",10,IF(W872="Configurable",3,0))+IF(MAX(I872,AP872)&gt;=10,10,IF(MAX(I872,AP872)&gt;=5,7,IF(MAX(I872,AP872)&gt;=2,3,0)))+IF(K872="High",10,IF(K872="Medium",5,0))))</x:f>
      </x:c>
      <x:c r="AC872" s="73" t="str">
        <x:f>IF(A872="","",IF(NOT(ISNUMBER(AB872)),"Review inputs",IF(AB872&gt;=70,"P0 - Immediate",IF(AB872&gt;=50,"P1 - High",IF(AB872&gt;=30,"P2 - Medium",IF(AB872&gt;=15,"P3 - Low","P4 - Monitor"))))))</x:f>
      </x:c>
      <x:c r="AD872" s="73"/>
      <x:c r="AE872" s="73"/>
      <x:c r="AF872" s="73"/>
      <x:c r="AG872" s="77"/>
      <x:c r="AH872" s="73"/>
      <x:c r="AI872" s="91"/>
      <x:c r="AJ872" s="91"/>
      <x:c r="AK872" s="91"/>
      <x:c r="AL872" s="92"/>
      <x:c r="AM872" s="91"/>
      <x:c r="AN872" s="91"/>
      <x:c r="AO872" s="93"/>
      <x:c r="AP872" s="94"/>
      <x:c r="AQ872" s="91"/>
      <x:c r="AR872" s="91"/>
      <x:c r="AS872" s="91"/>
      <x:c r="AT872" s="91"/>
      <x:c r="AU872" s="91"/>
      <x:c r="AV872" s="91"/>
      <x:c r="AW872" s="91"/>
      <x:c r="AX872" s="91"/>
      <x:c r="AY872" s="91"/>
      <x:c r="AZ872" s="92"/>
      <x:c r="BA872" s="94"/>
      <x:c r="BB872" s="91"/>
      <x:c r="BC872" s="92"/>
      <x:c r="BD872" s="92"/>
      <x:c r="BE872" s="91"/>
      <x:c r="BF872" s="91"/>
      <x:c r="BG872" s="91"/>
      <x:c r="BH872" s="91"/>
      <x:c r="BI872" s="91"/>
      <x:c r="BJ872" s="91"/>
      <x:c r="BK872" s="91"/>
      <x:c r="BL872" s="91"/>
      <x:c r="BM872" s="73" t="str">
        <x:f>IF(A872="","",IF(AI872="Example","Example only",IF(AI872&lt;&gt;"Actual","Set record type",IF(COUNTIF($A$2:$A$1001,A872)&gt;1,"Duplicate record ID",IF(OR(D872="",E872="",AF872="",NOT(ISNUMBER(AG872)),AJ872="",AK872="",NOT(ISNUMBER(AL872)),AND(AM872&lt;&gt;"Observed",AM872&lt;&gt;"Corroborated",AM872&lt;&gt;"Declared"),OR(AN872="",AN872="Unknown"),OR(AQ872="",AQ872="Unknown"),OR(AR872="",AR872="Unknown",AR872="TBD"),OR(BC872="",NOT(ISNUMBER(BC872)))),"Evidence incomplete","Evidence recorded; review scope")))))</x:f>
      </x:c>
      <x:c r="BN872" s="73"/>
    </x:row>
    <x:row r="873" ht="34" customHeight="1">
      <x:c r="A873" s="73"/>
      <x:c r="B873" s="73"/>
      <x:c r="C873" s="73"/>
      <x:c r="D873" s="73"/>
      <x:c r="E873" s="73"/>
      <x:c r="F873" s="73"/>
      <x:c r="G873" s="73"/>
      <x:c r="H873" s="73"/>
      <x:c r="I873" s="75"/>
      <x:c r="J873" s="73"/>
      <x:c r="K873" s="73"/>
      <x:c r="L873" s="76"/>
      <x:c r="M873" s="73"/>
      <x:c r="N873" s="73"/>
      <x:c r="O873" s="73"/>
      <x:c r="P873" s="73"/>
      <x:c r="Q873" s="76"/>
      <x:c r="R873" s="73"/>
      <x:c r="S873" s="73"/>
      <x:c r="T873" s="73"/>
      <x:c r="U873" s="73"/>
      <x:c r="V873" s="73"/>
      <x:c r="W873" s="73"/>
      <x:c r="X873" s="73"/>
      <x:c r="Y873" s="73"/>
      <x:c r="Z873" s="73"/>
      <x:c r="AA873" s="73"/>
      <x:c r="AB873" s="76" t="str">
        <x:f>IF(A873="","",IF(OR(NOT(ISNUMBER(I873)),I873&lt;0,NOT(ISNUMBER(AP873)),AP873&lt;0,NOT(ISNUMBER(L873)),L873&lt;1,L873&gt;5,L873&lt;&gt;INT(L873),AND(J873&lt;&gt;"Public",J873&lt;&gt;"Partner",J873&lt;&gt;"Internal",J873&lt;&gt;"None"),AND(K873&lt;&gt;"High",K873&lt;&gt;"Medium",K873&lt;&gt;"Low",K873&lt;&gt;"None"),AND(W873&lt;&gt;"Hard-coded",W873&lt;&gt;"Configurable",W873&lt;&gt;"Policy-managed",W873&lt;&gt;"API/Library abstraction",W873&lt;&gt;"Automated"),AND(Z873&lt;&gt;"Y",Z873&lt;&gt;"N"),AND(AA873&lt;&gt;"Y",AA873&lt;&gt;"N")),"Incomplete",IF(Z873="Y",20,0)+L873*5+IF(AA873="Y",15,0)+IF(J873="Public",10,IF(J873="Partner",7,IF(J873="Internal",3,0)))+IF(W873="Hard-coded",10,IF(W873="Configurable",3,0))+IF(MAX(I873,AP873)&gt;=10,10,IF(MAX(I873,AP873)&gt;=5,7,IF(MAX(I873,AP873)&gt;=2,3,0)))+IF(K873="High",10,IF(K873="Medium",5,0))))</x:f>
      </x:c>
      <x:c r="AC873" s="73" t="str">
        <x:f>IF(A873="","",IF(NOT(ISNUMBER(AB873)),"Review inputs",IF(AB873&gt;=70,"P0 - Immediate",IF(AB873&gt;=50,"P1 - High",IF(AB873&gt;=30,"P2 - Medium",IF(AB873&gt;=15,"P3 - Low","P4 - Monitor"))))))</x:f>
      </x:c>
      <x:c r="AD873" s="73"/>
      <x:c r="AE873" s="73"/>
      <x:c r="AF873" s="73"/>
      <x:c r="AG873" s="77"/>
      <x:c r="AH873" s="73"/>
      <x:c r="AI873" s="91"/>
      <x:c r="AJ873" s="91"/>
      <x:c r="AK873" s="91"/>
      <x:c r="AL873" s="92"/>
      <x:c r="AM873" s="91"/>
      <x:c r="AN873" s="91"/>
      <x:c r="AO873" s="93"/>
      <x:c r="AP873" s="94"/>
      <x:c r="AQ873" s="91"/>
      <x:c r="AR873" s="91"/>
      <x:c r="AS873" s="91"/>
      <x:c r="AT873" s="91"/>
      <x:c r="AU873" s="91"/>
      <x:c r="AV873" s="91"/>
      <x:c r="AW873" s="91"/>
      <x:c r="AX873" s="91"/>
      <x:c r="AY873" s="91"/>
      <x:c r="AZ873" s="92"/>
      <x:c r="BA873" s="94"/>
      <x:c r="BB873" s="91"/>
      <x:c r="BC873" s="92"/>
      <x:c r="BD873" s="92"/>
      <x:c r="BE873" s="91"/>
      <x:c r="BF873" s="91"/>
      <x:c r="BG873" s="91"/>
      <x:c r="BH873" s="91"/>
      <x:c r="BI873" s="91"/>
      <x:c r="BJ873" s="91"/>
      <x:c r="BK873" s="91"/>
      <x:c r="BL873" s="91"/>
      <x:c r="BM873" s="73" t="str">
        <x:f>IF(A873="","",IF(AI873="Example","Example only",IF(AI873&lt;&gt;"Actual","Set record type",IF(COUNTIF($A$2:$A$1001,A873)&gt;1,"Duplicate record ID",IF(OR(D873="",E873="",AF873="",NOT(ISNUMBER(AG873)),AJ873="",AK873="",NOT(ISNUMBER(AL873)),AND(AM873&lt;&gt;"Observed",AM873&lt;&gt;"Corroborated",AM873&lt;&gt;"Declared"),OR(AN873="",AN873="Unknown"),OR(AQ873="",AQ873="Unknown"),OR(AR873="",AR873="Unknown",AR873="TBD"),OR(BC873="",NOT(ISNUMBER(BC873)))),"Evidence incomplete","Evidence recorded; review scope")))))</x:f>
      </x:c>
      <x:c r="BN873" s="73"/>
    </x:row>
    <x:row r="874" ht="34" customHeight="1">
      <x:c r="A874" s="73"/>
      <x:c r="B874" s="73"/>
      <x:c r="C874" s="73"/>
      <x:c r="D874" s="73"/>
      <x:c r="E874" s="73"/>
      <x:c r="F874" s="73"/>
      <x:c r="G874" s="73"/>
      <x:c r="H874" s="73"/>
      <x:c r="I874" s="75"/>
      <x:c r="J874" s="73"/>
      <x:c r="K874" s="73"/>
      <x:c r="L874" s="76"/>
      <x:c r="M874" s="73"/>
      <x:c r="N874" s="73"/>
      <x:c r="O874" s="73"/>
      <x:c r="P874" s="73"/>
      <x:c r="Q874" s="76"/>
      <x:c r="R874" s="73"/>
      <x:c r="S874" s="73"/>
      <x:c r="T874" s="73"/>
      <x:c r="U874" s="73"/>
      <x:c r="V874" s="73"/>
      <x:c r="W874" s="73"/>
      <x:c r="X874" s="73"/>
      <x:c r="Y874" s="73"/>
      <x:c r="Z874" s="73"/>
      <x:c r="AA874" s="73"/>
      <x:c r="AB874" s="76" t="str">
        <x:f>IF(A874="","",IF(OR(NOT(ISNUMBER(I874)),I874&lt;0,NOT(ISNUMBER(AP874)),AP874&lt;0,NOT(ISNUMBER(L874)),L874&lt;1,L874&gt;5,L874&lt;&gt;INT(L874),AND(J874&lt;&gt;"Public",J874&lt;&gt;"Partner",J874&lt;&gt;"Internal",J874&lt;&gt;"None"),AND(K874&lt;&gt;"High",K874&lt;&gt;"Medium",K874&lt;&gt;"Low",K874&lt;&gt;"None"),AND(W874&lt;&gt;"Hard-coded",W874&lt;&gt;"Configurable",W874&lt;&gt;"Policy-managed",W874&lt;&gt;"API/Library abstraction",W874&lt;&gt;"Automated"),AND(Z874&lt;&gt;"Y",Z874&lt;&gt;"N"),AND(AA874&lt;&gt;"Y",AA874&lt;&gt;"N")),"Incomplete",IF(Z874="Y",20,0)+L874*5+IF(AA874="Y",15,0)+IF(J874="Public",10,IF(J874="Partner",7,IF(J874="Internal",3,0)))+IF(W874="Hard-coded",10,IF(W874="Configurable",3,0))+IF(MAX(I874,AP874)&gt;=10,10,IF(MAX(I874,AP874)&gt;=5,7,IF(MAX(I874,AP874)&gt;=2,3,0)))+IF(K874="High",10,IF(K874="Medium",5,0))))</x:f>
      </x:c>
      <x:c r="AC874" s="73" t="str">
        <x:f>IF(A874="","",IF(NOT(ISNUMBER(AB874)),"Review inputs",IF(AB874&gt;=70,"P0 - Immediate",IF(AB874&gt;=50,"P1 - High",IF(AB874&gt;=30,"P2 - Medium",IF(AB874&gt;=15,"P3 - Low","P4 - Monitor"))))))</x:f>
      </x:c>
      <x:c r="AD874" s="73"/>
      <x:c r="AE874" s="73"/>
      <x:c r="AF874" s="73"/>
      <x:c r="AG874" s="77"/>
      <x:c r="AH874" s="73"/>
      <x:c r="AI874" s="91"/>
      <x:c r="AJ874" s="91"/>
      <x:c r="AK874" s="91"/>
      <x:c r="AL874" s="92"/>
      <x:c r="AM874" s="91"/>
      <x:c r="AN874" s="91"/>
      <x:c r="AO874" s="93"/>
      <x:c r="AP874" s="94"/>
      <x:c r="AQ874" s="91"/>
      <x:c r="AR874" s="91"/>
      <x:c r="AS874" s="91"/>
      <x:c r="AT874" s="91"/>
      <x:c r="AU874" s="91"/>
      <x:c r="AV874" s="91"/>
      <x:c r="AW874" s="91"/>
      <x:c r="AX874" s="91"/>
      <x:c r="AY874" s="91"/>
      <x:c r="AZ874" s="92"/>
      <x:c r="BA874" s="94"/>
      <x:c r="BB874" s="91"/>
      <x:c r="BC874" s="92"/>
      <x:c r="BD874" s="92"/>
      <x:c r="BE874" s="91"/>
      <x:c r="BF874" s="91"/>
      <x:c r="BG874" s="91"/>
      <x:c r="BH874" s="91"/>
      <x:c r="BI874" s="91"/>
      <x:c r="BJ874" s="91"/>
      <x:c r="BK874" s="91"/>
      <x:c r="BL874" s="91"/>
      <x:c r="BM874" s="73" t="str">
        <x:f>IF(A874="","",IF(AI874="Example","Example only",IF(AI874&lt;&gt;"Actual","Set record type",IF(COUNTIF($A$2:$A$1001,A874)&gt;1,"Duplicate record ID",IF(OR(D874="",E874="",AF874="",NOT(ISNUMBER(AG874)),AJ874="",AK874="",NOT(ISNUMBER(AL874)),AND(AM874&lt;&gt;"Observed",AM874&lt;&gt;"Corroborated",AM874&lt;&gt;"Declared"),OR(AN874="",AN874="Unknown"),OR(AQ874="",AQ874="Unknown"),OR(AR874="",AR874="Unknown",AR874="TBD"),OR(BC874="",NOT(ISNUMBER(BC874)))),"Evidence incomplete","Evidence recorded; review scope")))))</x:f>
      </x:c>
      <x:c r="BN874" s="73"/>
    </x:row>
    <x:row r="875" ht="34" customHeight="1">
      <x:c r="A875" s="73"/>
      <x:c r="B875" s="73"/>
      <x:c r="C875" s="73"/>
      <x:c r="D875" s="73"/>
      <x:c r="E875" s="73"/>
      <x:c r="F875" s="73"/>
      <x:c r="G875" s="73"/>
      <x:c r="H875" s="73"/>
      <x:c r="I875" s="75"/>
      <x:c r="J875" s="73"/>
      <x:c r="K875" s="73"/>
      <x:c r="L875" s="76"/>
      <x:c r="M875" s="73"/>
      <x:c r="N875" s="73"/>
      <x:c r="O875" s="73"/>
      <x:c r="P875" s="73"/>
      <x:c r="Q875" s="76"/>
      <x:c r="R875" s="73"/>
      <x:c r="S875" s="73"/>
      <x:c r="T875" s="73"/>
      <x:c r="U875" s="73"/>
      <x:c r="V875" s="73"/>
      <x:c r="W875" s="73"/>
      <x:c r="X875" s="73"/>
      <x:c r="Y875" s="73"/>
      <x:c r="Z875" s="73"/>
      <x:c r="AA875" s="73"/>
      <x:c r="AB875" s="76" t="str">
        <x:f>IF(A875="","",IF(OR(NOT(ISNUMBER(I875)),I875&lt;0,NOT(ISNUMBER(AP875)),AP875&lt;0,NOT(ISNUMBER(L875)),L875&lt;1,L875&gt;5,L875&lt;&gt;INT(L875),AND(J875&lt;&gt;"Public",J875&lt;&gt;"Partner",J875&lt;&gt;"Internal",J875&lt;&gt;"None"),AND(K875&lt;&gt;"High",K875&lt;&gt;"Medium",K875&lt;&gt;"Low",K875&lt;&gt;"None"),AND(W875&lt;&gt;"Hard-coded",W875&lt;&gt;"Configurable",W875&lt;&gt;"Policy-managed",W875&lt;&gt;"API/Library abstraction",W875&lt;&gt;"Automated"),AND(Z875&lt;&gt;"Y",Z875&lt;&gt;"N"),AND(AA875&lt;&gt;"Y",AA875&lt;&gt;"N")),"Incomplete",IF(Z875="Y",20,0)+L875*5+IF(AA875="Y",15,0)+IF(J875="Public",10,IF(J875="Partner",7,IF(J875="Internal",3,0)))+IF(W875="Hard-coded",10,IF(W875="Configurable",3,0))+IF(MAX(I875,AP875)&gt;=10,10,IF(MAX(I875,AP875)&gt;=5,7,IF(MAX(I875,AP875)&gt;=2,3,0)))+IF(K875="High",10,IF(K875="Medium",5,0))))</x:f>
      </x:c>
      <x:c r="AC875" s="73" t="str">
        <x:f>IF(A875="","",IF(NOT(ISNUMBER(AB875)),"Review inputs",IF(AB875&gt;=70,"P0 - Immediate",IF(AB875&gt;=50,"P1 - High",IF(AB875&gt;=30,"P2 - Medium",IF(AB875&gt;=15,"P3 - Low","P4 - Monitor"))))))</x:f>
      </x:c>
      <x:c r="AD875" s="73"/>
      <x:c r="AE875" s="73"/>
      <x:c r="AF875" s="73"/>
      <x:c r="AG875" s="77"/>
      <x:c r="AH875" s="73"/>
      <x:c r="AI875" s="91"/>
      <x:c r="AJ875" s="91"/>
      <x:c r="AK875" s="91"/>
      <x:c r="AL875" s="92"/>
      <x:c r="AM875" s="91"/>
      <x:c r="AN875" s="91"/>
      <x:c r="AO875" s="93"/>
      <x:c r="AP875" s="94"/>
      <x:c r="AQ875" s="91"/>
      <x:c r="AR875" s="91"/>
      <x:c r="AS875" s="91"/>
      <x:c r="AT875" s="91"/>
      <x:c r="AU875" s="91"/>
      <x:c r="AV875" s="91"/>
      <x:c r="AW875" s="91"/>
      <x:c r="AX875" s="91"/>
      <x:c r="AY875" s="91"/>
      <x:c r="AZ875" s="92"/>
      <x:c r="BA875" s="94"/>
      <x:c r="BB875" s="91"/>
      <x:c r="BC875" s="92"/>
      <x:c r="BD875" s="92"/>
      <x:c r="BE875" s="91"/>
      <x:c r="BF875" s="91"/>
      <x:c r="BG875" s="91"/>
      <x:c r="BH875" s="91"/>
      <x:c r="BI875" s="91"/>
      <x:c r="BJ875" s="91"/>
      <x:c r="BK875" s="91"/>
      <x:c r="BL875" s="91"/>
      <x:c r="BM875" s="73" t="str">
        <x:f>IF(A875="","",IF(AI875="Example","Example only",IF(AI875&lt;&gt;"Actual","Set record type",IF(COUNTIF($A$2:$A$1001,A875)&gt;1,"Duplicate record ID",IF(OR(D875="",E875="",AF875="",NOT(ISNUMBER(AG875)),AJ875="",AK875="",NOT(ISNUMBER(AL875)),AND(AM875&lt;&gt;"Observed",AM875&lt;&gt;"Corroborated",AM875&lt;&gt;"Declared"),OR(AN875="",AN875="Unknown"),OR(AQ875="",AQ875="Unknown"),OR(AR875="",AR875="Unknown",AR875="TBD"),OR(BC875="",NOT(ISNUMBER(BC875)))),"Evidence incomplete","Evidence recorded; review scope")))))</x:f>
      </x:c>
      <x:c r="BN875" s="73"/>
    </x:row>
    <x:row r="876" ht="34" customHeight="1">
      <x:c r="A876" s="73"/>
      <x:c r="B876" s="73"/>
      <x:c r="C876" s="73"/>
      <x:c r="D876" s="73"/>
      <x:c r="E876" s="73"/>
      <x:c r="F876" s="73"/>
      <x:c r="G876" s="73"/>
      <x:c r="H876" s="73"/>
      <x:c r="I876" s="75"/>
      <x:c r="J876" s="73"/>
      <x:c r="K876" s="73"/>
      <x:c r="L876" s="76"/>
      <x:c r="M876" s="73"/>
      <x:c r="N876" s="73"/>
      <x:c r="O876" s="73"/>
      <x:c r="P876" s="73"/>
      <x:c r="Q876" s="76"/>
      <x:c r="R876" s="73"/>
      <x:c r="S876" s="73"/>
      <x:c r="T876" s="73"/>
      <x:c r="U876" s="73"/>
      <x:c r="V876" s="73"/>
      <x:c r="W876" s="73"/>
      <x:c r="X876" s="73"/>
      <x:c r="Y876" s="73"/>
      <x:c r="Z876" s="73"/>
      <x:c r="AA876" s="73"/>
      <x:c r="AB876" s="76" t="str">
        <x:f>IF(A876="","",IF(OR(NOT(ISNUMBER(I876)),I876&lt;0,NOT(ISNUMBER(AP876)),AP876&lt;0,NOT(ISNUMBER(L876)),L876&lt;1,L876&gt;5,L876&lt;&gt;INT(L876),AND(J876&lt;&gt;"Public",J876&lt;&gt;"Partner",J876&lt;&gt;"Internal",J876&lt;&gt;"None"),AND(K876&lt;&gt;"High",K876&lt;&gt;"Medium",K876&lt;&gt;"Low",K876&lt;&gt;"None"),AND(W876&lt;&gt;"Hard-coded",W876&lt;&gt;"Configurable",W876&lt;&gt;"Policy-managed",W876&lt;&gt;"API/Library abstraction",W876&lt;&gt;"Automated"),AND(Z876&lt;&gt;"Y",Z876&lt;&gt;"N"),AND(AA876&lt;&gt;"Y",AA876&lt;&gt;"N")),"Incomplete",IF(Z876="Y",20,0)+L876*5+IF(AA876="Y",15,0)+IF(J876="Public",10,IF(J876="Partner",7,IF(J876="Internal",3,0)))+IF(W876="Hard-coded",10,IF(W876="Configurable",3,0))+IF(MAX(I876,AP876)&gt;=10,10,IF(MAX(I876,AP876)&gt;=5,7,IF(MAX(I876,AP876)&gt;=2,3,0)))+IF(K876="High",10,IF(K876="Medium",5,0))))</x:f>
      </x:c>
      <x:c r="AC876" s="73" t="str">
        <x:f>IF(A876="","",IF(NOT(ISNUMBER(AB876)),"Review inputs",IF(AB876&gt;=70,"P0 - Immediate",IF(AB876&gt;=50,"P1 - High",IF(AB876&gt;=30,"P2 - Medium",IF(AB876&gt;=15,"P3 - Low","P4 - Monitor"))))))</x:f>
      </x:c>
      <x:c r="AD876" s="73"/>
      <x:c r="AE876" s="73"/>
      <x:c r="AF876" s="73"/>
      <x:c r="AG876" s="77"/>
      <x:c r="AH876" s="73"/>
      <x:c r="AI876" s="91"/>
      <x:c r="AJ876" s="91"/>
      <x:c r="AK876" s="91"/>
      <x:c r="AL876" s="92"/>
      <x:c r="AM876" s="91"/>
      <x:c r="AN876" s="91"/>
      <x:c r="AO876" s="93"/>
      <x:c r="AP876" s="94"/>
      <x:c r="AQ876" s="91"/>
      <x:c r="AR876" s="91"/>
      <x:c r="AS876" s="91"/>
      <x:c r="AT876" s="91"/>
      <x:c r="AU876" s="91"/>
      <x:c r="AV876" s="91"/>
      <x:c r="AW876" s="91"/>
      <x:c r="AX876" s="91"/>
      <x:c r="AY876" s="91"/>
      <x:c r="AZ876" s="92"/>
      <x:c r="BA876" s="94"/>
      <x:c r="BB876" s="91"/>
      <x:c r="BC876" s="92"/>
      <x:c r="BD876" s="92"/>
      <x:c r="BE876" s="91"/>
      <x:c r="BF876" s="91"/>
      <x:c r="BG876" s="91"/>
      <x:c r="BH876" s="91"/>
      <x:c r="BI876" s="91"/>
      <x:c r="BJ876" s="91"/>
      <x:c r="BK876" s="91"/>
      <x:c r="BL876" s="91"/>
      <x:c r="BM876" s="73" t="str">
        <x:f>IF(A876="","",IF(AI876="Example","Example only",IF(AI876&lt;&gt;"Actual","Set record type",IF(COUNTIF($A$2:$A$1001,A876)&gt;1,"Duplicate record ID",IF(OR(D876="",E876="",AF876="",NOT(ISNUMBER(AG876)),AJ876="",AK876="",NOT(ISNUMBER(AL876)),AND(AM876&lt;&gt;"Observed",AM876&lt;&gt;"Corroborated",AM876&lt;&gt;"Declared"),OR(AN876="",AN876="Unknown"),OR(AQ876="",AQ876="Unknown"),OR(AR876="",AR876="Unknown",AR876="TBD"),OR(BC876="",NOT(ISNUMBER(BC876)))),"Evidence incomplete","Evidence recorded; review scope")))))</x:f>
      </x:c>
      <x:c r="BN876" s="73"/>
    </x:row>
    <x:row r="877" ht="34" customHeight="1">
      <x:c r="A877" s="73"/>
      <x:c r="B877" s="73"/>
      <x:c r="C877" s="73"/>
      <x:c r="D877" s="73"/>
      <x:c r="E877" s="73"/>
      <x:c r="F877" s="73"/>
      <x:c r="G877" s="73"/>
      <x:c r="H877" s="73"/>
      <x:c r="I877" s="75"/>
      <x:c r="J877" s="73"/>
      <x:c r="K877" s="73"/>
      <x:c r="L877" s="76"/>
      <x:c r="M877" s="73"/>
      <x:c r="N877" s="73"/>
      <x:c r="O877" s="73"/>
      <x:c r="P877" s="73"/>
      <x:c r="Q877" s="76"/>
      <x:c r="R877" s="73"/>
      <x:c r="S877" s="73"/>
      <x:c r="T877" s="73"/>
      <x:c r="U877" s="73"/>
      <x:c r="V877" s="73"/>
      <x:c r="W877" s="73"/>
      <x:c r="X877" s="73"/>
      <x:c r="Y877" s="73"/>
      <x:c r="Z877" s="73"/>
      <x:c r="AA877" s="73"/>
      <x:c r="AB877" s="76" t="str">
        <x:f>IF(A877="","",IF(OR(NOT(ISNUMBER(I877)),I877&lt;0,NOT(ISNUMBER(AP877)),AP877&lt;0,NOT(ISNUMBER(L877)),L877&lt;1,L877&gt;5,L877&lt;&gt;INT(L877),AND(J877&lt;&gt;"Public",J877&lt;&gt;"Partner",J877&lt;&gt;"Internal",J877&lt;&gt;"None"),AND(K877&lt;&gt;"High",K877&lt;&gt;"Medium",K877&lt;&gt;"Low",K877&lt;&gt;"None"),AND(W877&lt;&gt;"Hard-coded",W877&lt;&gt;"Configurable",W877&lt;&gt;"Policy-managed",W877&lt;&gt;"API/Library abstraction",W877&lt;&gt;"Automated"),AND(Z877&lt;&gt;"Y",Z877&lt;&gt;"N"),AND(AA877&lt;&gt;"Y",AA877&lt;&gt;"N")),"Incomplete",IF(Z877="Y",20,0)+L877*5+IF(AA877="Y",15,0)+IF(J877="Public",10,IF(J877="Partner",7,IF(J877="Internal",3,0)))+IF(W877="Hard-coded",10,IF(W877="Configurable",3,0))+IF(MAX(I877,AP877)&gt;=10,10,IF(MAX(I877,AP877)&gt;=5,7,IF(MAX(I877,AP877)&gt;=2,3,0)))+IF(K877="High",10,IF(K877="Medium",5,0))))</x:f>
      </x:c>
      <x:c r="AC877" s="73" t="str">
        <x:f>IF(A877="","",IF(NOT(ISNUMBER(AB877)),"Review inputs",IF(AB877&gt;=70,"P0 - Immediate",IF(AB877&gt;=50,"P1 - High",IF(AB877&gt;=30,"P2 - Medium",IF(AB877&gt;=15,"P3 - Low","P4 - Monitor"))))))</x:f>
      </x:c>
      <x:c r="AD877" s="73"/>
      <x:c r="AE877" s="73"/>
      <x:c r="AF877" s="73"/>
      <x:c r="AG877" s="77"/>
      <x:c r="AH877" s="73"/>
      <x:c r="AI877" s="91"/>
      <x:c r="AJ877" s="91"/>
      <x:c r="AK877" s="91"/>
      <x:c r="AL877" s="92"/>
      <x:c r="AM877" s="91"/>
      <x:c r="AN877" s="91"/>
      <x:c r="AO877" s="93"/>
      <x:c r="AP877" s="94"/>
      <x:c r="AQ877" s="91"/>
      <x:c r="AR877" s="91"/>
      <x:c r="AS877" s="91"/>
      <x:c r="AT877" s="91"/>
      <x:c r="AU877" s="91"/>
      <x:c r="AV877" s="91"/>
      <x:c r="AW877" s="91"/>
      <x:c r="AX877" s="91"/>
      <x:c r="AY877" s="91"/>
      <x:c r="AZ877" s="92"/>
      <x:c r="BA877" s="94"/>
      <x:c r="BB877" s="91"/>
      <x:c r="BC877" s="92"/>
      <x:c r="BD877" s="92"/>
      <x:c r="BE877" s="91"/>
      <x:c r="BF877" s="91"/>
      <x:c r="BG877" s="91"/>
      <x:c r="BH877" s="91"/>
      <x:c r="BI877" s="91"/>
      <x:c r="BJ877" s="91"/>
      <x:c r="BK877" s="91"/>
      <x:c r="BL877" s="91"/>
      <x:c r="BM877" s="73" t="str">
        <x:f>IF(A877="","",IF(AI877="Example","Example only",IF(AI877&lt;&gt;"Actual","Set record type",IF(COUNTIF($A$2:$A$1001,A877)&gt;1,"Duplicate record ID",IF(OR(D877="",E877="",AF877="",NOT(ISNUMBER(AG877)),AJ877="",AK877="",NOT(ISNUMBER(AL877)),AND(AM877&lt;&gt;"Observed",AM877&lt;&gt;"Corroborated",AM877&lt;&gt;"Declared"),OR(AN877="",AN877="Unknown"),OR(AQ877="",AQ877="Unknown"),OR(AR877="",AR877="Unknown",AR877="TBD"),OR(BC877="",NOT(ISNUMBER(BC877)))),"Evidence incomplete","Evidence recorded; review scope")))))</x:f>
      </x:c>
      <x:c r="BN877" s="73"/>
    </x:row>
    <x:row r="878" ht="34" customHeight="1">
      <x:c r="A878" s="73"/>
      <x:c r="B878" s="73"/>
      <x:c r="C878" s="73"/>
      <x:c r="D878" s="73"/>
      <x:c r="E878" s="73"/>
      <x:c r="F878" s="73"/>
      <x:c r="G878" s="73"/>
      <x:c r="H878" s="73"/>
      <x:c r="I878" s="75"/>
      <x:c r="J878" s="73"/>
      <x:c r="K878" s="73"/>
      <x:c r="L878" s="76"/>
      <x:c r="M878" s="73"/>
      <x:c r="N878" s="73"/>
      <x:c r="O878" s="73"/>
      <x:c r="P878" s="73"/>
      <x:c r="Q878" s="76"/>
      <x:c r="R878" s="73"/>
      <x:c r="S878" s="73"/>
      <x:c r="T878" s="73"/>
      <x:c r="U878" s="73"/>
      <x:c r="V878" s="73"/>
      <x:c r="W878" s="73"/>
      <x:c r="X878" s="73"/>
      <x:c r="Y878" s="73"/>
      <x:c r="Z878" s="73"/>
      <x:c r="AA878" s="73"/>
      <x:c r="AB878" s="76" t="str">
        <x:f>IF(A878="","",IF(OR(NOT(ISNUMBER(I878)),I878&lt;0,NOT(ISNUMBER(AP878)),AP878&lt;0,NOT(ISNUMBER(L878)),L878&lt;1,L878&gt;5,L878&lt;&gt;INT(L878),AND(J878&lt;&gt;"Public",J878&lt;&gt;"Partner",J878&lt;&gt;"Internal",J878&lt;&gt;"None"),AND(K878&lt;&gt;"High",K878&lt;&gt;"Medium",K878&lt;&gt;"Low",K878&lt;&gt;"None"),AND(W878&lt;&gt;"Hard-coded",W878&lt;&gt;"Configurable",W878&lt;&gt;"Policy-managed",W878&lt;&gt;"API/Library abstraction",W878&lt;&gt;"Automated"),AND(Z878&lt;&gt;"Y",Z878&lt;&gt;"N"),AND(AA878&lt;&gt;"Y",AA878&lt;&gt;"N")),"Incomplete",IF(Z878="Y",20,0)+L878*5+IF(AA878="Y",15,0)+IF(J878="Public",10,IF(J878="Partner",7,IF(J878="Internal",3,0)))+IF(W878="Hard-coded",10,IF(W878="Configurable",3,0))+IF(MAX(I878,AP878)&gt;=10,10,IF(MAX(I878,AP878)&gt;=5,7,IF(MAX(I878,AP878)&gt;=2,3,0)))+IF(K878="High",10,IF(K878="Medium",5,0))))</x:f>
      </x:c>
      <x:c r="AC878" s="73" t="str">
        <x:f>IF(A878="","",IF(NOT(ISNUMBER(AB878)),"Review inputs",IF(AB878&gt;=70,"P0 - Immediate",IF(AB878&gt;=50,"P1 - High",IF(AB878&gt;=30,"P2 - Medium",IF(AB878&gt;=15,"P3 - Low","P4 - Monitor"))))))</x:f>
      </x:c>
      <x:c r="AD878" s="73"/>
      <x:c r="AE878" s="73"/>
      <x:c r="AF878" s="73"/>
      <x:c r="AG878" s="77"/>
      <x:c r="AH878" s="73"/>
      <x:c r="AI878" s="91"/>
      <x:c r="AJ878" s="91"/>
      <x:c r="AK878" s="91"/>
      <x:c r="AL878" s="92"/>
      <x:c r="AM878" s="91"/>
      <x:c r="AN878" s="91"/>
      <x:c r="AO878" s="93"/>
      <x:c r="AP878" s="94"/>
      <x:c r="AQ878" s="91"/>
      <x:c r="AR878" s="91"/>
      <x:c r="AS878" s="91"/>
      <x:c r="AT878" s="91"/>
      <x:c r="AU878" s="91"/>
      <x:c r="AV878" s="91"/>
      <x:c r="AW878" s="91"/>
      <x:c r="AX878" s="91"/>
      <x:c r="AY878" s="91"/>
      <x:c r="AZ878" s="92"/>
      <x:c r="BA878" s="94"/>
      <x:c r="BB878" s="91"/>
      <x:c r="BC878" s="92"/>
      <x:c r="BD878" s="92"/>
      <x:c r="BE878" s="91"/>
      <x:c r="BF878" s="91"/>
      <x:c r="BG878" s="91"/>
      <x:c r="BH878" s="91"/>
      <x:c r="BI878" s="91"/>
      <x:c r="BJ878" s="91"/>
      <x:c r="BK878" s="91"/>
      <x:c r="BL878" s="91"/>
      <x:c r="BM878" s="73" t="str">
        <x:f>IF(A878="","",IF(AI878="Example","Example only",IF(AI878&lt;&gt;"Actual","Set record type",IF(COUNTIF($A$2:$A$1001,A878)&gt;1,"Duplicate record ID",IF(OR(D878="",E878="",AF878="",NOT(ISNUMBER(AG878)),AJ878="",AK878="",NOT(ISNUMBER(AL878)),AND(AM878&lt;&gt;"Observed",AM878&lt;&gt;"Corroborated",AM878&lt;&gt;"Declared"),OR(AN878="",AN878="Unknown"),OR(AQ878="",AQ878="Unknown"),OR(AR878="",AR878="Unknown",AR878="TBD"),OR(BC878="",NOT(ISNUMBER(BC878)))),"Evidence incomplete","Evidence recorded; review scope")))))</x:f>
      </x:c>
      <x:c r="BN878" s="73"/>
    </x:row>
    <x:row r="879" ht="34" customHeight="1">
      <x:c r="A879" s="73"/>
      <x:c r="B879" s="73"/>
      <x:c r="C879" s="73"/>
      <x:c r="D879" s="73"/>
      <x:c r="E879" s="73"/>
      <x:c r="F879" s="73"/>
      <x:c r="G879" s="73"/>
      <x:c r="H879" s="73"/>
      <x:c r="I879" s="75"/>
      <x:c r="J879" s="73"/>
      <x:c r="K879" s="73"/>
      <x:c r="L879" s="76"/>
      <x:c r="M879" s="73"/>
      <x:c r="N879" s="73"/>
      <x:c r="O879" s="73"/>
      <x:c r="P879" s="73"/>
      <x:c r="Q879" s="76"/>
      <x:c r="R879" s="73"/>
      <x:c r="S879" s="73"/>
      <x:c r="T879" s="73"/>
      <x:c r="U879" s="73"/>
      <x:c r="V879" s="73"/>
      <x:c r="W879" s="73"/>
      <x:c r="X879" s="73"/>
      <x:c r="Y879" s="73"/>
      <x:c r="Z879" s="73"/>
      <x:c r="AA879" s="73"/>
      <x:c r="AB879" s="76" t="str">
        <x:f>IF(A879="","",IF(OR(NOT(ISNUMBER(I879)),I879&lt;0,NOT(ISNUMBER(AP879)),AP879&lt;0,NOT(ISNUMBER(L879)),L879&lt;1,L879&gt;5,L879&lt;&gt;INT(L879),AND(J879&lt;&gt;"Public",J879&lt;&gt;"Partner",J879&lt;&gt;"Internal",J879&lt;&gt;"None"),AND(K879&lt;&gt;"High",K879&lt;&gt;"Medium",K879&lt;&gt;"Low",K879&lt;&gt;"None"),AND(W879&lt;&gt;"Hard-coded",W879&lt;&gt;"Configurable",W879&lt;&gt;"Policy-managed",W879&lt;&gt;"API/Library abstraction",W879&lt;&gt;"Automated"),AND(Z879&lt;&gt;"Y",Z879&lt;&gt;"N"),AND(AA879&lt;&gt;"Y",AA879&lt;&gt;"N")),"Incomplete",IF(Z879="Y",20,0)+L879*5+IF(AA879="Y",15,0)+IF(J879="Public",10,IF(J879="Partner",7,IF(J879="Internal",3,0)))+IF(W879="Hard-coded",10,IF(W879="Configurable",3,0))+IF(MAX(I879,AP879)&gt;=10,10,IF(MAX(I879,AP879)&gt;=5,7,IF(MAX(I879,AP879)&gt;=2,3,0)))+IF(K879="High",10,IF(K879="Medium",5,0))))</x:f>
      </x:c>
      <x:c r="AC879" s="73" t="str">
        <x:f>IF(A879="","",IF(NOT(ISNUMBER(AB879)),"Review inputs",IF(AB879&gt;=70,"P0 - Immediate",IF(AB879&gt;=50,"P1 - High",IF(AB879&gt;=30,"P2 - Medium",IF(AB879&gt;=15,"P3 - Low","P4 - Monitor"))))))</x:f>
      </x:c>
      <x:c r="AD879" s="73"/>
      <x:c r="AE879" s="73"/>
      <x:c r="AF879" s="73"/>
      <x:c r="AG879" s="77"/>
      <x:c r="AH879" s="73"/>
      <x:c r="AI879" s="91"/>
      <x:c r="AJ879" s="91"/>
      <x:c r="AK879" s="91"/>
      <x:c r="AL879" s="92"/>
      <x:c r="AM879" s="91"/>
      <x:c r="AN879" s="91"/>
      <x:c r="AO879" s="93"/>
      <x:c r="AP879" s="94"/>
      <x:c r="AQ879" s="91"/>
      <x:c r="AR879" s="91"/>
      <x:c r="AS879" s="91"/>
      <x:c r="AT879" s="91"/>
      <x:c r="AU879" s="91"/>
      <x:c r="AV879" s="91"/>
      <x:c r="AW879" s="91"/>
      <x:c r="AX879" s="91"/>
      <x:c r="AY879" s="91"/>
      <x:c r="AZ879" s="92"/>
      <x:c r="BA879" s="94"/>
      <x:c r="BB879" s="91"/>
      <x:c r="BC879" s="92"/>
      <x:c r="BD879" s="92"/>
      <x:c r="BE879" s="91"/>
      <x:c r="BF879" s="91"/>
      <x:c r="BG879" s="91"/>
      <x:c r="BH879" s="91"/>
      <x:c r="BI879" s="91"/>
      <x:c r="BJ879" s="91"/>
      <x:c r="BK879" s="91"/>
      <x:c r="BL879" s="91"/>
      <x:c r="BM879" s="73" t="str">
        <x:f>IF(A879="","",IF(AI879="Example","Example only",IF(AI879&lt;&gt;"Actual","Set record type",IF(COUNTIF($A$2:$A$1001,A879)&gt;1,"Duplicate record ID",IF(OR(D879="",E879="",AF879="",NOT(ISNUMBER(AG879)),AJ879="",AK879="",NOT(ISNUMBER(AL879)),AND(AM879&lt;&gt;"Observed",AM879&lt;&gt;"Corroborated",AM879&lt;&gt;"Declared"),OR(AN879="",AN879="Unknown"),OR(AQ879="",AQ879="Unknown"),OR(AR879="",AR879="Unknown",AR879="TBD"),OR(BC879="",NOT(ISNUMBER(BC879)))),"Evidence incomplete","Evidence recorded; review scope")))))</x:f>
      </x:c>
      <x:c r="BN879" s="73"/>
    </x:row>
    <x:row r="880" ht="34" customHeight="1">
      <x:c r="A880" s="73"/>
      <x:c r="B880" s="73"/>
      <x:c r="C880" s="73"/>
      <x:c r="D880" s="73"/>
      <x:c r="E880" s="73"/>
      <x:c r="F880" s="73"/>
      <x:c r="G880" s="73"/>
      <x:c r="H880" s="73"/>
      <x:c r="I880" s="75"/>
      <x:c r="J880" s="73"/>
      <x:c r="K880" s="73"/>
      <x:c r="L880" s="76"/>
      <x:c r="M880" s="73"/>
      <x:c r="N880" s="73"/>
      <x:c r="O880" s="73"/>
      <x:c r="P880" s="73"/>
      <x:c r="Q880" s="76"/>
      <x:c r="R880" s="73"/>
      <x:c r="S880" s="73"/>
      <x:c r="T880" s="73"/>
      <x:c r="U880" s="73"/>
      <x:c r="V880" s="73"/>
      <x:c r="W880" s="73"/>
      <x:c r="X880" s="73"/>
      <x:c r="Y880" s="73"/>
      <x:c r="Z880" s="73"/>
      <x:c r="AA880" s="73"/>
      <x:c r="AB880" s="76" t="str">
        <x:f>IF(A880="","",IF(OR(NOT(ISNUMBER(I880)),I880&lt;0,NOT(ISNUMBER(AP880)),AP880&lt;0,NOT(ISNUMBER(L880)),L880&lt;1,L880&gt;5,L880&lt;&gt;INT(L880),AND(J880&lt;&gt;"Public",J880&lt;&gt;"Partner",J880&lt;&gt;"Internal",J880&lt;&gt;"None"),AND(K880&lt;&gt;"High",K880&lt;&gt;"Medium",K880&lt;&gt;"Low",K880&lt;&gt;"None"),AND(W880&lt;&gt;"Hard-coded",W880&lt;&gt;"Configurable",W880&lt;&gt;"Policy-managed",W880&lt;&gt;"API/Library abstraction",W880&lt;&gt;"Automated"),AND(Z880&lt;&gt;"Y",Z880&lt;&gt;"N"),AND(AA880&lt;&gt;"Y",AA880&lt;&gt;"N")),"Incomplete",IF(Z880="Y",20,0)+L880*5+IF(AA880="Y",15,0)+IF(J880="Public",10,IF(J880="Partner",7,IF(J880="Internal",3,0)))+IF(W880="Hard-coded",10,IF(W880="Configurable",3,0))+IF(MAX(I880,AP880)&gt;=10,10,IF(MAX(I880,AP880)&gt;=5,7,IF(MAX(I880,AP880)&gt;=2,3,0)))+IF(K880="High",10,IF(K880="Medium",5,0))))</x:f>
      </x:c>
      <x:c r="AC880" s="73" t="str">
        <x:f>IF(A880="","",IF(NOT(ISNUMBER(AB880)),"Review inputs",IF(AB880&gt;=70,"P0 - Immediate",IF(AB880&gt;=50,"P1 - High",IF(AB880&gt;=30,"P2 - Medium",IF(AB880&gt;=15,"P3 - Low","P4 - Monitor"))))))</x:f>
      </x:c>
      <x:c r="AD880" s="73"/>
      <x:c r="AE880" s="73"/>
      <x:c r="AF880" s="73"/>
      <x:c r="AG880" s="77"/>
      <x:c r="AH880" s="73"/>
      <x:c r="AI880" s="91"/>
      <x:c r="AJ880" s="91"/>
      <x:c r="AK880" s="91"/>
      <x:c r="AL880" s="92"/>
      <x:c r="AM880" s="91"/>
      <x:c r="AN880" s="91"/>
      <x:c r="AO880" s="93"/>
      <x:c r="AP880" s="94"/>
      <x:c r="AQ880" s="91"/>
      <x:c r="AR880" s="91"/>
      <x:c r="AS880" s="91"/>
      <x:c r="AT880" s="91"/>
      <x:c r="AU880" s="91"/>
      <x:c r="AV880" s="91"/>
      <x:c r="AW880" s="91"/>
      <x:c r="AX880" s="91"/>
      <x:c r="AY880" s="91"/>
      <x:c r="AZ880" s="92"/>
      <x:c r="BA880" s="94"/>
      <x:c r="BB880" s="91"/>
      <x:c r="BC880" s="92"/>
      <x:c r="BD880" s="92"/>
      <x:c r="BE880" s="91"/>
      <x:c r="BF880" s="91"/>
      <x:c r="BG880" s="91"/>
      <x:c r="BH880" s="91"/>
      <x:c r="BI880" s="91"/>
      <x:c r="BJ880" s="91"/>
      <x:c r="BK880" s="91"/>
      <x:c r="BL880" s="91"/>
      <x:c r="BM880" s="73" t="str">
        <x:f>IF(A880="","",IF(AI880="Example","Example only",IF(AI880&lt;&gt;"Actual","Set record type",IF(COUNTIF($A$2:$A$1001,A880)&gt;1,"Duplicate record ID",IF(OR(D880="",E880="",AF880="",NOT(ISNUMBER(AG880)),AJ880="",AK880="",NOT(ISNUMBER(AL880)),AND(AM880&lt;&gt;"Observed",AM880&lt;&gt;"Corroborated",AM880&lt;&gt;"Declared"),OR(AN880="",AN880="Unknown"),OR(AQ880="",AQ880="Unknown"),OR(AR880="",AR880="Unknown",AR880="TBD"),OR(BC880="",NOT(ISNUMBER(BC880)))),"Evidence incomplete","Evidence recorded; review scope")))))</x:f>
      </x:c>
      <x:c r="BN880" s="73"/>
    </x:row>
    <x:row r="881" ht="34" customHeight="1">
      <x:c r="A881" s="73"/>
      <x:c r="B881" s="73"/>
      <x:c r="C881" s="73"/>
      <x:c r="D881" s="73"/>
      <x:c r="E881" s="73"/>
      <x:c r="F881" s="73"/>
      <x:c r="G881" s="73"/>
      <x:c r="H881" s="73"/>
      <x:c r="I881" s="75"/>
      <x:c r="J881" s="73"/>
      <x:c r="K881" s="73"/>
      <x:c r="L881" s="76"/>
      <x:c r="M881" s="73"/>
      <x:c r="N881" s="73"/>
      <x:c r="O881" s="73"/>
      <x:c r="P881" s="73"/>
      <x:c r="Q881" s="76"/>
      <x:c r="R881" s="73"/>
      <x:c r="S881" s="73"/>
      <x:c r="T881" s="73"/>
      <x:c r="U881" s="73"/>
      <x:c r="V881" s="73"/>
      <x:c r="W881" s="73"/>
      <x:c r="X881" s="73"/>
      <x:c r="Y881" s="73"/>
      <x:c r="Z881" s="73"/>
      <x:c r="AA881" s="73"/>
      <x:c r="AB881" s="76" t="str">
        <x:f>IF(A881="","",IF(OR(NOT(ISNUMBER(I881)),I881&lt;0,NOT(ISNUMBER(AP881)),AP881&lt;0,NOT(ISNUMBER(L881)),L881&lt;1,L881&gt;5,L881&lt;&gt;INT(L881),AND(J881&lt;&gt;"Public",J881&lt;&gt;"Partner",J881&lt;&gt;"Internal",J881&lt;&gt;"None"),AND(K881&lt;&gt;"High",K881&lt;&gt;"Medium",K881&lt;&gt;"Low",K881&lt;&gt;"None"),AND(W881&lt;&gt;"Hard-coded",W881&lt;&gt;"Configurable",W881&lt;&gt;"Policy-managed",W881&lt;&gt;"API/Library abstraction",W881&lt;&gt;"Automated"),AND(Z881&lt;&gt;"Y",Z881&lt;&gt;"N"),AND(AA881&lt;&gt;"Y",AA881&lt;&gt;"N")),"Incomplete",IF(Z881="Y",20,0)+L881*5+IF(AA881="Y",15,0)+IF(J881="Public",10,IF(J881="Partner",7,IF(J881="Internal",3,0)))+IF(W881="Hard-coded",10,IF(W881="Configurable",3,0))+IF(MAX(I881,AP881)&gt;=10,10,IF(MAX(I881,AP881)&gt;=5,7,IF(MAX(I881,AP881)&gt;=2,3,0)))+IF(K881="High",10,IF(K881="Medium",5,0))))</x:f>
      </x:c>
      <x:c r="AC881" s="73" t="str">
        <x:f>IF(A881="","",IF(NOT(ISNUMBER(AB881)),"Review inputs",IF(AB881&gt;=70,"P0 - Immediate",IF(AB881&gt;=50,"P1 - High",IF(AB881&gt;=30,"P2 - Medium",IF(AB881&gt;=15,"P3 - Low","P4 - Monitor"))))))</x:f>
      </x:c>
      <x:c r="AD881" s="73"/>
      <x:c r="AE881" s="73"/>
      <x:c r="AF881" s="73"/>
      <x:c r="AG881" s="77"/>
      <x:c r="AH881" s="73"/>
      <x:c r="AI881" s="91"/>
      <x:c r="AJ881" s="91"/>
      <x:c r="AK881" s="91"/>
      <x:c r="AL881" s="92"/>
      <x:c r="AM881" s="91"/>
      <x:c r="AN881" s="91"/>
      <x:c r="AO881" s="93"/>
      <x:c r="AP881" s="94"/>
      <x:c r="AQ881" s="91"/>
      <x:c r="AR881" s="91"/>
      <x:c r="AS881" s="91"/>
      <x:c r="AT881" s="91"/>
      <x:c r="AU881" s="91"/>
      <x:c r="AV881" s="91"/>
      <x:c r="AW881" s="91"/>
      <x:c r="AX881" s="91"/>
      <x:c r="AY881" s="91"/>
      <x:c r="AZ881" s="92"/>
      <x:c r="BA881" s="94"/>
      <x:c r="BB881" s="91"/>
      <x:c r="BC881" s="92"/>
      <x:c r="BD881" s="92"/>
      <x:c r="BE881" s="91"/>
      <x:c r="BF881" s="91"/>
      <x:c r="BG881" s="91"/>
      <x:c r="BH881" s="91"/>
      <x:c r="BI881" s="91"/>
      <x:c r="BJ881" s="91"/>
      <x:c r="BK881" s="91"/>
      <x:c r="BL881" s="91"/>
      <x:c r="BM881" s="73" t="str">
        <x:f>IF(A881="","",IF(AI881="Example","Example only",IF(AI881&lt;&gt;"Actual","Set record type",IF(COUNTIF($A$2:$A$1001,A881)&gt;1,"Duplicate record ID",IF(OR(D881="",E881="",AF881="",NOT(ISNUMBER(AG881)),AJ881="",AK881="",NOT(ISNUMBER(AL881)),AND(AM881&lt;&gt;"Observed",AM881&lt;&gt;"Corroborated",AM881&lt;&gt;"Declared"),OR(AN881="",AN881="Unknown"),OR(AQ881="",AQ881="Unknown"),OR(AR881="",AR881="Unknown",AR881="TBD"),OR(BC881="",NOT(ISNUMBER(BC881)))),"Evidence incomplete","Evidence recorded; review scope")))))</x:f>
      </x:c>
      <x:c r="BN881" s="73"/>
    </x:row>
    <x:row r="882" ht="34" customHeight="1">
      <x:c r="A882" s="73"/>
      <x:c r="B882" s="73"/>
      <x:c r="C882" s="73"/>
      <x:c r="D882" s="73"/>
      <x:c r="E882" s="73"/>
      <x:c r="F882" s="73"/>
      <x:c r="G882" s="73"/>
      <x:c r="H882" s="73"/>
      <x:c r="I882" s="75"/>
      <x:c r="J882" s="73"/>
      <x:c r="K882" s="73"/>
      <x:c r="L882" s="76"/>
      <x:c r="M882" s="73"/>
      <x:c r="N882" s="73"/>
      <x:c r="O882" s="73"/>
      <x:c r="P882" s="73"/>
      <x:c r="Q882" s="76"/>
      <x:c r="R882" s="73"/>
      <x:c r="S882" s="73"/>
      <x:c r="T882" s="73"/>
      <x:c r="U882" s="73"/>
      <x:c r="V882" s="73"/>
      <x:c r="W882" s="73"/>
      <x:c r="X882" s="73"/>
      <x:c r="Y882" s="73"/>
      <x:c r="Z882" s="73"/>
      <x:c r="AA882" s="73"/>
      <x:c r="AB882" s="76" t="str">
        <x:f>IF(A882="","",IF(OR(NOT(ISNUMBER(I882)),I882&lt;0,NOT(ISNUMBER(AP882)),AP882&lt;0,NOT(ISNUMBER(L882)),L882&lt;1,L882&gt;5,L882&lt;&gt;INT(L882),AND(J882&lt;&gt;"Public",J882&lt;&gt;"Partner",J882&lt;&gt;"Internal",J882&lt;&gt;"None"),AND(K882&lt;&gt;"High",K882&lt;&gt;"Medium",K882&lt;&gt;"Low",K882&lt;&gt;"None"),AND(W882&lt;&gt;"Hard-coded",W882&lt;&gt;"Configurable",W882&lt;&gt;"Policy-managed",W882&lt;&gt;"API/Library abstraction",W882&lt;&gt;"Automated"),AND(Z882&lt;&gt;"Y",Z882&lt;&gt;"N"),AND(AA882&lt;&gt;"Y",AA882&lt;&gt;"N")),"Incomplete",IF(Z882="Y",20,0)+L882*5+IF(AA882="Y",15,0)+IF(J882="Public",10,IF(J882="Partner",7,IF(J882="Internal",3,0)))+IF(W882="Hard-coded",10,IF(W882="Configurable",3,0))+IF(MAX(I882,AP882)&gt;=10,10,IF(MAX(I882,AP882)&gt;=5,7,IF(MAX(I882,AP882)&gt;=2,3,0)))+IF(K882="High",10,IF(K882="Medium",5,0))))</x:f>
      </x:c>
      <x:c r="AC882" s="73" t="str">
        <x:f>IF(A882="","",IF(NOT(ISNUMBER(AB882)),"Review inputs",IF(AB882&gt;=70,"P0 - Immediate",IF(AB882&gt;=50,"P1 - High",IF(AB882&gt;=30,"P2 - Medium",IF(AB882&gt;=15,"P3 - Low","P4 - Monitor"))))))</x:f>
      </x:c>
      <x:c r="AD882" s="73"/>
      <x:c r="AE882" s="73"/>
      <x:c r="AF882" s="73"/>
      <x:c r="AG882" s="77"/>
      <x:c r="AH882" s="73"/>
      <x:c r="AI882" s="91"/>
      <x:c r="AJ882" s="91"/>
      <x:c r="AK882" s="91"/>
      <x:c r="AL882" s="92"/>
      <x:c r="AM882" s="91"/>
      <x:c r="AN882" s="91"/>
      <x:c r="AO882" s="93"/>
      <x:c r="AP882" s="94"/>
      <x:c r="AQ882" s="91"/>
      <x:c r="AR882" s="91"/>
      <x:c r="AS882" s="91"/>
      <x:c r="AT882" s="91"/>
      <x:c r="AU882" s="91"/>
      <x:c r="AV882" s="91"/>
      <x:c r="AW882" s="91"/>
      <x:c r="AX882" s="91"/>
      <x:c r="AY882" s="91"/>
      <x:c r="AZ882" s="92"/>
      <x:c r="BA882" s="94"/>
      <x:c r="BB882" s="91"/>
      <x:c r="BC882" s="92"/>
      <x:c r="BD882" s="92"/>
      <x:c r="BE882" s="91"/>
      <x:c r="BF882" s="91"/>
      <x:c r="BG882" s="91"/>
      <x:c r="BH882" s="91"/>
      <x:c r="BI882" s="91"/>
      <x:c r="BJ882" s="91"/>
      <x:c r="BK882" s="91"/>
      <x:c r="BL882" s="91"/>
      <x:c r="BM882" s="73" t="str">
        <x:f>IF(A882="","",IF(AI882="Example","Example only",IF(AI882&lt;&gt;"Actual","Set record type",IF(COUNTIF($A$2:$A$1001,A882)&gt;1,"Duplicate record ID",IF(OR(D882="",E882="",AF882="",NOT(ISNUMBER(AG882)),AJ882="",AK882="",NOT(ISNUMBER(AL882)),AND(AM882&lt;&gt;"Observed",AM882&lt;&gt;"Corroborated",AM882&lt;&gt;"Declared"),OR(AN882="",AN882="Unknown"),OR(AQ882="",AQ882="Unknown"),OR(AR882="",AR882="Unknown",AR882="TBD"),OR(BC882="",NOT(ISNUMBER(BC882)))),"Evidence incomplete","Evidence recorded; review scope")))))</x:f>
      </x:c>
      <x:c r="BN882" s="73"/>
    </x:row>
    <x:row r="883" ht="34" customHeight="1">
      <x:c r="A883" s="73"/>
      <x:c r="B883" s="73"/>
      <x:c r="C883" s="73"/>
      <x:c r="D883" s="73"/>
      <x:c r="E883" s="73"/>
      <x:c r="F883" s="73"/>
      <x:c r="G883" s="73"/>
      <x:c r="H883" s="73"/>
      <x:c r="I883" s="75"/>
      <x:c r="J883" s="73"/>
      <x:c r="K883" s="73"/>
      <x:c r="L883" s="76"/>
      <x:c r="M883" s="73"/>
      <x:c r="N883" s="73"/>
      <x:c r="O883" s="73"/>
      <x:c r="P883" s="73"/>
      <x:c r="Q883" s="76"/>
      <x:c r="R883" s="73"/>
      <x:c r="S883" s="73"/>
      <x:c r="T883" s="73"/>
      <x:c r="U883" s="73"/>
      <x:c r="V883" s="73"/>
      <x:c r="W883" s="73"/>
      <x:c r="X883" s="73"/>
      <x:c r="Y883" s="73"/>
      <x:c r="Z883" s="73"/>
      <x:c r="AA883" s="73"/>
      <x:c r="AB883" s="76" t="str">
        <x:f>IF(A883="","",IF(OR(NOT(ISNUMBER(I883)),I883&lt;0,NOT(ISNUMBER(AP883)),AP883&lt;0,NOT(ISNUMBER(L883)),L883&lt;1,L883&gt;5,L883&lt;&gt;INT(L883),AND(J883&lt;&gt;"Public",J883&lt;&gt;"Partner",J883&lt;&gt;"Internal",J883&lt;&gt;"None"),AND(K883&lt;&gt;"High",K883&lt;&gt;"Medium",K883&lt;&gt;"Low",K883&lt;&gt;"None"),AND(W883&lt;&gt;"Hard-coded",W883&lt;&gt;"Configurable",W883&lt;&gt;"Policy-managed",W883&lt;&gt;"API/Library abstraction",W883&lt;&gt;"Automated"),AND(Z883&lt;&gt;"Y",Z883&lt;&gt;"N"),AND(AA883&lt;&gt;"Y",AA883&lt;&gt;"N")),"Incomplete",IF(Z883="Y",20,0)+L883*5+IF(AA883="Y",15,0)+IF(J883="Public",10,IF(J883="Partner",7,IF(J883="Internal",3,0)))+IF(W883="Hard-coded",10,IF(W883="Configurable",3,0))+IF(MAX(I883,AP883)&gt;=10,10,IF(MAX(I883,AP883)&gt;=5,7,IF(MAX(I883,AP883)&gt;=2,3,0)))+IF(K883="High",10,IF(K883="Medium",5,0))))</x:f>
      </x:c>
      <x:c r="AC883" s="73" t="str">
        <x:f>IF(A883="","",IF(NOT(ISNUMBER(AB883)),"Review inputs",IF(AB883&gt;=70,"P0 - Immediate",IF(AB883&gt;=50,"P1 - High",IF(AB883&gt;=30,"P2 - Medium",IF(AB883&gt;=15,"P3 - Low","P4 - Monitor"))))))</x:f>
      </x:c>
      <x:c r="AD883" s="73"/>
      <x:c r="AE883" s="73"/>
      <x:c r="AF883" s="73"/>
      <x:c r="AG883" s="77"/>
      <x:c r="AH883" s="73"/>
      <x:c r="AI883" s="91"/>
      <x:c r="AJ883" s="91"/>
      <x:c r="AK883" s="91"/>
      <x:c r="AL883" s="92"/>
      <x:c r="AM883" s="91"/>
      <x:c r="AN883" s="91"/>
      <x:c r="AO883" s="93"/>
      <x:c r="AP883" s="94"/>
      <x:c r="AQ883" s="91"/>
      <x:c r="AR883" s="91"/>
      <x:c r="AS883" s="91"/>
      <x:c r="AT883" s="91"/>
      <x:c r="AU883" s="91"/>
      <x:c r="AV883" s="91"/>
      <x:c r="AW883" s="91"/>
      <x:c r="AX883" s="91"/>
      <x:c r="AY883" s="91"/>
      <x:c r="AZ883" s="92"/>
      <x:c r="BA883" s="94"/>
      <x:c r="BB883" s="91"/>
      <x:c r="BC883" s="92"/>
      <x:c r="BD883" s="92"/>
      <x:c r="BE883" s="91"/>
      <x:c r="BF883" s="91"/>
      <x:c r="BG883" s="91"/>
      <x:c r="BH883" s="91"/>
      <x:c r="BI883" s="91"/>
      <x:c r="BJ883" s="91"/>
      <x:c r="BK883" s="91"/>
      <x:c r="BL883" s="91"/>
      <x:c r="BM883" s="73" t="str">
        <x:f>IF(A883="","",IF(AI883="Example","Example only",IF(AI883&lt;&gt;"Actual","Set record type",IF(COUNTIF($A$2:$A$1001,A883)&gt;1,"Duplicate record ID",IF(OR(D883="",E883="",AF883="",NOT(ISNUMBER(AG883)),AJ883="",AK883="",NOT(ISNUMBER(AL883)),AND(AM883&lt;&gt;"Observed",AM883&lt;&gt;"Corroborated",AM883&lt;&gt;"Declared"),OR(AN883="",AN883="Unknown"),OR(AQ883="",AQ883="Unknown"),OR(AR883="",AR883="Unknown",AR883="TBD"),OR(BC883="",NOT(ISNUMBER(BC883)))),"Evidence incomplete","Evidence recorded; review scope")))))</x:f>
      </x:c>
      <x:c r="BN883" s="73"/>
    </x:row>
    <x:row r="884" ht="34" customHeight="1">
      <x:c r="A884" s="73"/>
      <x:c r="B884" s="73"/>
      <x:c r="C884" s="73"/>
      <x:c r="D884" s="73"/>
      <x:c r="E884" s="73"/>
      <x:c r="F884" s="73"/>
      <x:c r="G884" s="73"/>
      <x:c r="H884" s="73"/>
      <x:c r="I884" s="75"/>
      <x:c r="J884" s="73"/>
      <x:c r="K884" s="73"/>
      <x:c r="L884" s="76"/>
      <x:c r="M884" s="73"/>
      <x:c r="N884" s="73"/>
      <x:c r="O884" s="73"/>
      <x:c r="P884" s="73"/>
      <x:c r="Q884" s="76"/>
      <x:c r="R884" s="73"/>
      <x:c r="S884" s="73"/>
      <x:c r="T884" s="73"/>
      <x:c r="U884" s="73"/>
      <x:c r="V884" s="73"/>
      <x:c r="W884" s="73"/>
      <x:c r="X884" s="73"/>
      <x:c r="Y884" s="73"/>
      <x:c r="Z884" s="73"/>
      <x:c r="AA884" s="73"/>
      <x:c r="AB884" s="76" t="str">
        <x:f>IF(A884="","",IF(OR(NOT(ISNUMBER(I884)),I884&lt;0,NOT(ISNUMBER(AP884)),AP884&lt;0,NOT(ISNUMBER(L884)),L884&lt;1,L884&gt;5,L884&lt;&gt;INT(L884),AND(J884&lt;&gt;"Public",J884&lt;&gt;"Partner",J884&lt;&gt;"Internal",J884&lt;&gt;"None"),AND(K884&lt;&gt;"High",K884&lt;&gt;"Medium",K884&lt;&gt;"Low",K884&lt;&gt;"None"),AND(W884&lt;&gt;"Hard-coded",W884&lt;&gt;"Configurable",W884&lt;&gt;"Policy-managed",W884&lt;&gt;"API/Library abstraction",W884&lt;&gt;"Automated"),AND(Z884&lt;&gt;"Y",Z884&lt;&gt;"N"),AND(AA884&lt;&gt;"Y",AA884&lt;&gt;"N")),"Incomplete",IF(Z884="Y",20,0)+L884*5+IF(AA884="Y",15,0)+IF(J884="Public",10,IF(J884="Partner",7,IF(J884="Internal",3,0)))+IF(W884="Hard-coded",10,IF(W884="Configurable",3,0))+IF(MAX(I884,AP884)&gt;=10,10,IF(MAX(I884,AP884)&gt;=5,7,IF(MAX(I884,AP884)&gt;=2,3,0)))+IF(K884="High",10,IF(K884="Medium",5,0))))</x:f>
      </x:c>
      <x:c r="AC884" s="73" t="str">
        <x:f>IF(A884="","",IF(NOT(ISNUMBER(AB884)),"Review inputs",IF(AB884&gt;=70,"P0 - Immediate",IF(AB884&gt;=50,"P1 - High",IF(AB884&gt;=30,"P2 - Medium",IF(AB884&gt;=15,"P3 - Low","P4 - Monitor"))))))</x:f>
      </x:c>
      <x:c r="AD884" s="73"/>
      <x:c r="AE884" s="73"/>
      <x:c r="AF884" s="73"/>
      <x:c r="AG884" s="77"/>
      <x:c r="AH884" s="73"/>
      <x:c r="AI884" s="91"/>
      <x:c r="AJ884" s="91"/>
      <x:c r="AK884" s="91"/>
      <x:c r="AL884" s="92"/>
      <x:c r="AM884" s="91"/>
      <x:c r="AN884" s="91"/>
      <x:c r="AO884" s="93"/>
      <x:c r="AP884" s="94"/>
      <x:c r="AQ884" s="91"/>
      <x:c r="AR884" s="91"/>
      <x:c r="AS884" s="91"/>
      <x:c r="AT884" s="91"/>
      <x:c r="AU884" s="91"/>
      <x:c r="AV884" s="91"/>
      <x:c r="AW884" s="91"/>
      <x:c r="AX884" s="91"/>
      <x:c r="AY884" s="91"/>
      <x:c r="AZ884" s="92"/>
      <x:c r="BA884" s="94"/>
      <x:c r="BB884" s="91"/>
      <x:c r="BC884" s="92"/>
      <x:c r="BD884" s="92"/>
      <x:c r="BE884" s="91"/>
      <x:c r="BF884" s="91"/>
      <x:c r="BG884" s="91"/>
      <x:c r="BH884" s="91"/>
      <x:c r="BI884" s="91"/>
      <x:c r="BJ884" s="91"/>
      <x:c r="BK884" s="91"/>
      <x:c r="BL884" s="91"/>
      <x:c r="BM884" s="73" t="str">
        <x:f>IF(A884="","",IF(AI884="Example","Example only",IF(AI884&lt;&gt;"Actual","Set record type",IF(COUNTIF($A$2:$A$1001,A884)&gt;1,"Duplicate record ID",IF(OR(D884="",E884="",AF884="",NOT(ISNUMBER(AG884)),AJ884="",AK884="",NOT(ISNUMBER(AL884)),AND(AM884&lt;&gt;"Observed",AM884&lt;&gt;"Corroborated",AM884&lt;&gt;"Declared"),OR(AN884="",AN884="Unknown"),OR(AQ884="",AQ884="Unknown"),OR(AR884="",AR884="Unknown",AR884="TBD"),OR(BC884="",NOT(ISNUMBER(BC884)))),"Evidence incomplete","Evidence recorded; review scope")))))</x:f>
      </x:c>
      <x:c r="BN884" s="73"/>
    </x:row>
    <x:row r="885" ht="34" customHeight="1">
      <x:c r="A885" s="73"/>
      <x:c r="B885" s="73"/>
      <x:c r="C885" s="73"/>
      <x:c r="D885" s="73"/>
      <x:c r="E885" s="73"/>
      <x:c r="F885" s="73"/>
      <x:c r="G885" s="73"/>
      <x:c r="H885" s="73"/>
      <x:c r="I885" s="75"/>
      <x:c r="J885" s="73"/>
      <x:c r="K885" s="73"/>
      <x:c r="L885" s="76"/>
      <x:c r="M885" s="73"/>
      <x:c r="N885" s="73"/>
      <x:c r="O885" s="73"/>
      <x:c r="P885" s="73"/>
      <x:c r="Q885" s="76"/>
      <x:c r="R885" s="73"/>
      <x:c r="S885" s="73"/>
      <x:c r="T885" s="73"/>
      <x:c r="U885" s="73"/>
      <x:c r="V885" s="73"/>
      <x:c r="W885" s="73"/>
      <x:c r="X885" s="73"/>
      <x:c r="Y885" s="73"/>
      <x:c r="Z885" s="73"/>
      <x:c r="AA885" s="73"/>
      <x:c r="AB885" s="76" t="str">
        <x:f>IF(A885="","",IF(OR(NOT(ISNUMBER(I885)),I885&lt;0,NOT(ISNUMBER(AP885)),AP885&lt;0,NOT(ISNUMBER(L885)),L885&lt;1,L885&gt;5,L885&lt;&gt;INT(L885),AND(J885&lt;&gt;"Public",J885&lt;&gt;"Partner",J885&lt;&gt;"Internal",J885&lt;&gt;"None"),AND(K885&lt;&gt;"High",K885&lt;&gt;"Medium",K885&lt;&gt;"Low",K885&lt;&gt;"None"),AND(W885&lt;&gt;"Hard-coded",W885&lt;&gt;"Configurable",W885&lt;&gt;"Policy-managed",W885&lt;&gt;"API/Library abstraction",W885&lt;&gt;"Automated"),AND(Z885&lt;&gt;"Y",Z885&lt;&gt;"N"),AND(AA885&lt;&gt;"Y",AA885&lt;&gt;"N")),"Incomplete",IF(Z885="Y",20,0)+L885*5+IF(AA885="Y",15,0)+IF(J885="Public",10,IF(J885="Partner",7,IF(J885="Internal",3,0)))+IF(W885="Hard-coded",10,IF(W885="Configurable",3,0))+IF(MAX(I885,AP885)&gt;=10,10,IF(MAX(I885,AP885)&gt;=5,7,IF(MAX(I885,AP885)&gt;=2,3,0)))+IF(K885="High",10,IF(K885="Medium",5,0))))</x:f>
      </x:c>
      <x:c r="AC885" s="73" t="str">
        <x:f>IF(A885="","",IF(NOT(ISNUMBER(AB885)),"Review inputs",IF(AB885&gt;=70,"P0 - Immediate",IF(AB885&gt;=50,"P1 - High",IF(AB885&gt;=30,"P2 - Medium",IF(AB885&gt;=15,"P3 - Low","P4 - Monitor"))))))</x:f>
      </x:c>
      <x:c r="AD885" s="73"/>
      <x:c r="AE885" s="73"/>
      <x:c r="AF885" s="73"/>
      <x:c r="AG885" s="77"/>
      <x:c r="AH885" s="73"/>
      <x:c r="AI885" s="91"/>
      <x:c r="AJ885" s="91"/>
      <x:c r="AK885" s="91"/>
      <x:c r="AL885" s="92"/>
      <x:c r="AM885" s="91"/>
      <x:c r="AN885" s="91"/>
      <x:c r="AO885" s="93"/>
      <x:c r="AP885" s="94"/>
      <x:c r="AQ885" s="91"/>
      <x:c r="AR885" s="91"/>
      <x:c r="AS885" s="91"/>
      <x:c r="AT885" s="91"/>
      <x:c r="AU885" s="91"/>
      <x:c r="AV885" s="91"/>
      <x:c r="AW885" s="91"/>
      <x:c r="AX885" s="91"/>
      <x:c r="AY885" s="91"/>
      <x:c r="AZ885" s="92"/>
      <x:c r="BA885" s="94"/>
      <x:c r="BB885" s="91"/>
      <x:c r="BC885" s="92"/>
      <x:c r="BD885" s="92"/>
      <x:c r="BE885" s="91"/>
      <x:c r="BF885" s="91"/>
      <x:c r="BG885" s="91"/>
      <x:c r="BH885" s="91"/>
      <x:c r="BI885" s="91"/>
      <x:c r="BJ885" s="91"/>
      <x:c r="BK885" s="91"/>
      <x:c r="BL885" s="91"/>
      <x:c r="BM885" s="73" t="str">
        <x:f>IF(A885="","",IF(AI885="Example","Example only",IF(AI885&lt;&gt;"Actual","Set record type",IF(COUNTIF($A$2:$A$1001,A885)&gt;1,"Duplicate record ID",IF(OR(D885="",E885="",AF885="",NOT(ISNUMBER(AG885)),AJ885="",AK885="",NOT(ISNUMBER(AL885)),AND(AM885&lt;&gt;"Observed",AM885&lt;&gt;"Corroborated",AM885&lt;&gt;"Declared"),OR(AN885="",AN885="Unknown"),OR(AQ885="",AQ885="Unknown"),OR(AR885="",AR885="Unknown",AR885="TBD"),OR(BC885="",NOT(ISNUMBER(BC885)))),"Evidence incomplete","Evidence recorded; review scope")))))</x:f>
      </x:c>
      <x:c r="BN885" s="73"/>
    </x:row>
    <x:row r="886" ht="34" customHeight="1">
      <x:c r="A886" s="73"/>
      <x:c r="B886" s="73"/>
      <x:c r="C886" s="73"/>
      <x:c r="D886" s="73"/>
      <x:c r="E886" s="73"/>
      <x:c r="F886" s="73"/>
      <x:c r="G886" s="73"/>
      <x:c r="H886" s="73"/>
      <x:c r="I886" s="75"/>
      <x:c r="J886" s="73"/>
      <x:c r="K886" s="73"/>
      <x:c r="L886" s="76"/>
      <x:c r="M886" s="73"/>
      <x:c r="N886" s="73"/>
      <x:c r="O886" s="73"/>
      <x:c r="P886" s="73"/>
      <x:c r="Q886" s="76"/>
      <x:c r="R886" s="73"/>
      <x:c r="S886" s="73"/>
      <x:c r="T886" s="73"/>
      <x:c r="U886" s="73"/>
      <x:c r="V886" s="73"/>
      <x:c r="W886" s="73"/>
      <x:c r="X886" s="73"/>
      <x:c r="Y886" s="73"/>
      <x:c r="Z886" s="73"/>
      <x:c r="AA886" s="73"/>
      <x:c r="AB886" s="76" t="str">
        <x:f>IF(A886="","",IF(OR(NOT(ISNUMBER(I886)),I886&lt;0,NOT(ISNUMBER(AP886)),AP886&lt;0,NOT(ISNUMBER(L886)),L886&lt;1,L886&gt;5,L886&lt;&gt;INT(L886),AND(J886&lt;&gt;"Public",J886&lt;&gt;"Partner",J886&lt;&gt;"Internal",J886&lt;&gt;"None"),AND(K886&lt;&gt;"High",K886&lt;&gt;"Medium",K886&lt;&gt;"Low",K886&lt;&gt;"None"),AND(W886&lt;&gt;"Hard-coded",W886&lt;&gt;"Configurable",W886&lt;&gt;"Policy-managed",W886&lt;&gt;"API/Library abstraction",W886&lt;&gt;"Automated"),AND(Z886&lt;&gt;"Y",Z886&lt;&gt;"N"),AND(AA886&lt;&gt;"Y",AA886&lt;&gt;"N")),"Incomplete",IF(Z886="Y",20,0)+L886*5+IF(AA886="Y",15,0)+IF(J886="Public",10,IF(J886="Partner",7,IF(J886="Internal",3,0)))+IF(W886="Hard-coded",10,IF(W886="Configurable",3,0))+IF(MAX(I886,AP886)&gt;=10,10,IF(MAX(I886,AP886)&gt;=5,7,IF(MAX(I886,AP886)&gt;=2,3,0)))+IF(K886="High",10,IF(K886="Medium",5,0))))</x:f>
      </x:c>
      <x:c r="AC886" s="73" t="str">
        <x:f>IF(A886="","",IF(NOT(ISNUMBER(AB886)),"Review inputs",IF(AB886&gt;=70,"P0 - Immediate",IF(AB886&gt;=50,"P1 - High",IF(AB886&gt;=30,"P2 - Medium",IF(AB886&gt;=15,"P3 - Low","P4 - Monitor"))))))</x:f>
      </x:c>
      <x:c r="AD886" s="73"/>
      <x:c r="AE886" s="73"/>
      <x:c r="AF886" s="73"/>
      <x:c r="AG886" s="77"/>
      <x:c r="AH886" s="73"/>
      <x:c r="AI886" s="91"/>
      <x:c r="AJ886" s="91"/>
      <x:c r="AK886" s="91"/>
      <x:c r="AL886" s="92"/>
      <x:c r="AM886" s="91"/>
      <x:c r="AN886" s="91"/>
      <x:c r="AO886" s="93"/>
      <x:c r="AP886" s="94"/>
      <x:c r="AQ886" s="91"/>
      <x:c r="AR886" s="91"/>
      <x:c r="AS886" s="91"/>
      <x:c r="AT886" s="91"/>
      <x:c r="AU886" s="91"/>
      <x:c r="AV886" s="91"/>
      <x:c r="AW886" s="91"/>
      <x:c r="AX886" s="91"/>
      <x:c r="AY886" s="91"/>
      <x:c r="AZ886" s="92"/>
      <x:c r="BA886" s="94"/>
      <x:c r="BB886" s="91"/>
      <x:c r="BC886" s="92"/>
      <x:c r="BD886" s="92"/>
      <x:c r="BE886" s="91"/>
      <x:c r="BF886" s="91"/>
      <x:c r="BG886" s="91"/>
      <x:c r="BH886" s="91"/>
      <x:c r="BI886" s="91"/>
      <x:c r="BJ886" s="91"/>
      <x:c r="BK886" s="91"/>
      <x:c r="BL886" s="91"/>
      <x:c r="BM886" s="73" t="str">
        <x:f>IF(A886="","",IF(AI886="Example","Example only",IF(AI886&lt;&gt;"Actual","Set record type",IF(COUNTIF($A$2:$A$1001,A886)&gt;1,"Duplicate record ID",IF(OR(D886="",E886="",AF886="",NOT(ISNUMBER(AG886)),AJ886="",AK886="",NOT(ISNUMBER(AL886)),AND(AM886&lt;&gt;"Observed",AM886&lt;&gt;"Corroborated",AM886&lt;&gt;"Declared"),OR(AN886="",AN886="Unknown"),OR(AQ886="",AQ886="Unknown"),OR(AR886="",AR886="Unknown",AR886="TBD"),OR(BC886="",NOT(ISNUMBER(BC886)))),"Evidence incomplete","Evidence recorded; review scope")))))</x:f>
      </x:c>
      <x:c r="BN886" s="73"/>
    </x:row>
    <x:row r="887" ht="34" customHeight="1">
      <x:c r="A887" s="73"/>
      <x:c r="B887" s="73"/>
      <x:c r="C887" s="73"/>
      <x:c r="D887" s="73"/>
      <x:c r="E887" s="73"/>
      <x:c r="F887" s="73"/>
      <x:c r="G887" s="73"/>
      <x:c r="H887" s="73"/>
      <x:c r="I887" s="75"/>
      <x:c r="J887" s="73"/>
      <x:c r="K887" s="73"/>
      <x:c r="L887" s="76"/>
      <x:c r="M887" s="73"/>
      <x:c r="N887" s="73"/>
      <x:c r="O887" s="73"/>
      <x:c r="P887" s="73"/>
      <x:c r="Q887" s="76"/>
      <x:c r="R887" s="73"/>
      <x:c r="S887" s="73"/>
      <x:c r="T887" s="73"/>
      <x:c r="U887" s="73"/>
      <x:c r="V887" s="73"/>
      <x:c r="W887" s="73"/>
      <x:c r="X887" s="73"/>
      <x:c r="Y887" s="73"/>
      <x:c r="Z887" s="73"/>
      <x:c r="AA887" s="73"/>
      <x:c r="AB887" s="76" t="str">
        <x:f>IF(A887="","",IF(OR(NOT(ISNUMBER(I887)),I887&lt;0,NOT(ISNUMBER(AP887)),AP887&lt;0,NOT(ISNUMBER(L887)),L887&lt;1,L887&gt;5,L887&lt;&gt;INT(L887),AND(J887&lt;&gt;"Public",J887&lt;&gt;"Partner",J887&lt;&gt;"Internal",J887&lt;&gt;"None"),AND(K887&lt;&gt;"High",K887&lt;&gt;"Medium",K887&lt;&gt;"Low",K887&lt;&gt;"None"),AND(W887&lt;&gt;"Hard-coded",W887&lt;&gt;"Configurable",W887&lt;&gt;"Policy-managed",W887&lt;&gt;"API/Library abstraction",W887&lt;&gt;"Automated"),AND(Z887&lt;&gt;"Y",Z887&lt;&gt;"N"),AND(AA887&lt;&gt;"Y",AA887&lt;&gt;"N")),"Incomplete",IF(Z887="Y",20,0)+L887*5+IF(AA887="Y",15,0)+IF(J887="Public",10,IF(J887="Partner",7,IF(J887="Internal",3,0)))+IF(W887="Hard-coded",10,IF(W887="Configurable",3,0))+IF(MAX(I887,AP887)&gt;=10,10,IF(MAX(I887,AP887)&gt;=5,7,IF(MAX(I887,AP887)&gt;=2,3,0)))+IF(K887="High",10,IF(K887="Medium",5,0))))</x:f>
      </x:c>
      <x:c r="AC887" s="73" t="str">
        <x:f>IF(A887="","",IF(NOT(ISNUMBER(AB887)),"Review inputs",IF(AB887&gt;=70,"P0 - Immediate",IF(AB887&gt;=50,"P1 - High",IF(AB887&gt;=30,"P2 - Medium",IF(AB887&gt;=15,"P3 - Low","P4 - Monitor"))))))</x:f>
      </x:c>
      <x:c r="AD887" s="73"/>
      <x:c r="AE887" s="73"/>
      <x:c r="AF887" s="73"/>
      <x:c r="AG887" s="77"/>
      <x:c r="AH887" s="73"/>
      <x:c r="AI887" s="91"/>
      <x:c r="AJ887" s="91"/>
      <x:c r="AK887" s="91"/>
      <x:c r="AL887" s="92"/>
      <x:c r="AM887" s="91"/>
      <x:c r="AN887" s="91"/>
      <x:c r="AO887" s="93"/>
      <x:c r="AP887" s="94"/>
      <x:c r="AQ887" s="91"/>
      <x:c r="AR887" s="91"/>
      <x:c r="AS887" s="91"/>
      <x:c r="AT887" s="91"/>
      <x:c r="AU887" s="91"/>
      <x:c r="AV887" s="91"/>
      <x:c r="AW887" s="91"/>
      <x:c r="AX887" s="91"/>
      <x:c r="AY887" s="91"/>
      <x:c r="AZ887" s="92"/>
      <x:c r="BA887" s="94"/>
      <x:c r="BB887" s="91"/>
      <x:c r="BC887" s="92"/>
      <x:c r="BD887" s="92"/>
      <x:c r="BE887" s="91"/>
      <x:c r="BF887" s="91"/>
      <x:c r="BG887" s="91"/>
      <x:c r="BH887" s="91"/>
      <x:c r="BI887" s="91"/>
      <x:c r="BJ887" s="91"/>
      <x:c r="BK887" s="91"/>
      <x:c r="BL887" s="91"/>
      <x:c r="BM887" s="73" t="str">
        <x:f>IF(A887="","",IF(AI887="Example","Example only",IF(AI887&lt;&gt;"Actual","Set record type",IF(COUNTIF($A$2:$A$1001,A887)&gt;1,"Duplicate record ID",IF(OR(D887="",E887="",AF887="",NOT(ISNUMBER(AG887)),AJ887="",AK887="",NOT(ISNUMBER(AL887)),AND(AM887&lt;&gt;"Observed",AM887&lt;&gt;"Corroborated",AM887&lt;&gt;"Declared"),OR(AN887="",AN887="Unknown"),OR(AQ887="",AQ887="Unknown"),OR(AR887="",AR887="Unknown",AR887="TBD"),OR(BC887="",NOT(ISNUMBER(BC887)))),"Evidence incomplete","Evidence recorded; review scope")))))</x:f>
      </x:c>
      <x:c r="BN887" s="73"/>
    </x:row>
    <x:row r="888" ht="34" customHeight="1">
      <x:c r="A888" s="73"/>
      <x:c r="B888" s="73"/>
      <x:c r="C888" s="73"/>
      <x:c r="D888" s="73"/>
      <x:c r="E888" s="73"/>
      <x:c r="F888" s="73"/>
      <x:c r="G888" s="73"/>
      <x:c r="H888" s="73"/>
      <x:c r="I888" s="75"/>
      <x:c r="J888" s="73"/>
      <x:c r="K888" s="73"/>
      <x:c r="L888" s="76"/>
      <x:c r="M888" s="73"/>
      <x:c r="N888" s="73"/>
      <x:c r="O888" s="73"/>
      <x:c r="P888" s="73"/>
      <x:c r="Q888" s="76"/>
      <x:c r="R888" s="73"/>
      <x:c r="S888" s="73"/>
      <x:c r="T888" s="73"/>
      <x:c r="U888" s="73"/>
      <x:c r="V888" s="73"/>
      <x:c r="W888" s="73"/>
      <x:c r="X888" s="73"/>
      <x:c r="Y888" s="73"/>
      <x:c r="Z888" s="73"/>
      <x:c r="AA888" s="73"/>
      <x:c r="AB888" s="76" t="str">
        <x:f>IF(A888="","",IF(OR(NOT(ISNUMBER(I888)),I888&lt;0,NOT(ISNUMBER(AP888)),AP888&lt;0,NOT(ISNUMBER(L888)),L888&lt;1,L888&gt;5,L888&lt;&gt;INT(L888),AND(J888&lt;&gt;"Public",J888&lt;&gt;"Partner",J888&lt;&gt;"Internal",J888&lt;&gt;"None"),AND(K888&lt;&gt;"High",K888&lt;&gt;"Medium",K888&lt;&gt;"Low",K888&lt;&gt;"None"),AND(W888&lt;&gt;"Hard-coded",W888&lt;&gt;"Configurable",W888&lt;&gt;"Policy-managed",W888&lt;&gt;"API/Library abstraction",W888&lt;&gt;"Automated"),AND(Z888&lt;&gt;"Y",Z888&lt;&gt;"N"),AND(AA888&lt;&gt;"Y",AA888&lt;&gt;"N")),"Incomplete",IF(Z888="Y",20,0)+L888*5+IF(AA888="Y",15,0)+IF(J888="Public",10,IF(J888="Partner",7,IF(J888="Internal",3,0)))+IF(W888="Hard-coded",10,IF(W888="Configurable",3,0))+IF(MAX(I888,AP888)&gt;=10,10,IF(MAX(I888,AP888)&gt;=5,7,IF(MAX(I888,AP888)&gt;=2,3,0)))+IF(K888="High",10,IF(K888="Medium",5,0))))</x:f>
      </x:c>
      <x:c r="AC888" s="73" t="str">
        <x:f>IF(A888="","",IF(NOT(ISNUMBER(AB888)),"Review inputs",IF(AB888&gt;=70,"P0 - Immediate",IF(AB888&gt;=50,"P1 - High",IF(AB888&gt;=30,"P2 - Medium",IF(AB888&gt;=15,"P3 - Low","P4 - Monitor"))))))</x:f>
      </x:c>
      <x:c r="AD888" s="73"/>
      <x:c r="AE888" s="73"/>
      <x:c r="AF888" s="73"/>
      <x:c r="AG888" s="77"/>
      <x:c r="AH888" s="73"/>
      <x:c r="AI888" s="91"/>
      <x:c r="AJ888" s="91"/>
      <x:c r="AK888" s="91"/>
      <x:c r="AL888" s="92"/>
      <x:c r="AM888" s="91"/>
      <x:c r="AN888" s="91"/>
      <x:c r="AO888" s="93"/>
      <x:c r="AP888" s="94"/>
      <x:c r="AQ888" s="91"/>
      <x:c r="AR888" s="91"/>
      <x:c r="AS888" s="91"/>
      <x:c r="AT888" s="91"/>
      <x:c r="AU888" s="91"/>
      <x:c r="AV888" s="91"/>
      <x:c r="AW888" s="91"/>
      <x:c r="AX888" s="91"/>
      <x:c r="AY888" s="91"/>
      <x:c r="AZ888" s="92"/>
      <x:c r="BA888" s="94"/>
      <x:c r="BB888" s="91"/>
      <x:c r="BC888" s="92"/>
      <x:c r="BD888" s="92"/>
      <x:c r="BE888" s="91"/>
      <x:c r="BF888" s="91"/>
      <x:c r="BG888" s="91"/>
      <x:c r="BH888" s="91"/>
      <x:c r="BI888" s="91"/>
      <x:c r="BJ888" s="91"/>
      <x:c r="BK888" s="91"/>
      <x:c r="BL888" s="91"/>
      <x:c r="BM888" s="73" t="str">
        <x:f>IF(A888="","",IF(AI888="Example","Example only",IF(AI888&lt;&gt;"Actual","Set record type",IF(COUNTIF($A$2:$A$1001,A888)&gt;1,"Duplicate record ID",IF(OR(D888="",E888="",AF888="",NOT(ISNUMBER(AG888)),AJ888="",AK888="",NOT(ISNUMBER(AL888)),AND(AM888&lt;&gt;"Observed",AM888&lt;&gt;"Corroborated",AM888&lt;&gt;"Declared"),OR(AN888="",AN888="Unknown"),OR(AQ888="",AQ888="Unknown"),OR(AR888="",AR888="Unknown",AR888="TBD"),OR(BC888="",NOT(ISNUMBER(BC888)))),"Evidence incomplete","Evidence recorded; review scope")))))</x:f>
      </x:c>
      <x:c r="BN888" s="73"/>
    </x:row>
    <x:row r="889" ht="34" customHeight="1">
      <x:c r="A889" s="73"/>
      <x:c r="B889" s="73"/>
      <x:c r="C889" s="73"/>
      <x:c r="D889" s="73"/>
      <x:c r="E889" s="73"/>
      <x:c r="F889" s="73"/>
      <x:c r="G889" s="73"/>
      <x:c r="H889" s="73"/>
      <x:c r="I889" s="75"/>
      <x:c r="J889" s="73"/>
      <x:c r="K889" s="73"/>
      <x:c r="L889" s="76"/>
      <x:c r="M889" s="73"/>
      <x:c r="N889" s="73"/>
      <x:c r="O889" s="73"/>
      <x:c r="P889" s="73"/>
      <x:c r="Q889" s="76"/>
      <x:c r="R889" s="73"/>
      <x:c r="S889" s="73"/>
      <x:c r="T889" s="73"/>
      <x:c r="U889" s="73"/>
      <x:c r="V889" s="73"/>
      <x:c r="W889" s="73"/>
      <x:c r="X889" s="73"/>
      <x:c r="Y889" s="73"/>
      <x:c r="Z889" s="73"/>
      <x:c r="AA889" s="73"/>
      <x:c r="AB889" s="76" t="str">
        <x:f>IF(A889="","",IF(OR(NOT(ISNUMBER(I889)),I889&lt;0,NOT(ISNUMBER(AP889)),AP889&lt;0,NOT(ISNUMBER(L889)),L889&lt;1,L889&gt;5,L889&lt;&gt;INT(L889),AND(J889&lt;&gt;"Public",J889&lt;&gt;"Partner",J889&lt;&gt;"Internal",J889&lt;&gt;"None"),AND(K889&lt;&gt;"High",K889&lt;&gt;"Medium",K889&lt;&gt;"Low",K889&lt;&gt;"None"),AND(W889&lt;&gt;"Hard-coded",W889&lt;&gt;"Configurable",W889&lt;&gt;"Policy-managed",W889&lt;&gt;"API/Library abstraction",W889&lt;&gt;"Automated"),AND(Z889&lt;&gt;"Y",Z889&lt;&gt;"N"),AND(AA889&lt;&gt;"Y",AA889&lt;&gt;"N")),"Incomplete",IF(Z889="Y",20,0)+L889*5+IF(AA889="Y",15,0)+IF(J889="Public",10,IF(J889="Partner",7,IF(J889="Internal",3,0)))+IF(W889="Hard-coded",10,IF(W889="Configurable",3,0))+IF(MAX(I889,AP889)&gt;=10,10,IF(MAX(I889,AP889)&gt;=5,7,IF(MAX(I889,AP889)&gt;=2,3,0)))+IF(K889="High",10,IF(K889="Medium",5,0))))</x:f>
      </x:c>
      <x:c r="AC889" s="73" t="str">
        <x:f>IF(A889="","",IF(NOT(ISNUMBER(AB889)),"Review inputs",IF(AB889&gt;=70,"P0 - Immediate",IF(AB889&gt;=50,"P1 - High",IF(AB889&gt;=30,"P2 - Medium",IF(AB889&gt;=15,"P3 - Low","P4 - Monitor"))))))</x:f>
      </x:c>
      <x:c r="AD889" s="73"/>
      <x:c r="AE889" s="73"/>
      <x:c r="AF889" s="73"/>
      <x:c r="AG889" s="77"/>
      <x:c r="AH889" s="73"/>
      <x:c r="AI889" s="91"/>
      <x:c r="AJ889" s="91"/>
      <x:c r="AK889" s="91"/>
      <x:c r="AL889" s="92"/>
      <x:c r="AM889" s="91"/>
      <x:c r="AN889" s="91"/>
      <x:c r="AO889" s="93"/>
      <x:c r="AP889" s="94"/>
      <x:c r="AQ889" s="91"/>
      <x:c r="AR889" s="91"/>
      <x:c r="AS889" s="91"/>
      <x:c r="AT889" s="91"/>
      <x:c r="AU889" s="91"/>
      <x:c r="AV889" s="91"/>
      <x:c r="AW889" s="91"/>
      <x:c r="AX889" s="91"/>
      <x:c r="AY889" s="91"/>
      <x:c r="AZ889" s="92"/>
      <x:c r="BA889" s="94"/>
      <x:c r="BB889" s="91"/>
      <x:c r="BC889" s="92"/>
      <x:c r="BD889" s="92"/>
      <x:c r="BE889" s="91"/>
      <x:c r="BF889" s="91"/>
      <x:c r="BG889" s="91"/>
      <x:c r="BH889" s="91"/>
      <x:c r="BI889" s="91"/>
      <x:c r="BJ889" s="91"/>
      <x:c r="BK889" s="91"/>
      <x:c r="BL889" s="91"/>
      <x:c r="BM889" s="73" t="str">
        <x:f>IF(A889="","",IF(AI889="Example","Example only",IF(AI889&lt;&gt;"Actual","Set record type",IF(COUNTIF($A$2:$A$1001,A889)&gt;1,"Duplicate record ID",IF(OR(D889="",E889="",AF889="",NOT(ISNUMBER(AG889)),AJ889="",AK889="",NOT(ISNUMBER(AL889)),AND(AM889&lt;&gt;"Observed",AM889&lt;&gt;"Corroborated",AM889&lt;&gt;"Declared"),OR(AN889="",AN889="Unknown"),OR(AQ889="",AQ889="Unknown"),OR(AR889="",AR889="Unknown",AR889="TBD"),OR(BC889="",NOT(ISNUMBER(BC889)))),"Evidence incomplete","Evidence recorded; review scope")))))</x:f>
      </x:c>
      <x:c r="BN889" s="73"/>
    </x:row>
    <x:row r="890" ht="34" customHeight="1">
      <x:c r="A890" s="73"/>
      <x:c r="B890" s="73"/>
      <x:c r="C890" s="73"/>
      <x:c r="D890" s="73"/>
      <x:c r="E890" s="73"/>
      <x:c r="F890" s="73"/>
      <x:c r="G890" s="73"/>
      <x:c r="H890" s="73"/>
      <x:c r="I890" s="75"/>
      <x:c r="J890" s="73"/>
      <x:c r="K890" s="73"/>
      <x:c r="L890" s="76"/>
      <x:c r="M890" s="73"/>
      <x:c r="N890" s="73"/>
      <x:c r="O890" s="73"/>
      <x:c r="P890" s="73"/>
      <x:c r="Q890" s="76"/>
      <x:c r="R890" s="73"/>
      <x:c r="S890" s="73"/>
      <x:c r="T890" s="73"/>
      <x:c r="U890" s="73"/>
      <x:c r="V890" s="73"/>
      <x:c r="W890" s="73"/>
      <x:c r="X890" s="73"/>
      <x:c r="Y890" s="73"/>
      <x:c r="Z890" s="73"/>
      <x:c r="AA890" s="73"/>
      <x:c r="AB890" s="76" t="str">
        <x:f>IF(A890="","",IF(OR(NOT(ISNUMBER(I890)),I890&lt;0,NOT(ISNUMBER(AP890)),AP890&lt;0,NOT(ISNUMBER(L890)),L890&lt;1,L890&gt;5,L890&lt;&gt;INT(L890),AND(J890&lt;&gt;"Public",J890&lt;&gt;"Partner",J890&lt;&gt;"Internal",J890&lt;&gt;"None"),AND(K890&lt;&gt;"High",K890&lt;&gt;"Medium",K890&lt;&gt;"Low",K890&lt;&gt;"None"),AND(W890&lt;&gt;"Hard-coded",W890&lt;&gt;"Configurable",W890&lt;&gt;"Policy-managed",W890&lt;&gt;"API/Library abstraction",W890&lt;&gt;"Automated"),AND(Z890&lt;&gt;"Y",Z890&lt;&gt;"N"),AND(AA890&lt;&gt;"Y",AA890&lt;&gt;"N")),"Incomplete",IF(Z890="Y",20,0)+L890*5+IF(AA890="Y",15,0)+IF(J890="Public",10,IF(J890="Partner",7,IF(J890="Internal",3,0)))+IF(W890="Hard-coded",10,IF(W890="Configurable",3,0))+IF(MAX(I890,AP890)&gt;=10,10,IF(MAX(I890,AP890)&gt;=5,7,IF(MAX(I890,AP890)&gt;=2,3,0)))+IF(K890="High",10,IF(K890="Medium",5,0))))</x:f>
      </x:c>
      <x:c r="AC890" s="73" t="str">
        <x:f>IF(A890="","",IF(NOT(ISNUMBER(AB890)),"Review inputs",IF(AB890&gt;=70,"P0 - Immediate",IF(AB890&gt;=50,"P1 - High",IF(AB890&gt;=30,"P2 - Medium",IF(AB890&gt;=15,"P3 - Low","P4 - Monitor"))))))</x:f>
      </x:c>
      <x:c r="AD890" s="73"/>
      <x:c r="AE890" s="73"/>
      <x:c r="AF890" s="73"/>
      <x:c r="AG890" s="77"/>
      <x:c r="AH890" s="73"/>
      <x:c r="AI890" s="91"/>
      <x:c r="AJ890" s="91"/>
      <x:c r="AK890" s="91"/>
      <x:c r="AL890" s="92"/>
      <x:c r="AM890" s="91"/>
      <x:c r="AN890" s="91"/>
      <x:c r="AO890" s="93"/>
      <x:c r="AP890" s="94"/>
      <x:c r="AQ890" s="91"/>
      <x:c r="AR890" s="91"/>
      <x:c r="AS890" s="91"/>
      <x:c r="AT890" s="91"/>
      <x:c r="AU890" s="91"/>
      <x:c r="AV890" s="91"/>
      <x:c r="AW890" s="91"/>
      <x:c r="AX890" s="91"/>
      <x:c r="AY890" s="91"/>
      <x:c r="AZ890" s="92"/>
      <x:c r="BA890" s="94"/>
      <x:c r="BB890" s="91"/>
      <x:c r="BC890" s="92"/>
      <x:c r="BD890" s="92"/>
      <x:c r="BE890" s="91"/>
      <x:c r="BF890" s="91"/>
      <x:c r="BG890" s="91"/>
      <x:c r="BH890" s="91"/>
      <x:c r="BI890" s="91"/>
      <x:c r="BJ890" s="91"/>
      <x:c r="BK890" s="91"/>
      <x:c r="BL890" s="91"/>
      <x:c r="BM890" s="73" t="str">
        <x:f>IF(A890="","",IF(AI890="Example","Example only",IF(AI890&lt;&gt;"Actual","Set record type",IF(COUNTIF($A$2:$A$1001,A890)&gt;1,"Duplicate record ID",IF(OR(D890="",E890="",AF890="",NOT(ISNUMBER(AG890)),AJ890="",AK890="",NOT(ISNUMBER(AL890)),AND(AM890&lt;&gt;"Observed",AM890&lt;&gt;"Corroborated",AM890&lt;&gt;"Declared"),OR(AN890="",AN890="Unknown"),OR(AQ890="",AQ890="Unknown"),OR(AR890="",AR890="Unknown",AR890="TBD"),OR(BC890="",NOT(ISNUMBER(BC890)))),"Evidence incomplete","Evidence recorded; review scope")))))</x:f>
      </x:c>
      <x:c r="BN890" s="73"/>
    </x:row>
    <x:row r="891" ht="34" customHeight="1">
      <x:c r="A891" s="73"/>
      <x:c r="B891" s="73"/>
      <x:c r="C891" s="73"/>
      <x:c r="D891" s="73"/>
      <x:c r="E891" s="73"/>
      <x:c r="F891" s="73"/>
      <x:c r="G891" s="73"/>
      <x:c r="H891" s="73"/>
      <x:c r="I891" s="75"/>
      <x:c r="J891" s="73"/>
      <x:c r="K891" s="73"/>
      <x:c r="L891" s="76"/>
      <x:c r="M891" s="73"/>
      <x:c r="N891" s="73"/>
      <x:c r="O891" s="73"/>
      <x:c r="P891" s="73"/>
      <x:c r="Q891" s="76"/>
      <x:c r="R891" s="73"/>
      <x:c r="S891" s="73"/>
      <x:c r="T891" s="73"/>
      <x:c r="U891" s="73"/>
      <x:c r="V891" s="73"/>
      <x:c r="W891" s="73"/>
      <x:c r="X891" s="73"/>
      <x:c r="Y891" s="73"/>
      <x:c r="Z891" s="73"/>
      <x:c r="AA891" s="73"/>
      <x:c r="AB891" s="76" t="str">
        <x:f>IF(A891="","",IF(OR(NOT(ISNUMBER(I891)),I891&lt;0,NOT(ISNUMBER(AP891)),AP891&lt;0,NOT(ISNUMBER(L891)),L891&lt;1,L891&gt;5,L891&lt;&gt;INT(L891),AND(J891&lt;&gt;"Public",J891&lt;&gt;"Partner",J891&lt;&gt;"Internal",J891&lt;&gt;"None"),AND(K891&lt;&gt;"High",K891&lt;&gt;"Medium",K891&lt;&gt;"Low",K891&lt;&gt;"None"),AND(W891&lt;&gt;"Hard-coded",W891&lt;&gt;"Configurable",W891&lt;&gt;"Policy-managed",W891&lt;&gt;"API/Library abstraction",W891&lt;&gt;"Automated"),AND(Z891&lt;&gt;"Y",Z891&lt;&gt;"N"),AND(AA891&lt;&gt;"Y",AA891&lt;&gt;"N")),"Incomplete",IF(Z891="Y",20,0)+L891*5+IF(AA891="Y",15,0)+IF(J891="Public",10,IF(J891="Partner",7,IF(J891="Internal",3,0)))+IF(W891="Hard-coded",10,IF(W891="Configurable",3,0))+IF(MAX(I891,AP891)&gt;=10,10,IF(MAX(I891,AP891)&gt;=5,7,IF(MAX(I891,AP891)&gt;=2,3,0)))+IF(K891="High",10,IF(K891="Medium",5,0))))</x:f>
      </x:c>
      <x:c r="AC891" s="73" t="str">
        <x:f>IF(A891="","",IF(NOT(ISNUMBER(AB891)),"Review inputs",IF(AB891&gt;=70,"P0 - Immediate",IF(AB891&gt;=50,"P1 - High",IF(AB891&gt;=30,"P2 - Medium",IF(AB891&gt;=15,"P3 - Low","P4 - Monitor"))))))</x:f>
      </x:c>
      <x:c r="AD891" s="73"/>
      <x:c r="AE891" s="73"/>
      <x:c r="AF891" s="73"/>
      <x:c r="AG891" s="77"/>
      <x:c r="AH891" s="73"/>
      <x:c r="AI891" s="91"/>
      <x:c r="AJ891" s="91"/>
      <x:c r="AK891" s="91"/>
      <x:c r="AL891" s="92"/>
      <x:c r="AM891" s="91"/>
      <x:c r="AN891" s="91"/>
      <x:c r="AO891" s="93"/>
      <x:c r="AP891" s="94"/>
      <x:c r="AQ891" s="91"/>
      <x:c r="AR891" s="91"/>
      <x:c r="AS891" s="91"/>
      <x:c r="AT891" s="91"/>
      <x:c r="AU891" s="91"/>
      <x:c r="AV891" s="91"/>
      <x:c r="AW891" s="91"/>
      <x:c r="AX891" s="91"/>
      <x:c r="AY891" s="91"/>
      <x:c r="AZ891" s="92"/>
      <x:c r="BA891" s="94"/>
      <x:c r="BB891" s="91"/>
      <x:c r="BC891" s="92"/>
      <x:c r="BD891" s="92"/>
      <x:c r="BE891" s="91"/>
      <x:c r="BF891" s="91"/>
      <x:c r="BG891" s="91"/>
      <x:c r="BH891" s="91"/>
      <x:c r="BI891" s="91"/>
      <x:c r="BJ891" s="91"/>
      <x:c r="BK891" s="91"/>
      <x:c r="BL891" s="91"/>
      <x:c r="BM891" s="73" t="str">
        <x:f>IF(A891="","",IF(AI891="Example","Example only",IF(AI891&lt;&gt;"Actual","Set record type",IF(COUNTIF($A$2:$A$1001,A891)&gt;1,"Duplicate record ID",IF(OR(D891="",E891="",AF891="",NOT(ISNUMBER(AG891)),AJ891="",AK891="",NOT(ISNUMBER(AL891)),AND(AM891&lt;&gt;"Observed",AM891&lt;&gt;"Corroborated",AM891&lt;&gt;"Declared"),OR(AN891="",AN891="Unknown"),OR(AQ891="",AQ891="Unknown"),OR(AR891="",AR891="Unknown",AR891="TBD"),OR(BC891="",NOT(ISNUMBER(BC891)))),"Evidence incomplete","Evidence recorded; review scope")))))</x:f>
      </x:c>
      <x:c r="BN891" s="73"/>
    </x:row>
    <x:row r="892" ht="34" customHeight="1">
      <x:c r="A892" s="73"/>
      <x:c r="B892" s="73"/>
      <x:c r="C892" s="73"/>
      <x:c r="D892" s="73"/>
      <x:c r="E892" s="73"/>
      <x:c r="F892" s="73"/>
      <x:c r="G892" s="73"/>
      <x:c r="H892" s="73"/>
      <x:c r="I892" s="75"/>
      <x:c r="J892" s="73"/>
      <x:c r="K892" s="73"/>
      <x:c r="L892" s="76"/>
      <x:c r="M892" s="73"/>
      <x:c r="N892" s="73"/>
      <x:c r="O892" s="73"/>
      <x:c r="P892" s="73"/>
      <x:c r="Q892" s="76"/>
      <x:c r="R892" s="73"/>
      <x:c r="S892" s="73"/>
      <x:c r="T892" s="73"/>
      <x:c r="U892" s="73"/>
      <x:c r="V892" s="73"/>
      <x:c r="W892" s="73"/>
      <x:c r="X892" s="73"/>
      <x:c r="Y892" s="73"/>
      <x:c r="Z892" s="73"/>
      <x:c r="AA892" s="73"/>
      <x:c r="AB892" s="76" t="str">
        <x:f>IF(A892="","",IF(OR(NOT(ISNUMBER(I892)),I892&lt;0,NOT(ISNUMBER(AP892)),AP892&lt;0,NOT(ISNUMBER(L892)),L892&lt;1,L892&gt;5,L892&lt;&gt;INT(L892),AND(J892&lt;&gt;"Public",J892&lt;&gt;"Partner",J892&lt;&gt;"Internal",J892&lt;&gt;"None"),AND(K892&lt;&gt;"High",K892&lt;&gt;"Medium",K892&lt;&gt;"Low",K892&lt;&gt;"None"),AND(W892&lt;&gt;"Hard-coded",W892&lt;&gt;"Configurable",W892&lt;&gt;"Policy-managed",W892&lt;&gt;"API/Library abstraction",W892&lt;&gt;"Automated"),AND(Z892&lt;&gt;"Y",Z892&lt;&gt;"N"),AND(AA892&lt;&gt;"Y",AA892&lt;&gt;"N")),"Incomplete",IF(Z892="Y",20,0)+L892*5+IF(AA892="Y",15,0)+IF(J892="Public",10,IF(J892="Partner",7,IF(J892="Internal",3,0)))+IF(W892="Hard-coded",10,IF(W892="Configurable",3,0))+IF(MAX(I892,AP892)&gt;=10,10,IF(MAX(I892,AP892)&gt;=5,7,IF(MAX(I892,AP892)&gt;=2,3,0)))+IF(K892="High",10,IF(K892="Medium",5,0))))</x:f>
      </x:c>
      <x:c r="AC892" s="73" t="str">
        <x:f>IF(A892="","",IF(NOT(ISNUMBER(AB892)),"Review inputs",IF(AB892&gt;=70,"P0 - Immediate",IF(AB892&gt;=50,"P1 - High",IF(AB892&gt;=30,"P2 - Medium",IF(AB892&gt;=15,"P3 - Low","P4 - Monitor"))))))</x:f>
      </x:c>
      <x:c r="AD892" s="73"/>
      <x:c r="AE892" s="73"/>
      <x:c r="AF892" s="73"/>
      <x:c r="AG892" s="77"/>
      <x:c r="AH892" s="73"/>
      <x:c r="AI892" s="91"/>
      <x:c r="AJ892" s="91"/>
      <x:c r="AK892" s="91"/>
      <x:c r="AL892" s="92"/>
      <x:c r="AM892" s="91"/>
      <x:c r="AN892" s="91"/>
      <x:c r="AO892" s="93"/>
      <x:c r="AP892" s="94"/>
      <x:c r="AQ892" s="91"/>
      <x:c r="AR892" s="91"/>
      <x:c r="AS892" s="91"/>
      <x:c r="AT892" s="91"/>
      <x:c r="AU892" s="91"/>
      <x:c r="AV892" s="91"/>
      <x:c r="AW892" s="91"/>
      <x:c r="AX892" s="91"/>
      <x:c r="AY892" s="91"/>
      <x:c r="AZ892" s="92"/>
      <x:c r="BA892" s="94"/>
      <x:c r="BB892" s="91"/>
      <x:c r="BC892" s="92"/>
      <x:c r="BD892" s="92"/>
      <x:c r="BE892" s="91"/>
      <x:c r="BF892" s="91"/>
      <x:c r="BG892" s="91"/>
      <x:c r="BH892" s="91"/>
      <x:c r="BI892" s="91"/>
      <x:c r="BJ892" s="91"/>
      <x:c r="BK892" s="91"/>
      <x:c r="BL892" s="91"/>
      <x:c r="BM892" s="73" t="str">
        <x:f>IF(A892="","",IF(AI892="Example","Example only",IF(AI892&lt;&gt;"Actual","Set record type",IF(COUNTIF($A$2:$A$1001,A892)&gt;1,"Duplicate record ID",IF(OR(D892="",E892="",AF892="",NOT(ISNUMBER(AG892)),AJ892="",AK892="",NOT(ISNUMBER(AL892)),AND(AM892&lt;&gt;"Observed",AM892&lt;&gt;"Corroborated",AM892&lt;&gt;"Declared"),OR(AN892="",AN892="Unknown"),OR(AQ892="",AQ892="Unknown"),OR(AR892="",AR892="Unknown",AR892="TBD"),OR(BC892="",NOT(ISNUMBER(BC892)))),"Evidence incomplete","Evidence recorded; review scope")))))</x:f>
      </x:c>
      <x:c r="BN892" s="73"/>
    </x:row>
    <x:row r="893" ht="34" customHeight="1">
      <x:c r="A893" s="73"/>
      <x:c r="B893" s="73"/>
      <x:c r="C893" s="73"/>
      <x:c r="D893" s="73"/>
      <x:c r="E893" s="73"/>
      <x:c r="F893" s="73"/>
      <x:c r="G893" s="73"/>
      <x:c r="H893" s="73"/>
      <x:c r="I893" s="75"/>
      <x:c r="J893" s="73"/>
      <x:c r="K893" s="73"/>
      <x:c r="L893" s="76"/>
      <x:c r="M893" s="73"/>
      <x:c r="N893" s="73"/>
      <x:c r="O893" s="73"/>
      <x:c r="P893" s="73"/>
      <x:c r="Q893" s="76"/>
      <x:c r="R893" s="73"/>
      <x:c r="S893" s="73"/>
      <x:c r="T893" s="73"/>
      <x:c r="U893" s="73"/>
      <x:c r="V893" s="73"/>
      <x:c r="W893" s="73"/>
      <x:c r="X893" s="73"/>
      <x:c r="Y893" s="73"/>
      <x:c r="Z893" s="73"/>
      <x:c r="AA893" s="73"/>
      <x:c r="AB893" s="76" t="str">
        <x:f>IF(A893="","",IF(OR(NOT(ISNUMBER(I893)),I893&lt;0,NOT(ISNUMBER(AP893)),AP893&lt;0,NOT(ISNUMBER(L893)),L893&lt;1,L893&gt;5,L893&lt;&gt;INT(L893),AND(J893&lt;&gt;"Public",J893&lt;&gt;"Partner",J893&lt;&gt;"Internal",J893&lt;&gt;"None"),AND(K893&lt;&gt;"High",K893&lt;&gt;"Medium",K893&lt;&gt;"Low",K893&lt;&gt;"None"),AND(W893&lt;&gt;"Hard-coded",W893&lt;&gt;"Configurable",W893&lt;&gt;"Policy-managed",W893&lt;&gt;"API/Library abstraction",W893&lt;&gt;"Automated"),AND(Z893&lt;&gt;"Y",Z893&lt;&gt;"N"),AND(AA893&lt;&gt;"Y",AA893&lt;&gt;"N")),"Incomplete",IF(Z893="Y",20,0)+L893*5+IF(AA893="Y",15,0)+IF(J893="Public",10,IF(J893="Partner",7,IF(J893="Internal",3,0)))+IF(W893="Hard-coded",10,IF(W893="Configurable",3,0))+IF(MAX(I893,AP893)&gt;=10,10,IF(MAX(I893,AP893)&gt;=5,7,IF(MAX(I893,AP893)&gt;=2,3,0)))+IF(K893="High",10,IF(K893="Medium",5,0))))</x:f>
      </x:c>
      <x:c r="AC893" s="73" t="str">
        <x:f>IF(A893="","",IF(NOT(ISNUMBER(AB893)),"Review inputs",IF(AB893&gt;=70,"P0 - Immediate",IF(AB893&gt;=50,"P1 - High",IF(AB893&gt;=30,"P2 - Medium",IF(AB893&gt;=15,"P3 - Low","P4 - Monitor"))))))</x:f>
      </x:c>
      <x:c r="AD893" s="73"/>
      <x:c r="AE893" s="73"/>
      <x:c r="AF893" s="73"/>
      <x:c r="AG893" s="77"/>
      <x:c r="AH893" s="73"/>
      <x:c r="AI893" s="91"/>
      <x:c r="AJ893" s="91"/>
      <x:c r="AK893" s="91"/>
      <x:c r="AL893" s="92"/>
      <x:c r="AM893" s="91"/>
      <x:c r="AN893" s="91"/>
      <x:c r="AO893" s="93"/>
      <x:c r="AP893" s="94"/>
      <x:c r="AQ893" s="91"/>
      <x:c r="AR893" s="91"/>
      <x:c r="AS893" s="91"/>
      <x:c r="AT893" s="91"/>
      <x:c r="AU893" s="91"/>
      <x:c r="AV893" s="91"/>
      <x:c r="AW893" s="91"/>
      <x:c r="AX893" s="91"/>
      <x:c r="AY893" s="91"/>
      <x:c r="AZ893" s="92"/>
      <x:c r="BA893" s="94"/>
      <x:c r="BB893" s="91"/>
      <x:c r="BC893" s="92"/>
      <x:c r="BD893" s="92"/>
      <x:c r="BE893" s="91"/>
      <x:c r="BF893" s="91"/>
      <x:c r="BG893" s="91"/>
      <x:c r="BH893" s="91"/>
      <x:c r="BI893" s="91"/>
      <x:c r="BJ893" s="91"/>
      <x:c r="BK893" s="91"/>
      <x:c r="BL893" s="91"/>
      <x:c r="BM893" s="73" t="str">
        <x:f>IF(A893="","",IF(AI893="Example","Example only",IF(AI893&lt;&gt;"Actual","Set record type",IF(COUNTIF($A$2:$A$1001,A893)&gt;1,"Duplicate record ID",IF(OR(D893="",E893="",AF893="",NOT(ISNUMBER(AG893)),AJ893="",AK893="",NOT(ISNUMBER(AL893)),AND(AM893&lt;&gt;"Observed",AM893&lt;&gt;"Corroborated",AM893&lt;&gt;"Declared"),OR(AN893="",AN893="Unknown"),OR(AQ893="",AQ893="Unknown"),OR(AR893="",AR893="Unknown",AR893="TBD"),OR(BC893="",NOT(ISNUMBER(BC893)))),"Evidence incomplete","Evidence recorded; review scope")))))</x:f>
      </x:c>
      <x:c r="BN893" s="73"/>
    </x:row>
    <x:row r="894" ht="34" customHeight="1">
      <x:c r="A894" s="73"/>
      <x:c r="B894" s="73"/>
      <x:c r="C894" s="73"/>
      <x:c r="D894" s="73"/>
      <x:c r="E894" s="73"/>
      <x:c r="F894" s="73"/>
      <x:c r="G894" s="73"/>
      <x:c r="H894" s="73"/>
      <x:c r="I894" s="75"/>
      <x:c r="J894" s="73"/>
      <x:c r="K894" s="73"/>
      <x:c r="L894" s="76"/>
      <x:c r="M894" s="73"/>
      <x:c r="N894" s="73"/>
      <x:c r="O894" s="73"/>
      <x:c r="P894" s="73"/>
      <x:c r="Q894" s="76"/>
      <x:c r="R894" s="73"/>
      <x:c r="S894" s="73"/>
      <x:c r="T894" s="73"/>
      <x:c r="U894" s="73"/>
      <x:c r="V894" s="73"/>
      <x:c r="W894" s="73"/>
      <x:c r="X894" s="73"/>
      <x:c r="Y894" s="73"/>
      <x:c r="Z894" s="73"/>
      <x:c r="AA894" s="73"/>
      <x:c r="AB894" s="76" t="str">
        <x:f>IF(A894="","",IF(OR(NOT(ISNUMBER(I894)),I894&lt;0,NOT(ISNUMBER(AP894)),AP894&lt;0,NOT(ISNUMBER(L894)),L894&lt;1,L894&gt;5,L894&lt;&gt;INT(L894),AND(J894&lt;&gt;"Public",J894&lt;&gt;"Partner",J894&lt;&gt;"Internal",J894&lt;&gt;"None"),AND(K894&lt;&gt;"High",K894&lt;&gt;"Medium",K894&lt;&gt;"Low",K894&lt;&gt;"None"),AND(W894&lt;&gt;"Hard-coded",W894&lt;&gt;"Configurable",W894&lt;&gt;"Policy-managed",W894&lt;&gt;"API/Library abstraction",W894&lt;&gt;"Automated"),AND(Z894&lt;&gt;"Y",Z894&lt;&gt;"N"),AND(AA894&lt;&gt;"Y",AA894&lt;&gt;"N")),"Incomplete",IF(Z894="Y",20,0)+L894*5+IF(AA894="Y",15,0)+IF(J894="Public",10,IF(J894="Partner",7,IF(J894="Internal",3,0)))+IF(W894="Hard-coded",10,IF(W894="Configurable",3,0))+IF(MAX(I894,AP894)&gt;=10,10,IF(MAX(I894,AP894)&gt;=5,7,IF(MAX(I894,AP894)&gt;=2,3,0)))+IF(K894="High",10,IF(K894="Medium",5,0))))</x:f>
      </x:c>
      <x:c r="AC894" s="73" t="str">
        <x:f>IF(A894="","",IF(NOT(ISNUMBER(AB894)),"Review inputs",IF(AB894&gt;=70,"P0 - Immediate",IF(AB894&gt;=50,"P1 - High",IF(AB894&gt;=30,"P2 - Medium",IF(AB894&gt;=15,"P3 - Low","P4 - Monitor"))))))</x:f>
      </x:c>
      <x:c r="AD894" s="73"/>
      <x:c r="AE894" s="73"/>
      <x:c r="AF894" s="73"/>
      <x:c r="AG894" s="77"/>
      <x:c r="AH894" s="73"/>
      <x:c r="AI894" s="91"/>
      <x:c r="AJ894" s="91"/>
      <x:c r="AK894" s="91"/>
      <x:c r="AL894" s="92"/>
      <x:c r="AM894" s="91"/>
      <x:c r="AN894" s="91"/>
      <x:c r="AO894" s="93"/>
      <x:c r="AP894" s="94"/>
      <x:c r="AQ894" s="91"/>
      <x:c r="AR894" s="91"/>
      <x:c r="AS894" s="91"/>
      <x:c r="AT894" s="91"/>
      <x:c r="AU894" s="91"/>
      <x:c r="AV894" s="91"/>
      <x:c r="AW894" s="91"/>
      <x:c r="AX894" s="91"/>
      <x:c r="AY894" s="91"/>
      <x:c r="AZ894" s="92"/>
      <x:c r="BA894" s="94"/>
      <x:c r="BB894" s="91"/>
      <x:c r="BC894" s="92"/>
      <x:c r="BD894" s="92"/>
      <x:c r="BE894" s="91"/>
      <x:c r="BF894" s="91"/>
      <x:c r="BG894" s="91"/>
      <x:c r="BH894" s="91"/>
      <x:c r="BI894" s="91"/>
      <x:c r="BJ894" s="91"/>
      <x:c r="BK894" s="91"/>
      <x:c r="BL894" s="91"/>
      <x:c r="BM894" s="73" t="str">
        <x:f>IF(A894="","",IF(AI894="Example","Example only",IF(AI894&lt;&gt;"Actual","Set record type",IF(COUNTIF($A$2:$A$1001,A894)&gt;1,"Duplicate record ID",IF(OR(D894="",E894="",AF894="",NOT(ISNUMBER(AG894)),AJ894="",AK894="",NOT(ISNUMBER(AL894)),AND(AM894&lt;&gt;"Observed",AM894&lt;&gt;"Corroborated",AM894&lt;&gt;"Declared"),OR(AN894="",AN894="Unknown"),OR(AQ894="",AQ894="Unknown"),OR(AR894="",AR894="Unknown",AR894="TBD"),OR(BC894="",NOT(ISNUMBER(BC894)))),"Evidence incomplete","Evidence recorded; review scope")))))</x:f>
      </x:c>
      <x:c r="BN894" s="73"/>
    </x:row>
    <x:row r="895" ht="34" customHeight="1">
      <x:c r="A895" s="73"/>
      <x:c r="B895" s="73"/>
      <x:c r="C895" s="73"/>
      <x:c r="D895" s="73"/>
      <x:c r="E895" s="73"/>
      <x:c r="F895" s="73"/>
      <x:c r="G895" s="73"/>
      <x:c r="H895" s="73"/>
      <x:c r="I895" s="75"/>
      <x:c r="J895" s="73"/>
      <x:c r="K895" s="73"/>
      <x:c r="L895" s="76"/>
      <x:c r="M895" s="73"/>
      <x:c r="N895" s="73"/>
      <x:c r="O895" s="73"/>
      <x:c r="P895" s="73"/>
      <x:c r="Q895" s="76"/>
      <x:c r="R895" s="73"/>
      <x:c r="S895" s="73"/>
      <x:c r="T895" s="73"/>
      <x:c r="U895" s="73"/>
      <x:c r="V895" s="73"/>
      <x:c r="W895" s="73"/>
      <x:c r="X895" s="73"/>
      <x:c r="Y895" s="73"/>
      <x:c r="Z895" s="73"/>
      <x:c r="AA895" s="73"/>
      <x:c r="AB895" s="76" t="str">
        <x:f>IF(A895="","",IF(OR(NOT(ISNUMBER(I895)),I895&lt;0,NOT(ISNUMBER(AP895)),AP895&lt;0,NOT(ISNUMBER(L895)),L895&lt;1,L895&gt;5,L895&lt;&gt;INT(L895),AND(J895&lt;&gt;"Public",J895&lt;&gt;"Partner",J895&lt;&gt;"Internal",J895&lt;&gt;"None"),AND(K895&lt;&gt;"High",K895&lt;&gt;"Medium",K895&lt;&gt;"Low",K895&lt;&gt;"None"),AND(W895&lt;&gt;"Hard-coded",W895&lt;&gt;"Configurable",W895&lt;&gt;"Policy-managed",W895&lt;&gt;"API/Library abstraction",W895&lt;&gt;"Automated"),AND(Z895&lt;&gt;"Y",Z895&lt;&gt;"N"),AND(AA895&lt;&gt;"Y",AA895&lt;&gt;"N")),"Incomplete",IF(Z895="Y",20,0)+L895*5+IF(AA895="Y",15,0)+IF(J895="Public",10,IF(J895="Partner",7,IF(J895="Internal",3,0)))+IF(W895="Hard-coded",10,IF(W895="Configurable",3,0))+IF(MAX(I895,AP895)&gt;=10,10,IF(MAX(I895,AP895)&gt;=5,7,IF(MAX(I895,AP895)&gt;=2,3,0)))+IF(K895="High",10,IF(K895="Medium",5,0))))</x:f>
      </x:c>
      <x:c r="AC895" s="73" t="str">
        <x:f>IF(A895="","",IF(NOT(ISNUMBER(AB895)),"Review inputs",IF(AB895&gt;=70,"P0 - Immediate",IF(AB895&gt;=50,"P1 - High",IF(AB895&gt;=30,"P2 - Medium",IF(AB895&gt;=15,"P3 - Low","P4 - Monitor"))))))</x:f>
      </x:c>
      <x:c r="AD895" s="73"/>
      <x:c r="AE895" s="73"/>
      <x:c r="AF895" s="73"/>
      <x:c r="AG895" s="77"/>
      <x:c r="AH895" s="73"/>
      <x:c r="AI895" s="91"/>
      <x:c r="AJ895" s="91"/>
      <x:c r="AK895" s="91"/>
      <x:c r="AL895" s="92"/>
      <x:c r="AM895" s="91"/>
      <x:c r="AN895" s="91"/>
      <x:c r="AO895" s="93"/>
      <x:c r="AP895" s="94"/>
      <x:c r="AQ895" s="91"/>
      <x:c r="AR895" s="91"/>
      <x:c r="AS895" s="91"/>
      <x:c r="AT895" s="91"/>
      <x:c r="AU895" s="91"/>
      <x:c r="AV895" s="91"/>
      <x:c r="AW895" s="91"/>
      <x:c r="AX895" s="91"/>
      <x:c r="AY895" s="91"/>
      <x:c r="AZ895" s="92"/>
      <x:c r="BA895" s="94"/>
      <x:c r="BB895" s="91"/>
      <x:c r="BC895" s="92"/>
      <x:c r="BD895" s="92"/>
      <x:c r="BE895" s="91"/>
      <x:c r="BF895" s="91"/>
      <x:c r="BG895" s="91"/>
      <x:c r="BH895" s="91"/>
      <x:c r="BI895" s="91"/>
      <x:c r="BJ895" s="91"/>
      <x:c r="BK895" s="91"/>
      <x:c r="BL895" s="91"/>
      <x:c r="BM895" s="73" t="str">
        <x:f>IF(A895="","",IF(AI895="Example","Example only",IF(AI895&lt;&gt;"Actual","Set record type",IF(COUNTIF($A$2:$A$1001,A895)&gt;1,"Duplicate record ID",IF(OR(D895="",E895="",AF895="",NOT(ISNUMBER(AG895)),AJ895="",AK895="",NOT(ISNUMBER(AL895)),AND(AM895&lt;&gt;"Observed",AM895&lt;&gt;"Corroborated",AM895&lt;&gt;"Declared"),OR(AN895="",AN895="Unknown"),OR(AQ895="",AQ895="Unknown"),OR(AR895="",AR895="Unknown",AR895="TBD"),OR(BC895="",NOT(ISNUMBER(BC895)))),"Evidence incomplete","Evidence recorded; review scope")))))</x:f>
      </x:c>
      <x:c r="BN895" s="73"/>
    </x:row>
    <x:row r="896" ht="34" customHeight="1">
      <x:c r="A896" s="73"/>
      <x:c r="B896" s="73"/>
      <x:c r="C896" s="73"/>
      <x:c r="D896" s="73"/>
      <x:c r="E896" s="73"/>
      <x:c r="F896" s="73"/>
      <x:c r="G896" s="73"/>
      <x:c r="H896" s="73"/>
      <x:c r="I896" s="75"/>
      <x:c r="J896" s="73"/>
      <x:c r="K896" s="73"/>
      <x:c r="L896" s="76"/>
      <x:c r="M896" s="73"/>
      <x:c r="N896" s="73"/>
      <x:c r="O896" s="73"/>
      <x:c r="P896" s="73"/>
      <x:c r="Q896" s="76"/>
      <x:c r="R896" s="73"/>
      <x:c r="S896" s="73"/>
      <x:c r="T896" s="73"/>
      <x:c r="U896" s="73"/>
      <x:c r="V896" s="73"/>
      <x:c r="W896" s="73"/>
      <x:c r="X896" s="73"/>
      <x:c r="Y896" s="73"/>
      <x:c r="Z896" s="73"/>
      <x:c r="AA896" s="73"/>
      <x:c r="AB896" s="76" t="str">
        <x:f>IF(A896="","",IF(OR(NOT(ISNUMBER(I896)),I896&lt;0,NOT(ISNUMBER(AP896)),AP896&lt;0,NOT(ISNUMBER(L896)),L896&lt;1,L896&gt;5,L896&lt;&gt;INT(L896),AND(J896&lt;&gt;"Public",J896&lt;&gt;"Partner",J896&lt;&gt;"Internal",J896&lt;&gt;"None"),AND(K896&lt;&gt;"High",K896&lt;&gt;"Medium",K896&lt;&gt;"Low",K896&lt;&gt;"None"),AND(W896&lt;&gt;"Hard-coded",W896&lt;&gt;"Configurable",W896&lt;&gt;"Policy-managed",W896&lt;&gt;"API/Library abstraction",W896&lt;&gt;"Automated"),AND(Z896&lt;&gt;"Y",Z896&lt;&gt;"N"),AND(AA896&lt;&gt;"Y",AA896&lt;&gt;"N")),"Incomplete",IF(Z896="Y",20,0)+L896*5+IF(AA896="Y",15,0)+IF(J896="Public",10,IF(J896="Partner",7,IF(J896="Internal",3,0)))+IF(W896="Hard-coded",10,IF(W896="Configurable",3,0))+IF(MAX(I896,AP896)&gt;=10,10,IF(MAX(I896,AP896)&gt;=5,7,IF(MAX(I896,AP896)&gt;=2,3,0)))+IF(K896="High",10,IF(K896="Medium",5,0))))</x:f>
      </x:c>
      <x:c r="AC896" s="73" t="str">
        <x:f>IF(A896="","",IF(NOT(ISNUMBER(AB896)),"Review inputs",IF(AB896&gt;=70,"P0 - Immediate",IF(AB896&gt;=50,"P1 - High",IF(AB896&gt;=30,"P2 - Medium",IF(AB896&gt;=15,"P3 - Low","P4 - Monitor"))))))</x:f>
      </x:c>
      <x:c r="AD896" s="73"/>
      <x:c r="AE896" s="73"/>
      <x:c r="AF896" s="73"/>
      <x:c r="AG896" s="77"/>
      <x:c r="AH896" s="73"/>
      <x:c r="AI896" s="91"/>
      <x:c r="AJ896" s="91"/>
      <x:c r="AK896" s="91"/>
      <x:c r="AL896" s="92"/>
      <x:c r="AM896" s="91"/>
      <x:c r="AN896" s="91"/>
      <x:c r="AO896" s="93"/>
      <x:c r="AP896" s="94"/>
      <x:c r="AQ896" s="91"/>
      <x:c r="AR896" s="91"/>
      <x:c r="AS896" s="91"/>
      <x:c r="AT896" s="91"/>
      <x:c r="AU896" s="91"/>
      <x:c r="AV896" s="91"/>
      <x:c r="AW896" s="91"/>
      <x:c r="AX896" s="91"/>
      <x:c r="AY896" s="91"/>
      <x:c r="AZ896" s="92"/>
      <x:c r="BA896" s="94"/>
      <x:c r="BB896" s="91"/>
      <x:c r="BC896" s="92"/>
      <x:c r="BD896" s="92"/>
      <x:c r="BE896" s="91"/>
      <x:c r="BF896" s="91"/>
      <x:c r="BG896" s="91"/>
      <x:c r="BH896" s="91"/>
      <x:c r="BI896" s="91"/>
      <x:c r="BJ896" s="91"/>
      <x:c r="BK896" s="91"/>
      <x:c r="BL896" s="91"/>
      <x:c r="BM896" s="73" t="str">
        <x:f>IF(A896="","",IF(AI896="Example","Example only",IF(AI896&lt;&gt;"Actual","Set record type",IF(COUNTIF($A$2:$A$1001,A896)&gt;1,"Duplicate record ID",IF(OR(D896="",E896="",AF896="",NOT(ISNUMBER(AG896)),AJ896="",AK896="",NOT(ISNUMBER(AL896)),AND(AM896&lt;&gt;"Observed",AM896&lt;&gt;"Corroborated",AM896&lt;&gt;"Declared"),OR(AN896="",AN896="Unknown"),OR(AQ896="",AQ896="Unknown"),OR(AR896="",AR896="Unknown",AR896="TBD"),OR(BC896="",NOT(ISNUMBER(BC896)))),"Evidence incomplete","Evidence recorded; review scope")))))</x:f>
      </x:c>
      <x:c r="BN896" s="73"/>
    </x:row>
    <x:row r="897" ht="34" customHeight="1">
      <x:c r="A897" s="73"/>
      <x:c r="B897" s="73"/>
      <x:c r="C897" s="73"/>
      <x:c r="D897" s="73"/>
      <x:c r="E897" s="73"/>
      <x:c r="F897" s="73"/>
      <x:c r="G897" s="73"/>
      <x:c r="H897" s="73"/>
      <x:c r="I897" s="75"/>
      <x:c r="J897" s="73"/>
      <x:c r="K897" s="73"/>
      <x:c r="L897" s="76"/>
      <x:c r="M897" s="73"/>
      <x:c r="N897" s="73"/>
      <x:c r="O897" s="73"/>
      <x:c r="P897" s="73"/>
      <x:c r="Q897" s="76"/>
      <x:c r="R897" s="73"/>
      <x:c r="S897" s="73"/>
      <x:c r="T897" s="73"/>
      <x:c r="U897" s="73"/>
      <x:c r="V897" s="73"/>
      <x:c r="W897" s="73"/>
      <x:c r="X897" s="73"/>
      <x:c r="Y897" s="73"/>
      <x:c r="Z897" s="73"/>
      <x:c r="AA897" s="73"/>
      <x:c r="AB897" s="76" t="str">
        <x:f>IF(A897="","",IF(OR(NOT(ISNUMBER(I897)),I897&lt;0,NOT(ISNUMBER(AP897)),AP897&lt;0,NOT(ISNUMBER(L897)),L897&lt;1,L897&gt;5,L897&lt;&gt;INT(L897),AND(J897&lt;&gt;"Public",J897&lt;&gt;"Partner",J897&lt;&gt;"Internal",J897&lt;&gt;"None"),AND(K897&lt;&gt;"High",K897&lt;&gt;"Medium",K897&lt;&gt;"Low",K897&lt;&gt;"None"),AND(W897&lt;&gt;"Hard-coded",W897&lt;&gt;"Configurable",W897&lt;&gt;"Policy-managed",W897&lt;&gt;"API/Library abstraction",W897&lt;&gt;"Automated"),AND(Z897&lt;&gt;"Y",Z897&lt;&gt;"N"),AND(AA897&lt;&gt;"Y",AA897&lt;&gt;"N")),"Incomplete",IF(Z897="Y",20,0)+L897*5+IF(AA897="Y",15,0)+IF(J897="Public",10,IF(J897="Partner",7,IF(J897="Internal",3,0)))+IF(W897="Hard-coded",10,IF(W897="Configurable",3,0))+IF(MAX(I897,AP897)&gt;=10,10,IF(MAX(I897,AP897)&gt;=5,7,IF(MAX(I897,AP897)&gt;=2,3,0)))+IF(K897="High",10,IF(K897="Medium",5,0))))</x:f>
      </x:c>
      <x:c r="AC897" s="73" t="str">
        <x:f>IF(A897="","",IF(NOT(ISNUMBER(AB897)),"Review inputs",IF(AB897&gt;=70,"P0 - Immediate",IF(AB897&gt;=50,"P1 - High",IF(AB897&gt;=30,"P2 - Medium",IF(AB897&gt;=15,"P3 - Low","P4 - Monitor"))))))</x:f>
      </x:c>
      <x:c r="AD897" s="73"/>
      <x:c r="AE897" s="73"/>
      <x:c r="AF897" s="73"/>
      <x:c r="AG897" s="77"/>
      <x:c r="AH897" s="73"/>
      <x:c r="AI897" s="91"/>
      <x:c r="AJ897" s="91"/>
      <x:c r="AK897" s="91"/>
      <x:c r="AL897" s="92"/>
      <x:c r="AM897" s="91"/>
      <x:c r="AN897" s="91"/>
      <x:c r="AO897" s="93"/>
      <x:c r="AP897" s="94"/>
      <x:c r="AQ897" s="91"/>
      <x:c r="AR897" s="91"/>
      <x:c r="AS897" s="91"/>
      <x:c r="AT897" s="91"/>
      <x:c r="AU897" s="91"/>
      <x:c r="AV897" s="91"/>
      <x:c r="AW897" s="91"/>
      <x:c r="AX897" s="91"/>
      <x:c r="AY897" s="91"/>
      <x:c r="AZ897" s="92"/>
      <x:c r="BA897" s="94"/>
      <x:c r="BB897" s="91"/>
      <x:c r="BC897" s="92"/>
      <x:c r="BD897" s="92"/>
      <x:c r="BE897" s="91"/>
      <x:c r="BF897" s="91"/>
      <x:c r="BG897" s="91"/>
      <x:c r="BH897" s="91"/>
      <x:c r="BI897" s="91"/>
      <x:c r="BJ897" s="91"/>
      <x:c r="BK897" s="91"/>
      <x:c r="BL897" s="91"/>
      <x:c r="BM897" s="73" t="str">
        <x:f>IF(A897="","",IF(AI897="Example","Example only",IF(AI897&lt;&gt;"Actual","Set record type",IF(COUNTIF($A$2:$A$1001,A897)&gt;1,"Duplicate record ID",IF(OR(D897="",E897="",AF897="",NOT(ISNUMBER(AG897)),AJ897="",AK897="",NOT(ISNUMBER(AL897)),AND(AM897&lt;&gt;"Observed",AM897&lt;&gt;"Corroborated",AM897&lt;&gt;"Declared"),OR(AN897="",AN897="Unknown"),OR(AQ897="",AQ897="Unknown"),OR(AR897="",AR897="Unknown",AR897="TBD"),OR(BC897="",NOT(ISNUMBER(BC897)))),"Evidence incomplete","Evidence recorded; review scope")))))</x:f>
      </x:c>
      <x:c r="BN897" s="73"/>
    </x:row>
    <x:row r="898" ht="34" customHeight="1">
      <x:c r="A898" s="73"/>
      <x:c r="B898" s="73"/>
      <x:c r="C898" s="73"/>
      <x:c r="D898" s="73"/>
      <x:c r="E898" s="73"/>
      <x:c r="F898" s="73"/>
      <x:c r="G898" s="73"/>
      <x:c r="H898" s="73"/>
      <x:c r="I898" s="75"/>
      <x:c r="J898" s="73"/>
      <x:c r="K898" s="73"/>
      <x:c r="L898" s="76"/>
      <x:c r="M898" s="73"/>
      <x:c r="N898" s="73"/>
      <x:c r="O898" s="73"/>
      <x:c r="P898" s="73"/>
      <x:c r="Q898" s="76"/>
      <x:c r="R898" s="73"/>
      <x:c r="S898" s="73"/>
      <x:c r="T898" s="73"/>
      <x:c r="U898" s="73"/>
      <x:c r="V898" s="73"/>
      <x:c r="W898" s="73"/>
      <x:c r="X898" s="73"/>
      <x:c r="Y898" s="73"/>
      <x:c r="Z898" s="73"/>
      <x:c r="AA898" s="73"/>
      <x:c r="AB898" s="76" t="str">
        <x:f>IF(A898="","",IF(OR(NOT(ISNUMBER(I898)),I898&lt;0,NOT(ISNUMBER(AP898)),AP898&lt;0,NOT(ISNUMBER(L898)),L898&lt;1,L898&gt;5,L898&lt;&gt;INT(L898),AND(J898&lt;&gt;"Public",J898&lt;&gt;"Partner",J898&lt;&gt;"Internal",J898&lt;&gt;"None"),AND(K898&lt;&gt;"High",K898&lt;&gt;"Medium",K898&lt;&gt;"Low",K898&lt;&gt;"None"),AND(W898&lt;&gt;"Hard-coded",W898&lt;&gt;"Configurable",W898&lt;&gt;"Policy-managed",W898&lt;&gt;"API/Library abstraction",W898&lt;&gt;"Automated"),AND(Z898&lt;&gt;"Y",Z898&lt;&gt;"N"),AND(AA898&lt;&gt;"Y",AA898&lt;&gt;"N")),"Incomplete",IF(Z898="Y",20,0)+L898*5+IF(AA898="Y",15,0)+IF(J898="Public",10,IF(J898="Partner",7,IF(J898="Internal",3,0)))+IF(W898="Hard-coded",10,IF(W898="Configurable",3,0))+IF(MAX(I898,AP898)&gt;=10,10,IF(MAX(I898,AP898)&gt;=5,7,IF(MAX(I898,AP898)&gt;=2,3,0)))+IF(K898="High",10,IF(K898="Medium",5,0))))</x:f>
      </x:c>
      <x:c r="AC898" s="73" t="str">
        <x:f>IF(A898="","",IF(NOT(ISNUMBER(AB898)),"Review inputs",IF(AB898&gt;=70,"P0 - Immediate",IF(AB898&gt;=50,"P1 - High",IF(AB898&gt;=30,"P2 - Medium",IF(AB898&gt;=15,"P3 - Low","P4 - Monitor"))))))</x:f>
      </x:c>
      <x:c r="AD898" s="73"/>
      <x:c r="AE898" s="73"/>
      <x:c r="AF898" s="73"/>
      <x:c r="AG898" s="77"/>
      <x:c r="AH898" s="73"/>
      <x:c r="AI898" s="91"/>
      <x:c r="AJ898" s="91"/>
      <x:c r="AK898" s="91"/>
      <x:c r="AL898" s="92"/>
      <x:c r="AM898" s="91"/>
      <x:c r="AN898" s="91"/>
      <x:c r="AO898" s="93"/>
      <x:c r="AP898" s="94"/>
      <x:c r="AQ898" s="91"/>
      <x:c r="AR898" s="91"/>
      <x:c r="AS898" s="91"/>
      <x:c r="AT898" s="91"/>
      <x:c r="AU898" s="91"/>
      <x:c r="AV898" s="91"/>
      <x:c r="AW898" s="91"/>
      <x:c r="AX898" s="91"/>
      <x:c r="AY898" s="91"/>
      <x:c r="AZ898" s="92"/>
      <x:c r="BA898" s="94"/>
      <x:c r="BB898" s="91"/>
      <x:c r="BC898" s="92"/>
      <x:c r="BD898" s="92"/>
      <x:c r="BE898" s="91"/>
      <x:c r="BF898" s="91"/>
      <x:c r="BG898" s="91"/>
      <x:c r="BH898" s="91"/>
      <x:c r="BI898" s="91"/>
      <x:c r="BJ898" s="91"/>
      <x:c r="BK898" s="91"/>
      <x:c r="BL898" s="91"/>
      <x:c r="BM898" s="73" t="str">
        <x:f>IF(A898="","",IF(AI898="Example","Example only",IF(AI898&lt;&gt;"Actual","Set record type",IF(COUNTIF($A$2:$A$1001,A898)&gt;1,"Duplicate record ID",IF(OR(D898="",E898="",AF898="",NOT(ISNUMBER(AG898)),AJ898="",AK898="",NOT(ISNUMBER(AL898)),AND(AM898&lt;&gt;"Observed",AM898&lt;&gt;"Corroborated",AM898&lt;&gt;"Declared"),OR(AN898="",AN898="Unknown"),OR(AQ898="",AQ898="Unknown"),OR(AR898="",AR898="Unknown",AR898="TBD"),OR(BC898="",NOT(ISNUMBER(BC898)))),"Evidence incomplete","Evidence recorded; review scope")))))</x:f>
      </x:c>
      <x:c r="BN898" s="73"/>
    </x:row>
    <x:row r="899" ht="34" customHeight="1">
      <x:c r="A899" s="73"/>
      <x:c r="B899" s="73"/>
      <x:c r="C899" s="73"/>
      <x:c r="D899" s="73"/>
      <x:c r="E899" s="73"/>
      <x:c r="F899" s="73"/>
      <x:c r="G899" s="73"/>
      <x:c r="H899" s="73"/>
      <x:c r="I899" s="75"/>
      <x:c r="J899" s="73"/>
      <x:c r="K899" s="73"/>
      <x:c r="L899" s="76"/>
      <x:c r="M899" s="73"/>
      <x:c r="N899" s="73"/>
      <x:c r="O899" s="73"/>
      <x:c r="P899" s="73"/>
      <x:c r="Q899" s="76"/>
      <x:c r="R899" s="73"/>
      <x:c r="S899" s="73"/>
      <x:c r="T899" s="73"/>
      <x:c r="U899" s="73"/>
      <x:c r="V899" s="73"/>
      <x:c r="W899" s="73"/>
      <x:c r="X899" s="73"/>
      <x:c r="Y899" s="73"/>
      <x:c r="Z899" s="73"/>
      <x:c r="AA899" s="73"/>
      <x:c r="AB899" s="76" t="str">
        <x:f>IF(A899="","",IF(OR(NOT(ISNUMBER(I899)),I899&lt;0,NOT(ISNUMBER(AP899)),AP899&lt;0,NOT(ISNUMBER(L899)),L899&lt;1,L899&gt;5,L899&lt;&gt;INT(L899),AND(J899&lt;&gt;"Public",J899&lt;&gt;"Partner",J899&lt;&gt;"Internal",J899&lt;&gt;"None"),AND(K899&lt;&gt;"High",K899&lt;&gt;"Medium",K899&lt;&gt;"Low",K899&lt;&gt;"None"),AND(W899&lt;&gt;"Hard-coded",W899&lt;&gt;"Configurable",W899&lt;&gt;"Policy-managed",W899&lt;&gt;"API/Library abstraction",W899&lt;&gt;"Automated"),AND(Z899&lt;&gt;"Y",Z899&lt;&gt;"N"),AND(AA899&lt;&gt;"Y",AA899&lt;&gt;"N")),"Incomplete",IF(Z899="Y",20,0)+L899*5+IF(AA899="Y",15,0)+IF(J899="Public",10,IF(J899="Partner",7,IF(J899="Internal",3,0)))+IF(W899="Hard-coded",10,IF(W899="Configurable",3,0))+IF(MAX(I899,AP899)&gt;=10,10,IF(MAX(I899,AP899)&gt;=5,7,IF(MAX(I899,AP899)&gt;=2,3,0)))+IF(K899="High",10,IF(K899="Medium",5,0))))</x:f>
      </x:c>
      <x:c r="AC899" s="73" t="str">
        <x:f>IF(A899="","",IF(NOT(ISNUMBER(AB899)),"Review inputs",IF(AB899&gt;=70,"P0 - Immediate",IF(AB899&gt;=50,"P1 - High",IF(AB899&gt;=30,"P2 - Medium",IF(AB899&gt;=15,"P3 - Low","P4 - Monitor"))))))</x:f>
      </x:c>
      <x:c r="AD899" s="73"/>
      <x:c r="AE899" s="73"/>
      <x:c r="AF899" s="73"/>
      <x:c r="AG899" s="77"/>
      <x:c r="AH899" s="73"/>
      <x:c r="AI899" s="91"/>
      <x:c r="AJ899" s="91"/>
      <x:c r="AK899" s="91"/>
      <x:c r="AL899" s="92"/>
      <x:c r="AM899" s="91"/>
      <x:c r="AN899" s="91"/>
      <x:c r="AO899" s="93"/>
      <x:c r="AP899" s="94"/>
      <x:c r="AQ899" s="91"/>
      <x:c r="AR899" s="91"/>
      <x:c r="AS899" s="91"/>
      <x:c r="AT899" s="91"/>
      <x:c r="AU899" s="91"/>
      <x:c r="AV899" s="91"/>
      <x:c r="AW899" s="91"/>
      <x:c r="AX899" s="91"/>
      <x:c r="AY899" s="91"/>
      <x:c r="AZ899" s="92"/>
      <x:c r="BA899" s="94"/>
      <x:c r="BB899" s="91"/>
      <x:c r="BC899" s="92"/>
      <x:c r="BD899" s="92"/>
      <x:c r="BE899" s="91"/>
      <x:c r="BF899" s="91"/>
      <x:c r="BG899" s="91"/>
      <x:c r="BH899" s="91"/>
      <x:c r="BI899" s="91"/>
      <x:c r="BJ899" s="91"/>
      <x:c r="BK899" s="91"/>
      <x:c r="BL899" s="91"/>
      <x:c r="BM899" s="73" t="str">
        <x:f>IF(A899="","",IF(AI899="Example","Example only",IF(AI899&lt;&gt;"Actual","Set record type",IF(COUNTIF($A$2:$A$1001,A899)&gt;1,"Duplicate record ID",IF(OR(D899="",E899="",AF899="",NOT(ISNUMBER(AG899)),AJ899="",AK899="",NOT(ISNUMBER(AL899)),AND(AM899&lt;&gt;"Observed",AM899&lt;&gt;"Corroborated",AM899&lt;&gt;"Declared"),OR(AN899="",AN899="Unknown"),OR(AQ899="",AQ899="Unknown"),OR(AR899="",AR899="Unknown",AR899="TBD"),OR(BC899="",NOT(ISNUMBER(BC899)))),"Evidence incomplete","Evidence recorded; review scope")))))</x:f>
      </x:c>
      <x:c r="BN899" s="73"/>
    </x:row>
    <x:row r="900" ht="34" customHeight="1">
      <x:c r="A900" s="73"/>
      <x:c r="B900" s="73"/>
      <x:c r="C900" s="73"/>
      <x:c r="D900" s="73"/>
      <x:c r="E900" s="73"/>
      <x:c r="F900" s="73"/>
      <x:c r="G900" s="73"/>
      <x:c r="H900" s="73"/>
      <x:c r="I900" s="75"/>
      <x:c r="J900" s="73"/>
      <x:c r="K900" s="73"/>
      <x:c r="L900" s="76"/>
      <x:c r="M900" s="73"/>
      <x:c r="N900" s="73"/>
      <x:c r="O900" s="73"/>
      <x:c r="P900" s="73"/>
      <x:c r="Q900" s="76"/>
      <x:c r="R900" s="73"/>
      <x:c r="S900" s="73"/>
      <x:c r="T900" s="73"/>
      <x:c r="U900" s="73"/>
      <x:c r="V900" s="73"/>
      <x:c r="W900" s="73"/>
      <x:c r="X900" s="73"/>
      <x:c r="Y900" s="73"/>
      <x:c r="Z900" s="73"/>
      <x:c r="AA900" s="73"/>
      <x:c r="AB900" s="76" t="str">
        <x:f>IF(A900="","",IF(OR(NOT(ISNUMBER(I900)),I900&lt;0,NOT(ISNUMBER(AP900)),AP900&lt;0,NOT(ISNUMBER(L900)),L900&lt;1,L900&gt;5,L900&lt;&gt;INT(L900),AND(J900&lt;&gt;"Public",J900&lt;&gt;"Partner",J900&lt;&gt;"Internal",J900&lt;&gt;"None"),AND(K900&lt;&gt;"High",K900&lt;&gt;"Medium",K900&lt;&gt;"Low",K900&lt;&gt;"None"),AND(W900&lt;&gt;"Hard-coded",W900&lt;&gt;"Configurable",W900&lt;&gt;"Policy-managed",W900&lt;&gt;"API/Library abstraction",W900&lt;&gt;"Automated"),AND(Z900&lt;&gt;"Y",Z900&lt;&gt;"N"),AND(AA900&lt;&gt;"Y",AA900&lt;&gt;"N")),"Incomplete",IF(Z900="Y",20,0)+L900*5+IF(AA900="Y",15,0)+IF(J900="Public",10,IF(J900="Partner",7,IF(J900="Internal",3,0)))+IF(W900="Hard-coded",10,IF(W900="Configurable",3,0))+IF(MAX(I900,AP900)&gt;=10,10,IF(MAX(I900,AP900)&gt;=5,7,IF(MAX(I900,AP900)&gt;=2,3,0)))+IF(K900="High",10,IF(K900="Medium",5,0))))</x:f>
      </x:c>
      <x:c r="AC900" s="73" t="str">
        <x:f>IF(A900="","",IF(NOT(ISNUMBER(AB900)),"Review inputs",IF(AB900&gt;=70,"P0 - Immediate",IF(AB900&gt;=50,"P1 - High",IF(AB900&gt;=30,"P2 - Medium",IF(AB900&gt;=15,"P3 - Low","P4 - Monitor"))))))</x:f>
      </x:c>
      <x:c r="AD900" s="73"/>
      <x:c r="AE900" s="73"/>
      <x:c r="AF900" s="73"/>
      <x:c r="AG900" s="77"/>
      <x:c r="AH900" s="73"/>
      <x:c r="AI900" s="91"/>
      <x:c r="AJ900" s="91"/>
      <x:c r="AK900" s="91"/>
      <x:c r="AL900" s="92"/>
      <x:c r="AM900" s="91"/>
      <x:c r="AN900" s="91"/>
      <x:c r="AO900" s="93"/>
      <x:c r="AP900" s="94"/>
      <x:c r="AQ900" s="91"/>
      <x:c r="AR900" s="91"/>
      <x:c r="AS900" s="91"/>
      <x:c r="AT900" s="91"/>
      <x:c r="AU900" s="91"/>
      <x:c r="AV900" s="91"/>
      <x:c r="AW900" s="91"/>
      <x:c r="AX900" s="91"/>
      <x:c r="AY900" s="91"/>
      <x:c r="AZ900" s="92"/>
      <x:c r="BA900" s="94"/>
      <x:c r="BB900" s="91"/>
      <x:c r="BC900" s="92"/>
      <x:c r="BD900" s="92"/>
      <x:c r="BE900" s="91"/>
      <x:c r="BF900" s="91"/>
      <x:c r="BG900" s="91"/>
      <x:c r="BH900" s="91"/>
      <x:c r="BI900" s="91"/>
      <x:c r="BJ900" s="91"/>
      <x:c r="BK900" s="91"/>
      <x:c r="BL900" s="91"/>
      <x:c r="BM900" s="73" t="str">
        <x:f>IF(A900="","",IF(AI900="Example","Example only",IF(AI900&lt;&gt;"Actual","Set record type",IF(COUNTIF($A$2:$A$1001,A900)&gt;1,"Duplicate record ID",IF(OR(D900="",E900="",AF900="",NOT(ISNUMBER(AG900)),AJ900="",AK900="",NOT(ISNUMBER(AL900)),AND(AM900&lt;&gt;"Observed",AM900&lt;&gt;"Corroborated",AM900&lt;&gt;"Declared"),OR(AN900="",AN900="Unknown"),OR(AQ900="",AQ900="Unknown"),OR(AR900="",AR900="Unknown",AR900="TBD"),OR(BC900="",NOT(ISNUMBER(BC900)))),"Evidence incomplete","Evidence recorded; review scope")))))</x:f>
      </x:c>
      <x:c r="BN900" s="73"/>
    </x:row>
    <x:row r="901" ht="34" customHeight="1">
      <x:c r="A901" s="73"/>
      <x:c r="B901" s="73"/>
      <x:c r="C901" s="73"/>
      <x:c r="D901" s="73"/>
      <x:c r="E901" s="73"/>
      <x:c r="F901" s="73"/>
      <x:c r="G901" s="73"/>
      <x:c r="H901" s="73"/>
      <x:c r="I901" s="75"/>
      <x:c r="J901" s="73"/>
      <x:c r="K901" s="73"/>
      <x:c r="L901" s="76"/>
      <x:c r="M901" s="73"/>
      <x:c r="N901" s="73"/>
      <x:c r="O901" s="73"/>
      <x:c r="P901" s="73"/>
      <x:c r="Q901" s="76"/>
      <x:c r="R901" s="73"/>
      <x:c r="S901" s="73"/>
      <x:c r="T901" s="73"/>
      <x:c r="U901" s="73"/>
      <x:c r="V901" s="73"/>
      <x:c r="W901" s="73"/>
      <x:c r="X901" s="73"/>
      <x:c r="Y901" s="73"/>
      <x:c r="Z901" s="73"/>
      <x:c r="AA901" s="73"/>
      <x:c r="AB901" s="76" t="str">
        <x:f>IF(A901="","",IF(OR(NOT(ISNUMBER(I901)),I901&lt;0,NOT(ISNUMBER(AP901)),AP901&lt;0,NOT(ISNUMBER(L901)),L901&lt;1,L901&gt;5,L901&lt;&gt;INT(L901),AND(J901&lt;&gt;"Public",J901&lt;&gt;"Partner",J901&lt;&gt;"Internal",J901&lt;&gt;"None"),AND(K901&lt;&gt;"High",K901&lt;&gt;"Medium",K901&lt;&gt;"Low",K901&lt;&gt;"None"),AND(W901&lt;&gt;"Hard-coded",W901&lt;&gt;"Configurable",W901&lt;&gt;"Policy-managed",W901&lt;&gt;"API/Library abstraction",W901&lt;&gt;"Automated"),AND(Z901&lt;&gt;"Y",Z901&lt;&gt;"N"),AND(AA901&lt;&gt;"Y",AA901&lt;&gt;"N")),"Incomplete",IF(Z901="Y",20,0)+L901*5+IF(AA901="Y",15,0)+IF(J901="Public",10,IF(J901="Partner",7,IF(J901="Internal",3,0)))+IF(W901="Hard-coded",10,IF(W901="Configurable",3,0))+IF(MAX(I901,AP901)&gt;=10,10,IF(MAX(I901,AP901)&gt;=5,7,IF(MAX(I901,AP901)&gt;=2,3,0)))+IF(K901="High",10,IF(K901="Medium",5,0))))</x:f>
      </x:c>
      <x:c r="AC901" s="73" t="str">
        <x:f>IF(A901="","",IF(NOT(ISNUMBER(AB901)),"Review inputs",IF(AB901&gt;=70,"P0 - Immediate",IF(AB901&gt;=50,"P1 - High",IF(AB901&gt;=30,"P2 - Medium",IF(AB901&gt;=15,"P3 - Low","P4 - Monitor"))))))</x:f>
      </x:c>
      <x:c r="AD901" s="73"/>
      <x:c r="AE901" s="73"/>
      <x:c r="AF901" s="73"/>
      <x:c r="AG901" s="77"/>
      <x:c r="AH901" s="73"/>
      <x:c r="AI901" s="91"/>
      <x:c r="AJ901" s="91"/>
      <x:c r="AK901" s="91"/>
      <x:c r="AL901" s="92"/>
      <x:c r="AM901" s="91"/>
      <x:c r="AN901" s="91"/>
      <x:c r="AO901" s="93"/>
      <x:c r="AP901" s="94"/>
      <x:c r="AQ901" s="91"/>
      <x:c r="AR901" s="91"/>
      <x:c r="AS901" s="91"/>
      <x:c r="AT901" s="91"/>
      <x:c r="AU901" s="91"/>
      <x:c r="AV901" s="91"/>
      <x:c r="AW901" s="91"/>
      <x:c r="AX901" s="91"/>
      <x:c r="AY901" s="91"/>
      <x:c r="AZ901" s="92"/>
      <x:c r="BA901" s="94"/>
      <x:c r="BB901" s="91"/>
      <x:c r="BC901" s="92"/>
      <x:c r="BD901" s="92"/>
      <x:c r="BE901" s="91"/>
      <x:c r="BF901" s="91"/>
      <x:c r="BG901" s="91"/>
      <x:c r="BH901" s="91"/>
      <x:c r="BI901" s="91"/>
      <x:c r="BJ901" s="91"/>
      <x:c r="BK901" s="91"/>
      <x:c r="BL901" s="91"/>
      <x:c r="BM901" s="73" t="str">
        <x:f>IF(A901="","",IF(AI901="Example","Example only",IF(AI901&lt;&gt;"Actual","Set record type",IF(COUNTIF($A$2:$A$1001,A901)&gt;1,"Duplicate record ID",IF(OR(D901="",E901="",AF901="",NOT(ISNUMBER(AG901)),AJ901="",AK901="",NOT(ISNUMBER(AL901)),AND(AM901&lt;&gt;"Observed",AM901&lt;&gt;"Corroborated",AM901&lt;&gt;"Declared"),OR(AN901="",AN901="Unknown"),OR(AQ901="",AQ901="Unknown"),OR(AR901="",AR901="Unknown",AR901="TBD"),OR(BC901="",NOT(ISNUMBER(BC901)))),"Evidence incomplete","Evidence recorded; review scope")))))</x:f>
      </x:c>
      <x:c r="BN901" s="73"/>
    </x:row>
    <x:row r="902" ht="34" customHeight="1">
      <x:c r="A902" s="73"/>
      <x:c r="B902" s="73"/>
      <x:c r="C902" s="73"/>
      <x:c r="D902" s="73"/>
      <x:c r="E902" s="73"/>
      <x:c r="F902" s="73"/>
      <x:c r="G902" s="73"/>
      <x:c r="H902" s="73"/>
      <x:c r="I902" s="75"/>
      <x:c r="J902" s="73"/>
      <x:c r="K902" s="73"/>
      <x:c r="L902" s="76"/>
      <x:c r="M902" s="73"/>
      <x:c r="N902" s="73"/>
      <x:c r="O902" s="73"/>
      <x:c r="P902" s="73"/>
      <x:c r="Q902" s="76"/>
      <x:c r="R902" s="73"/>
      <x:c r="S902" s="73"/>
      <x:c r="T902" s="73"/>
      <x:c r="U902" s="73"/>
      <x:c r="V902" s="73"/>
      <x:c r="W902" s="73"/>
      <x:c r="X902" s="73"/>
      <x:c r="Y902" s="73"/>
      <x:c r="Z902" s="73"/>
      <x:c r="AA902" s="73"/>
      <x:c r="AB902" s="76" t="str">
        <x:f>IF(A902="","",IF(OR(NOT(ISNUMBER(I902)),I902&lt;0,NOT(ISNUMBER(AP902)),AP902&lt;0,NOT(ISNUMBER(L902)),L902&lt;1,L902&gt;5,L902&lt;&gt;INT(L902),AND(J902&lt;&gt;"Public",J902&lt;&gt;"Partner",J902&lt;&gt;"Internal",J902&lt;&gt;"None"),AND(K902&lt;&gt;"High",K902&lt;&gt;"Medium",K902&lt;&gt;"Low",K902&lt;&gt;"None"),AND(W902&lt;&gt;"Hard-coded",W902&lt;&gt;"Configurable",W902&lt;&gt;"Policy-managed",W902&lt;&gt;"API/Library abstraction",W902&lt;&gt;"Automated"),AND(Z902&lt;&gt;"Y",Z902&lt;&gt;"N"),AND(AA902&lt;&gt;"Y",AA902&lt;&gt;"N")),"Incomplete",IF(Z902="Y",20,0)+L902*5+IF(AA902="Y",15,0)+IF(J902="Public",10,IF(J902="Partner",7,IF(J902="Internal",3,0)))+IF(W902="Hard-coded",10,IF(W902="Configurable",3,0))+IF(MAX(I902,AP902)&gt;=10,10,IF(MAX(I902,AP902)&gt;=5,7,IF(MAX(I902,AP902)&gt;=2,3,0)))+IF(K902="High",10,IF(K902="Medium",5,0))))</x:f>
      </x:c>
      <x:c r="AC902" s="73" t="str">
        <x:f>IF(A902="","",IF(NOT(ISNUMBER(AB902)),"Review inputs",IF(AB902&gt;=70,"P0 - Immediate",IF(AB902&gt;=50,"P1 - High",IF(AB902&gt;=30,"P2 - Medium",IF(AB902&gt;=15,"P3 - Low","P4 - Monitor"))))))</x:f>
      </x:c>
      <x:c r="AD902" s="73"/>
      <x:c r="AE902" s="73"/>
      <x:c r="AF902" s="73"/>
      <x:c r="AG902" s="77"/>
      <x:c r="AH902" s="73"/>
      <x:c r="AI902" s="91"/>
      <x:c r="AJ902" s="91"/>
      <x:c r="AK902" s="91"/>
      <x:c r="AL902" s="92"/>
      <x:c r="AM902" s="91"/>
      <x:c r="AN902" s="91"/>
      <x:c r="AO902" s="93"/>
      <x:c r="AP902" s="94"/>
      <x:c r="AQ902" s="91"/>
      <x:c r="AR902" s="91"/>
      <x:c r="AS902" s="91"/>
      <x:c r="AT902" s="91"/>
      <x:c r="AU902" s="91"/>
      <x:c r="AV902" s="91"/>
      <x:c r="AW902" s="91"/>
      <x:c r="AX902" s="91"/>
      <x:c r="AY902" s="91"/>
      <x:c r="AZ902" s="92"/>
      <x:c r="BA902" s="94"/>
      <x:c r="BB902" s="91"/>
      <x:c r="BC902" s="92"/>
      <x:c r="BD902" s="92"/>
      <x:c r="BE902" s="91"/>
      <x:c r="BF902" s="91"/>
      <x:c r="BG902" s="91"/>
      <x:c r="BH902" s="91"/>
      <x:c r="BI902" s="91"/>
      <x:c r="BJ902" s="91"/>
      <x:c r="BK902" s="91"/>
      <x:c r="BL902" s="91"/>
      <x:c r="BM902" s="73" t="str">
        <x:f>IF(A902="","",IF(AI902="Example","Example only",IF(AI902&lt;&gt;"Actual","Set record type",IF(COUNTIF($A$2:$A$1001,A902)&gt;1,"Duplicate record ID",IF(OR(D902="",E902="",AF902="",NOT(ISNUMBER(AG902)),AJ902="",AK902="",NOT(ISNUMBER(AL902)),AND(AM902&lt;&gt;"Observed",AM902&lt;&gt;"Corroborated",AM902&lt;&gt;"Declared"),OR(AN902="",AN902="Unknown"),OR(AQ902="",AQ902="Unknown"),OR(AR902="",AR902="Unknown",AR902="TBD"),OR(BC902="",NOT(ISNUMBER(BC902)))),"Evidence incomplete","Evidence recorded; review scope")))))</x:f>
      </x:c>
      <x:c r="BN902" s="73"/>
    </x:row>
    <x:row r="903" ht="34" customHeight="1">
      <x:c r="A903" s="73"/>
      <x:c r="B903" s="73"/>
      <x:c r="C903" s="73"/>
      <x:c r="D903" s="73"/>
      <x:c r="E903" s="73"/>
      <x:c r="F903" s="73"/>
      <x:c r="G903" s="73"/>
      <x:c r="H903" s="73"/>
      <x:c r="I903" s="75"/>
      <x:c r="J903" s="73"/>
      <x:c r="K903" s="73"/>
      <x:c r="L903" s="76"/>
      <x:c r="M903" s="73"/>
      <x:c r="N903" s="73"/>
      <x:c r="O903" s="73"/>
      <x:c r="P903" s="73"/>
      <x:c r="Q903" s="76"/>
      <x:c r="R903" s="73"/>
      <x:c r="S903" s="73"/>
      <x:c r="T903" s="73"/>
      <x:c r="U903" s="73"/>
      <x:c r="V903" s="73"/>
      <x:c r="W903" s="73"/>
      <x:c r="X903" s="73"/>
      <x:c r="Y903" s="73"/>
      <x:c r="Z903" s="73"/>
      <x:c r="AA903" s="73"/>
      <x:c r="AB903" s="76" t="str">
        <x:f>IF(A903="","",IF(OR(NOT(ISNUMBER(I903)),I903&lt;0,NOT(ISNUMBER(AP903)),AP903&lt;0,NOT(ISNUMBER(L903)),L903&lt;1,L903&gt;5,L903&lt;&gt;INT(L903),AND(J903&lt;&gt;"Public",J903&lt;&gt;"Partner",J903&lt;&gt;"Internal",J903&lt;&gt;"None"),AND(K903&lt;&gt;"High",K903&lt;&gt;"Medium",K903&lt;&gt;"Low",K903&lt;&gt;"None"),AND(W903&lt;&gt;"Hard-coded",W903&lt;&gt;"Configurable",W903&lt;&gt;"Policy-managed",W903&lt;&gt;"API/Library abstraction",W903&lt;&gt;"Automated"),AND(Z903&lt;&gt;"Y",Z903&lt;&gt;"N"),AND(AA903&lt;&gt;"Y",AA903&lt;&gt;"N")),"Incomplete",IF(Z903="Y",20,0)+L903*5+IF(AA903="Y",15,0)+IF(J903="Public",10,IF(J903="Partner",7,IF(J903="Internal",3,0)))+IF(W903="Hard-coded",10,IF(W903="Configurable",3,0))+IF(MAX(I903,AP903)&gt;=10,10,IF(MAX(I903,AP903)&gt;=5,7,IF(MAX(I903,AP903)&gt;=2,3,0)))+IF(K903="High",10,IF(K903="Medium",5,0))))</x:f>
      </x:c>
      <x:c r="AC903" s="73" t="str">
        <x:f>IF(A903="","",IF(NOT(ISNUMBER(AB903)),"Review inputs",IF(AB903&gt;=70,"P0 - Immediate",IF(AB903&gt;=50,"P1 - High",IF(AB903&gt;=30,"P2 - Medium",IF(AB903&gt;=15,"P3 - Low","P4 - Monitor"))))))</x:f>
      </x:c>
      <x:c r="AD903" s="73"/>
      <x:c r="AE903" s="73"/>
      <x:c r="AF903" s="73"/>
      <x:c r="AG903" s="77"/>
      <x:c r="AH903" s="73"/>
      <x:c r="AI903" s="91"/>
      <x:c r="AJ903" s="91"/>
      <x:c r="AK903" s="91"/>
      <x:c r="AL903" s="92"/>
      <x:c r="AM903" s="91"/>
      <x:c r="AN903" s="91"/>
      <x:c r="AO903" s="93"/>
      <x:c r="AP903" s="94"/>
      <x:c r="AQ903" s="91"/>
      <x:c r="AR903" s="91"/>
      <x:c r="AS903" s="91"/>
      <x:c r="AT903" s="91"/>
      <x:c r="AU903" s="91"/>
      <x:c r="AV903" s="91"/>
      <x:c r="AW903" s="91"/>
      <x:c r="AX903" s="91"/>
      <x:c r="AY903" s="91"/>
      <x:c r="AZ903" s="92"/>
      <x:c r="BA903" s="94"/>
      <x:c r="BB903" s="91"/>
      <x:c r="BC903" s="92"/>
      <x:c r="BD903" s="92"/>
      <x:c r="BE903" s="91"/>
      <x:c r="BF903" s="91"/>
      <x:c r="BG903" s="91"/>
      <x:c r="BH903" s="91"/>
      <x:c r="BI903" s="91"/>
      <x:c r="BJ903" s="91"/>
      <x:c r="BK903" s="91"/>
      <x:c r="BL903" s="91"/>
      <x:c r="BM903" s="73" t="str">
        <x:f>IF(A903="","",IF(AI903="Example","Example only",IF(AI903&lt;&gt;"Actual","Set record type",IF(COUNTIF($A$2:$A$1001,A903)&gt;1,"Duplicate record ID",IF(OR(D903="",E903="",AF903="",NOT(ISNUMBER(AG903)),AJ903="",AK903="",NOT(ISNUMBER(AL903)),AND(AM903&lt;&gt;"Observed",AM903&lt;&gt;"Corroborated",AM903&lt;&gt;"Declared"),OR(AN903="",AN903="Unknown"),OR(AQ903="",AQ903="Unknown"),OR(AR903="",AR903="Unknown",AR903="TBD"),OR(BC903="",NOT(ISNUMBER(BC903)))),"Evidence incomplete","Evidence recorded; review scope")))))</x:f>
      </x:c>
      <x:c r="BN903" s="73"/>
    </x:row>
    <x:row r="904" ht="34" customHeight="1">
      <x:c r="A904" s="73"/>
      <x:c r="B904" s="73"/>
      <x:c r="C904" s="73"/>
      <x:c r="D904" s="73"/>
      <x:c r="E904" s="73"/>
      <x:c r="F904" s="73"/>
      <x:c r="G904" s="73"/>
      <x:c r="H904" s="73"/>
      <x:c r="I904" s="75"/>
      <x:c r="J904" s="73"/>
      <x:c r="K904" s="73"/>
      <x:c r="L904" s="76"/>
      <x:c r="M904" s="73"/>
      <x:c r="N904" s="73"/>
      <x:c r="O904" s="73"/>
      <x:c r="P904" s="73"/>
      <x:c r="Q904" s="76"/>
      <x:c r="R904" s="73"/>
      <x:c r="S904" s="73"/>
      <x:c r="T904" s="73"/>
      <x:c r="U904" s="73"/>
      <x:c r="V904" s="73"/>
      <x:c r="W904" s="73"/>
      <x:c r="X904" s="73"/>
      <x:c r="Y904" s="73"/>
      <x:c r="Z904" s="73"/>
      <x:c r="AA904" s="73"/>
      <x:c r="AB904" s="76" t="str">
        <x:f>IF(A904="","",IF(OR(NOT(ISNUMBER(I904)),I904&lt;0,NOT(ISNUMBER(AP904)),AP904&lt;0,NOT(ISNUMBER(L904)),L904&lt;1,L904&gt;5,L904&lt;&gt;INT(L904),AND(J904&lt;&gt;"Public",J904&lt;&gt;"Partner",J904&lt;&gt;"Internal",J904&lt;&gt;"None"),AND(K904&lt;&gt;"High",K904&lt;&gt;"Medium",K904&lt;&gt;"Low",K904&lt;&gt;"None"),AND(W904&lt;&gt;"Hard-coded",W904&lt;&gt;"Configurable",W904&lt;&gt;"Policy-managed",W904&lt;&gt;"API/Library abstraction",W904&lt;&gt;"Automated"),AND(Z904&lt;&gt;"Y",Z904&lt;&gt;"N"),AND(AA904&lt;&gt;"Y",AA904&lt;&gt;"N")),"Incomplete",IF(Z904="Y",20,0)+L904*5+IF(AA904="Y",15,0)+IF(J904="Public",10,IF(J904="Partner",7,IF(J904="Internal",3,0)))+IF(W904="Hard-coded",10,IF(W904="Configurable",3,0))+IF(MAX(I904,AP904)&gt;=10,10,IF(MAX(I904,AP904)&gt;=5,7,IF(MAX(I904,AP904)&gt;=2,3,0)))+IF(K904="High",10,IF(K904="Medium",5,0))))</x:f>
      </x:c>
      <x:c r="AC904" s="73" t="str">
        <x:f>IF(A904="","",IF(NOT(ISNUMBER(AB904)),"Review inputs",IF(AB904&gt;=70,"P0 - Immediate",IF(AB904&gt;=50,"P1 - High",IF(AB904&gt;=30,"P2 - Medium",IF(AB904&gt;=15,"P3 - Low","P4 - Monitor"))))))</x:f>
      </x:c>
      <x:c r="AD904" s="73"/>
      <x:c r="AE904" s="73"/>
      <x:c r="AF904" s="73"/>
      <x:c r="AG904" s="77"/>
      <x:c r="AH904" s="73"/>
      <x:c r="AI904" s="91"/>
      <x:c r="AJ904" s="91"/>
      <x:c r="AK904" s="91"/>
      <x:c r="AL904" s="92"/>
      <x:c r="AM904" s="91"/>
      <x:c r="AN904" s="91"/>
      <x:c r="AO904" s="93"/>
      <x:c r="AP904" s="94"/>
      <x:c r="AQ904" s="91"/>
      <x:c r="AR904" s="91"/>
      <x:c r="AS904" s="91"/>
      <x:c r="AT904" s="91"/>
      <x:c r="AU904" s="91"/>
      <x:c r="AV904" s="91"/>
      <x:c r="AW904" s="91"/>
      <x:c r="AX904" s="91"/>
      <x:c r="AY904" s="91"/>
      <x:c r="AZ904" s="92"/>
      <x:c r="BA904" s="94"/>
      <x:c r="BB904" s="91"/>
      <x:c r="BC904" s="92"/>
      <x:c r="BD904" s="92"/>
      <x:c r="BE904" s="91"/>
      <x:c r="BF904" s="91"/>
      <x:c r="BG904" s="91"/>
      <x:c r="BH904" s="91"/>
      <x:c r="BI904" s="91"/>
      <x:c r="BJ904" s="91"/>
      <x:c r="BK904" s="91"/>
      <x:c r="BL904" s="91"/>
      <x:c r="BM904" s="73" t="str">
        <x:f>IF(A904="","",IF(AI904="Example","Example only",IF(AI904&lt;&gt;"Actual","Set record type",IF(COUNTIF($A$2:$A$1001,A904)&gt;1,"Duplicate record ID",IF(OR(D904="",E904="",AF904="",NOT(ISNUMBER(AG904)),AJ904="",AK904="",NOT(ISNUMBER(AL904)),AND(AM904&lt;&gt;"Observed",AM904&lt;&gt;"Corroborated",AM904&lt;&gt;"Declared"),OR(AN904="",AN904="Unknown"),OR(AQ904="",AQ904="Unknown"),OR(AR904="",AR904="Unknown",AR904="TBD"),OR(BC904="",NOT(ISNUMBER(BC904)))),"Evidence incomplete","Evidence recorded; review scope")))))</x:f>
      </x:c>
      <x:c r="BN904" s="73"/>
    </x:row>
    <x:row r="905" ht="34" customHeight="1">
      <x:c r="A905" s="73"/>
      <x:c r="B905" s="73"/>
      <x:c r="C905" s="73"/>
      <x:c r="D905" s="73"/>
      <x:c r="E905" s="73"/>
      <x:c r="F905" s="73"/>
      <x:c r="G905" s="73"/>
      <x:c r="H905" s="73"/>
      <x:c r="I905" s="75"/>
      <x:c r="J905" s="73"/>
      <x:c r="K905" s="73"/>
      <x:c r="L905" s="76"/>
      <x:c r="M905" s="73"/>
      <x:c r="N905" s="73"/>
      <x:c r="O905" s="73"/>
      <x:c r="P905" s="73"/>
      <x:c r="Q905" s="76"/>
      <x:c r="R905" s="73"/>
      <x:c r="S905" s="73"/>
      <x:c r="T905" s="73"/>
      <x:c r="U905" s="73"/>
      <x:c r="V905" s="73"/>
      <x:c r="W905" s="73"/>
      <x:c r="X905" s="73"/>
      <x:c r="Y905" s="73"/>
      <x:c r="Z905" s="73"/>
      <x:c r="AA905" s="73"/>
      <x:c r="AB905" s="76" t="str">
        <x:f>IF(A905="","",IF(OR(NOT(ISNUMBER(I905)),I905&lt;0,NOT(ISNUMBER(AP905)),AP905&lt;0,NOT(ISNUMBER(L905)),L905&lt;1,L905&gt;5,L905&lt;&gt;INT(L905),AND(J905&lt;&gt;"Public",J905&lt;&gt;"Partner",J905&lt;&gt;"Internal",J905&lt;&gt;"None"),AND(K905&lt;&gt;"High",K905&lt;&gt;"Medium",K905&lt;&gt;"Low",K905&lt;&gt;"None"),AND(W905&lt;&gt;"Hard-coded",W905&lt;&gt;"Configurable",W905&lt;&gt;"Policy-managed",W905&lt;&gt;"API/Library abstraction",W905&lt;&gt;"Automated"),AND(Z905&lt;&gt;"Y",Z905&lt;&gt;"N"),AND(AA905&lt;&gt;"Y",AA905&lt;&gt;"N")),"Incomplete",IF(Z905="Y",20,0)+L905*5+IF(AA905="Y",15,0)+IF(J905="Public",10,IF(J905="Partner",7,IF(J905="Internal",3,0)))+IF(W905="Hard-coded",10,IF(W905="Configurable",3,0))+IF(MAX(I905,AP905)&gt;=10,10,IF(MAX(I905,AP905)&gt;=5,7,IF(MAX(I905,AP905)&gt;=2,3,0)))+IF(K905="High",10,IF(K905="Medium",5,0))))</x:f>
      </x:c>
      <x:c r="AC905" s="73" t="str">
        <x:f>IF(A905="","",IF(NOT(ISNUMBER(AB905)),"Review inputs",IF(AB905&gt;=70,"P0 - Immediate",IF(AB905&gt;=50,"P1 - High",IF(AB905&gt;=30,"P2 - Medium",IF(AB905&gt;=15,"P3 - Low","P4 - Monitor"))))))</x:f>
      </x:c>
      <x:c r="AD905" s="73"/>
      <x:c r="AE905" s="73"/>
      <x:c r="AF905" s="73"/>
      <x:c r="AG905" s="77"/>
      <x:c r="AH905" s="73"/>
      <x:c r="AI905" s="91"/>
      <x:c r="AJ905" s="91"/>
      <x:c r="AK905" s="91"/>
      <x:c r="AL905" s="92"/>
      <x:c r="AM905" s="91"/>
      <x:c r="AN905" s="91"/>
      <x:c r="AO905" s="93"/>
      <x:c r="AP905" s="94"/>
      <x:c r="AQ905" s="91"/>
      <x:c r="AR905" s="91"/>
      <x:c r="AS905" s="91"/>
      <x:c r="AT905" s="91"/>
      <x:c r="AU905" s="91"/>
      <x:c r="AV905" s="91"/>
      <x:c r="AW905" s="91"/>
      <x:c r="AX905" s="91"/>
      <x:c r="AY905" s="91"/>
      <x:c r="AZ905" s="92"/>
      <x:c r="BA905" s="94"/>
      <x:c r="BB905" s="91"/>
      <x:c r="BC905" s="92"/>
      <x:c r="BD905" s="92"/>
      <x:c r="BE905" s="91"/>
      <x:c r="BF905" s="91"/>
      <x:c r="BG905" s="91"/>
      <x:c r="BH905" s="91"/>
      <x:c r="BI905" s="91"/>
      <x:c r="BJ905" s="91"/>
      <x:c r="BK905" s="91"/>
      <x:c r="BL905" s="91"/>
      <x:c r="BM905" s="73" t="str">
        <x:f>IF(A905="","",IF(AI905="Example","Example only",IF(AI905&lt;&gt;"Actual","Set record type",IF(COUNTIF($A$2:$A$1001,A905)&gt;1,"Duplicate record ID",IF(OR(D905="",E905="",AF905="",NOT(ISNUMBER(AG905)),AJ905="",AK905="",NOT(ISNUMBER(AL905)),AND(AM905&lt;&gt;"Observed",AM905&lt;&gt;"Corroborated",AM905&lt;&gt;"Declared"),OR(AN905="",AN905="Unknown"),OR(AQ905="",AQ905="Unknown"),OR(AR905="",AR905="Unknown",AR905="TBD"),OR(BC905="",NOT(ISNUMBER(BC905)))),"Evidence incomplete","Evidence recorded; review scope")))))</x:f>
      </x:c>
      <x:c r="BN905" s="73"/>
    </x:row>
    <x:row r="906" ht="34" customHeight="1">
      <x:c r="A906" s="73"/>
      <x:c r="B906" s="73"/>
      <x:c r="C906" s="73"/>
      <x:c r="D906" s="73"/>
      <x:c r="E906" s="73"/>
      <x:c r="F906" s="73"/>
      <x:c r="G906" s="73"/>
      <x:c r="H906" s="73"/>
      <x:c r="I906" s="75"/>
      <x:c r="J906" s="73"/>
      <x:c r="K906" s="73"/>
      <x:c r="L906" s="76"/>
      <x:c r="M906" s="73"/>
      <x:c r="N906" s="73"/>
      <x:c r="O906" s="73"/>
      <x:c r="P906" s="73"/>
      <x:c r="Q906" s="76"/>
      <x:c r="R906" s="73"/>
      <x:c r="S906" s="73"/>
      <x:c r="T906" s="73"/>
      <x:c r="U906" s="73"/>
      <x:c r="V906" s="73"/>
      <x:c r="W906" s="73"/>
      <x:c r="X906" s="73"/>
      <x:c r="Y906" s="73"/>
      <x:c r="Z906" s="73"/>
      <x:c r="AA906" s="73"/>
      <x:c r="AB906" s="76" t="str">
        <x:f>IF(A906="","",IF(OR(NOT(ISNUMBER(I906)),I906&lt;0,NOT(ISNUMBER(AP906)),AP906&lt;0,NOT(ISNUMBER(L906)),L906&lt;1,L906&gt;5,L906&lt;&gt;INT(L906),AND(J906&lt;&gt;"Public",J906&lt;&gt;"Partner",J906&lt;&gt;"Internal",J906&lt;&gt;"None"),AND(K906&lt;&gt;"High",K906&lt;&gt;"Medium",K906&lt;&gt;"Low",K906&lt;&gt;"None"),AND(W906&lt;&gt;"Hard-coded",W906&lt;&gt;"Configurable",W906&lt;&gt;"Policy-managed",W906&lt;&gt;"API/Library abstraction",W906&lt;&gt;"Automated"),AND(Z906&lt;&gt;"Y",Z906&lt;&gt;"N"),AND(AA906&lt;&gt;"Y",AA906&lt;&gt;"N")),"Incomplete",IF(Z906="Y",20,0)+L906*5+IF(AA906="Y",15,0)+IF(J906="Public",10,IF(J906="Partner",7,IF(J906="Internal",3,0)))+IF(W906="Hard-coded",10,IF(W906="Configurable",3,0))+IF(MAX(I906,AP906)&gt;=10,10,IF(MAX(I906,AP906)&gt;=5,7,IF(MAX(I906,AP906)&gt;=2,3,0)))+IF(K906="High",10,IF(K906="Medium",5,0))))</x:f>
      </x:c>
      <x:c r="AC906" s="73" t="str">
        <x:f>IF(A906="","",IF(NOT(ISNUMBER(AB906)),"Review inputs",IF(AB906&gt;=70,"P0 - Immediate",IF(AB906&gt;=50,"P1 - High",IF(AB906&gt;=30,"P2 - Medium",IF(AB906&gt;=15,"P3 - Low","P4 - Monitor"))))))</x:f>
      </x:c>
      <x:c r="AD906" s="73"/>
      <x:c r="AE906" s="73"/>
      <x:c r="AF906" s="73"/>
      <x:c r="AG906" s="77"/>
      <x:c r="AH906" s="73"/>
      <x:c r="AI906" s="91"/>
      <x:c r="AJ906" s="91"/>
      <x:c r="AK906" s="91"/>
      <x:c r="AL906" s="92"/>
      <x:c r="AM906" s="91"/>
      <x:c r="AN906" s="91"/>
      <x:c r="AO906" s="93"/>
      <x:c r="AP906" s="94"/>
      <x:c r="AQ906" s="91"/>
      <x:c r="AR906" s="91"/>
      <x:c r="AS906" s="91"/>
      <x:c r="AT906" s="91"/>
      <x:c r="AU906" s="91"/>
      <x:c r="AV906" s="91"/>
      <x:c r="AW906" s="91"/>
      <x:c r="AX906" s="91"/>
      <x:c r="AY906" s="91"/>
      <x:c r="AZ906" s="92"/>
      <x:c r="BA906" s="94"/>
      <x:c r="BB906" s="91"/>
      <x:c r="BC906" s="92"/>
      <x:c r="BD906" s="92"/>
      <x:c r="BE906" s="91"/>
      <x:c r="BF906" s="91"/>
      <x:c r="BG906" s="91"/>
      <x:c r="BH906" s="91"/>
      <x:c r="BI906" s="91"/>
      <x:c r="BJ906" s="91"/>
      <x:c r="BK906" s="91"/>
      <x:c r="BL906" s="91"/>
      <x:c r="BM906" s="73" t="str">
        <x:f>IF(A906="","",IF(AI906="Example","Example only",IF(AI906&lt;&gt;"Actual","Set record type",IF(COUNTIF($A$2:$A$1001,A906)&gt;1,"Duplicate record ID",IF(OR(D906="",E906="",AF906="",NOT(ISNUMBER(AG906)),AJ906="",AK906="",NOT(ISNUMBER(AL906)),AND(AM906&lt;&gt;"Observed",AM906&lt;&gt;"Corroborated",AM906&lt;&gt;"Declared"),OR(AN906="",AN906="Unknown"),OR(AQ906="",AQ906="Unknown"),OR(AR906="",AR906="Unknown",AR906="TBD"),OR(BC906="",NOT(ISNUMBER(BC906)))),"Evidence incomplete","Evidence recorded; review scope")))))</x:f>
      </x:c>
      <x:c r="BN906" s="73"/>
    </x:row>
    <x:row r="907" ht="34" customHeight="1">
      <x:c r="A907" s="73"/>
      <x:c r="B907" s="73"/>
      <x:c r="C907" s="73"/>
      <x:c r="D907" s="73"/>
      <x:c r="E907" s="73"/>
      <x:c r="F907" s="73"/>
      <x:c r="G907" s="73"/>
      <x:c r="H907" s="73"/>
      <x:c r="I907" s="75"/>
      <x:c r="J907" s="73"/>
      <x:c r="K907" s="73"/>
      <x:c r="L907" s="76"/>
      <x:c r="M907" s="73"/>
      <x:c r="N907" s="73"/>
      <x:c r="O907" s="73"/>
      <x:c r="P907" s="73"/>
      <x:c r="Q907" s="76"/>
      <x:c r="R907" s="73"/>
      <x:c r="S907" s="73"/>
      <x:c r="T907" s="73"/>
      <x:c r="U907" s="73"/>
      <x:c r="V907" s="73"/>
      <x:c r="W907" s="73"/>
      <x:c r="X907" s="73"/>
      <x:c r="Y907" s="73"/>
      <x:c r="Z907" s="73"/>
      <x:c r="AA907" s="73"/>
      <x:c r="AB907" s="76" t="str">
        <x:f>IF(A907="","",IF(OR(NOT(ISNUMBER(I907)),I907&lt;0,NOT(ISNUMBER(AP907)),AP907&lt;0,NOT(ISNUMBER(L907)),L907&lt;1,L907&gt;5,L907&lt;&gt;INT(L907),AND(J907&lt;&gt;"Public",J907&lt;&gt;"Partner",J907&lt;&gt;"Internal",J907&lt;&gt;"None"),AND(K907&lt;&gt;"High",K907&lt;&gt;"Medium",K907&lt;&gt;"Low",K907&lt;&gt;"None"),AND(W907&lt;&gt;"Hard-coded",W907&lt;&gt;"Configurable",W907&lt;&gt;"Policy-managed",W907&lt;&gt;"API/Library abstraction",W907&lt;&gt;"Automated"),AND(Z907&lt;&gt;"Y",Z907&lt;&gt;"N"),AND(AA907&lt;&gt;"Y",AA907&lt;&gt;"N")),"Incomplete",IF(Z907="Y",20,0)+L907*5+IF(AA907="Y",15,0)+IF(J907="Public",10,IF(J907="Partner",7,IF(J907="Internal",3,0)))+IF(W907="Hard-coded",10,IF(W907="Configurable",3,0))+IF(MAX(I907,AP907)&gt;=10,10,IF(MAX(I907,AP907)&gt;=5,7,IF(MAX(I907,AP907)&gt;=2,3,0)))+IF(K907="High",10,IF(K907="Medium",5,0))))</x:f>
      </x:c>
      <x:c r="AC907" s="73" t="str">
        <x:f>IF(A907="","",IF(NOT(ISNUMBER(AB907)),"Review inputs",IF(AB907&gt;=70,"P0 - Immediate",IF(AB907&gt;=50,"P1 - High",IF(AB907&gt;=30,"P2 - Medium",IF(AB907&gt;=15,"P3 - Low","P4 - Monitor"))))))</x:f>
      </x:c>
      <x:c r="AD907" s="73"/>
      <x:c r="AE907" s="73"/>
      <x:c r="AF907" s="73"/>
      <x:c r="AG907" s="77"/>
      <x:c r="AH907" s="73"/>
      <x:c r="AI907" s="91"/>
      <x:c r="AJ907" s="91"/>
      <x:c r="AK907" s="91"/>
      <x:c r="AL907" s="92"/>
      <x:c r="AM907" s="91"/>
      <x:c r="AN907" s="91"/>
      <x:c r="AO907" s="93"/>
      <x:c r="AP907" s="94"/>
      <x:c r="AQ907" s="91"/>
      <x:c r="AR907" s="91"/>
      <x:c r="AS907" s="91"/>
      <x:c r="AT907" s="91"/>
      <x:c r="AU907" s="91"/>
      <x:c r="AV907" s="91"/>
      <x:c r="AW907" s="91"/>
      <x:c r="AX907" s="91"/>
      <x:c r="AY907" s="91"/>
      <x:c r="AZ907" s="92"/>
      <x:c r="BA907" s="94"/>
      <x:c r="BB907" s="91"/>
      <x:c r="BC907" s="92"/>
      <x:c r="BD907" s="92"/>
      <x:c r="BE907" s="91"/>
      <x:c r="BF907" s="91"/>
      <x:c r="BG907" s="91"/>
      <x:c r="BH907" s="91"/>
      <x:c r="BI907" s="91"/>
      <x:c r="BJ907" s="91"/>
      <x:c r="BK907" s="91"/>
      <x:c r="BL907" s="91"/>
      <x:c r="BM907" s="73" t="str">
        <x:f>IF(A907="","",IF(AI907="Example","Example only",IF(AI907&lt;&gt;"Actual","Set record type",IF(COUNTIF($A$2:$A$1001,A907)&gt;1,"Duplicate record ID",IF(OR(D907="",E907="",AF907="",NOT(ISNUMBER(AG907)),AJ907="",AK907="",NOT(ISNUMBER(AL907)),AND(AM907&lt;&gt;"Observed",AM907&lt;&gt;"Corroborated",AM907&lt;&gt;"Declared"),OR(AN907="",AN907="Unknown"),OR(AQ907="",AQ907="Unknown"),OR(AR907="",AR907="Unknown",AR907="TBD"),OR(BC907="",NOT(ISNUMBER(BC907)))),"Evidence incomplete","Evidence recorded; review scope")))))</x:f>
      </x:c>
      <x:c r="BN907" s="73"/>
    </x:row>
    <x:row r="908" ht="34" customHeight="1">
      <x:c r="A908" s="73"/>
      <x:c r="B908" s="73"/>
      <x:c r="C908" s="73"/>
      <x:c r="D908" s="73"/>
      <x:c r="E908" s="73"/>
      <x:c r="F908" s="73"/>
      <x:c r="G908" s="73"/>
      <x:c r="H908" s="73"/>
      <x:c r="I908" s="75"/>
      <x:c r="J908" s="73"/>
      <x:c r="K908" s="73"/>
      <x:c r="L908" s="76"/>
      <x:c r="M908" s="73"/>
      <x:c r="N908" s="73"/>
      <x:c r="O908" s="73"/>
      <x:c r="P908" s="73"/>
      <x:c r="Q908" s="76"/>
      <x:c r="R908" s="73"/>
      <x:c r="S908" s="73"/>
      <x:c r="T908" s="73"/>
      <x:c r="U908" s="73"/>
      <x:c r="V908" s="73"/>
      <x:c r="W908" s="73"/>
      <x:c r="X908" s="73"/>
      <x:c r="Y908" s="73"/>
      <x:c r="Z908" s="73"/>
      <x:c r="AA908" s="73"/>
      <x:c r="AB908" s="76" t="str">
        <x:f>IF(A908="","",IF(OR(NOT(ISNUMBER(I908)),I908&lt;0,NOT(ISNUMBER(AP908)),AP908&lt;0,NOT(ISNUMBER(L908)),L908&lt;1,L908&gt;5,L908&lt;&gt;INT(L908),AND(J908&lt;&gt;"Public",J908&lt;&gt;"Partner",J908&lt;&gt;"Internal",J908&lt;&gt;"None"),AND(K908&lt;&gt;"High",K908&lt;&gt;"Medium",K908&lt;&gt;"Low",K908&lt;&gt;"None"),AND(W908&lt;&gt;"Hard-coded",W908&lt;&gt;"Configurable",W908&lt;&gt;"Policy-managed",W908&lt;&gt;"API/Library abstraction",W908&lt;&gt;"Automated"),AND(Z908&lt;&gt;"Y",Z908&lt;&gt;"N"),AND(AA908&lt;&gt;"Y",AA908&lt;&gt;"N")),"Incomplete",IF(Z908="Y",20,0)+L908*5+IF(AA908="Y",15,0)+IF(J908="Public",10,IF(J908="Partner",7,IF(J908="Internal",3,0)))+IF(W908="Hard-coded",10,IF(W908="Configurable",3,0))+IF(MAX(I908,AP908)&gt;=10,10,IF(MAX(I908,AP908)&gt;=5,7,IF(MAX(I908,AP908)&gt;=2,3,0)))+IF(K908="High",10,IF(K908="Medium",5,0))))</x:f>
      </x:c>
      <x:c r="AC908" s="73" t="str">
        <x:f>IF(A908="","",IF(NOT(ISNUMBER(AB908)),"Review inputs",IF(AB908&gt;=70,"P0 - Immediate",IF(AB908&gt;=50,"P1 - High",IF(AB908&gt;=30,"P2 - Medium",IF(AB908&gt;=15,"P3 - Low","P4 - Monitor"))))))</x:f>
      </x:c>
      <x:c r="AD908" s="73"/>
      <x:c r="AE908" s="73"/>
      <x:c r="AF908" s="73"/>
      <x:c r="AG908" s="77"/>
      <x:c r="AH908" s="73"/>
      <x:c r="AI908" s="91"/>
      <x:c r="AJ908" s="91"/>
      <x:c r="AK908" s="91"/>
      <x:c r="AL908" s="92"/>
      <x:c r="AM908" s="91"/>
      <x:c r="AN908" s="91"/>
      <x:c r="AO908" s="93"/>
      <x:c r="AP908" s="94"/>
      <x:c r="AQ908" s="91"/>
      <x:c r="AR908" s="91"/>
      <x:c r="AS908" s="91"/>
      <x:c r="AT908" s="91"/>
      <x:c r="AU908" s="91"/>
      <x:c r="AV908" s="91"/>
      <x:c r="AW908" s="91"/>
      <x:c r="AX908" s="91"/>
      <x:c r="AY908" s="91"/>
      <x:c r="AZ908" s="92"/>
      <x:c r="BA908" s="94"/>
      <x:c r="BB908" s="91"/>
      <x:c r="BC908" s="92"/>
      <x:c r="BD908" s="92"/>
      <x:c r="BE908" s="91"/>
      <x:c r="BF908" s="91"/>
      <x:c r="BG908" s="91"/>
      <x:c r="BH908" s="91"/>
      <x:c r="BI908" s="91"/>
      <x:c r="BJ908" s="91"/>
      <x:c r="BK908" s="91"/>
      <x:c r="BL908" s="91"/>
      <x:c r="BM908" s="73" t="str">
        <x:f>IF(A908="","",IF(AI908="Example","Example only",IF(AI908&lt;&gt;"Actual","Set record type",IF(COUNTIF($A$2:$A$1001,A908)&gt;1,"Duplicate record ID",IF(OR(D908="",E908="",AF908="",NOT(ISNUMBER(AG908)),AJ908="",AK908="",NOT(ISNUMBER(AL908)),AND(AM908&lt;&gt;"Observed",AM908&lt;&gt;"Corroborated",AM908&lt;&gt;"Declared"),OR(AN908="",AN908="Unknown"),OR(AQ908="",AQ908="Unknown"),OR(AR908="",AR908="Unknown",AR908="TBD"),OR(BC908="",NOT(ISNUMBER(BC908)))),"Evidence incomplete","Evidence recorded; review scope")))))</x:f>
      </x:c>
      <x:c r="BN908" s="73"/>
    </x:row>
    <x:row r="909" ht="34" customHeight="1">
      <x:c r="A909" s="73"/>
      <x:c r="B909" s="73"/>
      <x:c r="C909" s="73"/>
      <x:c r="D909" s="73"/>
      <x:c r="E909" s="73"/>
      <x:c r="F909" s="73"/>
      <x:c r="G909" s="73"/>
      <x:c r="H909" s="73"/>
      <x:c r="I909" s="75"/>
      <x:c r="J909" s="73"/>
      <x:c r="K909" s="73"/>
      <x:c r="L909" s="76"/>
      <x:c r="M909" s="73"/>
      <x:c r="N909" s="73"/>
      <x:c r="O909" s="73"/>
      <x:c r="P909" s="73"/>
      <x:c r="Q909" s="76"/>
      <x:c r="R909" s="73"/>
      <x:c r="S909" s="73"/>
      <x:c r="T909" s="73"/>
      <x:c r="U909" s="73"/>
      <x:c r="V909" s="73"/>
      <x:c r="W909" s="73"/>
      <x:c r="X909" s="73"/>
      <x:c r="Y909" s="73"/>
      <x:c r="Z909" s="73"/>
      <x:c r="AA909" s="73"/>
      <x:c r="AB909" s="76" t="str">
        <x:f>IF(A909="","",IF(OR(NOT(ISNUMBER(I909)),I909&lt;0,NOT(ISNUMBER(AP909)),AP909&lt;0,NOT(ISNUMBER(L909)),L909&lt;1,L909&gt;5,L909&lt;&gt;INT(L909),AND(J909&lt;&gt;"Public",J909&lt;&gt;"Partner",J909&lt;&gt;"Internal",J909&lt;&gt;"None"),AND(K909&lt;&gt;"High",K909&lt;&gt;"Medium",K909&lt;&gt;"Low",K909&lt;&gt;"None"),AND(W909&lt;&gt;"Hard-coded",W909&lt;&gt;"Configurable",W909&lt;&gt;"Policy-managed",W909&lt;&gt;"API/Library abstraction",W909&lt;&gt;"Automated"),AND(Z909&lt;&gt;"Y",Z909&lt;&gt;"N"),AND(AA909&lt;&gt;"Y",AA909&lt;&gt;"N")),"Incomplete",IF(Z909="Y",20,0)+L909*5+IF(AA909="Y",15,0)+IF(J909="Public",10,IF(J909="Partner",7,IF(J909="Internal",3,0)))+IF(W909="Hard-coded",10,IF(W909="Configurable",3,0))+IF(MAX(I909,AP909)&gt;=10,10,IF(MAX(I909,AP909)&gt;=5,7,IF(MAX(I909,AP909)&gt;=2,3,0)))+IF(K909="High",10,IF(K909="Medium",5,0))))</x:f>
      </x:c>
      <x:c r="AC909" s="73" t="str">
        <x:f>IF(A909="","",IF(NOT(ISNUMBER(AB909)),"Review inputs",IF(AB909&gt;=70,"P0 - Immediate",IF(AB909&gt;=50,"P1 - High",IF(AB909&gt;=30,"P2 - Medium",IF(AB909&gt;=15,"P3 - Low","P4 - Monitor"))))))</x:f>
      </x:c>
      <x:c r="AD909" s="73"/>
      <x:c r="AE909" s="73"/>
      <x:c r="AF909" s="73"/>
      <x:c r="AG909" s="77"/>
      <x:c r="AH909" s="73"/>
      <x:c r="AI909" s="91"/>
      <x:c r="AJ909" s="91"/>
      <x:c r="AK909" s="91"/>
      <x:c r="AL909" s="92"/>
      <x:c r="AM909" s="91"/>
      <x:c r="AN909" s="91"/>
      <x:c r="AO909" s="93"/>
      <x:c r="AP909" s="94"/>
      <x:c r="AQ909" s="91"/>
      <x:c r="AR909" s="91"/>
      <x:c r="AS909" s="91"/>
      <x:c r="AT909" s="91"/>
      <x:c r="AU909" s="91"/>
      <x:c r="AV909" s="91"/>
      <x:c r="AW909" s="91"/>
      <x:c r="AX909" s="91"/>
      <x:c r="AY909" s="91"/>
      <x:c r="AZ909" s="92"/>
      <x:c r="BA909" s="94"/>
      <x:c r="BB909" s="91"/>
      <x:c r="BC909" s="92"/>
      <x:c r="BD909" s="92"/>
      <x:c r="BE909" s="91"/>
      <x:c r="BF909" s="91"/>
      <x:c r="BG909" s="91"/>
      <x:c r="BH909" s="91"/>
      <x:c r="BI909" s="91"/>
      <x:c r="BJ909" s="91"/>
      <x:c r="BK909" s="91"/>
      <x:c r="BL909" s="91"/>
      <x:c r="BM909" s="73" t="str">
        <x:f>IF(A909="","",IF(AI909="Example","Example only",IF(AI909&lt;&gt;"Actual","Set record type",IF(COUNTIF($A$2:$A$1001,A909)&gt;1,"Duplicate record ID",IF(OR(D909="",E909="",AF909="",NOT(ISNUMBER(AG909)),AJ909="",AK909="",NOT(ISNUMBER(AL909)),AND(AM909&lt;&gt;"Observed",AM909&lt;&gt;"Corroborated",AM909&lt;&gt;"Declared"),OR(AN909="",AN909="Unknown"),OR(AQ909="",AQ909="Unknown"),OR(AR909="",AR909="Unknown",AR909="TBD"),OR(BC909="",NOT(ISNUMBER(BC909)))),"Evidence incomplete","Evidence recorded; review scope")))))</x:f>
      </x:c>
      <x:c r="BN909" s="73"/>
    </x:row>
    <x:row r="910" ht="34" customHeight="1">
      <x:c r="A910" s="73"/>
      <x:c r="B910" s="73"/>
      <x:c r="C910" s="73"/>
      <x:c r="D910" s="73"/>
      <x:c r="E910" s="73"/>
      <x:c r="F910" s="73"/>
      <x:c r="G910" s="73"/>
      <x:c r="H910" s="73"/>
      <x:c r="I910" s="75"/>
      <x:c r="J910" s="73"/>
      <x:c r="K910" s="73"/>
      <x:c r="L910" s="76"/>
      <x:c r="M910" s="73"/>
      <x:c r="N910" s="73"/>
      <x:c r="O910" s="73"/>
      <x:c r="P910" s="73"/>
      <x:c r="Q910" s="76"/>
      <x:c r="R910" s="73"/>
      <x:c r="S910" s="73"/>
      <x:c r="T910" s="73"/>
      <x:c r="U910" s="73"/>
      <x:c r="V910" s="73"/>
      <x:c r="W910" s="73"/>
      <x:c r="X910" s="73"/>
      <x:c r="Y910" s="73"/>
      <x:c r="Z910" s="73"/>
      <x:c r="AA910" s="73"/>
      <x:c r="AB910" s="76" t="str">
        <x:f>IF(A910="","",IF(OR(NOT(ISNUMBER(I910)),I910&lt;0,NOT(ISNUMBER(AP910)),AP910&lt;0,NOT(ISNUMBER(L910)),L910&lt;1,L910&gt;5,L910&lt;&gt;INT(L910),AND(J910&lt;&gt;"Public",J910&lt;&gt;"Partner",J910&lt;&gt;"Internal",J910&lt;&gt;"None"),AND(K910&lt;&gt;"High",K910&lt;&gt;"Medium",K910&lt;&gt;"Low",K910&lt;&gt;"None"),AND(W910&lt;&gt;"Hard-coded",W910&lt;&gt;"Configurable",W910&lt;&gt;"Policy-managed",W910&lt;&gt;"API/Library abstraction",W910&lt;&gt;"Automated"),AND(Z910&lt;&gt;"Y",Z910&lt;&gt;"N"),AND(AA910&lt;&gt;"Y",AA910&lt;&gt;"N")),"Incomplete",IF(Z910="Y",20,0)+L910*5+IF(AA910="Y",15,0)+IF(J910="Public",10,IF(J910="Partner",7,IF(J910="Internal",3,0)))+IF(W910="Hard-coded",10,IF(W910="Configurable",3,0))+IF(MAX(I910,AP910)&gt;=10,10,IF(MAX(I910,AP910)&gt;=5,7,IF(MAX(I910,AP910)&gt;=2,3,0)))+IF(K910="High",10,IF(K910="Medium",5,0))))</x:f>
      </x:c>
      <x:c r="AC910" s="73" t="str">
        <x:f>IF(A910="","",IF(NOT(ISNUMBER(AB910)),"Review inputs",IF(AB910&gt;=70,"P0 - Immediate",IF(AB910&gt;=50,"P1 - High",IF(AB910&gt;=30,"P2 - Medium",IF(AB910&gt;=15,"P3 - Low","P4 - Monitor"))))))</x:f>
      </x:c>
      <x:c r="AD910" s="73"/>
      <x:c r="AE910" s="73"/>
      <x:c r="AF910" s="73"/>
      <x:c r="AG910" s="77"/>
      <x:c r="AH910" s="73"/>
      <x:c r="AI910" s="91"/>
      <x:c r="AJ910" s="91"/>
      <x:c r="AK910" s="91"/>
      <x:c r="AL910" s="92"/>
      <x:c r="AM910" s="91"/>
      <x:c r="AN910" s="91"/>
      <x:c r="AO910" s="93"/>
      <x:c r="AP910" s="94"/>
      <x:c r="AQ910" s="91"/>
      <x:c r="AR910" s="91"/>
      <x:c r="AS910" s="91"/>
      <x:c r="AT910" s="91"/>
      <x:c r="AU910" s="91"/>
      <x:c r="AV910" s="91"/>
      <x:c r="AW910" s="91"/>
      <x:c r="AX910" s="91"/>
      <x:c r="AY910" s="91"/>
      <x:c r="AZ910" s="92"/>
      <x:c r="BA910" s="94"/>
      <x:c r="BB910" s="91"/>
      <x:c r="BC910" s="92"/>
      <x:c r="BD910" s="92"/>
      <x:c r="BE910" s="91"/>
      <x:c r="BF910" s="91"/>
      <x:c r="BG910" s="91"/>
      <x:c r="BH910" s="91"/>
      <x:c r="BI910" s="91"/>
      <x:c r="BJ910" s="91"/>
      <x:c r="BK910" s="91"/>
      <x:c r="BL910" s="91"/>
      <x:c r="BM910" s="73" t="str">
        <x:f>IF(A910="","",IF(AI910="Example","Example only",IF(AI910&lt;&gt;"Actual","Set record type",IF(COUNTIF($A$2:$A$1001,A910)&gt;1,"Duplicate record ID",IF(OR(D910="",E910="",AF910="",NOT(ISNUMBER(AG910)),AJ910="",AK910="",NOT(ISNUMBER(AL910)),AND(AM910&lt;&gt;"Observed",AM910&lt;&gt;"Corroborated",AM910&lt;&gt;"Declared"),OR(AN910="",AN910="Unknown"),OR(AQ910="",AQ910="Unknown"),OR(AR910="",AR910="Unknown",AR910="TBD"),OR(BC910="",NOT(ISNUMBER(BC910)))),"Evidence incomplete","Evidence recorded; review scope")))))</x:f>
      </x:c>
      <x:c r="BN910" s="73"/>
    </x:row>
    <x:row r="911" ht="34" customHeight="1">
      <x:c r="A911" s="73"/>
      <x:c r="B911" s="73"/>
      <x:c r="C911" s="73"/>
      <x:c r="D911" s="73"/>
      <x:c r="E911" s="73"/>
      <x:c r="F911" s="73"/>
      <x:c r="G911" s="73"/>
      <x:c r="H911" s="73"/>
      <x:c r="I911" s="75"/>
      <x:c r="J911" s="73"/>
      <x:c r="K911" s="73"/>
      <x:c r="L911" s="76"/>
      <x:c r="M911" s="73"/>
      <x:c r="N911" s="73"/>
      <x:c r="O911" s="73"/>
      <x:c r="P911" s="73"/>
      <x:c r="Q911" s="76"/>
      <x:c r="R911" s="73"/>
      <x:c r="S911" s="73"/>
      <x:c r="T911" s="73"/>
      <x:c r="U911" s="73"/>
      <x:c r="V911" s="73"/>
      <x:c r="W911" s="73"/>
      <x:c r="X911" s="73"/>
      <x:c r="Y911" s="73"/>
      <x:c r="Z911" s="73"/>
      <x:c r="AA911" s="73"/>
      <x:c r="AB911" s="76" t="str">
        <x:f>IF(A911="","",IF(OR(NOT(ISNUMBER(I911)),I911&lt;0,NOT(ISNUMBER(AP911)),AP911&lt;0,NOT(ISNUMBER(L911)),L911&lt;1,L911&gt;5,L911&lt;&gt;INT(L911),AND(J911&lt;&gt;"Public",J911&lt;&gt;"Partner",J911&lt;&gt;"Internal",J911&lt;&gt;"None"),AND(K911&lt;&gt;"High",K911&lt;&gt;"Medium",K911&lt;&gt;"Low",K911&lt;&gt;"None"),AND(W911&lt;&gt;"Hard-coded",W911&lt;&gt;"Configurable",W911&lt;&gt;"Policy-managed",W911&lt;&gt;"API/Library abstraction",W911&lt;&gt;"Automated"),AND(Z911&lt;&gt;"Y",Z911&lt;&gt;"N"),AND(AA911&lt;&gt;"Y",AA911&lt;&gt;"N")),"Incomplete",IF(Z911="Y",20,0)+L911*5+IF(AA911="Y",15,0)+IF(J911="Public",10,IF(J911="Partner",7,IF(J911="Internal",3,0)))+IF(W911="Hard-coded",10,IF(W911="Configurable",3,0))+IF(MAX(I911,AP911)&gt;=10,10,IF(MAX(I911,AP911)&gt;=5,7,IF(MAX(I911,AP911)&gt;=2,3,0)))+IF(K911="High",10,IF(K911="Medium",5,0))))</x:f>
      </x:c>
      <x:c r="AC911" s="73" t="str">
        <x:f>IF(A911="","",IF(NOT(ISNUMBER(AB911)),"Review inputs",IF(AB911&gt;=70,"P0 - Immediate",IF(AB911&gt;=50,"P1 - High",IF(AB911&gt;=30,"P2 - Medium",IF(AB911&gt;=15,"P3 - Low","P4 - Monitor"))))))</x:f>
      </x:c>
      <x:c r="AD911" s="73"/>
      <x:c r="AE911" s="73"/>
      <x:c r="AF911" s="73"/>
      <x:c r="AG911" s="77"/>
      <x:c r="AH911" s="73"/>
      <x:c r="AI911" s="91"/>
      <x:c r="AJ911" s="91"/>
      <x:c r="AK911" s="91"/>
      <x:c r="AL911" s="92"/>
      <x:c r="AM911" s="91"/>
      <x:c r="AN911" s="91"/>
      <x:c r="AO911" s="93"/>
      <x:c r="AP911" s="94"/>
      <x:c r="AQ911" s="91"/>
      <x:c r="AR911" s="91"/>
      <x:c r="AS911" s="91"/>
      <x:c r="AT911" s="91"/>
      <x:c r="AU911" s="91"/>
      <x:c r="AV911" s="91"/>
      <x:c r="AW911" s="91"/>
      <x:c r="AX911" s="91"/>
      <x:c r="AY911" s="91"/>
      <x:c r="AZ911" s="92"/>
      <x:c r="BA911" s="94"/>
      <x:c r="BB911" s="91"/>
      <x:c r="BC911" s="92"/>
      <x:c r="BD911" s="92"/>
      <x:c r="BE911" s="91"/>
      <x:c r="BF911" s="91"/>
      <x:c r="BG911" s="91"/>
      <x:c r="BH911" s="91"/>
      <x:c r="BI911" s="91"/>
      <x:c r="BJ911" s="91"/>
      <x:c r="BK911" s="91"/>
      <x:c r="BL911" s="91"/>
      <x:c r="BM911" s="73" t="str">
        <x:f>IF(A911="","",IF(AI911="Example","Example only",IF(AI911&lt;&gt;"Actual","Set record type",IF(COUNTIF($A$2:$A$1001,A911)&gt;1,"Duplicate record ID",IF(OR(D911="",E911="",AF911="",NOT(ISNUMBER(AG911)),AJ911="",AK911="",NOT(ISNUMBER(AL911)),AND(AM911&lt;&gt;"Observed",AM911&lt;&gt;"Corroborated",AM911&lt;&gt;"Declared"),OR(AN911="",AN911="Unknown"),OR(AQ911="",AQ911="Unknown"),OR(AR911="",AR911="Unknown",AR911="TBD"),OR(BC911="",NOT(ISNUMBER(BC911)))),"Evidence incomplete","Evidence recorded; review scope")))))</x:f>
      </x:c>
      <x:c r="BN911" s="73"/>
    </x:row>
    <x:row r="912" ht="34" customHeight="1">
      <x:c r="A912" s="73"/>
      <x:c r="B912" s="73"/>
      <x:c r="C912" s="73"/>
      <x:c r="D912" s="73"/>
      <x:c r="E912" s="73"/>
      <x:c r="F912" s="73"/>
      <x:c r="G912" s="73"/>
      <x:c r="H912" s="73"/>
      <x:c r="I912" s="75"/>
      <x:c r="J912" s="73"/>
      <x:c r="K912" s="73"/>
      <x:c r="L912" s="76"/>
      <x:c r="M912" s="73"/>
      <x:c r="N912" s="73"/>
      <x:c r="O912" s="73"/>
      <x:c r="P912" s="73"/>
      <x:c r="Q912" s="76"/>
      <x:c r="R912" s="73"/>
      <x:c r="S912" s="73"/>
      <x:c r="T912" s="73"/>
      <x:c r="U912" s="73"/>
      <x:c r="V912" s="73"/>
      <x:c r="W912" s="73"/>
      <x:c r="X912" s="73"/>
      <x:c r="Y912" s="73"/>
      <x:c r="Z912" s="73"/>
      <x:c r="AA912" s="73"/>
      <x:c r="AB912" s="76" t="str">
        <x:f>IF(A912="","",IF(OR(NOT(ISNUMBER(I912)),I912&lt;0,NOT(ISNUMBER(AP912)),AP912&lt;0,NOT(ISNUMBER(L912)),L912&lt;1,L912&gt;5,L912&lt;&gt;INT(L912),AND(J912&lt;&gt;"Public",J912&lt;&gt;"Partner",J912&lt;&gt;"Internal",J912&lt;&gt;"None"),AND(K912&lt;&gt;"High",K912&lt;&gt;"Medium",K912&lt;&gt;"Low",K912&lt;&gt;"None"),AND(W912&lt;&gt;"Hard-coded",W912&lt;&gt;"Configurable",W912&lt;&gt;"Policy-managed",W912&lt;&gt;"API/Library abstraction",W912&lt;&gt;"Automated"),AND(Z912&lt;&gt;"Y",Z912&lt;&gt;"N"),AND(AA912&lt;&gt;"Y",AA912&lt;&gt;"N")),"Incomplete",IF(Z912="Y",20,0)+L912*5+IF(AA912="Y",15,0)+IF(J912="Public",10,IF(J912="Partner",7,IF(J912="Internal",3,0)))+IF(W912="Hard-coded",10,IF(W912="Configurable",3,0))+IF(MAX(I912,AP912)&gt;=10,10,IF(MAX(I912,AP912)&gt;=5,7,IF(MAX(I912,AP912)&gt;=2,3,0)))+IF(K912="High",10,IF(K912="Medium",5,0))))</x:f>
      </x:c>
      <x:c r="AC912" s="73" t="str">
        <x:f>IF(A912="","",IF(NOT(ISNUMBER(AB912)),"Review inputs",IF(AB912&gt;=70,"P0 - Immediate",IF(AB912&gt;=50,"P1 - High",IF(AB912&gt;=30,"P2 - Medium",IF(AB912&gt;=15,"P3 - Low","P4 - Monitor"))))))</x:f>
      </x:c>
      <x:c r="AD912" s="73"/>
      <x:c r="AE912" s="73"/>
      <x:c r="AF912" s="73"/>
      <x:c r="AG912" s="77"/>
      <x:c r="AH912" s="73"/>
      <x:c r="AI912" s="91"/>
      <x:c r="AJ912" s="91"/>
      <x:c r="AK912" s="91"/>
      <x:c r="AL912" s="92"/>
      <x:c r="AM912" s="91"/>
      <x:c r="AN912" s="91"/>
      <x:c r="AO912" s="93"/>
      <x:c r="AP912" s="94"/>
      <x:c r="AQ912" s="91"/>
      <x:c r="AR912" s="91"/>
      <x:c r="AS912" s="91"/>
      <x:c r="AT912" s="91"/>
      <x:c r="AU912" s="91"/>
      <x:c r="AV912" s="91"/>
      <x:c r="AW912" s="91"/>
      <x:c r="AX912" s="91"/>
      <x:c r="AY912" s="91"/>
      <x:c r="AZ912" s="92"/>
      <x:c r="BA912" s="94"/>
      <x:c r="BB912" s="91"/>
      <x:c r="BC912" s="92"/>
      <x:c r="BD912" s="92"/>
      <x:c r="BE912" s="91"/>
      <x:c r="BF912" s="91"/>
      <x:c r="BG912" s="91"/>
      <x:c r="BH912" s="91"/>
      <x:c r="BI912" s="91"/>
      <x:c r="BJ912" s="91"/>
      <x:c r="BK912" s="91"/>
      <x:c r="BL912" s="91"/>
      <x:c r="BM912" s="73" t="str">
        <x:f>IF(A912="","",IF(AI912="Example","Example only",IF(AI912&lt;&gt;"Actual","Set record type",IF(COUNTIF($A$2:$A$1001,A912)&gt;1,"Duplicate record ID",IF(OR(D912="",E912="",AF912="",NOT(ISNUMBER(AG912)),AJ912="",AK912="",NOT(ISNUMBER(AL912)),AND(AM912&lt;&gt;"Observed",AM912&lt;&gt;"Corroborated",AM912&lt;&gt;"Declared"),OR(AN912="",AN912="Unknown"),OR(AQ912="",AQ912="Unknown"),OR(AR912="",AR912="Unknown",AR912="TBD"),OR(BC912="",NOT(ISNUMBER(BC912)))),"Evidence incomplete","Evidence recorded; review scope")))))</x:f>
      </x:c>
      <x:c r="BN912" s="73"/>
    </x:row>
    <x:row r="913" ht="34" customHeight="1">
      <x:c r="A913" s="73"/>
      <x:c r="B913" s="73"/>
      <x:c r="C913" s="73"/>
      <x:c r="D913" s="73"/>
      <x:c r="E913" s="73"/>
      <x:c r="F913" s="73"/>
      <x:c r="G913" s="73"/>
      <x:c r="H913" s="73"/>
      <x:c r="I913" s="75"/>
      <x:c r="J913" s="73"/>
      <x:c r="K913" s="73"/>
      <x:c r="L913" s="76"/>
      <x:c r="M913" s="73"/>
      <x:c r="N913" s="73"/>
      <x:c r="O913" s="73"/>
      <x:c r="P913" s="73"/>
      <x:c r="Q913" s="76"/>
      <x:c r="R913" s="73"/>
      <x:c r="S913" s="73"/>
      <x:c r="T913" s="73"/>
      <x:c r="U913" s="73"/>
      <x:c r="V913" s="73"/>
      <x:c r="W913" s="73"/>
      <x:c r="X913" s="73"/>
      <x:c r="Y913" s="73"/>
      <x:c r="Z913" s="73"/>
      <x:c r="AA913" s="73"/>
      <x:c r="AB913" s="76" t="str">
        <x:f>IF(A913="","",IF(OR(NOT(ISNUMBER(I913)),I913&lt;0,NOT(ISNUMBER(AP913)),AP913&lt;0,NOT(ISNUMBER(L913)),L913&lt;1,L913&gt;5,L913&lt;&gt;INT(L913),AND(J913&lt;&gt;"Public",J913&lt;&gt;"Partner",J913&lt;&gt;"Internal",J913&lt;&gt;"None"),AND(K913&lt;&gt;"High",K913&lt;&gt;"Medium",K913&lt;&gt;"Low",K913&lt;&gt;"None"),AND(W913&lt;&gt;"Hard-coded",W913&lt;&gt;"Configurable",W913&lt;&gt;"Policy-managed",W913&lt;&gt;"API/Library abstraction",W913&lt;&gt;"Automated"),AND(Z913&lt;&gt;"Y",Z913&lt;&gt;"N"),AND(AA913&lt;&gt;"Y",AA913&lt;&gt;"N")),"Incomplete",IF(Z913="Y",20,0)+L913*5+IF(AA913="Y",15,0)+IF(J913="Public",10,IF(J913="Partner",7,IF(J913="Internal",3,0)))+IF(W913="Hard-coded",10,IF(W913="Configurable",3,0))+IF(MAX(I913,AP913)&gt;=10,10,IF(MAX(I913,AP913)&gt;=5,7,IF(MAX(I913,AP913)&gt;=2,3,0)))+IF(K913="High",10,IF(K913="Medium",5,0))))</x:f>
      </x:c>
      <x:c r="AC913" s="73" t="str">
        <x:f>IF(A913="","",IF(NOT(ISNUMBER(AB913)),"Review inputs",IF(AB913&gt;=70,"P0 - Immediate",IF(AB913&gt;=50,"P1 - High",IF(AB913&gt;=30,"P2 - Medium",IF(AB913&gt;=15,"P3 - Low","P4 - Monitor"))))))</x:f>
      </x:c>
      <x:c r="AD913" s="73"/>
      <x:c r="AE913" s="73"/>
      <x:c r="AF913" s="73"/>
      <x:c r="AG913" s="77"/>
      <x:c r="AH913" s="73"/>
      <x:c r="AI913" s="91"/>
      <x:c r="AJ913" s="91"/>
      <x:c r="AK913" s="91"/>
      <x:c r="AL913" s="92"/>
      <x:c r="AM913" s="91"/>
      <x:c r="AN913" s="91"/>
      <x:c r="AO913" s="93"/>
      <x:c r="AP913" s="94"/>
      <x:c r="AQ913" s="91"/>
      <x:c r="AR913" s="91"/>
      <x:c r="AS913" s="91"/>
      <x:c r="AT913" s="91"/>
      <x:c r="AU913" s="91"/>
      <x:c r="AV913" s="91"/>
      <x:c r="AW913" s="91"/>
      <x:c r="AX913" s="91"/>
      <x:c r="AY913" s="91"/>
      <x:c r="AZ913" s="92"/>
      <x:c r="BA913" s="94"/>
      <x:c r="BB913" s="91"/>
      <x:c r="BC913" s="92"/>
      <x:c r="BD913" s="92"/>
      <x:c r="BE913" s="91"/>
      <x:c r="BF913" s="91"/>
      <x:c r="BG913" s="91"/>
      <x:c r="BH913" s="91"/>
      <x:c r="BI913" s="91"/>
      <x:c r="BJ913" s="91"/>
      <x:c r="BK913" s="91"/>
      <x:c r="BL913" s="91"/>
      <x:c r="BM913" s="73" t="str">
        <x:f>IF(A913="","",IF(AI913="Example","Example only",IF(AI913&lt;&gt;"Actual","Set record type",IF(COUNTIF($A$2:$A$1001,A913)&gt;1,"Duplicate record ID",IF(OR(D913="",E913="",AF913="",NOT(ISNUMBER(AG913)),AJ913="",AK913="",NOT(ISNUMBER(AL913)),AND(AM913&lt;&gt;"Observed",AM913&lt;&gt;"Corroborated",AM913&lt;&gt;"Declared"),OR(AN913="",AN913="Unknown"),OR(AQ913="",AQ913="Unknown"),OR(AR913="",AR913="Unknown",AR913="TBD"),OR(BC913="",NOT(ISNUMBER(BC913)))),"Evidence incomplete","Evidence recorded; review scope")))))</x:f>
      </x:c>
      <x:c r="BN913" s="73"/>
    </x:row>
    <x:row r="914" ht="34" customHeight="1">
      <x:c r="A914" s="73"/>
      <x:c r="B914" s="73"/>
      <x:c r="C914" s="73"/>
      <x:c r="D914" s="73"/>
      <x:c r="E914" s="73"/>
      <x:c r="F914" s="73"/>
      <x:c r="G914" s="73"/>
      <x:c r="H914" s="73"/>
      <x:c r="I914" s="75"/>
      <x:c r="J914" s="73"/>
      <x:c r="K914" s="73"/>
      <x:c r="L914" s="76"/>
      <x:c r="M914" s="73"/>
      <x:c r="N914" s="73"/>
      <x:c r="O914" s="73"/>
      <x:c r="P914" s="73"/>
      <x:c r="Q914" s="76"/>
      <x:c r="R914" s="73"/>
      <x:c r="S914" s="73"/>
      <x:c r="T914" s="73"/>
      <x:c r="U914" s="73"/>
      <x:c r="V914" s="73"/>
      <x:c r="W914" s="73"/>
      <x:c r="X914" s="73"/>
      <x:c r="Y914" s="73"/>
      <x:c r="Z914" s="73"/>
      <x:c r="AA914" s="73"/>
      <x:c r="AB914" s="76" t="str">
        <x:f>IF(A914="","",IF(OR(NOT(ISNUMBER(I914)),I914&lt;0,NOT(ISNUMBER(AP914)),AP914&lt;0,NOT(ISNUMBER(L914)),L914&lt;1,L914&gt;5,L914&lt;&gt;INT(L914),AND(J914&lt;&gt;"Public",J914&lt;&gt;"Partner",J914&lt;&gt;"Internal",J914&lt;&gt;"None"),AND(K914&lt;&gt;"High",K914&lt;&gt;"Medium",K914&lt;&gt;"Low",K914&lt;&gt;"None"),AND(W914&lt;&gt;"Hard-coded",W914&lt;&gt;"Configurable",W914&lt;&gt;"Policy-managed",W914&lt;&gt;"API/Library abstraction",W914&lt;&gt;"Automated"),AND(Z914&lt;&gt;"Y",Z914&lt;&gt;"N"),AND(AA914&lt;&gt;"Y",AA914&lt;&gt;"N")),"Incomplete",IF(Z914="Y",20,0)+L914*5+IF(AA914="Y",15,0)+IF(J914="Public",10,IF(J914="Partner",7,IF(J914="Internal",3,0)))+IF(W914="Hard-coded",10,IF(W914="Configurable",3,0))+IF(MAX(I914,AP914)&gt;=10,10,IF(MAX(I914,AP914)&gt;=5,7,IF(MAX(I914,AP914)&gt;=2,3,0)))+IF(K914="High",10,IF(K914="Medium",5,0))))</x:f>
      </x:c>
      <x:c r="AC914" s="73" t="str">
        <x:f>IF(A914="","",IF(NOT(ISNUMBER(AB914)),"Review inputs",IF(AB914&gt;=70,"P0 - Immediate",IF(AB914&gt;=50,"P1 - High",IF(AB914&gt;=30,"P2 - Medium",IF(AB914&gt;=15,"P3 - Low","P4 - Monitor"))))))</x:f>
      </x:c>
      <x:c r="AD914" s="73"/>
      <x:c r="AE914" s="73"/>
      <x:c r="AF914" s="73"/>
      <x:c r="AG914" s="77"/>
      <x:c r="AH914" s="73"/>
      <x:c r="AI914" s="91"/>
      <x:c r="AJ914" s="91"/>
      <x:c r="AK914" s="91"/>
      <x:c r="AL914" s="92"/>
      <x:c r="AM914" s="91"/>
      <x:c r="AN914" s="91"/>
      <x:c r="AO914" s="93"/>
      <x:c r="AP914" s="94"/>
      <x:c r="AQ914" s="91"/>
      <x:c r="AR914" s="91"/>
      <x:c r="AS914" s="91"/>
      <x:c r="AT914" s="91"/>
      <x:c r="AU914" s="91"/>
      <x:c r="AV914" s="91"/>
      <x:c r="AW914" s="91"/>
      <x:c r="AX914" s="91"/>
      <x:c r="AY914" s="91"/>
      <x:c r="AZ914" s="92"/>
      <x:c r="BA914" s="94"/>
      <x:c r="BB914" s="91"/>
      <x:c r="BC914" s="92"/>
      <x:c r="BD914" s="92"/>
      <x:c r="BE914" s="91"/>
      <x:c r="BF914" s="91"/>
      <x:c r="BG914" s="91"/>
      <x:c r="BH914" s="91"/>
      <x:c r="BI914" s="91"/>
      <x:c r="BJ914" s="91"/>
      <x:c r="BK914" s="91"/>
      <x:c r="BL914" s="91"/>
      <x:c r="BM914" s="73" t="str">
        <x:f>IF(A914="","",IF(AI914="Example","Example only",IF(AI914&lt;&gt;"Actual","Set record type",IF(COUNTIF($A$2:$A$1001,A914)&gt;1,"Duplicate record ID",IF(OR(D914="",E914="",AF914="",NOT(ISNUMBER(AG914)),AJ914="",AK914="",NOT(ISNUMBER(AL914)),AND(AM914&lt;&gt;"Observed",AM914&lt;&gt;"Corroborated",AM914&lt;&gt;"Declared"),OR(AN914="",AN914="Unknown"),OR(AQ914="",AQ914="Unknown"),OR(AR914="",AR914="Unknown",AR914="TBD"),OR(BC914="",NOT(ISNUMBER(BC914)))),"Evidence incomplete","Evidence recorded; review scope")))))</x:f>
      </x:c>
      <x:c r="BN914" s="73"/>
    </x:row>
    <x:row r="915" ht="34" customHeight="1">
      <x:c r="A915" s="73"/>
      <x:c r="B915" s="73"/>
      <x:c r="C915" s="73"/>
      <x:c r="D915" s="73"/>
      <x:c r="E915" s="73"/>
      <x:c r="F915" s="73"/>
      <x:c r="G915" s="73"/>
      <x:c r="H915" s="73"/>
      <x:c r="I915" s="75"/>
      <x:c r="J915" s="73"/>
      <x:c r="K915" s="73"/>
      <x:c r="L915" s="76"/>
      <x:c r="M915" s="73"/>
      <x:c r="N915" s="73"/>
      <x:c r="O915" s="73"/>
      <x:c r="P915" s="73"/>
      <x:c r="Q915" s="76"/>
      <x:c r="R915" s="73"/>
      <x:c r="S915" s="73"/>
      <x:c r="T915" s="73"/>
      <x:c r="U915" s="73"/>
      <x:c r="V915" s="73"/>
      <x:c r="W915" s="73"/>
      <x:c r="X915" s="73"/>
      <x:c r="Y915" s="73"/>
      <x:c r="Z915" s="73"/>
      <x:c r="AA915" s="73"/>
      <x:c r="AB915" s="76" t="str">
        <x:f>IF(A915="","",IF(OR(NOT(ISNUMBER(I915)),I915&lt;0,NOT(ISNUMBER(AP915)),AP915&lt;0,NOT(ISNUMBER(L915)),L915&lt;1,L915&gt;5,L915&lt;&gt;INT(L915),AND(J915&lt;&gt;"Public",J915&lt;&gt;"Partner",J915&lt;&gt;"Internal",J915&lt;&gt;"None"),AND(K915&lt;&gt;"High",K915&lt;&gt;"Medium",K915&lt;&gt;"Low",K915&lt;&gt;"None"),AND(W915&lt;&gt;"Hard-coded",W915&lt;&gt;"Configurable",W915&lt;&gt;"Policy-managed",W915&lt;&gt;"API/Library abstraction",W915&lt;&gt;"Automated"),AND(Z915&lt;&gt;"Y",Z915&lt;&gt;"N"),AND(AA915&lt;&gt;"Y",AA915&lt;&gt;"N")),"Incomplete",IF(Z915="Y",20,0)+L915*5+IF(AA915="Y",15,0)+IF(J915="Public",10,IF(J915="Partner",7,IF(J915="Internal",3,0)))+IF(W915="Hard-coded",10,IF(W915="Configurable",3,0))+IF(MAX(I915,AP915)&gt;=10,10,IF(MAX(I915,AP915)&gt;=5,7,IF(MAX(I915,AP915)&gt;=2,3,0)))+IF(K915="High",10,IF(K915="Medium",5,0))))</x:f>
      </x:c>
      <x:c r="AC915" s="73" t="str">
        <x:f>IF(A915="","",IF(NOT(ISNUMBER(AB915)),"Review inputs",IF(AB915&gt;=70,"P0 - Immediate",IF(AB915&gt;=50,"P1 - High",IF(AB915&gt;=30,"P2 - Medium",IF(AB915&gt;=15,"P3 - Low","P4 - Monitor"))))))</x:f>
      </x:c>
      <x:c r="AD915" s="73"/>
      <x:c r="AE915" s="73"/>
      <x:c r="AF915" s="73"/>
      <x:c r="AG915" s="77"/>
      <x:c r="AH915" s="73"/>
      <x:c r="AI915" s="91"/>
      <x:c r="AJ915" s="91"/>
      <x:c r="AK915" s="91"/>
      <x:c r="AL915" s="92"/>
      <x:c r="AM915" s="91"/>
      <x:c r="AN915" s="91"/>
      <x:c r="AO915" s="93"/>
      <x:c r="AP915" s="94"/>
      <x:c r="AQ915" s="91"/>
      <x:c r="AR915" s="91"/>
      <x:c r="AS915" s="91"/>
      <x:c r="AT915" s="91"/>
      <x:c r="AU915" s="91"/>
      <x:c r="AV915" s="91"/>
      <x:c r="AW915" s="91"/>
      <x:c r="AX915" s="91"/>
      <x:c r="AY915" s="91"/>
      <x:c r="AZ915" s="92"/>
      <x:c r="BA915" s="94"/>
      <x:c r="BB915" s="91"/>
      <x:c r="BC915" s="92"/>
      <x:c r="BD915" s="92"/>
      <x:c r="BE915" s="91"/>
      <x:c r="BF915" s="91"/>
      <x:c r="BG915" s="91"/>
      <x:c r="BH915" s="91"/>
      <x:c r="BI915" s="91"/>
      <x:c r="BJ915" s="91"/>
      <x:c r="BK915" s="91"/>
      <x:c r="BL915" s="91"/>
      <x:c r="BM915" s="73" t="str">
        <x:f>IF(A915="","",IF(AI915="Example","Example only",IF(AI915&lt;&gt;"Actual","Set record type",IF(COUNTIF($A$2:$A$1001,A915)&gt;1,"Duplicate record ID",IF(OR(D915="",E915="",AF915="",NOT(ISNUMBER(AG915)),AJ915="",AK915="",NOT(ISNUMBER(AL915)),AND(AM915&lt;&gt;"Observed",AM915&lt;&gt;"Corroborated",AM915&lt;&gt;"Declared"),OR(AN915="",AN915="Unknown"),OR(AQ915="",AQ915="Unknown"),OR(AR915="",AR915="Unknown",AR915="TBD"),OR(BC915="",NOT(ISNUMBER(BC915)))),"Evidence incomplete","Evidence recorded; review scope")))))</x:f>
      </x:c>
      <x:c r="BN915" s="73"/>
    </x:row>
    <x:row r="916" ht="34" customHeight="1">
      <x:c r="A916" s="73"/>
      <x:c r="B916" s="73"/>
      <x:c r="C916" s="73"/>
      <x:c r="D916" s="73"/>
      <x:c r="E916" s="73"/>
      <x:c r="F916" s="73"/>
      <x:c r="G916" s="73"/>
      <x:c r="H916" s="73"/>
      <x:c r="I916" s="75"/>
      <x:c r="J916" s="73"/>
      <x:c r="K916" s="73"/>
      <x:c r="L916" s="76"/>
      <x:c r="M916" s="73"/>
      <x:c r="N916" s="73"/>
      <x:c r="O916" s="73"/>
      <x:c r="P916" s="73"/>
      <x:c r="Q916" s="76"/>
      <x:c r="R916" s="73"/>
      <x:c r="S916" s="73"/>
      <x:c r="T916" s="73"/>
      <x:c r="U916" s="73"/>
      <x:c r="V916" s="73"/>
      <x:c r="W916" s="73"/>
      <x:c r="X916" s="73"/>
      <x:c r="Y916" s="73"/>
      <x:c r="Z916" s="73"/>
      <x:c r="AA916" s="73"/>
      <x:c r="AB916" s="76" t="str">
        <x:f>IF(A916="","",IF(OR(NOT(ISNUMBER(I916)),I916&lt;0,NOT(ISNUMBER(AP916)),AP916&lt;0,NOT(ISNUMBER(L916)),L916&lt;1,L916&gt;5,L916&lt;&gt;INT(L916),AND(J916&lt;&gt;"Public",J916&lt;&gt;"Partner",J916&lt;&gt;"Internal",J916&lt;&gt;"None"),AND(K916&lt;&gt;"High",K916&lt;&gt;"Medium",K916&lt;&gt;"Low",K916&lt;&gt;"None"),AND(W916&lt;&gt;"Hard-coded",W916&lt;&gt;"Configurable",W916&lt;&gt;"Policy-managed",W916&lt;&gt;"API/Library abstraction",W916&lt;&gt;"Automated"),AND(Z916&lt;&gt;"Y",Z916&lt;&gt;"N"),AND(AA916&lt;&gt;"Y",AA916&lt;&gt;"N")),"Incomplete",IF(Z916="Y",20,0)+L916*5+IF(AA916="Y",15,0)+IF(J916="Public",10,IF(J916="Partner",7,IF(J916="Internal",3,0)))+IF(W916="Hard-coded",10,IF(W916="Configurable",3,0))+IF(MAX(I916,AP916)&gt;=10,10,IF(MAX(I916,AP916)&gt;=5,7,IF(MAX(I916,AP916)&gt;=2,3,0)))+IF(K916="High",10,IF(K916="Medium",5,0))))</x:f>
      </x:c>
      <x:c r="AC916" s="73" t="str">
        <x:f>IF(A916="","",IF(NOT(ISNUMBER(AB916)),"Review inputs",IF(AB916&gt;=70,"P0 - Immediate",IF(AB916&gt;=50,"P1 - High",IF(AB916&gt;=30,"P2 - Medium",IF(AB916&gt;=15,"P3 - Low","P4 - Monitor"))))))</x:f>
      </x:c>
      <x:c r="AD916" s="73"/>
      <x:c r="AE916" s="73"/>
      <x:c r="AF916" s="73"/>
      <x:c r="AG916" s="77"/>
      <x:c r="AH916" s="73"/>
      <x:c r="AI916" s="91"/>
      <x:c r="AJ916" s="91"/>
      <x:c r="AK916" s="91"/>
      <x:c r="AL916" s="92"/>
      <x:c r="AM916" s="91"/>
      <x:c r="AN916" s="91"/>
      <x:c r="AO916" s="93"/>
      <x:c r="AP916" s="94"/>
      <x:c r="AQ916" s="91"/>
      <x:c r="AR916" s="91"/>
      <x:c r="AS916" s="91"/>
      <x:c r="AT916" s="91"/>
      <x:c r="AU916" s="91"/>
      <x:c r="AV916" s="91"/>
      <x:c r="AW916" s="91"/>
      <x:c r="AX916" s="91"/>
      <x:c r="AY916" s="91"/>
      <x:c r="AZ916" s="92"/>
      <x:c r="BA916" s="94"/>
      <x:c r="BB916" s="91"/>
      <x:c r="BC916" s="92"/>
      <x:c r="BD916" s="92"/>
      <x:c r="BE916" s="91"/>
      <x:c r="BF916" s="91"/>
      <x:c r="BG916" s="91"/>
      <x:c r="BH916" s="91"/>
      <x:c r="BI916" s="91"/>
      <x:c r="BJ916" s="91"/>
      <x:c r="BK916" s="91"/>
      <x:c r="BL916" s="91"/>
      <x:c r="BM916" s="73" t="str">
        <x:f>IF(A916="","",IF(AI916="Example","Example only",IF(AI916&lt;&gt;"Actual","Set record type",IF(COUNTIF($A$2:$A$1001,A916)&gt;1,"Duplicate record ID",IF(OR(D916="",E916="",AF916="",NOT(ISNUMBER(AG916)),AJ916="",AK916="",NOT(ISNUMBER(AL916)),AND(AM916&lt;&gt;"Observed",AM916&lt;&gt;"Corroborated",AM916&lt;&gt;"Declared"),OR(AN916="",AN916="Unknown"),OR(AQ916="",AQ916="Unknown"),OR(AR916="",AR916="Unknown",AR916="TBD"),OR(BC916="",NOT(ISNUMBER(BC916)))),"Evidence incomplete","Evidence recorded; review scope")))))</x:f>
      </x:c>
      <x:c r="BN916" s="73"/>
    </x:row>
    <x:row r="917" ht="34" customHeight="1">
      <x:c r="A917" s="73"/>
      <x:c r="B917" s="73"/>
      <x:c r="C917" s="73"/>
      <x:c r="D917" s="73"/>
      <x:c r="E917" s="73"/>
      <x:c r="F917" s="73"/>
      <x:c r="G917" s="73"/>
      <x:c r="H917" s="73"/>
      <x:c r="I917" s="75"/>
      <x:c r="J917" s="73"/>
      <x:c r="K917" s="73"/>
      <x:c r="L917" s="76"/>
      <x:c r="M917" s="73"/>
      <x:c r="N917" s="73"/>
      <x:c r="O917" s="73"/>
      <x:c r="P917" s="73"/>
      <x:c r="Q917" s="76"/>
      <x:c r="R917" s="73"/>
      <x:c r="S917" s="73"/>
      <x:c r="T917" s="73"/>
      <x:c r="U917" s="73"/>
      <x:c r="V917" s="73"/>
      <x:c r="W917" s="73"/>
      <x:c r="X917" s="73"/>
      <x:c r="Y917" s="73"/>
      <x:c r="Z917" s="73"/>
      <x:c r="AA917" s="73"/>
      <x:c r="AB917" s="76" t="str">
        <x:f>IF(A917="","",IF(OR(NOT(ISNUMBER(I917)),I917&lt;0,NOT(ISNUMBER(AP917)),AP917&lt;0,NOT(ISNUMBER(L917)),L917&lt;1,L917&gt;5,L917&lt;&gt;INT(L917),AND(J917&lt;&gt;"Public",J917&lt;&gt;"Partner",J917&lt;&gt;"Internal",J917&lt;&gt;"None"),AND(K917&lt;&gt;"High",K917&lt;&gt;"Medium",K917&lt;&gt;"Low",K917&lt;&gt;"None"),AND(W917&lt;&gt;"Hard-coded",W917&lt;&gt;"Configurable",W917&lt;&gt;"Policy-managed",W917&lt;&gt;"API/Library abstraction",W917&lt;&gt;"Automated"),AND(Z917&lt;&gt;"Y",Z917&lt;&gt;"N"),AND(AA917&lt;&gt;"Y",AA917&lt;&gt;"N")),"Incomplete",IF(Z917="Y",20,0)+L917*5+IF(AA917="Y",15,0)+IF(J917="Public",10,IF(J917="Partner",7,IF(J917="Internal",3,0)))+IF(W917="Hard-coded",10,IF(W917="Configurable",3,0))+IF(MAX(I917,AP917)&gt;=10,10,IF(MAX(I917,AP917)&gt;=5,7,IF(MAX(I917,AP917)&gt;=2,3,0)))+IF(K917="High",10,IF(K917="Medium",5,0))))</x:f>
      </x:c>
      <x:c r="AC917" s="73" t="str">
        <x:f>IF(A917="","",IF(NOT(ISNUMBER(AB917)),"Review inputs",IF(AB917&gt;=70,"P0 - Immediate",IF(AB917&gt;=50,"P1 - High",IF(AB917&gt;=30,"P2 - Medium",IF(AB917&gt;=15,"P3 - Low","P4 - Monitor"))))))</x:f>
      </x:c>
      <x:c r="AD917" s="73"/>
      <x:c r="AE917" s="73"/>
      <x:c r="AF917" s="73"/>
      <x:c r="AG917" s="77"/>
      <x:c r="AH917" s="73"/>
      <x:c r="AI917" s="91"/>
      <x:c r="AJ917" s="91"/>
      <x:c r="AK917" s="91"/>
      <x:c r="AL917" s="92"/>
      <x:c r="AM917" s="91"/>
      <x:c r="AN917" s="91"/>
      <x:c r="AO917" s="93"/>
      <x:c r="AP917" s="94"/>
      <x:c r="AQ917" s="91"/>
      <x:c r="AR917" s="91"/>
      <x:c r="AS917" s="91"/>
      <x:c r="AT917" s="91"/>
      <x:c r="AU917" s="91"/>
      <x:c r="AV917" s="91"/>
      <x:c r="AW917" s="91"/>
      <x:c r="AX917" s="91"/>
      <x:c r="AY917" s="91"/>
      <x:c r="AZ917" s="92"/>
      <x:c r="BA917" s="94"/>
      <x:c r="BB917" s="91"/>
      <x:c r="BC917" s="92"/>
      <x:c r="BD917" s="92"/>
      <x:c r="BE917" s="91"/>
      <x:c r="BF917" s="91"/>
      <x:c r="BG917" s="91"/>
      <x:c r="BH917" s="91"/>
      <x:c r="BI917" s="91"/>
      <x:c r="BJ917" s="91"/>
      <x:c r="BK917" s="91"/>
      <x:c r="BL917" s="91"/>
      <x:c r="BM917" s="73" t="str">
        <x:f>IF(A917="","",IF(AI917="Example","Example only",IF(AI917&lt;&gt;"Actual","Set record type",IF(COUNTIF($A$2:$A$1001,A917)&gt;1,"Duplicate record ID",IF(OR(D917="",E917="",AF917="",NOT(ISNUMBER(AG917)),AJ917="",AK917="",NOT(ISNUMBER(AL917)),AND(AM917&lt;&gt;"Observed",AM917&lt;&gt;"Corroborated",AM917&lt;&gt;"Declared"),OR(AN917="",AN917="Unknown"),OR(AQ917="",AQ917="Unknown"),OR(AR917="",AR917="Unknown",AR917="TBD"),OR(BC917="",NOT(ISNUMBER(BC917)))),"Evidence incomplete","Evidence recorded; review scope")))))</x:f>
      </x:c>
      <x:c r="BN917" s="73"/>
    </x:row>
    <x:row r="918" ht="34" customHeight="1">
      <x:c r="A918" s="73"/>
      <x:c r="B918" s="73"/>
      <x:c r="C918" s="73"/>
      <x:c r="D918" s="73"/>
      <x:c r="E918" s="73"/>
      <x:c r="F918" s="73"/>
      <x:c r="G918" s="73"/>
      <x:c r="H918" s="73"/>
      <x:c r="I918" s="75"/>
      <x:c r="J918" s="73"/>
      <x:c r="K918" s="73"/>
      <x:c r="L918" s="76"/>
      <x:c r="M918" s="73"/>
      <x:c r="N918" s="73"/>
      <x:c r="O918" s="73"/>
      <x:c r="P918" s="73"/>
      <x:c r="Q918" s="76"/>
      <x:c r="R918" s="73"/>
      <x:c r="S918" s="73"/>
      <x:c r="T918" s="73"/>
      <x:c r="U918" s="73"/>
      <x:c r="V918" s="73"/>
      <x:c r="W918" s="73"/>
      <x:c r="X918" s="73"/>
      <x:c r="Y918" s="73"/>
      <x:c r="Z918" s="73"/>
      <x:c r="AA918" s="73"/>
      <x:c r="AB918" s="76" t="str">
        <x:f>IF(A918="","",IF(OR(NOT(ISNUMBER(I918)),I918&lt;0,NOT(ISNUMBER(AP918)),AP918&lt;0,NOT(ISNUMBER(L918)),L918&lt;1,L918&gt;5,L918&lt;&gt;INT(L918),AND(J918&lt;&gt;"Public",J918&lt;&gt;"Partner",J918&lt;&gt;"Internal",J918&lt;&gt;"None"),AND(K918&lt;&gt;"High",K918&lt;&gt;"Medium",K918&lt;&gt;"Low",K918&lt;&gt;"None"),AND(W918&lt;&gt;"Hard-coded",W918&lt;&gt;"Configurable",W918&lt;&gt;"Policy-managed",W918&lt;&gt;"API/Library abstraction",W918&lt;&gt;"Automated"),AND(Z918&lt;&gt;"Y",Z918&lt;&gt;"N"),AND(AA918&lt;&gt;"Y",AA918&lt;&gt;"N")),"Incomplete",IF(Z918="Y",20,0)+L918*5+IF(AA918="Y",15,0)+IF(J918="Public",10,IF(J918="Partner",7,IF(J918="Internal",3,0)))+IF(W918="Hard-coded",10,IF(W918="Configurable",3,0))+IF(MAX(I918,AP918)&gt;=10,10,IF(MAX(I918,AP918)&gt;=5,7,IF(MAX(I918,AP918)&gt;=2,3,0)))+IF(K918="High",10,IF(K918="Medium",5,0))))</x:f>
      </x:c>
      <x:c r="AC918" s="73" t="str">
        <x:f>IF(A918="","",IF(NOT(ISNUMBER(AB918)),"Review inputs",IF(AB918&gt;=70,"P0 - Immediate",IF(AB918&gt;=50,"P1 - High",IF(AB918&gt;=30,"P2 - Medium",IF(AB918&gt;=15,"P3 - Low","P4 - Monitor"))))))</x:f>
      </x:c>
      <x:c r="AD918" s="73"/>
      <x:c r="AE918" s="73"/>
      <x:c r="AF918" s="73"/>
      <x:c r="AG918" s="77"/>
      <x:c r="AH918" s="73"/>
      <x:c r="AI918" s="91"/>
      <x:c r="AJ918" s="91"/>
      <x:c r="AK918" s="91"/>
      <x:c r="AL918" s="92"/>
      <x:c r="AM918" s="91"/>
      <x:c r="AN918" s="91"/>
      <x:c r="AO918" s="93"/>
      <x:c r="AP918" s="94"/>
      <x:c r="AQ918" s="91"/>
      <x:c r="AR918" s="91"/>
      <x:c r="AS918" s="91"/>
      <x:c r="AT918" s="91"/>
      <x:c r="AU918" s="91"/>
      <x:c r="AV918" s="91"/>
      <x:c r="AW918" s="91"/>
      <x:c r="AX918" s="91"/>
      <x:c r="AY918" s="91"/>
      <x:c r="AZ918" s="92"/>
      <x:c r="BA918" s="94"/>
      <x:c r="BB918" s="91"/>
      <x:c r="BC918" s="92"/>
      <x:c r="BD918" s="92"/>
      <x:c r="BE918" s="91"/>
      <x:c r="BF918" s="91"/>
      <x:c r="BG918" s="91"/>
      <x:c r="BH918" s="91"/>
      <x:c r="BI918" s="91"/>
      <x:c r="BJ918" s="91"/>
      <x:c r="BK918" s="91"/>
      <x:c r="BL918" s="91"/>
      <x:c r="BM918" s="73" t="str">
        <x:f>IF(A918="","",IF(AI918="Example","Example only",IF(AI918&lt;&gt;"Actual","Set record type",IF(COUNTIF($A$2:$A$1001,A918)&gt;1,"Duplicate record ID",IF(OR(D918="",E918="",AF918="",NOT(ISNUMBER(AG918)),AJ918="",AK918="",NOT(ISNUMBER(AL918)),AND(AM918&lt;&gt;"Observed",AM918&lt;&gt;"Corroborated",AM918&lt;&gt;"Declared"),OR(AN918="",AN918="Unknown"),OR(AQ918="",AQ918="Unknown"),OR(AR918="",AR918="Unknown",AR918="TBD"),OR(BC918="",NOT(ISNUMBER(BC918)))),"Evidence incomplete","Evidence recorded; review scope")))))</x:f>
      </x:c>
      <x:c r="BN918" s="73"/>
    </x:row>
    <x:row r="919" ht="34" customHeight="1">
      <x:c r="A919" s="73"/>
      <x:c r="B919" s="73"/>
      <x:c r="C919" s="73"/>
      <x:c r="D919" s="73"/>
      <x:c r="E919" s="73"/>
      <x:c r="F919" s="73"/>
      <x:c r="G919" s="73"/>
      <x:c r="H919" s="73"/>
      <x:c r="I919" s="75"/>
      <x:c r="J919" s="73"/>
      <x:c r="K919" s="73"/>
      <x:c r="L919" s="76"/>
      <x:c r="M919" s="73"/>
      <x:c r="N919" s="73"/>
      <x:c r="O919" s="73"/>
      <x:c r="P919" s="73"/>
      <x:c r="Q919" s="76"/>
      <x:c r="R919" s="73"/>
      <x:c r="S919" s="73"/>
      <x:c r="T919" s="73"/>
      <x:c r="U919" s="73"/>
      <x:c r="V919" s="73"/>
      <x:c r="W919" s="73"/>
      <x:c r="X919" s="73"/>
      <x:c r="Y919" s="73"/>
      <x:c r="Z919" s="73"/>
      <x:c r="AA919" s="73"/>
      <x:c r="AB919" s="76" t="str">
        <x:f>IF(A919="","",IF(OR(NOT(ISNUMBER(I919)),I919&lt;0,NOT(ISNUMBER(AP919)),AP919&lt;0,NOT(ISNUMBER(L919)),L919&lt;1,L919&gt;5,L919&lt;&gt;INT(L919),AND(J919&lt;&gt;"Public",J919&lt;&gt;"Partner",J919&lt;&gt;"Internal",J919&lt;&gt;"None"),AND(K919&lt;&gt;"High",K919&lt;&gt;"Medium",K919&lt;&gt;"Low",K919&lt;&gt;"None"),AND(W919&lt;&gt;"Hard-coded",W919&lt;&gt;"Configurable",W919&lt;&gt;"Policy-managed",W919&lt;&gt;"API/Library abstraction",W919&lt;&gt;"Automated"),AND(Z919&lt;&gt;"Y",Z919&lt;&gt;"N"),AND(AA919&lt;&gt;"Y",AA919&lt;&gt;"N")),"Incomplete",IF(Z919="Y",20,0)+L919*5+IF(AA919="Y",15,0)+IF(J919="Public",10,IF(J919="Partner",7,IF(J919="Internal",3,0)))+IF(W919="Hard-coded",10,IF(W919="Configurable",3,0))+IF(MAX(I919,AP919)&gt;=10,10,IF(MAX(I919,AP919)&gt;=5,7,IF(MAX(I919,AP919)&gt;=2,3,0)))+IF(K919="High",10,IF(K919="Medium",5,0))))</x:f>
      </x:c>
      <x:c r="AC919" s="73" t="str">
        <x:f>IF(A919="","",IF(NOT(ISNUMBER(AB919)),"Review inputs",IF(AB919&gt;=70,"P0 - Immediate",IF(AB919&gt;=50,"P1 - High",IF(AB919&gt;=30,"P2 - Medium",IF(AB919&gt;=15,"P3 - Low","P4 - Monitor"))))))</x:f>
      </x:c>
      <x:c r="AD919" s="73"/>
      <x:c r="AE919" s="73"/>
      <x:c r="AF919" s="73"/>
      <x:c r="AG919" s="77"/>
      <x:c r="AH919" s="73"/>
      <x:c r="AI919" s="91"/>
      <x:c r="AJ919" s="91"/>
      <x:c r="AK919" s="91"/>
      <x:c r="AL919" s="92"/>
      <x:c r="AM919" s="91"/>
      <x:c r="AN919" s="91"/>
      <x:c r="AO919" s="93"/>
      <x:c r="AP919" s="94"/>
      <x:c r="AQ919" s="91"/>
      <x:c r="AR919" s="91"/>
      <x:c r="AS919" s="91"/>
      <x:c r="AT919" s="91"/>
      <x:c r="AU919" s="91"/>
      <x:c r="AV919" s="91"/>
      <x:c r="AW919" s="91"/>
      <x:c r="AX919" s="91"/>
      <x:c r="AY919" s="91"/>
      <x:c r="AZ919" s="92"/>
      <x:c r="BA919" s="94"/>
      <x:c r="BB919" s="91"/>
      <x:c r="BC919" s="92"/>
      <x:c r="BD919" s="92"/>
      <x:c r="BE919" s="91"/>
      <x:c r="BF919" s="91"/>
      <x:c r="BG919" s="91"/>
      <x:c r="BH919" s="91"/>
      <x:c r="BI919" s="91"/>
      <x:c r="BJ919" s="91"/>
      <x:c r="BK919" s="91"/>
      <x:c r="BL919" s="91"/>
      <x:c r="BM919" s="73" t="str">
        <x:f>IF(A919="","",IF(AI919="Example","Example only",IF(AI919&lt;&gt;"Actual","Set record type",IF(COUNTIF($A$2:$A$1001,A919)&gt;1,"Duplicate record ID",IF(OR(D919="",E919="",AF919="",NOT(ISNUMBER(AG919)),AJ919="",AK919="",NOT(ISNUMBER(AL919)),AND(AM919&lt;&gt;"Observed",AM919&lt;&gt;"Corroborated",AM919&lt;&gt;"Declared"),OR(AN919="",AN919="Unknown"),OR(AQ919="",AQ919="Unknown"),OR(AR919="",AR919="Unknown",AR919="TBD"),OR(BC919="",NOT(ISNUMBER(BC919)))),"Evidence incomplete","Evidence recorded; review scope")))))</x:f>
      </x:c>
      <x:c r="BN919" s="73"/>
    </x:row>
    <x:row r="920" ht="34" customHeight="1">
      <x:c r="A920" s="73"/>
      <x:c r="B920" s="73"/>
      <x:c r="C920" s="73"/>
      <x:c r="D920" s="73"/>
      <x:c r="E920" s="73"/>
      <x:c r="F920" s="73"/>
      <x:c r="G920" s="73"/>
      <x:c r="H920" s="73"/>
      <x:c r="I920" s="75"/>
      <x:c r="J920" s="73"/>
      <x:c r="K920" s="73"/>
      <x:c r="L920" s="76"/>
      <x:c r="M920" s="73"/>
      <x:c r="N920" s="73"/>
      <x:c r="O920" s="73"/>
      <x:c r="P920" s="73"/>
      <x:c r="Q920" s="76"/>
      <x:c r="R920" s="73"/>
      <x:c r="S920" s="73"/>
      <x:c r="T920" s="73"/>
      <x:c r="U920" s="73"/>
      <x:c r="V920" s="73"/>
      <x:c r="W920" s="73"/>
      <x:c r="X920" s="73"/>
      <x:c r="Y920" s="73"/>
      <x:c r="Z920" s="73"/>
      <x:c r="AA920" s="73"/>
      <x:c r="AB920" s="76" t="str">
        <x:f>IF(A920="","",IF(OR(NOT(ISNUMBER(I920)),I920&lt;0,NOT(ISNUMBER(AP920)),AP920&lt;0,NOT(ISNUMBER(L920)),L920&lt;1,L920&gt;5,L920&lt;&gt;INT(L920),AND(J920&lt;&gt;"Public",J920&lt;&gt;"Partner",J920&lt;&gt;"Internal",J920&lt;&gt;"None"),AND(K920&lt;&gt;"High",K920&lt;&gt;"Medium",K920&lt;&gt;"Low",K920&lt;&gt;"None"),AND(W920&lt;&gt;"Hard-coded",W920&lt;&gt;"Configurable",W920&lt;&gt;"Policy-managed",W920&lt;&gt;"API/Library abstraction",W920&lt;&gt;"Automated"),AND(Z920&lt;&gt;"Y",Z920&lt;&gt;"N"),AND(AA920&lt;&gt;"Y",AA920&lt;&gt;"N")),"Incomplete",IF(Z920="Y",20,0)+L920*5+IF(AA920="Y",15,0)+IF(J920="Public",10,IF(J920="Partner",7,IF(J920="Internal",3,0)))+IF(W920="Hard-coded",10,IF(W920="Configurable",3,0))+IF(MAX(I920,AP920)&gt;=10,10,IF(MAX(I920,AP920)&gt;=5,7,IF(MAX(I920,AP920)&gt;=2,3,0)))+IF(K920="High",10,IF(K920="Medium",5,0))))</x:f>
      </x:c>
      <x:c r="AC920" s="73" t="str">
        <x:f>IF(A920="","",IF(NOT(ISNUMBER(AB920)),"Review inputs",IF(AB920&gt;=70,"P0 - Immediate",IF(AB920&gt;=50,"P1 - High",IF(AB920&gt;=30,"P2 - Medium",IF(AB920&gt;=15,"P3 - Low","P4 - Monitor"))))))</x:f>
      </x:c>
      <x:c r="AD920" s="73"/>
      <x:c r="AE920" s="73"/>
      <x:c r="AF920" s="73"/>
      <x:c r="AG920" s="77"/>
      <x:c r="AH920" s="73"/>
      <x:c r="AI920" s="91"/>
      <x:c r="AJ920" s="91"/>
      <x:c r="AK920" s="91"/>
      <x:c r="AL920" s="92"/>
      <x:c r="AM920" s="91"/>
      <x:c r="AN920" s="91"/>
      <x:c r="AO920" s="93"/>
      <x:c r="AP920" s="94"/>
      <x:c r="AQ920" s="91"/>
      <x:c r="AR920" s="91"/>
      <x:c r="AS920" s="91"/>
      <x:c r="AT920" s="91"/>
      <x:c r="AU920" s="91"/>
      <x:c r="AV920" s="91"/>
      <x:c r="AW920" s="91"/>
      <x:c r="AX920" s="91"/>
      <x:c r="AY920" s="91"/>
      <x:c r="AZ920" s="92"/>
      <x:c r="BA920" s="94"/>
      <x:c r="BB920" s="91"/>
      <x:c r="BC920" s="92"/>
      <x:c r="BD920" s="92"/>
      <x:c r="BE920" s="91"/>
      <x:c r="BF920" s="91"/>
      <x:c r="BG920" s="91"/>
      <x:c r="BH920" s="91"/>
      <x:c r="BI920" s="91"/>
      <x:c r="BJ920" s="91"/>
      <x:c r="BK920" s="91"/>
      <x:c r="BL920" s="91"/>
      <x:c r="BM920" s="73" t="str">
        <x:f>IF(A920="","",IF(AI920="Example","Example only",IF(AI920&lt;&gt;"Actual","Set record type",IF(COUNTIF($A$2:$A$1001,A920)&gt;1,"Duplicate record ID",IF(OR(D920="",E920="",AF920="",NOT(ISNUMBER(AG920)),AJ920="",AK920="",NOT(ISNUMBER(AL920)),AND(AM920&lt;&gt;"Observed",AM920&lt;&gt;"Corroborated",AM920&lt;&gt;"Declared"),OR(AN920="",AN920="Unknown"),OR(AQ920="",AQ920="Unknown"),OR(AR920="",AR920="Unknown",AR920="TBD"),OR(BC920="",NOT(ISNUMBER(BC920)))),"Evidence incomplete","Evidence recorded; review scope")))))</x:f>
      </x:c>
      <x:c r="BN920" s="73"/>
    </x:row>
    <x:row r="921" ht="34" customHeight="1">
      <x:c r="A921" s="73"/>
      <x:c r="B921" s="73"/>
      <x:c r="C921" s="73"/>
      <x:c r="D921" s="73"/>
      <x:c r="E921" s="73"/>
      <x:c r="F921" s="73"/>
      <x:c r="G921" s="73"/>
      <x:c r="H921" s="73"/>
      <x:c r="I921" s="75"/>
      <x:c r="J921" s="73"/>
      <x:c r="K921" s="73"/>
      <x:c r="L921" s="76"/>
      <x:c r="M921" s="73"/>
      <x:c r="N921" s="73"/>
      <x:c r="O921" s="73"/>
      <x:c r="P921" s="73"/>
      <x:c r="Q921" s="76"/>
      <x:c r="R921" s="73"/>
      <x:c r="S921" s="73"/>
      <x:c r="T921" s="73"/>
      <x:c r="U921" s="73"/>
      <x:c r="V921" s="73"/>
      <x:c r="W921" s="73"/>
      <x:c r="X921" s="73"/>
      <x:c r="Y921" s="73"/>
      <x:c r="Z921" s="73"/>
      <x:c r="AA921" s="73"/>
      <x:c r="AB921" s="76" t="str">
        <x:f>IF(A921="","",IF(OR(NOT(ISNUMBER(I921)),I921&lt;0,NOT(ISNUMBER(AP921)),AP921&lt;0,NOT(ISNUMBER(L921)),L921&lt;1,L921&gt;5,L921&lt;&gt;INT(L921),AND(J921&lt;&gt;"Public",J921&lt;&gt;"Partner",J921&lt;&gt;"Internal",J921&lt;&gt;"None"),AND(K921&lt;&gt;"High",K921&lt;&gt;"Medium",K921&lt;&gt;"Low",K921&lt;&gt;"None"),AND(W921&lt;&gt;"Hard-coded",W921&lt;&gt;"Configurable",W921&lt;&gt;"Policy-managed",W921&lt;&gt;"API/Library abstraction",W921&lt;&gt;"Automated"),AND(Z921&lt;&gt;"Y",Z921&lt;&gt;"N"),AND(AA921&lt;&gt;"Y",AA921&lt;&gt;"N")),"Incomplete",IF(Z921="Y",20,0)+L921*5+IF(AA921="Y",15,0)+IF(J921="Public",10,IF(J921="Partner",7,IF(J921="Internal",3,0)))+IF(W921="Hard-coded",10,IF(W921="Configurable",3,0))+IF(MAX(I921,AP921)&gt;=10,10,IF(MAX(I921,AP921)&gt;=5,7,IF(MAX(I921,AP921)&gt;=2,3,0)))+IF(K921="High",10,IF(K921="Medium",5,0))))</x:f>
      </x:c>
      <x:c r="AC921" s="73" t="str">
        <x:f>IF(A921="","",IF(NOT(ISNUMBER(AB921)),"Review inputs",IF(AB921&gt;=70,"P0 - Immediate",IF(AB921&gt;=50,"P1 - High",IF(AB921&gt;=30,"P2 - Medium",IF(AB921&gt;=15,"P3 - Low","P4 - Monitor"))))))</x:f>
      </x:c>
      <x:c r="AD921" s="73"/>
      <x:c r="AE921" s="73"/>
      <x:c r="AF921" s="73"/>
      <x:c r="AG921" s="77"/>
      <x:c r="AH921" s="73"/>
      <x:c r="AI921" s="91"/>
      <x:c r="AJ921" s="91"/>
      <x:c r="AK921" s="91"/>
      <x:c r="AL921" s="92"/>
      <x:c r="AM921" s="91"/>
      <x:c r="AN921" s="91"/>
      <x:c r="AO921" s="93"/>
      <x:c r="AP921" s="94"/>
      <x:c r="AQ921" s="91"/>
      <x:c r="AR921" s="91"/>
      <x:c r="AS921" s="91"/>
      <x:c r="AT921" s="91"/>
      <x:c r="AU921" s="91"/>
      <x:c r="AV921" s="91"/>
      <x:c r="AW921" s="91"/>
      <x:c r="AX921" s="91"/>
      <x:c r="AY921" s="91"/>
      <x:c r="AZ921" s="92"/>
      <x:c r="BA921" s="94"/>
      <x:c r="BB921" s="91"/>
      <x:c r="BC921" s="92"/>
      <x:c r="BD921" s="92"/>
      <x:c r="BE921" s="91"/>
      <x:c r="BF921" s="91"/>
      <x:c r="BG921" s="91"/>
      <x:c r="BH921" s="91"/>
      <x:c r="BI921" s="91"/>
      <x:c r="BJ921" s="91"/>
      <x:c r="BK921" s="91"/>
      <x:c r="BL921" s="91"/>
      <x:c r="BM921" s="73" t="str">
        <x:f>IF(A921="","",IF(AI921="Example","Example only",IF(AI921&lt;&gt;"Actual","Set record type",IF(COUNTIF($A$2:$A$1001,A921)&gt;1,"Duplicate record ID",IF(OR(D921="",E921="",AF921="",NOT(ISNUMBER(AG921)),AJ921="",AK921="",NOT(ISNUMBER(AL921)),AND(AM921&lt;&gt;"Observed",AM921&lt;&gt;"Corroborated",AM921&lt;&gt;"Declared"),OR(AN921="",AN921="Unknown"),OR(AQ921="",AQ921="Unknown"),OR(AR921="",AR921="Unknown",AR921="TBD"),OR(BC921="",NOT(ISNUMBER(BC921)))),"Evidence incomplete","Evidence recorded; review scope")))))</x:f>
      </x:c>
      <x:c r="BN921" s="73"/>
    </x:row>
    <x:row r="922" ht="34" customHeight="1">
      <x:c r="A922" s="73"/>
      <x:c r="B922" s="73"/>
      <x:c r="C922" s="73"/>
      <x:c r="D922" s="73"/>
      <x:c r="E922" s="73"/>
      <x:c r="F922" s="73"/>
      <x:c r="G922" s="73"/>
      <x:c r="H922" s="73"/>
      <x:c r="I922" s="75"/>
      <x:c r="J922" s="73"/>
      <x:c r="K922" s="73"/>
      <x:c r="L922" s="76"/>
      <x:c r="M922" s="73"/>
      <x:c r="N922" s="73"/>
      <x:c r="O922" s="73"/>
      <x:c r="P922" s="73"/>
      <x:c r="Q922" s="76"/>
      <x:c r="R922" s="73"/>
      <x:c r="S922" s="73"/>
      <x:c r="T922" s="73"/>
      <x:c r="U922" s="73"/>
      <x:c r="V922" s="73"/>
      <x:c r="W922" s="73"/>
      <x:c r="X922" s="73"/>
      <x:c r="Y922" s="73"/>
      <x:c r="Z922" s="73"/>
      <x:c r="AA922" s="73"/>
      <x:c r="AB922" s="76" t="str">
        <x:f>IF(A922="","",IF(OR(NOT(ISNUMBER(I922)),I922&lt;0,NOT(ISNUMBER(AP922)),AP922&lt;0,NOT(ISNUMBER(L922)),L922&lt;1,L922&gt;5,L922&lt;&gt;INT(L922),AND(J922&lt;&gt;"Public",J922&lt;&gt;"Partner",J922&lt;&gt;"Internal",J922&lt;&gt;"None"),AND(K922&lt;&gt;"High",K922&lt;&gt;"Medium",K922&lt;&gt;"Low",K922&lt;&gt;"None"),AND(W922&lt;&gt;"Hard-coded",W922&lt;&gt;"Configurable",W922&lt;&gt;"Policy-managed",W922&lt;&gt;"API/Library abstraction",W922&lt;&gt;"Automated"),AND(Z922&lt;&gt;"Y",Z922&lt;&gt;"N"),AND(AA922&lt;&gt;"Y",AA922&lt;&gt;"N")),"Incomplete",IF(Z922="Y",20,0)+L922*5+IF(AA922="Y",15,0)+IF(J922="Public",10,IF(J922="Partner",7,IF(J922="Internal",3,0)))+IF(W922="Hard-coded",10,IF(W922="Configurable",3,0))+IF(MAX(I922,AP922)&gt;=10,10,IF(MAX(I922,AP922)&gt;=5,7,IF(MAX(I922,AP922)&gt;=2,3,0)))+IF(K922="High",10,IF(K922="Medium",5,0))))</x:f>
      </x:c>
      <x:c r="AC922" s="73" t="str">
        <x:f>IF(A922="","",IF(NOT(ISNUMBER(AB922)),"Review inputs",IF(AB922&gt;=70,"P0 - Immediate",IF(AB922&gt;=50,"P1 - High",IF(AB922&gt;=30,"P2 - Medium",IF(AB922&gt;=15,"P3 - Low","P4 - Monitor"))))))</x:f>
      </x:c>
      <x:c r="AD922" s="73"/>
      <x:c r="AE922" s="73"/>
      <x:c r="AF922" s="73"/>
      <x:c r="AG922" s="77"/>
      <x:c r="AH922" s="73"/>
      <x:c r="AI922" s="91"/>
      <x:c r="AJ922" s="91"/>
      <x:c r="AK922" s="91"/>
      <x:c r="AL922" s="92"/>
      <x:c r="AM922" s="91"/>
      <x:c r="AN922" s="91"/>
      <x:c r="AO922" s="93"/>
      <x:c r="AP922" s="94"/>
      <x:c r="AQ922" s="91"/>
      <x:c r="AR922" s="91"/>
      <x:c r="AS922" s="91"/>
      <x:c r="AT922" s="91"/>
      <x:c r="AU922" s="91"/>
      <x:c r="AV922" s="91"/>
      <x:c r="AW922" s="91"/>
      <x:c r="AX922" s="91"/>
      <x:c r="AY922" s="91"/>
      <x:c r="AZ922" s="92"/>
      <x:c r="BA922" s="94"/>
      <x:c r="BB922" s="91"/>
      <x:c r="BC922" s="92"/>
      <x:c r="BD922" s="92"/>
      <x:c r="BE922" s="91"/>
      <x:c r="BF922" s="91"/>
      <x:c r="BG922" s="91"/>
      <x:c r="BH922" s="91"/>
      <x:c r="BI922" s="91"/>
      <x:c r="BJ922" s="91"/>
      <x:c r="BK922" s="91"/>
      <x:c r="BL922" s="91"/>
      <x:c r="BM922" s="73" t="str">
        <x:f>IF(A922="","",IF(AI922="Example","Example only",IF(AI922&lt;&gt;"Actual","Set record type",IF(COUNTIF($A$2:$A$1001,A922)&gt;1,"Duplicate record ID",IF(OR(D922="",E922="",AF922="",NOT(ISNUMBER(AG922)),AJ922="",AK922="",NOT(ISNUMBER(AL922)),AND(AM922&lt;&gt;"Observed",AM922&lt;&gt;"Corroborated",AM922&lt;&gt;"Declared"),OR(AN922="",AN922="Unknown"),OR(AQ922="",AQ922="Unknown"),OR(AR922="",AR922="Unknown",AR922="TBD"),OR(BC922="",NOT(ISNUMBER(BC922)))),"Evidence incomplete","Evidence recorded; review scope")))))</x:f>
      </x:c>
      <x:c r="BN922" s="73"/>
    </x:row>
    <x:row r="923" ht="34" customHeight="1">
      <x:c r="A923" s="73"/>
      <x:c r="B923" s="73"/>
      <x:c r="C923" s="73"/>
      <x:c r="D923" s="73"/>
      <x:c r="E923" s="73"/>
      <x:c r="F923" s="73"/>
      <x:c r="G923" s="73"/>
      <x:c r="H923" s="73"/>
      <x:c r="I923" s="75"/>
      <x:c r="J923" s="73"/>
      <x:c r="K923" s="73"/>
      <x:c r="L923" s="76"/>
      <x:c r="M923" s="73"/>
      <x:c r="N923" s="73"/>
      <x:c r="O923" s="73"/>
      <x:c r="P923" s="73"/>
      <x:c r="Q923" s="76"/>
      <x:c r="R923" s="73"/>
      <x:c r="S923" s="73"/>
      <x:c r="T923" s="73"/>
      <x:c r="U923" s="73"/>
      <x:c r="V923" s="73"/>
      <x:c r="W923" s="73"/>
      <x:c r="X923" s="73"/>
      <x:c r="Y923" s="73"/>
      <x:c r="Z923" s="73"/>
      <x:c r="AA923" s="73"/>
      <x:c r="AB923" s="76" t="str">
        <x:f>IF(A923="","",IF(OR(NOT(ISNUMBER(I923)),I923&lt;0,NOT(ISNUMBER(AP923)),AP923&lt;0,NOT(ISNUMBER(L923)),L923&lt;1,L923&gt;5,L923&lt;&gt;INT(L923),AND(J923&lt;&gt;"Public",J923&lt;&gt;"Partner",J923&lt;&gt;"Internal",J923&lt;&gt;"None"),AND(K923&lt;&gt;"High",K923&lt;&gt;"Medium",K923&lt;&gt;"Low",K923&lt;&gt;"None"),AND(W923&lt;&gt;"Hard-coded",W923&lt;&gt;"Configurable",W923&lt;&gt;"Policy-managed",W923&lt;&gt;"API/Library abstraction",W923&lt;&gt;"Automated"),AND(Z923&lt;&gt;"Y",Z923&lt;&gt;"N"),AND(AA923&lt;&gt;"Y",AA923&lt;&gt;"N")),"Incomplete",IF(Z923="Y",20,0)+L923*5+IF(AA923="Y",15,0)+IF(J923="Public",10,IF(J923="Partner",7,IF(J923="Internal",3,0)))+IF(W923="Hard-coded",10,IF(W923="Configurable",3,0))+IF(MAX(I923,AP923)&gt;=10,10,IF(MAX(I923,AP923)&gt;=5,7,IF(MAX(I923,AP923)&gt;=2,3,0)))+IF(K923="High",10,IF(K923="Medium",5,0))))</x:f>
      </x:c>
      <x:c r="AC923" s="73" t="str">
        <x:f>IF(A923="","",IF(NOT(ISNUMBER(AB923)),"Review inputs",IF(AB923&gt;=70,"P0 - Immediate",IF(AB923&gt;=50,"P1 - High",IF(AB923&gt;=30,"P2 - Medium",IF(AB923&gt;=15,"P3 - Low","P4 - Monitor"))))))</x:f>
      </x:c>
      <x:c r="AD923" s="73"/>
      <x:c r="AE923" s="73"/>
      <x:c r="AF923" s="73"/>
      <x:c r="AG923" s="77"/>
      <x:c r="AH923" s="73"/>
      <x:c r="AI923" s="91"/>
      <x:c r="AJ923" s="91"/>
      <x:c r="AK923" s="91"/>
      <x:c r="AL923" s="92"/>
      <x:c r="AM923" s="91"/>
      <x:c r="AN923" s="91"/>
      <x:c r="AO923" s="93"/>
      <x:c r="AP923" s="94"/>
      <x:c r="AQ923" s="91"/>
      <x:c r="AR923" s="91"/>
      <x:c r="AS923" s="91"/>
      <x:c r="AT923" s="91"/>
      <x:c r="AU923" s="91"/>
      <x:c r="AV923" s="91"/>
      <x:c r="AW923" s="91"/>
      <x:c r="AX923" s="91"/>
      <x:c r="AY923" s="91"/>
      <x:c r="AZ923" s="92"/>
      <x:c r="BA923" s="94"/>
      <x:c r="BB923" s="91"/>
      <x:c r="BC923" s="92"/>
      <x:c r="BD923" s="92"/>
      <x:c r="BE923" s="91"/>
      <x:c r="BF923" s="91"/>
      <x:c r="BG923" s="91"/>
      <x:c r="BH923" s="91"/>
      <x:c r="BI923" s="91"/>
      <x:c r="BJ923" s="91"/>
      <x:c r="BK923" s="91"/>
      <x:c r="BL923" s="91"/>
      <x:c r="BM923" s="73" t="str">
        <x:f>IF(A923="","",IF(AI923="Example","Example only",IF(AI923&lt;&gt;"Actual","Set record type",IF(COUNTIF($A$2:$A$1001,A923)&gt;1,"Duplicate record ID",IF(OR(D923="",E923="",AF923="",NOT(ISNUMBER(AG923)),AJ923="",AK923="",NOT(ISNUMBER(AL923)),AND(AM923&lt;&gt;"Observed",AM923&lt;&gt;"Corroborated",AM923&lt;&gt;"Declared"),OR(AN923="",AN923="Unknown"),OR(AQ923="",AQ923="Unknown"),OR(AR923="",AR923="Unknown",AR923="TBD"),OR(BC923="",NOT(ISNUMBER(BC923)))),"Evidence incomplete","Evidence recorded; review scope")))))</x:f>
      </x:c>
      <x:c r="BN923" s="73"/>
    </x:row>
    <x:row r="924" ht="34" customHeight="1">
      <x:c r="A924" s="73"/>
      <x:c r="B924" s="73"/>
      <x:c r="C924" s="73"/>
      <x:c r="D924" s="73"/>
      <x:c r="E924" s="73"/>
      <x:c r="F924" s="73"/>
      <x:c r="G924" s="73"/>
      <x:c r="H924" s="73"/>
      <x:c r="I924" s="75"/>
      <x:c r="J924" s="73"/>
      <x:c r="K924" s="73"/>
      <x:c r="L924" s="76"/>
      <x:c r="M924" s="73"/>
      <x:c r="N924" s="73"/>
      <x:c r="O924" s="73"/>
      <x:c r="P924" s="73"/>
      <x:c r="Q924" s="76"/>
      <x:c r="R924" s="73"/>
      <x:c r="S924" s="73"/>
      <x:c r="T924" s="73"/>
      <x:c r="U924" s="73"/>
      <x:c r="V924" s="73"/>
      <x:c r="W924" s="73"/>
      <x:c r="X924" s="73"/>
      <x:c r="Y924" s="73"/>
      <x:c r="Z924" s="73"/>
      <x:c r="AA924" s="73"/>
      <x:c r="AB924" s="76" t="str">
        <x:f>IF(A924="","",IF(OR(NOT(ISNUMBER(I924)),I924&lt;0,NOT(ISNUMBER(AP924)),AP924&lt;0,NOT(ISNUMBER(L924)),L924&lt;1,L924&gt;5,L924&lt;&gt;INT(L924),AND(J924&lt;&gt;"Public",J924&lt;&gt;"Partner",J924&lt;&gt;"Internal",J924&lt;&gt;"None"),AND(K924&lt;&gt;"High",K924&lt;&gt;"Medium",K924&lt;&gt;"Low",K924&lt;&gt;"None"),AND(W924&lt;&gt;"Hard-coded",W924&lt;&gt;"Configurable",W924&lt;&gt;"Policy-managed",W924&lt;&gt;"API/Library abstraction",W924&lt;&gt;"Automated"),AND(Z924&lt;&gt;"Y",Z924&lt;&gt;"N"),AND(AA924&lt;&gt;"Y",AA924&lt;&gt;"N")),"Incomplete",IF(Z924="Y",20,0)+L924*5+IF(AA924="Y",15,0)+IF(J924="Public",10,IF(J924="Partner",7,IF(J924="Internal",3,0)))+IF(W924="Hard-coded",10,IF(W924="Configurable",3,0))+IF(MAX(I924,AP924)&gt;=10,10,IF(MAX(I924,AP924)&gt;=5,7,IF(MAX(I924,AP924)&gt;=2,3,0)))+IF(K924="High",10,IF(K924="Medium",5,0))))</x:f>
      </x:c>
      <x:c r="AC924" s="73" t="str">
        <x:f>IF(A924="","",IF(NOT(ISNUMBER(AB924)),"Review inputs",IF(AB924&gt;=70,"P0 - Immediate",IF(AB924&gt;=50,"P1 - High",IF(AB924&gt;=30,"P2 - Medium",IF(AB924&gt;=15,"P3 - Low","P4 - Monitor"))))))</x:f>
      </x:c>
      <x:c r="AD924" s="73"/>
      <x:c r="AE924" s="73"/>
      <x:c r="AF924" s="73"/>
      <x:c r="AG924" s="77"/>
      <x:c r="AH924" s="73"/>
      <x:c r="AI924" s="91"/>
      <x:c r="AJ924" s="91"/>
      <x:c r="AK924" s="91"/>
      <x:c r="AL924" s="92"/>
      <x:c r="AM924" s="91"/>
      <x:c r="AN924" s="91"/>
      <x:c r="AO924" s="93"/>
      <x:c r="AP924" s="94"/>
      <x:c r="AQ924" s="91"/>
      <x:c r="AR924" s="91"/>
      <x:c r="AS924" s="91"/>
      <x:c r="AT924" s="91"/>
      <x:c r="AU924" s="91"/>
      <x:c r="AV924" s="91"/>
      <x:c r="AW924" s="91"/>
      <x:c r="AX924" s="91"/>
      <x:c r="AY924" s="91"/>
      <x:c r="AZ924" s="92"/>
      <x:c r="BA924" s="94"/>
      <x:c r="BB924" s="91"/>
      <x:c r="BC924" s="92"/>
      <x:c r="BD924" s="92"/>
      <x:c r="BE924" s="91"/>
      <x:c r="BF924" s="91"/>
      <x:c r="BG924" s="91"/>
      <x:c r="BH924" s="91"/>
      <x:c r="BI924" s="91"/>
      <x:c r="BJ924" s="91"/>
      <x:c r="BK924" s="91"/>
      <x:c r="BL924" s="91"/>
      <x:c r="BM924" s="73" t="str">
        <x:f>IF(A924="","",IF(AI924="Example","Example only",IF(AI924&lt;&gt;"Actual","Set record type",IF(COUNTIF($A$2:$A$1001,A924)&gt;1,"Duplicate record ID",IF(OR(D924="",E924="",AF924="",NOT(ISNUMBER(AG924)),AJ924="",AK924="",NOT(ISNUMBER(AL924)),AND(AM924&lt;&gt;"Observed",AM924&lt;&gt;"Corroborated",AM924&lt;&gt;"Declared"),OR(AN924="",AN924="Unknown"),OR(AQ924="",AQ924="Unknown"),OR(AR924="",AR924="Unknown",AR924="TBD"),OR(BC924="",NOT(ISNUMBER(BC924)))),"Evidence incomplete","Evidence recorded; review scope")))))</x:f>
      </x:c>
      <x:c r="BN924" s="73"/>
    </x:row>
    <x:row r="925" ht="34" customHeight="1">
      <x:c r="A925" s="73"/>
      <x:c r="B925" s="73"/>
      <x:c r="C925" s="73"/>
      <x:c r="D925" s="73"/>
      <x:c r="E925" s="73"/>
      <x:c r="F925" s="73"/>
      <x:c r="G925" s="73"/>
      <x:c r="H925" s="73"/>
      <x:c r="I925" s="75"/>
      <x:c r="J925" s="73"/>
      <x:c r="K925" s="73"/>
      <x:c r="L925" s="76"/>
      <x:c r="M925" s="73"/>
      <x:c r="N925" s="73"/>
      <x:c r="O925" s="73"/>
      <x:c r="P925" s="73"/>
      <x:c r="Q925" s="76"/>
      <x:c r="R925" s="73"/>
      <x:c r="S925" s="73"/>
      <x:c r="T925" s="73"/>
      <x:c r="U925" s="73"/>
      <x:c r="V925" s="73"/>
      <x:c r="W925" s="73"/>
      <x:c r="X925" s="73"/>
      <x:c r="Y925" s="73"/>
      <x:c r="Z925" s="73"/>
      <x:c r="AA925" s="73"/>
      <x:c r="AB925" s="76" t="str">
        <x:f>IF(A925="","",IF(OR(NOT(ISNUMBER(I925)),I925&lt;0,NOT(ISNUMBER(AP925)),AP925&lt;0,NOT(ISNUMBER(L925)),L925&lt;1,L925&gt;5,L925&lt;&gt;INT(L925),AND(J925&lt;&gt;"Public",J925&lt;&gt;"Partner",J925&lt;&gt;"Internal",J925&lt;&gt;"None"),AND(K925&lt;&gt;"High",K925&lt;&gt;"Medium",K925&lt;&gt;"Low",K925&lt;&gt;"None"),AND(W925&lt;&gt;"Hard-coded",W925&lt;&gt;"Configurable",W925&lt;&gt;"Policy-managed",W925&lt;&gt;"API/Library abstraction",W925&lt;&gt;"Automated"),AND(Z925&lt;&gt;"Y",Z925&lt;&gt;"N"),AND(AA925&lt;&gt;"Y",AA925&lt;&gt;"N")),"Incomplete",IF(Z925="Y",20,0)+L925*5+IF(AA925="Y",15,0)+IF(J925="Public",10,IF(J925="Partner",7,IF(J925="Internal",3,0)))+IF(W925="Hard-coded",10,IF(W925="Configurable",3,0))+IF(MAX(I925,AP925)&gt;=10,10,IF(MAX(I925,AP925)&gt;=5,7,IF(MAX(I925,AP925)&gt;=2,3,0)))+IF(K925="High",10,IF(K925="Medium",5,0))))</x:f>
      </x:c>
      <x:c r="AC925" s="73" t="str">
        <x:f>IF(A925="","",IF(NOT(ISNUMBER(AB925)),"Review inputs",IF(AB925&gt;=70,"P0 - Immediate",IF(AB925&gt;=50,"P1 - High",IF(AB925&gt;=30,"P2 - Medium",IF(AB925&gt;=15,"P3 - Low","P4 - Monitor"))))))</x:f>
      </x:c>
      <x:c r="AD925" s="73"/>
      <x:c r="AE925" s="73"/>
      <x:c r="AF925" s="73"/>
      <x:c r="AG925" s="77"/>
      <x:c r="AH925" s="73"/>
      <x:c r="AI925" s="91"/>
      <x:c r="AJ925" s="91"/>
      <x:c r="AK925" s="91"/>
      <x:c r="AL925" s="92"/>
      <x:c r="AM925" s="91"/>
      <x:c r="AN925" s="91"/>
      <x:c r="AO925" s="93"/>
      <x:c r="AP925" s="94"/>
      <x:c r="AQ925" s="91"/>
      <x:c r="AR925" s="91"/>
      <x:c r="AS925" s="91"/>
      <x:c r="AT925" s="91"/>
      <x:c r="AU925" s="91"/>
      <x:c r="AV925" s="91"/>
      <x:c r="AW925" s="91"/>
      <x:c r="AX925" s="91"/>
      <x:c r="AY925" s="91"/>
      <x:c r="AZ925" s="92"/>
      <x:c r="BA925" s="94"/>
      <x:c r="BB925" s="91"/>
      <x:c r="BC925" s="92"/>
      <x:c r="BD925" s="92"/>
      <x:c r="BE925" s="91"/>
      <x:c r="BF925" s="91"/>
      <x:c r="BG925" s="91"/>
      <x:c r="BH925" s="91"/>
      <x:c r="BI925" s="91"/>
      <x:c r="BJ925" s="91"/>
      <x:c r="BK925" s="91"/>
      <x:c r="BL925" s="91"/>
      <x:c r="BM925" s="73" t="str">
        <x:f>IF(A925="","",IF(AI925="Example","Example only",IF(AI925&lt;&gt;"Actual","Set record type",IF(COUNTIF($A$2:$A$1001,A925)&gt;1,"Duplicate record ID",IF(OR(D925="",E925="",AF925="",NOT(ISNUMBER(AG925)),AJ925="",AK925="",NOT(ISNUMBER(AL925)),AND(AM925&lt;&gt;"Observed",AM925&lt;&gt;"Corroborated",AM925&lt;&gt;"Declared"),OR(AN925="",AN925="Unknown"),OR(AQ925="",AQ925="Unknown"),OR(AR925="",AR925="Unknown",AR925="TBD"),OR(BC925="",NOT(ISNUMBER(BC925)))),"Evidence incomplete","Evidence recorded; review scope")))))</x:f>
      </x:c>
      <x:c r="BN925" s="73"/>
    </x:row>
    <x:row r="926" ht="34" customHeight="1">
      <x:c r="A926" s="73"/>
      <x:c r="B926" s="73"/>
      <x:c r="C926" s="73"/>
      <x:c r="D926" s="73"/>
      <x:c r="E926" s="73"/>
      <x:c r="F926" s="73"/>
      <x:c r="G926" s="73"/>
      <x:c r="H926" s="73"/>
      <x:c r="I926" s="75"/>
      <x:c r="J926" s="73"/>
      <x:c r="K926" s="73"/>
      <x:c r="L926" s="76"/>
      <x:c r="M926" s="73"/>
      <x:c r="N926" s="73"/>
      <x:c r="O926" s="73"/>
      <x:c r="P926" s="73"/>
      <x:c r="Q926" s="76"/>
      <x:c r="R926" s="73"/>
      <x:c r="S926" s="73"/>
      <x:c r="T926" s="73"/>
      <x:c r="U926" s="73"/>
      <x:c r="V926" s="73"/>
      <x:c r="W926" s="73"/>
      <x:c r="X926" s="73"/>
      <x:c r="Y926" s="73"/>
      <x:c r="Z926" s="73"/>
      <x:c r="AA926" s="73"/>
      <x:c r="AB926" s="76" t="str">
        <x:f>IF(A926="","",IF(OR(NOT(ISNUMBER(I926)),I926&lt;0,NOT(ISNUMBER(AP926)),AP926&lt;0,NOT(ISNUMBER(L926)),L926&lt;1,L926&gt;5,L926&lt;&gt;INT(L926),AND(J926&lt;&gt;"Public",J926&lt;&gt;"Partner",J926&lt;&gt;"Internal",J926&lt;&gt;"None"),AND(K926&lt;&gt;"High",K926&lt;&gt;"Medium",K926&lt;&gt;"Low",K926&lt;&gt;"None"),AND(W926&lt;&gt;"Hard-coded",W926&lt;&gt;"Configurable",W926&lt;&gt;"Policy-managed",W926&lt;&gt;"API/Library abstraction",W926&lt;&gt;"Automated"),AND(Z926&lt;&gt;"Y",Z926&lt;&gt;"N"),AND(AA926&lt;&gt;"Y",AA926&lt;&gt;"N")),"Incomplete",IF(Z926="Y",20,0)+L926*5+IF(AA926="Y",15,0)+IF(J926="Public",10,IF(J926="Partner",7,IF(J926="Internal",3,0)))+IF(W926="Hard-coded",10,IF(W926="Configurable",3,0))+IF(MAX(I926,AP926)&gt;=10,10,IF(MAX(I926,AP926)&gt;=5,7,IF(MAX(I926,AP926)&gt;=2,3,0)))+IF(K926="High",10,IF(K926="Medium",5,0))))</x:f>
      </x:c>
      <x:c r="AC926" s="73" t="str">
        <x:f>IF(A926="","",IF(NOT(ISNUMBER(AB926)),"Review inputs",IF(AB926&gt;=70,"P0 - Immediate",IF(AB926&gt;=50,"P1 - High",IF(AB926&gt;=30,"P2 - Medium",IF(AB926&gt;=15,"P3 - Low","P4 - Monitor"))))))</x:f>
      </x:c>
      <x:c r="AD926" s="73"/>
      <x:c r="AE926" s="73"/>
      <x:c r="AF926" s="73"/>
      <x:c r="AG926" s="77"/>
      <x:c r="AH926" s="73"/>
      <x:c r="AI926" s="91"/>
      <x:c r="AJ926" s="91"/>
      <x:c r="AK926" s="91"/>
      <x:c r="AL926" s="92"/>
      <x:c r="AM926" s="91"/>
      <x:c r="AN926" s="91"/>
      <x:c r="AO926" s="93"/>
      <x:c r="AP926" s="94"/>
      <x:c r="AQ926" s="91"/>
      <x:c r="AR926" s="91"/>
      <x:c r="AS926" s="91"/>
      <x:c r="AT926" s="91"/>
      <x:c r="AU926" s="91"/>
      <x:c r="AV926" s="91"/>
      <x:c r="AW926" s="91"/>
      <x:c r="AX926" s="91"/>
      <x:c r="AY926" s="91"/>
      <x:c r="AZ926" s="92"/>
      <x:c r="BA926" s="94"/>
      <x:c r="BB926" s="91"/>
      <x:c r="BC926" s="92"/>
      <x:c r="BD926" s="92"/>
      <x:c r="BE926" s="91"/>
      <x:c r="BF926" s="91"/>
      <x:c r="BG926" s="91"/>
      <x:c r="BH926" s="91"/>
      <x:c r="BI926" s="91"/>
      <x:c r="BJ926" s="91"/>
      <x:c r="BK926" s="91"/>
      <x:c r="BL926" s="91"/>
      <x:c r="BM926" s="73" t="str">
        <x:f>IF(A926="","",IF(AI926="Example","Example only",IF(AI926&lt;&gt;"Actual","Set record type",IF(COUNTIF($A$2:$A$1001,A926)&gt;1,"Duplicate record ID",IF(OR(D926="",E926="",AF926="",NOT(ISNUMBER(AG926)),AJ926="",AK926="",NOT(ISNUMBER(AL926)),AND(AM926&lt;&gt;"Observed",AM926&lt;&gt;"Corroborated",AM926&lt;&gt;"Declared"),OR(AN926="",AN926="Unknown"),OR(AQ926="",AQ926="Unknown"),OR(AR926="",AR926="Unknown",AR926="TBD"),OR(BC926="",NOT(ISNUMBER(BC926)))),"Evidence incomplete","Evidence recorded; review scope")))))</x:f>
      </x:c>
      <x:c r="BN926" s="73"/>
    </x:row>
    <x:row r="927" ht="34" customHeight="1">
      <x:c r="A927" s="73"/>
      <x:c r="B927" s="73"/>
      <x:c r="C927" s="73"/>
      <x:c r="D927" s="73"/>
      <x:c r="E927" s="73"/>
      <x:c r="F927" s="73"/>
      <x:c r="G927" s="73"/>
      <x:c r="H927" s="73"/>
      <x:c r="I927" s="75"/>
      <x:c r="J927" s="73"/>
      <x:c r="K927" s="73"/>
      <x:c r="L927" s="76"/>
      <x:c r="M927" s="73"/>
      <x:c r="N927" s="73"/>
      <x:c r="O927" s="73"/>
      <x:c r="P927" s="73"/>
      <x:c r="Q927" s="76"/>
      <x:c r="R927" s="73"/>
      <x:c r="S927" s="73"/>
      <x:c r="T927" s="73"/>
      <x:c r="U927" s="73"/>
      <x:c r="V927" s="73"/>
      <x:c r="W927" s="73"/>
      <x:c r="X927" s="73"/>
      <x:c r="Y927" s="73"/>
      <x:c r="Z927" s="73"/>
      <x:c r="AA927" s="73"/>
      <x:c r="AB927" s="76" t="str">
        <x:f>IF(A927="","",IF(OR(NOT(ISNUMBER(I927)),I927&lt;0,NOT(ISNUMBER(AP927)),AP927&lt;0,NOT(ISNUMBER(L927)),L927&lt;1,L927&gt;5,L927&lt;&gt;INT(L927),AND(J927&lt;&gt;"Public",J927&lt;&gt;"Partner",J927&lt;&gt;"Internal",J927&lt;&gt;"None"),AND(K927&lt;&gt;"High",K927&lt;&gt;"Medium",K927&lt;&gt;"Low",K927&lt;&gt;"None"),AND(W927&lt;&gt;"Hard-coded",W927&lt;&gt;"Configurable",W927&lt;&gt;"Policy-managed",W927&lt;&gt;"API/Library abstraction",W927&lt;&gt;"Automated"),AND(Z927&lt;&gt;"Y",Z927&lt;&gt;"N"),AND(AA927&lt;&gt;"Y",AA927&lt;&gt;"N")),"Incomplete",IF(Z927="Y",20,0)+L927*5+IF(AA927="Y",15,0)+IF(J927="Public",10,IF(J927="Partner",7,IF(J927="Internal",3,0)))+IF(W927="Hard-coded",10,IF(W927="Configurable",3,0))+IF(MAX(I927,AP927)&gt;=10,10,IF(MAX(I927,AP927)&gt;=5,7,IF(MAX(I927,AP927)&gt;=2,3,0)))+IF(K927="High",10,IF(K927="Medium",5,0))))</x:f>
      </x:c>
      <x:c r="AC927" s="73" t="str">
        <x:f>IF(A927="","",IF(NOT(ISNUMBER(AB927)),"Review inputs",IF(AB927&gt;=70,"P0 - Immediate",IF(AB927&gt;=50,"P1 - High",IF(AB927&gt;=30,"P2 - Medium",IF(AB927&gt;=15,"P3 - Low","P4 - Monitor"))))))</x:f>
      </x:c>
      <x:c r="AD927" s="73"/>
      <x:c r="AE927" s="73"/>
      <x:c r="AF927" s="73"/>
      <x:c r="AG927" s="77"/>
      <x:c r="AH927" s="73"/>
      <x:c r="AI927" s="91"/>
      <x:c r="AJ927" s="91"/>
      <x:c r="AK927" s="91"/>
      <x:c r="AL927" s="92"/>
      <x:c r="AM927" s="91"/>
      <x:c r="AN927" s="91"/>
      <x:c r="AO927" s="93"/>
      <x:c r="AP927" s="94"/>
      <x:c r="AQ927" s="91"/>
      <x:c r="AR927" s="91"/>
      <x:c r="AS927" s="91"/>
      <x:c r="AT927" s="91"/>
      <x:c r="AU927" s="91"/>
      <x:c r="AV927" s="91"/>
      <x:c r="AW927" s="91"/>
      <x:c r="AX927" s="91"/>
      <x:c r="AY927" s="91"/>
      <x:c r="AZ927" s="92"/>
      <x:c r="BA927" s="94"/>
      <x:c r="BB927" s="91"/>
      <x:c r="BC927" s="92"/>
      <x:c r="BD927" s="92"/>
      <x:c r="BE927" s="91"/>
      <x:c r="BF927" s="91"/>
      <x:c r="BG927" s="91"/>
      <x:c r="BH927" s="91"/>
      <x:c r="BI927" s="91"/>
      <x:c r="BJ927" s="91"/>
      <x:c r="BK927" s="91"/>
      <x:c r="BL927" s="91"/>
      <x:c r="BM927" s="73" t="str">
        <x:f>IF(A927="","",IF(AI927="Example","Example only",IF(AI927&lt;&gt;"Actual","Set record type",IF(COUNTIF($A$2:$A$1001,A927)&gt;1,"Duplicate record ID",IF(OR(D927="",E927="",AF927="",NOT(ISNUMBER(AG927)),AJ927="",AK927="",NOT(ISNUMBER(AL927)),AND(AM927&lt;&gt;"Observed",AM927&lt;&gt;"Corroborated",AM927&lt;&gt;"Declared"),OR(AN927="",AN927="Unknown"),OR(AQ927="",AQ927="Unknown"),OR(AR927="",AR927="Unknown",AR927="TBD"),OR(BC927="",NOT(ISNUMBER(BC927)))),"Evidence incomplete","Evidence recorded; review scope")))))</x:f>
      </x:c>
      <x:c r="BN927" s="73"/>
    </x:row>
    <x:row r="928" ht="34" customHeight="1">
      <x:c r="A928" s="73"/>
      <x:c r="B928" s="73"/>
      <x:c r="C928" s="73"/>
      <x:c r="D928" s="73"/>
      <x:c r="E928" s="73"/>
      <x:c r="F928" s="73"/>
      <x:c r="G928" s="73"/>
      <x:c r="H928" s="73"/>
      <x:c r="I928" s="75"/>
      <x:c r="J928" s="73"/>
      <x:c r="K928" s="73"/>
      <x:c r="L928" s="76"/>
      <x:c r="M928" s="73"/>
      <x:c r="N928" s="73"/>
      <x:c r="O928" s="73"/>
      <x:c r="P928" s="73"/>
      <x:c r="Q928" s="76"/>
      <x:c r="R928" s="73"/>
      <x:c r="S928" s="73"/>
      <x:c r="T928" s="73"/>
      <x:c r="U928" s="73"/>
      <x:c r="V928" s="73"/>
      <x:c r="W928" s="73"/>
      <x:c r="X928" s="73"/>
      <x:c r="Y928" s="73"/>
      <x:c r="Z928" s="73"/>
      <x:c r="AA928" s="73"/>
      <x:c r="AB928" s="76" t="str">
        <x:f>IF(A928="","",IF(OR(NOT(ISNUMBER(I928)),I928&lt;0,NOT(ISNUMBER(AP928)),AP928&lt;0,NOT(ISNUMBER(L928)),L928&lt;1,L928&gt;5,L928&lt;&gt;INT(L928),AND(J928&lt;&gt;"Public",J928&lt;&gt;"Partner",J928&lt;&gt;"Internal",J928&lt;&gt;"None"),AND(K928&lt;&gt;"High",K928&lt;&gt;"Medium",K928&lt;&gt;"Low",K928&lt;&gt;"None"),AND(W928&lt;&gt;"Hard-coded",W928&lt;&gt;"Configurable",W928&lt;&gt;"Policy-managed",W928&lt;&gt;"API/Library abstraction",W928&lt;&gt;"Automated"),AND(Z928&lt;&gt;"Y",Z928&lt;&gt;"N"),AND(AA928&lt;&gt;"Y",AA928&lt;&gt;"N")),"Incomplete",IF(Z928="Y",20,0)+L928*5+IF(AA928="Y",15,0)+IF(J928="Public",10,IF(J928="Partner",7,IF(J928="Internal",3,0)))+IF(W928="Hard-coded",10,IF(W928="Configurable",3,0))+IF(MAX(I928,AP928)&gt;=10,10,IF(MAX(I928,AP928)&gt;=5,7,IF(MAX(I928,AP928)&gt;=2,3,0)))+IF(K928="High",10,IF(K928="Medium",5,0))))</x:f>
      </x:c>
      <x:c r="AC928" s="73" t="str">
        <x:f>IF(A928="","",IF(NOT(ISNUMBER(AB928)),"Review inputs",IF(AB928&gt;=70,"P0 - Immediate",IF(AB928&gt;=50,"P1 - High",IF(AB928&gt;=30,"P2 - Medium",IF(AB928&gt;=15,"P3 - Low","P4 - Monitor"))))))</x:f>
      </x:c>
      <x:c r="AD928" s="73"/>
      <x:c r="AE928" s="73"/>
      <x:c r="AF928" s="73"/>
      <x:c r="AG928" s="77"/>
      <x:c r="AH928" s="73"/>
      <x:c r="AI928" s="91"/>
      <x:c r="AJ928" s="91"/>
      <x:c r="AK928" s="91"/>
      <x:c r="AL928" s="92"/>
      <x:c r="AM928" s="91"/>
      <x:c r="AN928" s="91"/>
      <x:c r="AO928" s="93"/>
      <x:c r="AP928" s="94"/>
      <x:c r="AQ928" s="91"/>
      <x:c r="AR928" s="91"/>
      <x:c r="AS928" s="91"/>
      <x:c r="AT928" s="91"/>
      <x:c r="AU928" s="91"/>
      <x:c r="AV928" s="91"/>
      <x:c r="AW928" s="91"/>
      <x:c r="AX928" s="91"/>
      <x:c r="AY928" s="91"/>
      <x:c r="AZ928" s="92"/>
      <x:c r="BA928" s="94"/>
      <x:c r="BB928" s="91"/>
      <x:c r="BC928" s="92"/>
      <x:c r="BD928" s="92"/>
      <x:c r="BE928" s="91"/>
      <x:c r="BF928" s="91"/>
      <x:c r="BG928" s="91"/>
      <x:c r="BH928" s="91"/>
      <x:c r="BI928" s="91"/>
      <x:c r="BJ928" s="91"/>
      <x:c r="BK928" s="91"/>
      <x:c r="BL928" s="91"/>
      <x:c r="BM928" s="73" t="str">
        <x:f>IF(A928="","",IF(AI928="Example","Example only",IF(AI928&lt;&gt;"Actual","Set record type",IF(COUNTIF($A$2:$A$1001,A928)&gt;1,"Duplicate record ID",IF(OR(D928="",E928="",AF928="",NOT(ISNUMBER(AG928)),AJ928="",AK928="",NOT(ISNUMBER(AL928)),AND(AM928&lt;&gt;"Observed",AM928&lt;&gt;"Corroborated",AM928&lt;&gt;"Declared"),OR(AN928="",AN928="Unknown"),OR(AQ928="",AQ928="Unknown"),OR(AR928="",AR928="Unknown",AR928="TBD"),OR(BC928="",NOT(ISNUMBER(BC928)))),"Evidence incomplete","Evidence recorded; review scope")))))</x:f>
      </x:c>
      <x:c r="BN928" s="73"/>
    </x:row>
    <x:row r="929" ht="34" customHeight="1">
      <x:c r="A929" s="73"/>
      <x:c r="B929" s="73"/>
      <x:c r="C929" s="73"/>
      <x:c r="D929" s="73"/>
      <x:c r="E929" s="73"/>
      <x:c r="F929" s="73"/>
      <x:c r="G929" s="73"/>
      <x:c r="H929" s="73"/>
      <x:c r="I929" s="75"/>
      <x:c r="J929" s="73"/>
      <x:c r="K929" s="73"/>
      <x:c r="L929" s="76"/>
      <x:c r="M929" s="73"/>
      <x:c r="N929" s="73"/>
      <x:c r="O929" s="73"/>
      <x:c r="P929" s="73"/>
      <x:c r="Q929" s="76"/>
      <x:c r="R929" s="73"/>
      <x:c r="S929" s="73"/>
      <x:c r="T929" s="73"/>
      <x:c r="U929" s="73"/>
      <x:c r="V929" s="73"/>
      <x:c r="W929" s="73"/>
      <x:c r="X929" s="73"/>
      <x:c r="Y929" s="73"/>
      <x:c r="Z929" s="73"/>
      <x:c r="AA929" s="73"/>
      <x:c r="AB929" s="76" t="str">
        <x:f>IF(A929="","",IF(OR(NOT(ISNUMBER(I929)),I929&lt;0,NOT(ISNUMBER(AP929)),AP929&lt;0,NOT(ISNUMBER(L929)),L929&lt;1,L929&gt;5,L929&lt;&gt;INT(L929),AND(J929&lt;&gt;"Public",J929&lt;&gt;"Partner",J929&lt;&gt;"Internal",J929&lt;&gt;"None"),AND(K929&lt;&gt;"High",K929&lt;&gt;"Medium",K929&lt;&gt;"Low",K929&lt;&gt;"None"),AND(W929&lt;&gt;"Hard-coded",W929&lt;&gt;"Configurable",W929&lt;&gt;"Policy-managed",W929&lt;&gt;"API/Library abstraction",W929&lt;&gt;"Automated"),AND(Z929&lt;&gt;"Y",Z929&lt;&gt;"N"),AND(AA929&lt;&gt;"Y",AA929&lt;&gt;"N")),"Incomplete",IF(Z929="Y",20,0)+L929*5+IF(AA929="Y",15,0)+IF(J929="Public",10,IF(J929="Partner",7,IF(J929="Internal",3,0)))+IF(W929="Hard-coded",10,IF(W929="Configurable",3,0))+IF(MAX(I929,AP929)&gt;=10,10,IF(MAX(I929,AP929)&gt;=5,7,IF(MAX(I929,AP929)&gt;=2,3,0)))+IF(K929="High",10,IF(K929="Medium",5,0))))</x:f>
      </x:c>
      <x:c r="AC929" s="73" t="str">
        <x:f>IF(A929="","",IF(NOT(ISNUMBER(AB929)),"Review inputs",IF(AB929&gt;=70,"P0 - Immediate",IF(AB929&gt;=50,"P1 - High",IF(AB929&gt;=30,"P2 - Medium",IF(AB929&gt;=15,"P3 - Low","P4 - Monitor"))))))</x:f>
      </x:c>
      <x:c r="AD929" s="73"/>
      <x:c r="AE929" s="73"/>
      <x:c r="AF929" s="73"/>
      <x:c r="AG929" s="77"/>
      <x:c r="AH929" s="73"/>
      <x:c r="AI929" s="91"/>
      <x:c r="AJ929" s="91"/>
      <x:c r="AK929" s="91"/>
      <x:c r="AL929" s="92"/>
      <x:c r="AM929" s="91"/>
      <x:c r="AN929" s="91"/>
      <x:c r="AO929" s="93"/>
      <x:c r="AP929" s="94"/>
      <x:c r="AQ929" s="91"/>
      <x:c r="AR929" s="91"/>
      <x:c r="AS929" s="91"/>
      <x:c r="AT929" s="91"/>
      <x:c r="AU929" s="91"/>
      <x:c r="AV929" s="91"/>
      <x:c r="AW929" s="91"/>
      <x:c r="AX929" s="91"/>
      <x:c r="AY929" s="91"/>
      <x:c r="AZ929" s="92"/>
      <x:c r="BA929" s="94"/>
      <x:c r="BB929" s="91"/>
      <x:c r="BC929" s="92"/>
      <x:c r="BD929" s="92"/>
      <x:c r="BE929" s="91"/>
      <x:c r="BF929" s="91"/>
      <x:c r="BG929" s="91"/>
      <x:c r="BH929" s="91"/>
      <x:c r="BI929" s="91"/>
      <x:c r="BJ929" s="91"/>
      <x:c r="BK929" s="91"/>
      <x:c r="BL929" s="91"/>
      <x:c r="BM929" s="73" t="str">
        <x:f>IF(A929="","",IF(AI929="Example","Example only",IF(AI929&lt;&gt;"Actual","Set record type",IF(COUNTIF($A$2:$A$1001,A929)&gt;1,"Duplicate record ID",IF(OR(D929="",E929="",AF929="",NOT(ISNUMBER(AG929)),AJ929="",AK929="",NOT(ISNUMBER(AL929)),AND(AM929&lt;&gt;"Observed",AM929&lt;&gt;"Corroborated",AM929&lt;&gt;"Declared"),OR(AN929="",AN929="Unknown"),OR(AQ929="",AQ929="Unknown"),OR(AR929="",AR929="Unknown",AR929="TBD"),OR(BC929="",NOT(ISNUMBER(BC929)))),"Evidence incomplete","Evidence recorded; review scope")))))</x:f>
      </x:c>
      <x:c r="BN929" s="73"/>
    </x:row>
    <x:row r="930" ht="34" customHeight="1">
      <x:c r="A930" s="73"/>
      <x:c r="B930" s="73"/>
      <x:c r="C930" s="73"/>
      <x:c r="D930" s="73"/>
      <x:c r="E930" s="73"/>
      <x:c r="F930" s="73"/>
      <x:c r="G930" s="73"/>
      <x:c r="H930" s="73"/>
      <x:c r="I930" s="75"/>
      <x:c r="J930" s="73"/>
      <x:c r="K930" s="73"/>
      <x:c r="L930" s="76"/>
      <x:c r="M930" s="73"/>
      <x:c r="N930" s="73"/>
      <x:c r="O930" s="73"/>
      <x:c r="P930" s="73"/>
      <x:c r="Q930" s="76"/>
      <x:c r="R930" s="73"/>
      <x:c r="S930" s="73"/>
      <x:c r="T930" s="73"/>
      <x:c r="U930" s="73"/>
      <x:c r="V930" s="73"/>
      <x:c r="W930" s="73"/>
      <x:c r="X930" s="73"/>
      <x:c r="Y930" s="73"/>
      <x:c r="Z930" s="73"/>
      <x:c r="AA930" s="73"/>
      <x:c r="AB930" s="76" t="str">
        <x:f>IF(A930="","",IF(OR(NOT(ISNUMBER(I930)),I930&lt;0,NOT(ISNUMBER(AP930)),AP930&lt;0,NOT(ISNUMBER(L930)),L930&lt;1,L930&gt;5,L930&lt;&gt;INT(L930),AND(J930&lt;&gt;"Public",J930&lt;&gt;"Partner",J930&lt;&gt;"Internal",J930&lt;&gt;"None"),AND(K930&lt;&gt;"High",K930&lt;&gt;"Medium",K930&lt;&gt;"Low",K930&lt;&gt;"None"),AND(W930&lt;&gt;"Hard-coded",W930&lt;&gt;"Configurable",W930&lt;&gt;"Policy-managed",W930&lt;&gt;"API/Library abstraction",W930&lt;&gt;"Automated"),AND(Z930&lt;&gt;"Y",Z930&lt;&gt;"N"),AND(AA930&lt;&gt;"Y",AA930&lt;&gt;"N")),"Incomplete",IF(Z930="Y",20,0)+L930*5+IF(AA930="Y",15,0)+IF(J930="Public",10,IF(J930="Partner",7,IF(J930="Internal",3,0)))+IF(W930="Hard-coded",10,IF(W930="Configurable",3,0))+IF(MAX(I930,AP930)&gt;=10,10,IF(MAX(I930,AP930)&gt;=5,7,IF(MAX(I930,AP930)&gt;=2,3,0)))+IF(K930="High",10,IF(K930="Medium",5,0))))</x:f>
      </x:c>
      <x:c r="AC930" s="73" t="str">
        <x:f>IF(A930="","",IF(NOT(ISNUMBER(AB930)),"Review inputs",IF(AB930&gt;=70,"P0 - Immediate",IF(AB930&gt;=50,"P1 - High",IF(AB930&gt;=30,"P2 - Medium",IF(AB930&gt;=15,"P3 - Low","P4 - Monitor"))))))</x:f>
      </x:c>
      <x:c r="AD930" s="73"/>
      <x:c r="AE930" s="73"/>
      <x:c r="AF930" s="73"/>
      <x:c r="AG930" s="77"/>
      <x:c r="AH930" s="73"/>
      <x:c r="AI930" s="91"/>
      <x:c r="AJ930" s="91"/>
      <x:c r="AK930" s="91"/>
      <x:c r="AL930" s="92"/>
      <x:c r="AM930" s="91"/>
      <x:c r="AN930" s="91"/>
      <x:c r="AO930" s="93"/>
      <x:c r="AP930" s="94"/>
      <x:c r="AQ930" s="91"/>
      <x:c r="AR930" s="91"/>
      <x:c r="AS930" s="91"/>
      <x:c r="AT930" s="91"/>
      <x:c r="AU930" s="91"/>
      <x:c r="AV930" s="91"/>
      <x:c r="AW930" s="91"/>
      <x:c r="AX930" s="91"/>
      <x:c r="AY930" s="91"/>
      <x:c r="AZ930" s="92"/>
      <x:c r="BA930" s="94"/>
      <x:c r="BB930" s="91"/>
      <x:c r="BC930" s="92"/>
      <x:c r="BD930" s="92"/>
      <x:c r="BE930" s="91"/>
      <x:c r="BF930" s="91"/>
      <x:c r="BG930" s="91"/>
      <x:c r="BH930" s="91"/>
      <x:c r="BI930" s="91"/>
      <x:c r="BJ930" s="91"/>
      <x:c r="BK930" s="91"/>
      <x:c r="BL930" s="91"/>
      <x:c r="BM930" s="73" t="str">
        <x:f>IF(A930="","",IF(AI930="Example","Example only",IF(AI930&lt;&gt;"Actual","Set record type",IF(COUNTIF($A$2:$A$1001,A930)&gt;1,"Duplicate record ID",IF(OR(D930="",E930="",AF930="",NOT(ISNUMBER(AG930)),AJ930="",AK930="",NOT(ISNUMBER(AL930)),AND(AM930&lt;&gt;"Observed",AM930&lt;&gt;"Corroborated",AM930&lt;&gt;"Declared"),OR(AN930="",AN930="Unknown"),OR(AQ930="",AQ930="Unknown"),OR(AR930="",AR930="Unknown",AR930="TBD"),OR(BC930="",NOT(ISNUMBER(BC930)))),"Evidence incomplete","Evidence recorded; review scope")))))</x:f>
      </x:c>
      <x:c r="BN930" s="73"/>
    </x:row>
    <x:row r="931" ht="34" customHeight="1">
      <x:c r="A931" s="73"/>
      <x:c r="B931" s="73"/>
      <x:c r="C931" s="73"/>
      <x:c r="D931" s="73"/>
      <x:c r="E931" s="73"/>
      <x:c r="F931" s="73"/>
      <x:c r="G931" s="73"/>
      <x:c r="H931" s="73"/>
      <x:c r="I931" s="75"/>
      <x:c r="J931" s="73"/>
      <x:c r="K931" s="73"/>
      <x:c r="L931" s="76"/>
      <x:c r="M931" s="73"/>
      <x:c r="N931" s="73"/>
      <x:c r="O931" s="73"/>
      <x:c r="P931" s="73"/>
      <x:c r="Q931" s="76"/>
      <x:c r="R931" s="73"/>
      <x:c r="S931" s="73"/>
      <x:c r="T931" s="73"/>
      <x:c r="U931" s="73"/>
      <x:c r="V931" s="73"/>
      <x:c r="W931" s="73"/>
      <x:c r="X931" s="73"/>
      <x:c r="Y931" s="73"/>
      <x:c r="Z931" s="73"/>
      <x:c r="AA931" s="73"/>
      <x:c r="AB931" s="76" t="str">
        <x:f>IF(A931="","",IF(OR(NOT(ISNUMBER(I931)),I931&lt;0,NOT(ISNUMBER(AP931)),AP931&lt;0,NOT(ISNUMBER(L931)),L931&lt;1,L931&gt;5,L931&lt;&gt;INT(L931),AND(J931&lt;&gt;"Public",J931&lt;&gt;"Partner",J931&lt;&gt;"Internal",J931&lt;&gt;"None"),AND(K931&lt;&gt;"High",K931&lt;&gt;"Medium",K931&lt;&gt;"Low",K931&lt;&gt;"None"),AND(W931&lt;&gt;"Hard-coded",W931&lt;&gt;"Configurable",W931&lt;&gt;"Policy-managed",W931&lt;&gt;"API/Library abstraction",W931&lt;&gt;"Automated"),AND(Z931&lt;&gt;"Y",Z931&lt;&gt;"N"),AND(AA931&lt;&gt;"Y",AA931&lt;&gt;"N")),"Incomplete",IF(Z931="Y",20,0)+L931*5+IF(AA931="Y",15,0)+IF(J931="Public",10,IF(J931="Partner",7,IF(J931="Internal",3,0)))+IF(W931="Hard-coded",10,IF(W931="Configurable",3,0))+IF(MAX(I931,AP931)&gt;=10,10,IF(MAX(I931,AP931)&gt;=5,7,IF(MAX(I931,AP931)&gt;=2,3,0)))+IF(K931="High",10,IF(K931="Medium",5,0))))</x:f>
      </x:c>
      <x:c r="AC931" s="73" t="str">
        <x:f>IF(A931="","",IF(NOT(ISNUMBER(AB931)),"Review inputs",IF(AB931&gt;=70,"P0 - Immediate",IF(AB931&gt;=50,"P1 - High",IF(AB931&gt;=30,"P2 - Medium",IF(AB931&gt;=15,"P3 - Low","P4 - Monitor"))))))</x:f>
      </x:c>
      <x:c r="AD931" s="73"/>
      <x:c r="AE931" s="73"/>
      <x:c r="AF931" s="73"/>
      <x:c r="AG931" s="77"/>
      <x:c r="AH931" s="73"/>
      <x:c r="AI931" s="91"/>
      <x:c r="AJ931" s="91"/>
      <x:c r="AK931" s="91"/>
      <x:c r="AL931" s="92"/>
      <x:c r="AM931" s="91"/>
      <x:c r="AN931" s="91"/>
      <x:c r="AO931" s="93"/>
      <x:c r="AP931" s="94"/>
      <x:c r="AQ931" s="91"/>
      <x:c r="AR931" s="91"/>
      <x:c r="AS931" s="91"/>
      <x:c r="AT931" s="91"/>
      <x:c r="AU931" s="91"/>
      <x:c r="AV931" s="91"/>
      <x:c r="AW931" s="91"/>
      <x:c r="AX931" s="91"/>
      <x:c r="AY931" s="91"/>
      <x:c r="AZ931" s="92"/>
      <x:c r="BA931" s="94"/>
      <x:c r="BB931" s="91"/>
      <x:c r="BC931" s="92"/>
      <x:c r="BD931" s="92"/>
      <x:c r="BE931" s="91"/>
      <x:c r="BF931" s="91"/>
      <x:c r="BG931" s="91"/>
      <x:c r="BH931" s="91"/>
      <x:c r="BI931" s="91"/>
      <x:c r="BJ931" s="91"/>
      <x:c r="BK931" s="91"/>
      <x:c r="BL931" s="91"/>
      <x:c r="BM931" s="73" t="str">
        <x:f>IF(A931="","",IF(AI931="Example","Example only",IF(AI931&lt;&gt;"Actual","Set record type",IF(COUNTIF($A$2:$A$1001,A931)&gt;1,"Duplicate record ID",IF(OR(D931="",E931="",AF931="",NOT(ISNUMBER(AG931)),AJ931="",AK931="",NOT(ISNUMBER(AL931)),AND(AM931&lt;&gt;"Observed",AM931&lt;&gt;"Corroborated",AM931&lt;&gt;"Declared"),OR(AN931="",AN931="Unknown"),OR(AQ931="",AQ931="Unknown"),OR(AR931="",AR931="Unknown",AR931="TBD"),OR(BC931="",NOT(ISNUMBER(BC931)))),"Evidence incomplete","Evidence recorded; review scope")))))</x:f>
      </x:c>
      <x:c r="BN931" s="73"/>
    </x:row>
    <x:row r="932" ht="34" customHeight="1">
      <x:c r="A932" s="73"/>
      <x:c r="B932" s="73"/>
      <x:c r="C932" s="73"/>
      <x:c r="D932" s="73"/>
      <x:c r="E932" s="73"/>
      <x:c r="F932" s="73"/>
      <x:c r="G932" s="73"/>
      <x:c r="H932" s="73"/>
      <x:c r="I932" s="75"/>
      <x:c r="J932" s="73"/>
      <x:c r="K932" s="73"/>
      <x:c r="L932" s="76"/>
      <x:c r="M932" s="73"/>
      <x:c r="N932" s="73"/>
      <x:c r="O932" s="73"/>
      <x:c r="P932" s="73"/>
      <x:c r="Q932" s="76"/>
      <x:c r="R932" s="73"/>
      <x:c r="S932" s="73"/>
      <x:c r="T932" s="73"/>
      <x:c r="U932" s="73"/>
      <x:c r="V932" s="73"/>
      <x:c r="W932" s="73"/>
      <x:c r="X932" s="73"/>
      <x:c r="Y932" s="73"/>
      <x:c r="Z932" s="73"/>
      <x:c r="AA932" s="73"/>
      <x:c r="AB932" s="76" t="str">
        <x:f>IF(A932="","",IF(OR(NOT(ISNUMBER(I932)),I932&lt;0,NOT(ISNUMBER(AP932)),AP932&lt;0,NOT(ISNUMBER(L932)),L932&lt;1,L932&gt;5,L932&lt;&gt;INT(L932),AND(J932&lt;&gt;"Public",J932&lt;&gt;"Partner",J932&lt;&gt;"Internal",J932&lt;&gt;"None"),AND(K932&lt;&gt;"High",K932&lt;&gt;"Medium",K932&lt;&gt;"Low",K932&lt;&gt;"None"),AND(W932&lt;&gt;"Hard-coded",W932&lt;&gt;"Configurable",W932&lt;&gt;"Policy-managed",W932&lt;&gt;"API/Library abstraction",W932&lt;&gt;"Automated"),AND(Z932&lt;&gt;"Y",Z932&lt;&gt;"N"),AND(AA932&lt;&gt;"Y",AA932&lt;&gt;"N")),"Incomplete",IF(Z932="Y",20,0)+L932*5+IF(AA932="Y",15,0)+IF(J932="Public",10,IF(J932="Partner",7,IF(J932="Internal",3,0)))+IF(W932="Hard-coded",10,IF(W932="Configurable",3,0))+IF(MAX(I932,AP932)&gt;=10,10,IF(MAX(I932,AP932)&gt;=5,7,IF(MAX(I932,AP932)&gt;=2,3,0)))+IF(K932="High",10,IF(K932="Medium",5,0))))</x:f>
      </x:c>
      <x:c r="AC932" s="73" t="str">
        <x:f>IF(A932="","",IF(NOT(ISNUMBER(AB932)),"Review inputs",IF(AB932&gt;=70,"P0 - Immediate",IF(AB932&gt;=50,"P1 - High",IF(AB932&gt;=30,"P2 - Medium",IF(AB932&gt;=15,"P3 - Low","P4 - Monitor"))))))</x:f>
      </x:c>
      <x:c r="AD932" s="73"/>
      <x:c r="AE932" s="73"/>
      <x:c r="AF932" s="73"/>
      <x:c r="AG932" s="77"/>
      <x:c r="AH932" s="73"/>
      <x:c r="AI932" s="91"/>
      <x:c r="AJ932" s="91"/>
      <x:c r="AK932" s="91"/>
      <x:c r="AL932" s="92"/>
      <x:c r="AM932" s="91"/>
      <x:c r="AN932" s="91"/>
      <x:c r="AO932" s="93"/>
      <x:c r="AP932" s="94"/>
      <x:c r="AQ932" s="91"/>
      <x:c r="AR932" s="91"/>
      <x:c r="AS932" s="91"/>
      <x:c r="AT932" s="91"/>
      <x:c r="AU932" s="91"/>
      <x:c r="AV932" s="91"/>
      <x:c r="AW932" s="91"/>
      <x:c r="AX932" s="91"/>
      <x:c r="AY932" s="91"/>
      <x:c r="AZ932" s="92"/>
      <x:c r="BA932" s="94"/>
      <x:c r="BB932" s="91"/>
      <x:c r="BC932" s="92"/>
      <x:c r="BD932" s="92"/>
      <x:c r="BE932" s="91"/>
      <x:c r="BF932" s="91"/>
      <x:c r="BG932" s="91"/>
      <x:c r="BH932" s="91"/>
      <x:c r="BI932" s="91"/>
      <x:c r="BJ932" s="91"/>
      <x:c r="BK932" s="91"/>
      <x:c r="BL932" s="91"/>
      <x:c r="BM932" s="73" t="str">
        <x:f>IF(A932="","",IF(AI932="Example","Example only",IF(AI932&lt;&gt;"Actual","Set record type",IF(COUNTIF($A$2:$A$1001,A932)&gt;1,"Duplicate record ID",IF(OR(D932="",E932="",AF932="",NOT(ISNUMBER(AG932)),AJ932="",AK932="",NOT(ISNUMBER(AL932)),AND(AM932&lt;&gt;"Observed",AM932&lt;&gt;"Corroborated",AM932&lt;&gt;"Declared"),OR(AN932="",AN932="Unknown"),OR(AQ932="",AQ932="Unknown"),OR(AR932="",AR932="Unknown",AR932="TBD"),OR(BC932="",NOT(ISNUMBER(BC932)))),"Evidence incomplete","Evidence recorded; review scope")))))</x:f>
      </x:c>
      <x:c r="BN932" s="73"/>
    </x:row>
    <x:row r="933" ht="34" customHeight="1">
      <x:c r="A933" s="73"/>
      <x:c r="B933" s="73"/>
      <x:c r="C933" s="73"/>
      <x:c r="D933" s="73"/>
      <x:c r="E933" s="73"/>
      <x:c r="F933" s="73"/>
      <x:c r="G933" s="73"/>
      <x:c r="H933" s="73"/>
      <x:c r="I933" s="75"/>
      <x:c r="J933" s="73"/>
      <x:c r="K933" s="73"/>
      <x:c r="L933" s="76"/>
      <x:c r="M933" s="73"/>
      <x:c r="N933" s="73"/>
      <x:c r="O933" s="73"/>
      <x:c r="P933" s="73"/>
      <x:c r="Q933" s="76"/>
      <x:c r="R933" s="73"/>
      <x:c r="S933" s="73"/>
      <x:c r="T933" s="73"/>
      <x:c r="U933" s="73"/>
      <x:c r="V933" s="73"/>
      <x:c r="W933" s="73"/>
      <x:c r="X933" s="73"/>
      <x:c r="Y933" s="73"/>
      <x:c r="Z933" s="73"/>
      <x:c r="AA933" s="73"/>
      <x:c r="AB933" s="76" t="str">
        <x:f>IF(A933="","",IF(OR(NOT(ISNUMBER(I933)),I933&lt;0,NOT(ISNUMBER(AP933)),AP933&lt;0,NOT(ISNUMBER(L933)),L933&lt;1,L933&gt;5,L933&lt;&gt;INT(L933),AND(J933&lt;&gt;"Public",J933&lt;&gt;"Partner",J933&lt;&gt;"Internal",J933&lt;&gt;"None"),AND(K933&lt;&gt;"High",K933&lt;&gt;"Medium",K933&lt;&gt;"Low",K933&lt;&gt;"None"),AND(W933&lt;&gt;"Hard-coded",W933&lt;&gt;"Configurable",W933&lt;&gt;"Policy-managed",W933&lt;&gt;"API/Library abstraction",W933&lt;&gt;"Automated"),AND(Z933&lt;&gt;"Y",Z933&lt;&gt;"N"),AND(AA933&lt;&gt;"Y",AA933&lt;&gt;"N")),"Incomplete",IF(Z933="Y",20,0)+L933*5+IF(AA933="Y",15,0)+IF(J933="Public",10,IF(J933="Partner",7,IF(J933="Internal",3,0)))+IF(W933="Hard-coded",10,IF(W933="Configurable",3,0))+IF(MAX(I933,AP933)&gt;=10,10,IF(MAX(I933,AP933)&gt;=5,7,IF(MAX(I933,AP933)&gt;=2,3,0)))+IF(K933="High",10,IF(K933="Medium",5,0))))</x:f>
      </x:c>
      <x:c r="AC933" s="73" t="str">
        <x:f>IF(A933="","",IF(NOT(ISNUMBER(AB933)),"Review inputs",IF(AB933&gt;=70,"P0 - Immediate",IF(AB933&gt;=50,"P1 - High",IF(AB933&gt;=30,"P2 - Medium",IF(AB933&gt;=15,"P3 - Low","P4 - Monitor"))))))</x:f>
      </x:c>
      <x:c r="AD933" s="73"/>
      <x:c r="AE933" s="73"/>
      <x:c r="AF933" s="73"/>
      <x:c r="AG933" s="77"/>
      <x:c r="AH933" s="73"/>
      <x:c r="AI933" s="91"/>
      <x:c r="AJ933" s="91"/>
      <x:c r="AK933" s="91"/>
      <x:c r="AL933" s="92"/>
      <x:c r="AM933" s="91"/>
      <x:c r="AN933" s="91"/>
      <x:c r="AO933" s="93"/>
      <x:c r="AP933" s="94"/>
      <x:c r="AQ933" s="91"/>
      <x:c r="AR933" s="91"/>
      <x:c r="AS933" s="91"/>
      <x:c r="AT933" s="91"/>
      <x:c r="AU933" s="91"/>
      <x:c r="AV933" s="91"/>
      <x:c r="AW933" s="91"/>
      <x:c r="AX933" s="91"/>
      <x:c r="AY933" s="91"/>
      <x:c r="AZ933" s="92"/>
      <x:c r="BA933" s="94"/>
      <x:c r="BB933" s="91"/>
      <x:c r="BC933" s="92"/>
      <x:c r="BD933" s="92"/>
      <x:c r="BE933" s="91"/>
      <x:c r="BF933" s="91"/>
      <x:c r="BG933" s="91"/>
      <x:c r="BH933" s="91"/>
      <x:c r="BI933" s="91"/>
      <x:c r="BJ933" s="91"/>
      <x:c r="BK933" s="91"/>
      <x:c r="BL933" s="91"/>
      <x:c r="BM933" s="73" t="str">
        <x:f>IF(A933="","",IF(AI933="Example","Example only",IF(AI933&lt;&gt;"Actual","Set record type",IF(COUNTIF($A$2:$A$1001,A933)&gt;1,"Duplicate record ID",IF(OR(D933="",E933="",AF933="",NOT(ISNUMBER(AG933)),AJ933="",AK933="",NOT(ISNUMBER(AL933)),AND(AM933&lt;&gt;"Observed",AM933&lt;&gt;"Corroborated",AM933&lt;&gt;"Declared"),OR(AN933="",AN933="Unknown"),OR(AQ933="",AQ933="Unknown"),OR(AR933="",AR933="Unknown",AR933="TBD"),OR(BC933="",NOT(ISNUMBER(BC933)))),"Evidence incomplete","Evidence recorded; review scope")))))</x:f>
      </x:c>
      <x:c r="BN933" s="73"/>
    </x:row>
    <x:row r="934" ht="34" customHeight="1">
      <x:c r="A934" s="73"/>
      <x:c r="B934" s="73"/>
      <x:c r="C934" s="73"/>
      <x:c r="D934" s="73"/>
      <x:c r="E934" s="73"/>
      <x:c r="F934" s="73"/>
      <x:c r="G934" s="73"/>
      <x:c r="H934" s="73"/>
      <x:c r="I934" s="75"/>
      <x:c r="J934" s="73"/>
      <x:c r="K934" s="73"/>
      <x:c r="L934" s="76"/>
      <x:c r="M934" s="73"/>
      <x:c r="N934" s="73"/>
      <x:c r="O934" s="73"/>
      <x:c r="P934" s="73"/>
      <x:c r="Q934" s="76"/>
      <x:c r="R934" s="73"/>
      <x:c r="S934" s="73"/>
      <x:c r="T934" s="73"/>
      <x:c r="U934" s="73"/>
      <x:c r="V934" s="73"/>
      <x:c r="W934" s="73"/>
      <x:c r="X934" s="73"/>
      <x:c r="Y934" s="73"/>
      <x:c r="Z934" s="73"/>
      <x:c r="AA934" s="73"/>
      <x:c r="AB934" s="76" t="str">
        <x:f>IF(A934="","",IF(OR(NOT(ISNUMBER(I934)),I934&lt;0,NOT(ISNUMBER(AP934)),AP934&lt;0,NOT(ISNUMBER(L934)),L934&lt;1,L934&gt;5,L934&lt;&gt;INT(L934),AND(J934&lt;&gt;"Public",J934&lt;&gt;"Partner",J934&lt;&gt;"Internal",J934&lt;&gt;"None"),AND(K934&lt;&gt;"High",K934&lt;&gt;"Medium",K934&lt;&gt;"Low",K934&lt;&gt;"None"),AND(W934&lt;&gt;"Hard-coded",W934&lt;&gt;"Configurable",W934&lt;&gt;"Policy-managed",W934&lt;&gt;"API/Library abstraction",W934&lt;&gt;"Automated"),AND(Z934&lt;&gt;"Y",Z934&lt;&gt;"N"),AND(AA934&lt;&gt;"Y",AA934&lt;&gt;"N")),"Incomplete",IF(Z934="Y",20,0)+L934*5+IF(AA934="Y",15,0)+IF(J934="Public",10,IF(J934="Partner",7,IF(J934="Internal",3,0)))+IF(W934="Hard-coded",10,IF(W934="Configurable",3,0))+IF(MAX(I934,AP934)&gt;=10,10,IF(MAX(I934,AP934)&gt;=5,7,IF(MAX(I934,AP934)&gt;=2,3,0)))+IF(K934="High",10,IF(K934="Medium",5,0))))</x:f>
      </x:c>
      <x:c r="AC934" s="73" t="str">
        <x:f>IF(A934="","",IF(NOT(ISNUMBER(AB934)),"Review inputs",IF(AB934&gt;=70,"P0 - Immediate",IF(AB934&gt;=50,"P1 - High",IF(AB934&gt;=30,"P2 - Medium",IF(AB934&gt;=15,"P3 - Low","P4 - Monitor"))))))</x:f>
      </x:c>
      <x:c r="AD934" s="73"/>
      <x:c r="AE934" s="73"/>
      <x:c r="AF934" s="73"/>
      <x:c r="AG934" s="77"/>
      <x:c r="AH934" s="73"/>
      <x:c r="AI934" s="91"/>
      <x:c r="AJ934" s="91"/>
      <x:c r="AK934" s="91"/>
      <x:c r="AL934" s="92"/>
      <x:c r="AM934" s="91"/>
      <x:c r="AN934" s="91"/>
      <x:c r="AO934" s="93"/>
      <x:c r="AP934" s="94"/>
      <x:c r="AQ934" s="91"/>
      <x:c r="AR934" s="91"/>
      <x:c r="AS934" s="91"/>
      <x:c r="AT934" s="91"/>
      <x:c r="AU934" s="91"/>
      <x:c r="AV934" s="91"/>
      <x:c r="AW934" s="91"/>
      <x:c r="AX934" s="91"/>
      <x:c r="AY934" s="91"/>
      <x:c r="AZ934" s="92"/>
      <x:c r="BA934" s="94"/>
      <x:c r="BB934" s="91"/>
      <x:c r="BC934" s="92"/>
      <x:c r="BD934" s="92"/>
      <x:c r="BE934" s="91"/>
      <x:c r="BF934" s="91"/>
      <x:c r="BG934" s="91"/>
      <x:c r="BH934" s="91"/>
      <x:c r="BI934" s="91"/>
      <x:c r="BJ934" s="91"/>
      <x:c r="BK934" s="91"/>
      <x:c r="BL934" s="91"/>
      <x:c r="BM934" s="73" t="str">
        <x:f>IF(A934="","",IF(AI934="Example","Example only",IF(AI934&lt;&gt;"Actual","Set record type",IF(COUNTIF($A$2:$A$1001,A934)&gt;1,"Duplicate record ID",IF(OR(D934="",E934="",AF934="",NOT(ISNUMBER(AG934)),AJ934="",AK934="",NOT(ISNUMBER(AL934)),AND(AM934&lt;&gt;"Observed",AM934&lt;&gt;"Corroborated",AM934&lt;&gt;"Declared"),OR(AN934="",AN934="Unknown"),OR(AQ934="",AQ934="Unknown"),OR(AR934="",AR934="Unknown",AR934="TBD"),OR(BC934="",NOT(ISNUMBER(BC934)))),"Evidence incomplete","Evidence recorded; review scope")))))</x:f>
      </x:c>
      <x:c r="BN934" s="73"/>
    </x:row>
    <x:row r="935" ht="34" customHeight="1">
      <x:c r="A935" s="73"/>
      <x:c r="B935" s="73"/>
      <x:c r="C935" s="73"/>
      <x:c r="D935" s="73"/>
      <x:c r="E935" s="73"/>
      <x:c r="F935" s="73"/>
      <x:c r="G935" s="73"/>
      <x:c r="H935" s="73"/>
      <x:c r="I935" s="75"/>
      <x:c r="J935" s="73"/>
      <x:c r="K935" s="73"/>
      <x:c r="L935" s="76"/>
      <x:c r="M935" s="73"/>
      <x:c r="N935" s="73"/>
      <x:c r="O935" s="73"/>
      <x:c r="P935" s="73"/>
      <x:c r="Q935" s="76"/>
      <x:c r="R935" s="73"/>
      <x:c r="S935" s="73"/>
      <x:c r="T935" s="73"/>
      <x:c r="U935" s="73"/>
      <x:c r="V935" s="73"/>
      <x:c r="W935" s="73"/>
      <x:c r="X935" s="73"/>
      <x:c r="Y935" s="73"/>
      <x:c r="Z935" s="73"/>
      <x:c r="AA935" s="73"/>
      <x:c r="AB935" s="76" t="str">
        <x:f>IF(A935="","",IF(OR(NOT(ISNUMBER(I935)),I935&lt;0,NOT(ISNUMBER(AP935)),AP935&lt;0,NOT(ISNUMBER(L935)),L935&lt;1,L935&gt;5,L935&lt;&gt;INT(L935),AND(J935&lt;&gt;"Public",J935&lt;&gt;"Partner",J935&lt;&gt;"Internal",J935&lt;&gt;"None"),AND(K935&lt;&gt;"High",K935&lt;&gt;"Medium",K935&lt;&gt;"Low",K935&lt;&gt;"None"),AND(W935&lt;&gt;"Hard-coded",W935&lt;&gt;"Configurable",W935&lt;&gt;"Policy-managed",W935&lt;&gt;"API/Library abstraction",W935&lt;&gt;"Automated"),AND(Z935&lt;&gt;"Y",Z935&lt;&gt;"N"),AND(AA935&lt;&gt;"Y",AA935&lt;&gt;"N")),"Incomplete",IF(Z935="Y",20,0)+L935*5+IF(AA935="Y",15,0)+IF(J935="Public",10,IF(J935="Partner",7,IF(J935="Internal",3,0)))+IF(W935="Hard-coded",10,IF(W935="Configurable",3,0))+IF(MAX(I935,AP935)&gt;=10,10,IF(MAX(I935,AP935)&gt;=5,7,IF(MAX(I935,AP935)&gt;=2,3,0)))+IF(K935="High",10,IF(K935="Medium",5,0))))</x:f>
      </x:c>
      <x:c r="AC935" s="73" t="str">
        <x:f>IF(A935="","",IF(NOT(ISNUMBER(AB935)),"Review inputs",IF(AB935&gt;=70,"P0 - Immediate",IF(AB935&gt;=50,"P1 - High",IF(AB935&gt;=30,"P2 - Medium",IF(AB935&gt;=15,"P3 - Low","P4 - Monitor"))))))</x:f>
      </x:c>
      <x:c r="AD935" s="73"/>
      <x:c r="AE935" s="73"/>
      <x:c r="AF935" s="73"/>
      <x:c r="AG935" s="77"/>
      <x:c r="AH935" s="73"/>
      <x:c r="AI935" s="91"/>
      <x:c r="AJ935" s="91"/>
      <x:c r="AK935" s="91"/>
      <x:c r="AL935" s="92"/>
      <x:c r="AM935" s="91"/>
      <x:c r="AN935" s="91"/>
      <x:c r="AO935" s="93"/>
      <x:c r="AP935" s="94"/>
      <x:c r="AQ935" s="91"/>
      <x:c r="AR935" s="91"/>
      <x:c r="AS935" s="91"/>
      <x:c r="AT935" s="91"/>
      <x:c r="AU935" s="91"/>
      <x:c r="AV935" s="91"/>
      <x:c r="AW935" s="91"/>
      <x:c r="AX935" s="91"/>
      <x:c r="AY935" s="91"/>
      <x:c r="AZ935" s="92"/>
      <x:c r="BA935" s="94"/>
      <x:c r="BB935" s="91"/>
      <x:c r="BC935" s="92"/>
      <x:c r="BD935" s="92"/>
      <x:c r="BE935" s="91"/>
      <x:c r="BF935" s="91"/>
      <x:c r="BG935" s="91"/>
      <x:c r="BH935" s="91"/>
      <x:c r="BI935" s="91"/>
      <x:c r="BJ935" s="91"/>
      <x:c r="BK935" s="91"/>
      <x:c r="BL935" s="91"/>
      <x:c r="BM935" s="73" t="str">
        <x:f>IF(A935="","",IF(AI935="Example","Example only",IF(AI935&lt;&gt;"Actual","Set record type",IF(COUNTIF($A$2:$A$1001,A935)&gt;1,"Duplicate record ID",IF(OR(D935="",E935="",AF935="",NOT(ISNUMBER(AG935)),AJ935="",AK935="",NOT(ISNUMBER(AL935)),AND(AM935&lt;&gt;"Observed",AM935&lt;&gt;"Corroborated",AM935&lt;&gt;"Declared"),OR(AN935="",AN935="Unknown"),OR(AQ935="",AQ935="Unknown"),OR(AR935="",AR935="Unknown",AR935="TBD"),OR(BC935="",NOT(ISNUMBER(BC935)))),"Evidence incomplete","Evidence recorded; review scope")))))</x:f>
      </x:c>
      <x:c r="BN935" s="73"/>
    </x:row>
    <x:row r="936" ht="34" customHeight="1">
      <x:c r="A936" s="73"/>
      <x:c r="B936" s="73"/>
      <x:c r="C936" s="73"/>
      <x:c r="D936" s="73"/>
      <x:c r="E936" s="73"/>
      <x:c r="F936" s="73"/>
      <x:c r="G936" s="73"/>
      <x:c r="H936" s="73"/>
      <x:c r="I936" s="75"/>
      <x:c r="J936" s="73"/>
      <x:c r="K936" s="73"/>
      <x:c r="L936" s="76"/>
      <x:c r="M936" s="73"/>
      <x:c r="N936" s="73"/>
      <x:c r="O936" s="73"/>
      <x:c r="P936" s="73"/>
      <x:c r="Q936" s="76"/>
      <x:c r="R936" s="73"/>
      <x:c r="S936" s="73"/>
      <x:c r="T936" s="73"/>
      <x:c r="U936" s="73"/>
      <x:c r="V936" s="73"/>
      <x:c r="W936" s="73"/>
      <x:c r="X936" s="73"/>
      <x:c r="Y936" s="73"/>
      <x:c r="Z936" s="73"/>
      <x:c r="AA936" s="73"/>
      <x:c r="AB936" s="76" t="str">
        <x:f>IF(A936="","",IF(OR(NOT(ISNUMBER(I936)),I936&lt;0,NOT(ISNUMBER(AP936)),AP936&lt;0,NOT(ISNUMBER(L936)),L936&lt;1,L936&gt;5,L936&lt;&gt;INT(L936),AND(J936&lt;&gt;"Public",J936&lt;&gt;"Partner",J936&lt;&gt;"Internal",J936&lt;&gt;"None"),AND(K936&lt;&gt;"High",K936&lt;&gt;"Medium",K936&lt;&gt;"Low",K936&lt;&gt;"None"),AND(W936&lt;&gt;"Hard-coded",W936&lt;&gt;"Configurable",W936&lt;&gt;"Policy-managed",W936&lt;&gt;"API/Library abstraction",W936&lt;&gt;"Automated"),AND(Z936&lt;&gt;"Y",Z936&lt;&gt;"N"),AND(AA936&lt;&gt;"Y",AA936&lt;&gt;"N")),"Incomplete",IF(Z936="Y",20,0)+L936*5+IF(AA936="Y",15,0)+IF(J936="Public",10,IF(J936="Partner",7,IF(J936="Internal",3,0)))+IF(W936="Hard-coded",10,IF(W936="Configurable",3,0))+IF(MAX(I936,AP936)&gt;=10,10,IF(MAX(I936,AP936)&gt;=5,7,IF(MAX(I936,AP936)&gt;=2,3,0)))+IF(K936="High",10,IF(K936="Medium",5,0))))</x:f>
      </x:c>
      <x:c r="AC936" s="73" t="str">
        <x:f>IF(A936="","",IF(NOT(ISNUMBER(AB936)),"Review inputs",IF(AB936&gt;=70,"P0 - Immediate",IF(AB936&gt;=50,"P1 - High",IF(AB936&gt;=30,"P2 - Medium",IF(AB936&gt;=15,"P3 - Low","P4 - Monitor"))))))</x:f>
      </x:c>
      <x:c r="AD936" s="73"/>
      <x:c r="AE936" s="73"/>
      <x:c r="AF936" s="73"/>
      <x:c r="AG936" s="77"/>
      <x:c r="AH936" s="73"/>
      <x:c r="AI936" s="91"/>
      <x:c r="AJ936" s="91"/>
      <x:c r="AK936" s="91"/>
      <x:c r="AL936" s="92"/>
      <x:c r="AM936" s="91"/>
      <x:c r="AN936" s="91"/>
      <x:c r="AO936" s="93"/>
      <x:c r="AP936" s="94"/>
      <x:c r="AQ936" s="91"/>
      <x:c r="AR936" s="91"/>
      <x:c r="AS936" s="91"/>
      <x:c r="AT936" s="91"/>
      <x:c r="AU936" s="91"/>
      <x:c r="AV936" s="91"/>
      <x:c r="AW936" s="91"/>
      <x:c r="AX936" s="91"/>
      <x:c r="AY936" s="91"/>
      <x:c r="AZ936" s="92"/>
      <x:c r="BA936" s="94"/>
      <x:c r="BB936" s="91"/>
      <x:c r="BC936" s="92"/>
      <x:c r="BD936" s="92"/>
      <x:c r="BE936" s="91"/>
      <x:c r="BF936" s="91"/>
      <x:c r="BG936" s="91"/>
      <x:c r="BH936" s="91"/>
      <x:c r="BI936" s="91"/>
      <x:c r="BJ936" s="91"/>
      <x:c r="BK936" s="91"/>
      <x:c r="BL936" s="91"/>
      <x:c r="BM936" s="73" t="str">
        <x:f>IF(A936="","",IF(AI936="Example","Example only",IF(AI936&lt;&gt;"Actual","Set record type",IF(COUNTIF($A$2:$A$1001,A936)&gt;1,"Duplicate record ID",IF(OR(D936="",E936="",AF936="",NOT(ISNUMBER(AG936)),AJ936="",AK936="",NOT(ISNUMBER(AL936)),AND(AM936&lt;&gt;"Observed",AM936&lt;&gt;"Corroborated",AM936&lt;&gt;"Declared"),OR(AN936="",AN936="Unknown"),OR(AQ936="",AQ936="Unknown"),OR(AR936="",AR936="Unknown",AR936="TBD"),OR(BC936="",NOT(ISNUMBER(BC936)))),"Evidence incomplete","Evidence recorded; review scope")))))</x:f>
      </x:c>
      <x:c r="BN936" s="73"/>
    </x:row>
    <x:row r="937" ht="34" customHeight="1">
      <x:c r="A937" s="73"/>
      <x:c r="B937" s="73"/>
      <x:c r="C937" s="73"/>
      <x:c r="D937" s="73"/>
      <x:c r="E937" s="73"/>
      <x:c r="F937" s="73"/>
      <x:c r="G937" s="73"/>
      <x:c r="H937" s="73"/>
      <x:c r="I937" s="75"/>
      <x:c r="J937" s="73"/>
      <x:c r="K937" s="73"/>
      <x:c r="L937" s="76"/>
      <x:c r="M937" s="73"/>
      <x:c r="N937" s="73"/>
      <x:c r="O937" s="73"/>
      <x:c r="P937" s="73"/>
      <x:c r="Q937" s="76"/>
      <x:c r="R937" s="73"/>
      <x:c r="S937" s="73"/>
      <x:c r="T937" s="73"/>
      <x:c r="U937" s="73"/>
      <x:c r="V937" s="73"/>
      <x:c r="W937" s="73"/>
      <x:c r="X937" s="73"/>
      <x:c r="Y937" s="73"/>
      <x:c r="Z937" s="73"/>
      <x:c r="AA937" s="73"/>
      <x:c r="AB937" s="76" t="str">
        <x:f>IF(A937="","",IF(OR(NOT(ISNUMBER(I937)),I937&lt;0,NOT(ISNUMBER(AP937)),AP937&lt;0,NOT(ISNUMBER(L937)),L937&lt;1,L937&gt;5,L937&lt;&gt;INT(L937),AND(J937&lt;&gt;"Public",J937&lt;&gt;"Partner",J937&lt;&gt;"Internal",J937&lt;&gt;"None"),AND(K937&lt;&gt;"High",K937&lt;&gt;"Medium",K937&lt;&gt;"Low",K937&lt;&gt;"None"),AND(W937&lt;&gt;"Hard-coded",W937&lt;&gt;"Configurable",W937&lt;&gt;"Policy-managed",W937&lt;&gt;"API/Library abstraction",W937&lt;&gt;"Automated"),AND(Z937&lt;&gt;"Y",Z937&lt;&gt;"N"),AND(AA937&lt;&gt;"Y",AA937&lt;&gt;"N")),"Incomplete",IF(Z937="Y",20,0)+L937*5+IF(AA937="Y",15,0)+IF(J937="Public",10,IF(J937="Partner",7,IF(J937="Internal",3,0)))+IF(W937="Hard-coded",10,IF(W937="Configurable",3,0))+IF(MAX(I937,AP937)&gt;=10,10,IF(MAX(I937,AP937)&gt;=5,7,IF(MAX(I937,AP937)&gt;=2,3,0)))+IF(K937="High",10,IF(K937="Medium",5,0))))</x:f>
      </x:c>
      <x:c r="AC937" s="73" t="str">
        <x:f>IF(A937="","",IF(NOT(ISNUMBER(AB937)),"Review inputs",IF(AB937&gt;=70,"P0 - Immediate",IF(AB937&gt;=50,"P1 - High",IF(AB937&gt;=30,"P2 - Medium",IF(AB937&gt;=15,"P3 - Low","P4 - Monitor"))))))</x:f>
      </x:c>
      <x:c r="AD937" s="73"/>
      <x:c r="AE937" s="73"/>
      <x:c r="AF937" s="73"/>
      <x:c r="AG937" s="77"/>
      <x:c r="AH937" s="73"/>
      <x:c r="AI937" s="91"/>
      <x:c r="AJ937" s="91"/>
      <x:c r="AK937" s="91"/>
      <x:c r="AL937" s="92"/>
      <x:c r="AM937" s="91"/>
      <x:c r="AN937" s="91"/>
      <x:c r="AO937" s="93"/>
      <x:c r="AP937" s="94"/>
      <x:c r="AQ937" s="91"/>
      <x:c r="AR937" s="91"/>
      <x:c r="AS937" s="91"/>
      <x:c r="AT937" s="91"/>
      <x:c r="AU937" s="91"/>
      <x:c r="AV937" s="91"/>
      <x:c r="AW937" s="91"/>
      <x:c r="AX937" s="91"/>
      <x:c r="AY937" s="91"/>
      <x:c r="AZ937" s="92"/>
      <x:c r="BA937" s="94"/>
      <x:c r="BB937" s="91"/>
      <x:c r="BC937" s="92"/>
      <x:c r="BD937" s="92"/>
      <x:c r="BE937" s="91"/>
      <x:c r="BF937" s="91"/>
      <x:c r="BG937" s="91"/>
      <x:c r="BH937" s="91"/>
      <x:c r="BI937" s="91"/>
      <x:c r="BJ937" s="91"/>
      <x:c r="BK937" s="91"/>
      <x:c r="BL937" s="91"/>
      <x:c r="BM937" s="73" t="str">
        <x:f>IF(A937="","",IF(AI937="Example","Example only",IF(AI937&lt;&gt;"Actual","Set record type",IF(COUNTIF($A$2:$A$1001,A937)&gt;1,"Duplicate record ID",IF(OR(D937="",E937="",AF937="",NOT(ISNUMBER(AG937)),AJ937="",AK937="",NOT(ISNUMBER(AL937)),AND(AM937&lt;&gt;"Observed",AM937&lt;&gt;"Corroborated",AM937&lt;&gt;"Declared"),OR(AN937="",AN937="Unknown"),OR(AQ937="",AQ937="Unknown"),OR(AR937="",AR937="Unknown",AR937="TBD"),OR(BC937="",NOT(ISNUMBER(BC937)))),"Evidence incomplete","Evidence recorded; review scope")))))</x:f>
      </x:c>
      <x:c r="BN937" s="73"/>
    </x:row>
    <x:row r="938" ht="34" customHeight="1">
      <x:c r="A938" s="73"/>
      <x:c r="B938" s="73"/>
      <x:c r="C938" s="73"/>
      <x:c r="D938" s="73"/>
      <x:c r="E938" s="73"/>
      <x:c r="F938" s="73"/>
      <x:c r="G938" s="73"/>
      <x:c r="H938" s="73"/>
      <x:c r="I938" s="75"/>
      <x:c r="J938" s="73"/>
      <x:c r="K938" s="73"/>
      <x:c r="L938" s="76"/>
      <x:c r="M938" s="73"/>
      <x:c r="N938" s="73"/>
      <x:c r="O938" s="73"/>
      <x:c r="P938" s="73"/>
      <x:c r="Q938" s="76"/>
      <x:c r="R938" s="73"/>
      <x:c r="S938" s="73"/>
      <x:c r="T938" s="73"/>
      <x:c r="U938" s="73"/>
      <x:c r="V938" s="73"/>
      <x:c r="W938" s="73"/>
      <x:c r="X938" s="73"/>
      <x:c r="Y938" s="73"/>
      <x:c r="Z938" s="73"/>
      <x:c r="AA938" s="73"/>
      <x:c r="AB938" s="76" t="str">
        <x:f>IF(A938="","",IF(OR(NOT(ISNUMBER(I938)),I938&lt;0,NOT(ISNUMBER(AP938)),AP938&lt;0,NOT(ISNUMBER(L938)),L938&lt;1,L938&gt;5,L938&lt;&gt;INT(L938),AND(J938&lt;&gt;"Public",J938&lt;&gt;"Partner",J938&lt;&gt;"Internal",J938&lt;&gt;"None"),AND(K938&lt;&gt;"High",K938&lt;&gt;"Medium",K938&lt;&gt;"Low",K938&lt;&gt;"None"),AND(W938&lt;&gt;"Hard-coded",W938&lt;&gt;"Configurable",W938&lt;&gt;"Policy-managed",W938&lt;&gt;"API/Library abstraction",W938&lt;&gt;"Automated"),AND(Z938&lt;&gt;"Y",Z938&lt;&gt;"N"),AND(AA938&lt;&gt;"Y",AA938&lt;&gt;"N")),"Incomplete",IF(Z938="Y",20,0)+L938*5+IF(AA938="Y",15,0)+IF(J938="Public",10,IF(J938="Partner",7,IF(J938="Internal",3,0)))+IF(W938="Hard-coded",10,IF(W938="Configurable",3,0))+IF(MAX(I938,AP938)&gt;=10,10,IF(MAX(I938,AP938)&gt;=5,7,IF(MAX(I938,AP938)&gt;=2,3,0)))+IF(K938="High",10,IF(K938="Medium",5,0))))</x:f>
      </x:c>
      <x:c r="AC938" s="73" t="str">
        <x:f>IF(A938="","",IF(NOT(ISNUMBER(AB938)),"Review inputs",IF(AB938&gt;=70,"P0 - Immediate",IF(AB938&gt;=50,"P1 - High",IF(AB938&gt;=30,"P2 - Medium",IF(AB938&gt;=15,"P3 - Low","P4 - Monitor"))))))</x:f>
      </x:c>
      <x:c r="AD938" s="73"/>
      <x:c r="AE938" s="73"/>
      <x:c r="AF938" s="73"/>
      <x:c r="AG938" s="77"/>
      <x:c r="AH938" s="73"/>
      <x:c r="AI938" s="91"/>
      <x:c r="AJ938" s="91"/>
      <x:c r="AK938" s="91"/>
      <x:c r="AL938" s="92"/>
      <x:c r="AM938" s="91"/>
      <x:c r="AN938" s="91"/>
      <x:c r="AO938" s="93"/>
      <x:c r="AP938" s="94"/>
      <x:c r="AQ938" s="91"/>
      <x:c r="AR938" s="91"/>
      <x:c r="AS938" s="91"/>
      <x:c r="AT938" s="91"/>
      <x:c r="AU938" s="91"/>
      <x:c r="AV938" s="91"/>
      <x:c r="AW938" s="91"/>
      <x:c r="AX938" s="91"/>
      <x:c r="AY938" s="91"/>
      <x:c r="AZ938" s="92"/>
      <x:c r="BA938" s="94"/>
      <x:c r="BB938" s="91"/>
      <x:c r="BC938" s="92"/>
      <x:c r="BD938" s="92"/>
      <x:c r="BE938" s="91"/>
      <x:c r="BF938" s="91"/>
      <x:c r="BG938" s="91"/>
      <x:c r="BH938" s="91"/>
      <x:c r="BI938" s="91"/>
      <x:c r="BJ938" s="91"/>
      <x:c r="BK938" s="91"/>
      <x:c r="BL938" s="91"/>
      <x:c r="BM938" s="73" t="str">
        <x:f>IF(A938="","",IF(AI938="Example","Example only",IF(AI938&lt;&gt;"Actual","Set record type",IF(COUNTIF($A$2:$A$1001,A938)&gt;1,"Duplicate record ID",IF(OR(D938="",E938="",AF938="",NOT(ISNUMBER(AG938)),AJ938="",AK938="",NOT(ISNUMBER(AL938)),AND(AM938&lt;&gt;"Observed",AM938&lt;&gt;"Corroborated",AM938&lt;&gt;"Declared"),OR(AN938="",AN938="Unknown"),OR(AQ938="",AQ938="Unknown"),OR(AR938="",AR938="Unknown",AR938="TBD"),OR(BC938="",NOT(ISNUMBER(BC938)))),"Evidence incomplete","Evidence recorded; review scope")))))</x:f>
      </x:c>
      <x:c r="BN938" s="73"/>
    </x:row>
    <x:row r="939" ht="34" customHeight="1">
      <x:c r="A939" s="73"/>
      <x:c r="B939" s="73"/>
      <x:c r="C939" s="73"/>
      <x:c r="D939" s="73"/>
      <x:c r="E939" s="73"/>
      <x:c r="F939" s="73"/>
      <x:c r="G939" s="73"/>
      <x:c r="H939" s="73"/>
      <x:c r="I939" s="75"/>
      <x:c r="J939" s="73"/>
      <x:c r="K939" s="73"/>
      <x:c r="L939" s="76"/>
      <x:c r="M939" s="73"/>
      <x:c r="N939" s="73"/>
      <x:c r="O939" s="73"/>
      <x:c r="P939" s="73"/>
      <x:c r="Q939" s="76"/>
      <x:c r="R939" s="73"/>
      <x:c r="S939" s="73"/>
      <x:c r="T939" s="73"/>
      <x:c r="U939" s="73"/>
      <x:c r="V939" s="73"/>
      <x:c r="W939" s="73"/>
      <x:c r="X939" s="73"/>
      <x:c r="Y939" s="73"/>
      <x:c r="Z939" s="73"/>
      <x:c r="AA939" s="73"/>
      <x:c r="AB939" s="76" t="str">
        <x:f>IF(A939="","",IF(OR(NOT(ISNUMBER(I939)),I939&lt;0,NOT(ISNUMBER(AP939)),AP939&lt;0,NOT(ISNUMBER(L939)),L939&lt;1,L939&gt;5,L939&lt;&gt;INT(L939),AND(J939&lt;&gt;"Public",J939&lt;&gt;"Partner",J939&lt;&gt;"Internal",J939&lt;&gt;"None"),AND(K939&lt;&gt;"High",K939&lt;&gt;"Medium",K939&lt;&gt;"Low",K939&lt;&gt;"None"),AND(W939&lt;&gt;"Hard-coded",W939&lt;&gt;"Configurable",W939&lt;&gt;"Policy-managed",W939&lt;&gt;"API/Library abstraction",W939&lt;&gt;"Automated"),AND(Z939&lt;&gt;"Y",Z939&lt;&gt;"N"),AND(AA939&lt;&gt;"Y",AA939&lt;&gt;"N")),"Incomplete",IF(Z939="Y",20,0)+L939*5+IF(AA939="Y",15,0)+IF(J939="Public",10,IF(J939="Partner",7,IF(J939="Internal",3,0)))+IF(W939="Hard-coded",10,IF(W939="Configurable",3,0))+IF(MAX(I939,AP939)&gt;=10,10,IF(MAX(I939,AP939)&gt;=5,7,IF(MAX(I939,AP939)&gt;=2,3,0)))+IF(K939="High",10,IF(K939="Medium",5,0))))</x:f>
      </x:c>
      <x:c r="AC939" s="73" t="str">
        <x:f>IF(A939="","",IF(NOT(ISNUMBER(AB939)),"Review inputs",IF(AB939&gt;=70,"P0 - Immediate",IF(AB939&gt;=50,"P1 - High",IF(AB939&gt;=30,"P2 - Medium",IF(AB939&gt;=15,"P3 - Low","P4 - Monitor"))))))</x:f>
      </x:c>
      <x:c r="AD939" s="73"/>
      <x:c r="AE939" s="73"/>
      <x:c r="AF939" s="73"/>
      <x:c r="AG939" s="77"/>
      <x:c r="AH939" s="73"/>
      <x:c r="AI939" s="91"/>
      <x:c r="AJ939" s="91"/>
      <x:c r="AK939" s="91"/>
      <x:c r="AL939" s="92"/>
      <x:c r="AM939" s="91"/>
      <x:c r="AN939" s="91"/>
      <x:c r="AO939" s="93"/>
      <x:c r="AP939" s="94"/>
      <x:c r="AQ939" s="91"/>
      <x:c r="AR939" s="91"/>
      <x:c r="AS939" s="91"/>
      <x:c r="AT939" s="91"/>
      <x:c r="AU939" s="91"/>
      <x:c r="AV939" s="91"/>
      <x:c r="AW939" s="91"/>
      <x:c r="AX939" s="91"/>
      <x:c r="AY939" s="91"/>
      <x:c r="AZ939" s="92"/>
      <x:c r="BA939" s="94"/>
      <x:c r="BB939" s="91"/>
      <x:c r="BC939" s="92"/>
      <x:c r="BD939" s="92"/>
      <x:c r="BE939" s="91"/>
      <x:c r="BF939" s="91"/>
      <x:c r="BG939" s="91"/>
      <x:c r="BH939" s="91"/>
      <x:c r="BI939" s="91"/>
      <x:c r="BJ939" s="91"/>
      <x:c r="BK939" s="91"/>
      <x:c r="BL939" s="91"/>
      <x:c r="BM939" s="73" t="str">
        <x:f>IF(A939="","",IF(AI939="Example","Example only",IF(AI939&lt;&gt;"Actual","Set record type",IF(COUNTIF($A$2:$A$1001,A939)&gt;1,"Duplicate record ID",IF(OR(D939="",E939="",AF939="",NOT(ISNUMBER(AG939)),AJ939="",AK939="",NOT(ISNUMBER(AL939)),AND(AM939&lt;&gt;"Observed",AM939&lt;&gt;"Corroborated",AM939&lt;&gt;"Declared"),OR(AN939="",AN939="Unknown"),OR(AQ939="",AQ939="Unknown"),OR(AR939="",AR939="Unknown",AR939="TBD"),OR(BC939="",NOT(ISNUMBER(BC939)))),"Evidence incomplete","Evidence recorded; review scope")))))</x:f>
      </x:c>
      <x:c r="BN939" s="73"/>
    </x:row>
    <x:row r="940" ht="34" customHeight="1">
      <x:c r="A940" s="73"/>
      <x:c r="B940" s="73"/>
      <x:c r="C940" s="73"/>
      <x:c r="D940" s="73"/>
      <x:c r="E940" s="73"/>
      <x:c r="F940" s="73"/>
      <x:c r="G940" s="73"/>
      <x:c r="H940" s="73"/>
      <x:c r="I940" s="75"/>
      <x:c r="J940" s="73"/>
      <x:c r="K940" s="73"/>
      <x:c r="L940" s="76"/>
      <x:c r="M940" s="73"/>
      <x:c r="N940" s="73"/>
      <x:c r="O940" s="73"/>
      <x:c r="P940" s="73"/>
      <x:c r="Q940" s="76"/>
      <x:c r="R940" s="73"/>
      <x:c r="S940" s="73"/>
      <x:c r="T940" s="73"/>
      <x:c r="U940" s="73"/>
      <x:c r="V940" s="73"/>
      <x:c r="W940" s="73"/>
      <x:c r="X940" s="73"/>
      <x:c r="Y940" s="73"/>
      <x:c r="Z940" s="73"/>
      <x:c r="AA940" s="73"/>
      <x:c r="AB940" s="76" t="str">
        <x:f>IF(A940="","",IF(OR(NOT(ISNUMBER(I940)),I940&lt;0,NOT(ISNUMBER(AP940)),AP940&lt;0,NOT(ISNUMBER(L940)),L940&lt;1,L940&gt;5,L940&lt;&gt;INT(L940),AND(J940&lt;&gt;"Public",J940&lt;&gt;"Partner",J940&lt;&gt;"Internal",J940&lt;&gt;"None"),AND(K940&lt;&gt;"High",K940&lt;&gt;"Medium",K940&lt;&gt;"Low",K940&lt;&gt;"None"),AND(W940&lt;&gt;"Hard-coded",W940&lt;&gt;"Configurable",W940&lt;&gt;"Policy-managed",W940&lt;&gt;"API/Library abstraction",W940&lt;&gt;"Automated"),AND(Z940&lt;&gt;"Y",Z940&lt;&gt;"N"),AND(AA940&lt;&gt;"Y",AA940&lt;&gt;"N")),"Incomplete",IF(Z940="Y",20,0)+L940*5+IF(AA940="Y",15,0)+IF(J940="Public",10,IF(J940="Partner",7,IF(J940="Internal",3,0)))+IF(W940="Hard-coded",10,IF(W940="Configurable",3,0))+IF(MAX(I940,AP940)&gt;=10,10,IF(MAX(I940,AP940)&gt;=5,7,IF(MAX(I940,AP940)&gt;=2,3,0)))+IF(K940="High",10,IF(K940="Medium",5,0))))</x:f>
      </x:c>
      <x:c r="AC940" s="73" t="str">
        <x:f>IF(A940="","",IF(NOT(ISNUMBER(AB940)),"Review inputs",IF(AB940&gt;=70,"P0 - Immediate",IF(AB940&gt;=50,"P1 - High",IF(AB940&gt;=30,"P2 - Medium",IF(AB940&gt;=15,"P3 - Low","P4 - Monitor"))))))</x:f>
      </x:c>
      <x:c r="AD940" s="73"/>
      <x:c r="AE940" s="73"/>
      <x:c r="AF940" s="73"/>
      <x:c r="AG940" s="77"/>
      <x:c r="AH940" s="73"/>
      <x:c r="AI940" s="91"/>
      <x:c r="AJ940" s="91"/>
      <x:c r="AK940" s="91"/>
      <x:c r="AL940" s="92"/>
      <x:c r="AM940" s="91"/>
      <x:c r="AN940" s="91"/>
      <x:c r="AO940" s="93"/>
      <x:c r="AP940" s="94"/>
      <x:c r="AQ940" s="91"/>
      <x:c r="AR940" s="91"/>
      <x:c r="AS940" s="91"/>
      <x:c r="AT940" s="91"/>
      <x:c r="AU940" s="91"/>
      <x:c r="AV940" s="91"/>
      <x:c r="AW940" s="91"/>
      <x:c r="AX940" s="91"/>
      <x:c r="AY940" s="91"/>
      <x:c r="AZ940" s="92"/>
      <x:c r="BA940" s="94"/>
      <x:c r="BB940" s="91"/>
      <x:c r="BC940" s="92"/>
      <x:c r="BD940" s="92"/>
      <x:c r="BE940" s="91"/>
      <x:c r="BF940" s="91"/>
      <x:c r="BG940" s="91"/>
      <x:c r="BH940" s="91"/>
      <x:c r="BI940" s="91"/>
      <x:c r="BJ940" s="91"/>
      <x:c r="BK940" s="91"/>
      <x:c r="BL940" s="91"/>
      <x:c r="BM940" s="73" t="str">
        <x:f>IF(A940="","",IF(AI940="Example","Example only",IF(AI940&lt;&gt;"Actual","Set record type",IF(COUNTIF($A$2:$A$1001,A940)&gt;1,"Duplicate record ID",IF(OR(D940="",E940="",AF940="",NOT(ISNUMBER(AG940)),AJ940="",AK940="",NOT(ISNUMBER(AL940)),AND(AM940&lt;&gt;"Observed",AM940&lt;&gt;"Corroborated",AM940&lt;&gt;"Declared"),OR(AN940="",AN940="Unknown"),OR(AQ940="",AQ940="Unknown"),OR(AR940="",AR940="Unknown",AR940="TBD"),OR(BC940="",NOT(ISNUMBER(BC940)))),"Evidence incomplete","Evidence recorded; review scope")))))</x:f>
      </x:c>
      <x:c r="BN940" s="73"/>
    </x:row>
    <x:row r="941" ht="34" customHeight="1">
      <x:c r="A941" s="73"/>
      <x:c r="B941" s="73"/>
      <x:c r="C941" s="73"/>
      <x:c r="D941" s="73"/>
      <x:c r="E941" s="73"/>
      <x:c r="F941" s="73"/>
      <x:c r="G941" s="73"/>
      <x:c r="H941" s="73"/>
      <x:c r="I941" s="75"/>
      <x:c r="J941" s="73"/>
      <x:c r="K941" s="73"/>
      <x:c r="L941" s="76"/>
      <x:c r="M941" s="73"/>
      <x:c r="N941" s="73"/>
      <x:c r="O941" s="73"/>
      <x:c r="P941" s="73"/>
      <x:c r="Q941" s="76"/>
      <x:c r="R941" s="73"/>
      <x:c r="S941" s="73"/>
      <x:c r="T941" s="73"/>
      <x:c r="U941" s="73"/>
      <x:c r="V941" s="73"/>
      <x:c r="W941" s="73"/>
      <x:c r="X941" s="73"/>
      <x:c r="Y941" s="73"/>
      <x:c r="Z941" s="73"/>
      <x:c r="AA941" s="73"/>
      <x:c r="AB941" s="76" t="str">
        <x:f>IF(A941="","",IF(OR(NOT(ISNUMBER(I941)),I941&lt;0,NOT(ISNUMBER(AP941)),AP941&lt;0,NOT(ISNUMBER(L941)),L941&lt;1,L941&gt;5,L941&lt;&gt;INT(L941),AND(J941&lt;&gt;"Public",J941&lt;&gt;"Partner",J941&lt;&gt;"Internal",J941&lt;&gt;"None"),AND(K941&lt;&gt;"High",K941&lt;&gt;"Medium",K941&lt;&gt;"Low",K941&lt;&gt;"None"),AND(W941&lt;&gt;"Hard-coded",W941&lt;&gt;"Configurable",W941&lt;&gt;"Policy-managed",W941&lt;&gt;"API/Library abstraction",W941&lt;&gt;"Automated"),AND(Z941&lt;&gt;"Y",Z941&lt;&gt;"N"),AND(AA941&lt;&gt;"Y",AA941&lt;&gt;"N")),"Incomplete",IF(Z941="Y",20,0)+L941*5+IF(AA941="Y",15,0)+IF(J941="Public",10,IF(J941="Partner",7,IF(J941="Internal",3,0)))+IF(W941="Hard-coded",10,IF(W941="Configurable",3,0))+IF(MAX(I941,AP941)&gt;=10,10,IF(MAX(I941,AP941)&gt;=5,7,IF(MAX(I941,AP941)&gt;=2,3,0)))+IF(K941="High",10,IF(K941="Medium",5,0))))</x:f>
      </x:c>
      <x:c r="AC941" s="73" t="str">
        <x:f>IF(A941="","",IF(NOT(ISNUMBER(AB941)),"Review inputs",IF(AB941&gt;=70,"P0 - Immediate",IF(AB941&gt;=50,"P1 - High",IF(AB941&gt;=30,"P2 - Medium",IF(AB941&gt;=15,"P3 - Low","P4 - Monitor"))))))</x:f>
      </x:c>
      <x:c r="AD941" s="73"/>
      <x:c r="AE941" s="73"/>
      <x:c r="AF941" s="73"/>
      <x:c r="AG941" s="77"/>
      <x:c r="AH941" s="73"/>
      <x:c r="AI941" s="91"/>
      <x:c r="AJ941" s="91"/>
      <x:c r="AK941" s="91"/>
      <x:c r="AL941" s="92"/>
      <x:c r="AM941" s="91"/>
      <x:c r="AN941" s="91"/>
      <x:c r="AO941" s="93"/>
      <x:c r="AP941" s="94"/>
      <x:c r="AQ941" s="91"/>
      <x:c r="AR941" s="91"/>
      <x:c r="AS941" s="91"/>
      <x:c r="AT941" s="91"/>
      <x:c r="AU941" s="91"/>
      <x:c r="AV941" s="91"/>
      <x:c r="AW941" s="91"/>
      <x:c r="AX941" s="91"/>
      <x:c r="AY941" s="91"/>
      <x:c r="AZ941" s="92"/>
      <x:c r="BA941" s="94"/>
      <x:c r="BB941" s="91"/>
      <x:c r="BC941" s="92"/>
      <x:c r="BD941" s="92"/>
      <x:c r="BE941" s="91"/>
      <x:c r="BF941" s="91"/>
      <x:c r="BG941" s="91"/>
      <x:c r="BH941" s="91"/>
      <x:c r="BI941" s="91"/>
      <x:c r="BJ941" s="91"/>
      <x:c r="BK941" s="91"/>
      <x:c r="BL941" s="91"/>
      <x:c r="BM941" s="73" t="str">
        <x:f>IF(A941="","",IF(AI941="Example","Example only",IF(AI941&lt;&gt;"Actual","Set record type",IF(COUNTIF($A$2:$A$1001,A941)&gt;1,"Duplicate record ID",IF(OR(D941="",E941="",AF941="",NOT(ISNUMBER(AG941)),AJ941="",AK941="",NOT(ISNUMBER(AL941)),AND(AM941&lt;&gt;"Observed",AM941&lt;&gt;"Corroborated",AM941&lt;&gt;"Declared"),OR(AN941="",AN941="Unknown"),OR(AQ941="",AQ941="Unknown"),OR(AR941="",AR941="Unknown",AR941="TBD"),OR(BC941="",NOT(ISNUMBER(BC941)))),"Evidence incomplete","Evidence recorded; review scope")))))</x:f>
      </x:c>
      <x:c r="BN941" s="73"/>
    </x:row>
    <x:row r="942" ht="34" customHeight="1">
      <x:c r="A942" s="73"/>
      <x:c r="B942" s="73"/>
      <x:c r="C942" s="73"/>
      <x:c r="D942" s="73"/>
      <x:c r="E942" s="73"/>
      <x:c r="F942" s="73"/>
      <x:c r="G942" s="73"/>
      <x:c r="H942" s="73"/>
      <x:c r="I942" s="75"/>
      <x:c r="J942" s="73"/>
      <x:c r="K942" s="73"/>
      <x:c r="L942" s="76"/>
      <x:c r="M942" s="73"/>
      <x:c r="N942" s="73"/>
      <x:c r="O942" s="73"/>
      <x:c r="P942" s="73"/>
      <x:c r="Q942" s="76"/>
      <x:c r="R942" s="73"/>
      <x:c r="S942" s="73"/>
      <x:c r="T942" s="73"/>
      <x:c r="U942" s="73"/>
      <x:c r="V942" s="73"/>
      <x:c r="W942" s="73"/>
      <x:c r="X942" s="73"/>
      <x:c r="Y942" s="73"/>
      <x:c r="Z942" s="73"/>
      <x:c r="AA942" s="73"/>
      <x:c r="AB942" s="76" t="str">
        <x:f>IF(A942="","",IF(OR(NOT(ISNUMBER(I942)),I942&lt;0,NOT(ISNUMBER(AP942)),AP942&lt;0,NOT(ISNUMBER(L942)),L942&lt;1,L942&gt;5,L942&lt;&gt;INT(L942),AND(J942&lt;&gt;"Public",J942&lt;&gt;"Partner",J942&lt;&gt;"Internal",J942&lt;&gt;"None"),AND(K942&lt;&gt;"High",K942&lt;&gt;"Medium",K942&lt;&gt;"Low",K942&lt;&gt;"None"),AND(W942&lt;&gt;"Hard-coded",W942&lt;&gt;"Configurable",W942&lt;&gt;"Policy-managed",W942&lt;&gt;"API/Library abstraction",W942&lt;&gt;"Automated"),AND(Z942&lt;&gt;"Y",Z942&lt;&gt;"N"),AND(AA942&lt;&gt;"Y",AA942&lt;&gt;"N")),"Incomplete",IF(Z942="Y",20,0)+L942*5+IF(AA942="Y",15,0)+IF(J942="Public",10,IF(J942="Partner",7,IF(J942="Internal",3,0)))+IF(W942="Hard-coded",10,IF(W942="Configurable",3,0))+IF(MAX(I942,AP942)&gt;=10,10,IF(MAX(I942,AP942)&gt;=5,7,IF(MAX(I942,AP942)&gt;=2,3,0)))+IF(K942="High",10,IF(K942="Medium",5,0))))</x:f>
      </x:c>
      <x:c r="AC942" s="73" t="str">
        <x:f>IF(A942="","",IF(NOT(ISNUMBER(AB942)),"Review inputs",IF(AB942&gt;=70,"P0 - Immediate",IF(AB942&gt;=50,"P1 - High",IF(AB942&gt;=30,"P2 - Medium",IF(AB942&gt;=15,"P3 - Low","P4 - Monitor"))))))</x:f>
      </x:c>
      <x:c r="AD942" s="73"/>
      <x:c r="AE942" s="73"/>
      <x:c r="AF942" s="73"/>
      <x:c r="AG942" s="77"/>
      <x:c r="AH942" s="73"/>
      <x:c r="AI942" s="91"/>
      <x:c r="AJ942" s="91"/>
      <x:c r="AK942" s="91"/>
      <x:c r="AL942" s="92"/>
      <x:c r="AM942" s="91"/>
      <x:c r="AN942" s="91"/>
      <x:c r="AO942" s="93"/>
      <x:c r="AP942" s="94"/>
      <x:c r="AQ942" s="91"/>
      <x:c r="AR942" s="91"/>
      <x:c r="AS942" s="91"/>
      <x:c r="AT942" s="91"/>
      <x:c r="AU942" s="91"/>
      <x:c r="AV942" s="91"/>
      <x:c r="AW942" s="91"/>
      <x:c r="AX942" s="91"/>
      <x:c r="AY942" s="91"/>
      <x:c r="AZ942" s="92"/>
      <x:c r="BA942" s="94"/>
      <x:c r="BB942" s="91"/>
      <x:c r="BC942" s="92"/>
      <x:c r="BD942" s="92"/>
      <x:c r="BE942" s="91"/>
      <x:c r="BF942" s="91"/>
      <x:c r="BG942" s="91"/>
      <x:c r="BH942" s="91"/>
      <x:c r="BI942" s="91"/>
      <x:c r="BJ942" s="91"/>
      <x:c r="BK942" s="91"/>
      <x:c r="BL942" s="91"/>
      <x:c r="BM942" s="73" t="str">
        <x:f>IF(A942="","",IF(AI942="Example","Example only",IF(AI942&lt;&gt;"Actual","Set record type",IF(COUNTIF($A$2:$A$1001,A942)&gt;1,"Duplicate record ID",IF(OR(D942="",E942="",AF942="",NOT(ISNUMBER(AG942)),AJ942="",AK942="",NOT(ISNUMBER(AL942)),AND(AM942&lt;&gt;"Observed",AM942&lt;&gt;"Corroborated",AM942&lt;&gt;"Declared"),OR(AN942="",AN942="Unknown"),OR(AQ942="",AQ942="Unknown"),OR(AR942="",AR942="Unknown",AR942="TBD"),OR(BC942="",NOT(ISNUMBER(BC942)))),"Evidence incomplete","Evidence recorded; review scope")))))</x:f>
      </x:c>
      <x:c r="BN942" s="73"/>
    </x:row>
    <x:row r="943" ht="34" customHeight="1">
      <x:c r="A943" s="73"/>
      <x:c r="B943" s="73"/>
      <x:c r="C943" s="73"/>
      <x:c r="D943" s="73"/>
      <x:c r="E943" s="73"/>
      <x:c r="F943" s="73"/>
      <x:c r="G943" s="73"/>
      <x:c r="H943" s="73"/>
      <x:c r="I943" s="75"/>
      <x:c r="J943" s="73"/>
      <x:c r="K943" s="73"/>
      <x:c r="L943" s="76"/>
      <x:c r="M943" s="73"/>
      <x:c r="N943" s="73"/>
      <x:c r="O943" s="73"/>
      <x:c r="P943" s="73"/>
      <x:c r="Q943" s="76"/>
      <x:c r="R943" s="73"/>
      <x:c r="S943" s="73"/>
      <x:c r="T943" s="73"/>
      <x:c r="U943" s="73"/>
      <x:c r="V943" s="73"/>
      <x:c r="W943" s="73"/>
      <x:c r="X943" s="73"/>
      <x:c r="Y943" s="73"/>
      <x:c r="Z943" s="73"/>
      <x:c r="AA943" s="73"/>
      <x:c r="AB943" s="76" t="str">
        <x:f>IF(A943="","",IF(OR(NOT(ISNUMBER(I943)),I943&lt;0,NOT(ISNUMBER(AP943)),AP943&lt;0,NOT(ISNUMBER(L943)),L943&lt;1,L943&gt;5,L943&lt;&gt;INT(L943),AND(J943&lt;&gt;"Public",J943&lt;&gt;"Partner",J943&lt;&gt;"Internal",J943&lt;&gt;"None"),AND(K943&lt;&gt;"High",K943&lt;&gt;"Medium",K943&lt;&gt;"Low",K943&lt;&gt;"None"),AND(W943&lt;&gt;"Hard-coded",W943&lt;&gt;"Configurable",W943&lt;&gt;"Policy-managed",W943&lt;&gt;"API/Library abstraction",W943&lt;&gt;"Automated"),AND(Z943&lt;&gt;"Y",Z943&lt;&gt;"N"),AND(AA943&lt;&gt;"Y",AA943&lt;&gt;"N")),"Incomplete",IF(Z943="Y",20,0)+L943*5+IF(AA943="Y",15,0)+IF(J943="Public",10,IF(J943="Partner",7,IF(J943="Internal",3,0)))+IF(W943="Hard-coded",10,IF(W943="Configurable",3,0))+IF(MAX(I943,AP943)&gt;=10,10,IF(MAX(I943,AP943)&gt;=5,7,IF(MAX(I943,AP943)&gt;=2,3,0)))+IF(K943="High",10,IF(K943="Medium",5,0))))</x:f>
      </x:c>
      <x:c r="AC943" s="73" t="str">
        <x:f>IF(A943="","",IF(NOT(ISNUMBER(AB943)),"Review inputs",IF(AB943&gt;=70,"P0 - Immediate",IF(AB943&gt;=50,"P1 - High",IF(AB943&gt;=30,"P2 - Medium",IF(AB943&gt;=15,"P3 - Low","P4 - Monitor"))))))</x:f>
      </x:c>
      <x:c r="AD943" s="73"/>
      <x:c r="AE943" s="73"/>
      <x:c r="AF943" s="73"/>
      <x:c r="AG943" s="77"/>
      <x:c r="AH943" s="73"/>
      <x:c r="AI943" s="91"/>
      <x:c r="AJ943" s="91"/>
      <x:c r="AK943" s="91"/>
      <x:c r="AL943" s="92"/>
      <x:c r="AM943" s="91"/>
      <x:c r="AN943" s="91"/>
      <x:c r="AO943" s="93"/>
      <x:c r="AP943" s="94"/>
      <x:c r="AQ943" s="91"/>
      <x:c r="AR943" s="91"/>
      <x:c r="AS943" s="91"/>
      <x:c r="AT943" s="91"/>
      <x:c r="AU943" s="91"/>
      <x:c r="AV943" s="91"/>
      <x:c r="AW943" s="91"/>
      <x:c r="AX943" s="91"/>
      <x:c r="AY943" s="91"/>
      <x:c r="AZ943" s="92"/>
      <x:c r="BA943" s="94"/>
      <x:c r="BB943" s="91"/>
      <x:c r="BC943" s="92"/>
      <x:c r="BD943" s="92"/>
      <x:c r="BE943" s="91"/>
      <x:c r="BF943" s="91"/>
      <x:c r="BG943" s="91"/>
      <x:c r="BH943" s="91"/>
      <x:c r="BI943" s="91"/>
      <x:c r="BJ943" s="91"/>
      <x:c r="BK943" s="91"/>
      <x:c r="BL943" s="91"/>
      <x:c r="BM943" s="73" t="str">
        <x:f>IF(A943="","",IF(AI943="Example","Example only",IF(AI943&lt;&gt;"Actual","Set record type",IF(COUNTIF($A$2:$A$1001,A943)&gt;1,"Duplicate record ID",IF(OR(D943="",E943="",AF943="",NOT(ISNUMBER(AG943)),AJ943="",AK943="",NOT(ISNUMBER(AL943)),AND(AM943&lt;&gt;"Observed",AM943&lt;&gt;"Corroborated",AM943&lt;&gt;"Declared"),OR(AN943="",AN943="Unknown"),OR(AQ943="",AQ943="Unknown"),OR(AR943="",AR943="Unknown",AR943="TBD"),OR(BC943="",NOT(ISNUMBER(BC943)))),"Evidence incomplete","Evidence recorded; review scope")))))</x:f>
      </x:c>
      <x:c r="BN943" s="73"/>
    </x:row>
    <x:row r="944" ht="34" customHeight="1">
      <x:c r="A944" s="73"/>
      <x:c r="B944" s="73"/>
      <x:c r="C944" s="73"/>
      <x:c r="D944" s="73"/>
      <x:c r="E944" s="73"/>
      <x:c r="F944" s="73"/>
      <x:c r="G944" s="73"/>
      <x:c r="H944" s="73"/>
      <x:c r="I944" s="75"/>
      <x:c r="J944" s="73"/>
      <x:c r="K944" s="73"/>
      <x:c r="L944" s="76"/>
      <x:c r="M944" s="73"/>
      <x:c r="N944" s="73"/>
      <x:c r="O944" s="73"/>
      <x:c r="P944" s="73"/>
      <x:c r="Q944" s="76"/>
      <x:c r="R944" s="73"/>
      <x:c r="S944" s="73"/>
      <x:c r="T944" s="73"/>
      <x:c r="U944" s="73"/>
      <x:c r="V944" s="73"/>
      <x:c r="W944" s="73"/>
      <x:c r="X944" s="73"/>
      <x:c r="Y944" s="73"/>
      <x:c r="Z944" s="73"/>
      <x:c r="AA944" s="73"/>
      <x:c r="AB944" s="76" t="str">
        <x:f>IF(A944="","",IF(OR(NOT(ISNUMBER(I944)),I944&lt;0,NOT(ISNUMBER(AP944)),AP944&lt;0,NOT(ISNUMBER(L944)),L944&lt;1,L944&gt;5,L944&lt;&gt;INT(L944),AND(J944&lt;&gt;"Public",J944&lt;&gt;"Partner",J944&lt;&gt;"Internal",J944&lt;&gt;"None"),AND(K944&lt;&gt;"High",K944&lt;&gt;"Medium",K944&lt;&gt;"Low",K944&lt;&gt;"None"),AND(W944&lt;&gt;"Hard-coded",W944&lt;&gt;"Configurable",W944&lt;&gt;"Policy-managed",W944&lt;&gt;"API/Library abstraction",W944&lt;&gt;"Automated"),AND(Z944&lt;&gt;"Y",Z944&lt;&gt;"N"),AND(AA944&lt;&gt;"Y",AA944&lt;&gt;"N")),"Incomplete",IF(Z944="Y",20,0)+L944*5+IF(AA944="Y",15,0)+IF(J944="Public",10,IF(J944="Partner",7,IF(J944="Internal",3,0)))+IF(W944="Hard-coded",10,IF(W944="Configurable",3,0))+IF(MAX(I944,AP944)&gt;=10,10,IF(MAX(I944,AP944)&gt;=5,7,IF(MAX(I944,AP944)&gt;=2,3,0)))+IF(K944="High",10,IF(K944="Medium",5,0))))</x:f>
      </x:c>
      <x:c r="AC944" s="73" t="str">
        <x:f>IF(A944="","",IF(NOT(ISNUMBER(AB944)),"Review inputs",IF(AB944&gt;=70,"P0 - Immediate",IF(AB944&gt;=50,"P1 - High",IF(AB944&gt;=30,"P2 - Medium",IF(AB944&gt;=15,"P3 - Low","P4 - Monitor"))))))</x:f>
      </x:c>
      <x:c r="AD944" s="73"/>
      <x:c r="AE944" s="73"/>
      <x:c r="AF944" s="73"/>
      <x:c r="AG944" s="77"/>
      <x:c r="AH944" s="73"/>
      <x:c r="AI944" s="91"/>
      <x:c r="AJ944" s="91"/>
      <x:c r="AK944" s="91"/>
      <x:c r="AL944" s="92"/>
      <x:c r="AM944" s="91"/>
      <x:c r="AN944" s="91"/>
      <x:c r="AO944" s="93"/>
      <x:c r="AP944" s="94"/>
      <x:c r="AQ944" s="91"/>
      <x:c r="AR944" s="91"/>
      <x:c r="AS944" s="91"/>
      <x:c r="AT944" s="91"/>
      <x:c r="AU944" s="91"/>
      <x:c r="AV944" s="91"/>
      <x:c r="AW944" s="91"/>
      <x:c r="AX944" s="91"/>
      <x:c r="AY944" s="91"/>
      <x:c r="AZ944" s="92"/>
      <x:c r="BA944" s="94"/>
      <x:c r="BB944" s="91"/>
      <x:c r="BC944" s="92"/>
      <x:c r="BD944" s="92"/>
      <x:c r="BE944" s="91"/>
      <x:c r="BF944" s="91"/>
      <x:c r="BG944" s="91"/>
      <x:c r="BH944" s="91"/>
      <x:c r="BI944" s="91"/>
      <x:c r="BJ944" s="91"/>
      <x:c r="BK944" s="91"/>
      <x:c r="BL944" s="91"/>
      <x:c r="BM944" s="73" t="str">
        <x:f>IF(A944="","",IF(AI944="Example","Example only",IF(AI944&lt;&gt;"Actual","Set record type",IF(COUNTIF($A$2:$A$1001,A944)&gt;1,"Duplicate record ID",IF(OR(D944="",E944="",AF944="",NOT(ISNUMBER(AG944)),AJ944="",AK944="",NOT(ISNUMBER(AL944)),AND(AM944&lt;&gt;"Observed",AM944&lt;&gt;"Corroborated",AM944&lt;&gt;"Declared"),OR(AN944="",AN944="Unknown"),OR(AQ944="",AQ944="Unknown"),OR(AR944="",AR944="Unknown",AR944="TBD"),OR(BC944="",NOT(ISNUMBER(BC944)))),"Evidence incomplete","Evidence recorded; review scope")))))</x:f>
      </x:c>
      <x:c r="BN944" s="73"/>
    </x:row>
    <x:row r="945" ht="34" customHeight="1">
      <x:c r="A945" s="73"/>
      <x:c r="B945" s="73"/>
      <x:c r="C945" s="73"/>
      <x:c r="D945" s="73"/>
      <x:c r="E945" s="73"/>
      <x:c r="F945" s="73"/>
      <x:c r="G945" s="73"/>
      <x:c r="H945" s="73"/>
      <x:c r="I945" s="75"/>
      <x:c r="J945" s="73"/>
      <x:c r="K945" s="73"/>
      <x:c r="L945" s="76"/>
      <x:c r="M945" s="73"/>
      <x:c r="N945" s="73"/>
      <x:c r="O945" s="73"/>
      <x:c r="P945" s="73"/>
      <x:c r="Q945" s="76"/>
      <x:c r="R945" s="73"/>
      <x:c r="S945" s="73"/>
      <x:c r="T945" s="73"/>
      <x:c r="U945" s="73"/>
      <x:c r="V945" s="73"/>
      <x:c r="W945" s="73"/>
      <x:c r="X945" s="73"/>
      <x:c r="Y945" s="73"/>
      <x:c r="Z945" s="73"/>
      <x:c r="AA945" s="73"/>
      <x:c r="AB945" s="76" t="str">
        <x:f>IF(A945="","",IF(OR(NOT(ISNUMBER(I945)),I945&lt;0,NOT(ISNUMBER(AP945)),AP945&lt;0,NOT(ISNUMBER(L945)),L945&lt;1,L945&gt;5,L945&lt;&gt;INT(L945),AND(J945&lt;&gt;"Public",J945&lt;&gt;"Partner",J945&lt;&gt;"Internal",J945&lt;&gt;"None"),AND(K945&lt;&gt;"High",K945&lt;&gt;"Medium",K945&lt;&gt;"Low",K945&lt;&gt;"None"),AND(W945&lt;&gt;"Hard-coded",W945&lt;&gt;"Configurable",W945&lt;&gt;"Policy-managed",W945&lt;&gt;"API/Library abstraction",W945&lt;&gt;"Automated"),AND(Z945&lt;&gt;"Y",Z945&lt;&gt;"N"),AND(AA945&lt;&gt;"Y",AA945&lt;&gt;"N")),"Incomplete",IF(Z945="Y",20,0)+L945*5+IF(AA945="Y",15,0)+IF(J945="Public",10,IF(J945="Partner",7,IF(J945="Internal",3,0)))+IF(W945="Hard-coded",10,IF(W945="Configurable",3,0))+IF(MAX(I945,AP945)&gt;=10,10,IF(MAX(I945,AP945)&gt;=5,7,IF(MAX(I945,AP945)&gt;=2,3,0)))+IF(K945="High",10,IF(K945="Medium",5,0))))</x:f>
      </x:c>
      <x:c r="AC945" s="73" t="str">
        <x:f>IF(A945="","",IF(NOT(ISNUMBER(AB945)),"Review inputs",IF(AB945&gt;=70,"P0 - Immediate",IF(AB945&gt;=50,"P1 - High",IF(AB945&gt;=30,"P2 - Medium",IF(AB945&gt;=15,"P3 - Low","P4 - Monitor"))))))</x:f>
      </x:c>
      <x:c r="AD945" s="73"/>
      <x:c r="AE945" s="73"/>
      <x:c r="AF945" s="73"/>
      <x:c r="AG945" s="77"/>
      <x:c r="AH945" s="73"/>
      <x:c r="AI945" s="91"/>
      <x:c r="AJ945" s="91"/>
      <x:c r="AK945" s="91"/>
      <x:c r="AL945" s="92"/>
      <x:c r="AM945" s="91"/>
      <x:c r="AN945" s="91"/>
      <x:c r="AO945" s="93"/>
      <x:c r="AP945" s="94"/>
      <x:c r="AQ945" s="91"/>
      <x:c r="AR945" s="91"/>
      <x:c r="AS945" s="91"/>
      <x:c r="AT945" s="91"/>
      <x:c r="AU945" s="91"/>
      <x:c r="AV945" s="91"/>
      <x:c r="AW945" s="91"/>
      <x:c r="AX945" s="91"/>
      <x:c r="AY945" s="91"/>
      <x:c r="AZ945" s="92"/>
      <x:c r="BA945" s="94"/>
      <x:c r="BB945" s="91"/>
      <x:c r="BC945" s="92"/>
      <x:c r="BD945" s="92"/>
      <x:c r="BE945" s="91"/>
      <x:c r="BF945" s="91"/>
      <x:c r="BG945" s="91"/>
      <x:c r="BH945" s="91"/>
      <x:c r="BI945" s="91"/>
      <x:c r="BJ945" s="91"/>
      <x:c r="BK945" s="91"/>
      <x:c r="BL945" s="91"/>
      <x:c r="BM945" s="73" t="str">
        <x:f>IF(A945="","",IF(AI945="Example","Example only",IF(AI945&lt;&gt;"Actual","Set record type",IF(COUNTIF($A$2:$A$1001,A945)&gt;1,"Duplicate record ID",IF(OR(D945="",E945="",AF945="",NOT(ISNUMBER(AG945)),AJ945="",AK945="",NOT(ISNUMBER(AL945)),AND(AM945&lt;&gt;"Observed",AM945&lt;&gt;"Corroborated",AM945&lt;&gt;"Declared"),OR(AN945="",AN945="Unknown"),OR(AQ945="",AQ945="Unknown"),OR(AR945="",AR945="Unknown",AR945="TBD"),OR(BC945="",NOT(ISNUMBER(BC945)))),"Evidence incomplete","Evidence recorded; review scope")))))</x:f>
      </x:c>
      <x:c r="BN945" s="73"/>
    </x:row>
    <x:row r="946" ht="34" customHeight="1">
      <x:c r="A946" s="73"/>
      <x:c r="B946" s="73"/>
      <x:c r="C946" s="73"/>
      <x:c r="D946" s="73"/>
      <x:c r="E946" s="73"/>
      <x:c r="F946" s="73"/>
      <x:c r="G946" s="73"/>
      <x:c r="H946" s="73"/>
      <x:c r="I946" s="75"/>
      <x:c r="J946" s="73"/>
      <x:c r="K946" s="73"/>
      <x:c r="L946" s="76"/>
      <x:c r="M946" s="73"/>
      <x:c r="N946" s="73"/>
      <x:c r="O946" s="73"/>
      <x:c r="P946" s="73"/>
      <x:c r="Q946" s="76"/>
      <x:c r="R946" s="73"/>
      <x:c r="S946" s="73"/>
      <x:c r="T946" s="73"/>
      <x:c r="U946" s="73"/>
      <x:c r="V946" s="73"/>
      <x:c r="W946" s="73"/>
      <x:c r="X946" s="73"/>
      <x:c r="Y946" s="73"/>
      <x:c r="Z946" s="73"/>
      <x:c r="AA946" s="73"/>
      <x:c r="AB946" s="76" t="str">
        <x:f>IF(A946="","",IF(OR(NOT(ISNUMBER(I946)),I946&lt;0,NOT(ISNUMBER(AP946)),AP946&lt;0,NOT(ISNUMBER(L946)),L946&lt;1,L946&gt;5,L946&lt;&gt;INT(L946),AND(J946&lt;&gt;"Public",J946&lt;&gt;"Partner",J946&lt;&gt;"Internal",J946&lt;&gt;"None"),AND(K946&lt;&gt;"High",K946&lt;&gt;"Medium",K946&lt;&gt;"Low",K946&lt;&gt;"None"),AND(W946&lt;&gt;"Hard-coded",W946&lt;&gt;"Configurable",W946&lt;&gt;"Policy-managed",W946&lt;&gt;"API/Library abstraction",W946&lt;&gt;"Automated"),AND(Z946&lt;&gt;"Y",Z946&lt;&gt;"N"),AND(AA946&lt;&gt;"Y",AA946&lt;&gt;"N")),"Incomplete",IF(Z946="Y",20,0)+L946*5+IF(AA946="Y",15,0)+IF(J946="Public",10,IF(J946="Partner",7,IF(J946="Internal",3,0)))+IF(W946="Hard-coded",10,IF(W946="Configurable",3,0))+IF(MAX(I946,AP946)&gt;=10,10,IF(MAX(I946,AP946)&gt;=5,7,IF(MAX(I946,AP946)&gt;=2,3,0)))+IF(K946="High",10,IF(K946="Medium",5,0))))</x:f>
      </x:c>
      <x:c r="AC946" s="73" t="str">
        <x:f>IF(A946="","",IF(NOT(ISNUMBER(AB946)),"Review inputs",IF(AB946&gt;=70,"P0 - Immediate",IF(AB946&gt;=50,"P1 - High",IF(AB946&gt;=30,"P2 - Medium",IF(AB946&gt;=15,"P3 - Low","P4 - Monitor"))))))</x:f>
      </x:c>
      <x:c r="AD946" s="73"/>
      <x:c r="AE946" s="73"/>
      <x:c r="AF946" s="73"/>
      <x:c r="AG946" s="77"/>
      <x:c r="AH946" s="73"/>
      <x:c r="AI946" s="91"/>
      <x:c r="AJ946" s="91"/>
      <x:c r="AK946" s="91"/>
      <x:c r="AL946" s="92"/>
      <x:c r="AM946" s="91"/>
      <x:c r="AN946" s="91"/>
      <x:c r="AO946" s="93"/>
      <x:c r="AP946" s="94"/>
      <x:c r="AQ946" s="91"/>
      <x:c r="AR946" s="91"/>
      <x:c r="AS946" s="91"/>
      <x:c r="AT946" s="91"/>
      <x:c r="AU946" s="91"/>
      <x:c r="AV946" s="91"/>
      <x:c r="AW946" s="91"/>
      <x:c r="AX946" s="91"/>
      <x:c r="AY946" s="91"/>
      <x:c r="AZ946" s="92"/>
      <x:c r="BA946" s="94"/>
      <x:c r="BB946" s="91"/>
      <x:c r="BC946" s="92"/>
      <x:c r="BD946" s="92"/>
      <x:c r="BE946" s="91"/>
      <x:c r="BF946" s="91"/>
      <x:c r="BG946" s="91"/>
      <x:c r="BH946" s="91"/>
      <x:c r="BI946" s="91"/>
      <x:c r="BJ946" s="91"/>
      <x:c r="BK946" s="91"/>
      <x:c r="BL946" s="91"/>
      <x:c r="BM946" s="73" t="str">
        <x:f>IF(A946="","",IF(AI946="Example","Example only",IF(AI946&lt;&gt;"Actual","Set record type",IF(COUNTIF($A$2:$A$1001,A946)&gt;1,"Duplicate record ID",IF(OR(D946="",E946="",AF946="",NOT(ISNUMBER(AG946)),AJ946="",AK946="",NOT(ISNUMBER(AL946)),AND(AM946&lt;&gt;"Observed",AM946&lt;&gt;"Corroborated",AM946&lt;&gt;"Declared"),OR(AN946="",AN946="Unknown"),OR(AQ946="",AQ946="Unknown"),OR(AR946="",AR946="Unknown",AR946="TBD"),OR(BC946="",NOT(ISNUMBER(BC946)))),"Evidence incomplete","Evidence recorded; review scope")))))</x:f>
      </x:c>
      <x:c r="BN946" s="73"/>
    </x:row>
    <x:row r="947" ht="34" customHeight="1">
      <x:c r="A947" s="73"/>
      <x:c r="B947" s="73"/>
      <x:c r="C947" s="73"/>
      <x:c r="D947" s="73"/>
      <x:c r="E947" s="73"/>
      <x:c r="F947" s="73"/>
      <x:c r="G947" s="73"/>
      <x:c r="H947" s="73"/>
      <x:c r="I947" s="75"/>
      <x:c r="J947" s="73"/>
      <x:c r="K947" s="73"/>
      <x:c r="L947" s="76"/>
      <x:c r="M947" s="73"/>
      <x:c r="N947" s="73"/>
      <x:c r="O947" s="73"/>
      <x:c r="P947" s="73"/>
      <x:c r="Q947" s="76"/>
      <x:c r="R947" s="73"/>
      <x:c r="S947" s="73"/>
      <x:c r="T947" s="73"/>
      <x:c r="U947" s="73"/>
      <x:c r="V947" s="73"/>
      <x:c r="W947" s="73"/>
      <x:c r="X947" s="73"/>
      <x:c r="Y947" s="73"/>
      <x:c r="Z947" s="73"/>
      <x:c r="AA947" s="73"/>
      <x:c r="AB947" s="76" t="str">
        <x:f>IF(A947="","",IF(OR(NOT(ISNUMBER(I947)),I947&lt;0,NOT(ISNUMBER(AP947)),AP947&lt;0,NOT(ISNUMBER(L947)),L947&lt;1,L947&gt;5,L947&lt;&gt;INT(L947),AND(J947&lt;&gt;"Public",J947&lt;&gt;"Partner",J947&lt;&gt;"Internal",J947&lt;&gt;"None"),AND(K947&lt;&gt;"High",K947&lt;&gt;"Medium",K947&lt;&gt;"Low",K947&lt;&gt;"None"),AND(W947&lt;&gt;"Hard-coded",W947&lt;&gt;"Configurable",W947&lt;&gt;"Policy-managed",W947&lt;&gt;"API/Library abstraction",W947&lt;&gt;"Automated"),AND(Z947&lt;&gt;"Y",Z947&lt;&gt;"N"),AND(AA947&lt;&gt;"Y",AA947&lt;&gt;"N")),"Incomplete",IF(Z947="Y",20,0)+L947*5+IF(AA947="Y",15,0)+IF(J947="Public",10,IF(J947="Partner",7,IF(J947="Internal",3,0)))+IF(W947="Hard-coded",10,IF(W947="Configurable",3,0))+IF(MAX(I947,AP947)&gt;=10,10,IF(MAX(I947,AP947)&gt;=5,7,IF(MAX(I947,AP947)&gt;=2,3,0)))+IF(K947="High",10,IF(K947="Medium",5,0))))</x:f>
      </x:c>
      <x:c r="AC947" s="73" t="str">
        <x:f>IF(A947="","",IF(NOT(ISNUMBER(AB947)),"Review inputs",IF(AB947&gt;=70,"P0 - Immediate",IF(AB947&gt;=50,"P1 - High",IF(AB947&gt;=30,"P2 - Medium",IF(AB947&gt;=15,"P3 - Low","P4 - Monitor"))))))</x:f>
      </x:c>
      <x:c r="AD947" s="73"/>
      <x:c r="AE947" s="73"/>
      <x:c r="AF947" s="73"/>
      <x:c r="AG947" s="77"/>
      <x:c r="AH947" s="73"/>
      <x:c r="AI947" s="91"/>
      <x:c r="AJ947" s="91"/>
      <x:c r="AK947" s="91"/>
      <x:c r="AL947" s="92"/>
      <x:c r="AM947" s="91"/>
      <x:c r="AN947" s="91"/>
      <x:c r="AO947" s="93"/>
      <x:c r="AP947" s="94"/>
      <x:c r="AQ947" s="91"/>
      <x:c r="AR947" s="91"/>
      <x:c r="AS947" s="91"/>
      <x:c r="AT947" s="91"/>
      <x:c r="AU947" s="91"/>
      <x:c r="AV947" s="91"/>
      <x:c r="AW947" s="91"/>
      <x:c r="AX947" s="91"/>
      <x:c r="AY947" s="91"/>
      <x:c r="AZ947" s="92"/>
      <x:c r="BA947" s="94"/>
      <x:c r="BB947" s="91"/>
      <x:c r="BC947" s="92"/>
      <x:c r="BD947" s="92"/>
      <x:c r="BE947" s="91"/>
      <x:c r="BF947" s="91"/>
      <x:c r="BG947" s="91"/>
      <x:c r="BH947" s="91"/>
      <x:c r="BI947" s="91"/>
      <x:c r="BJ947" s="91"/>
      <x:c r="BK947" s="91"/>
      <x:c r="BL947" s="91"/>
      <x:c r="BM947" s="73" t="str">
        <x:f>IF(A947="","",IF(AI947="Example","Example only",IF(AI947&lt;&gt;"Actual","Set record type",IF(COUNTIF($A$2:$A$1001,A947)&gt;1,"Duplicate record ID",IF(OR(D947="",E947="",AF947="",NOT(ISNUMBER(AG947)),AJ947="",AK947="",NOT(ISNUMBER(AL947)),AND(AM947&lt;&gt;"Observed",AM947&lt;&gt;"Corroborated",AM947&lt;&gt;"Declared"),OR(AN947="",AN947="Unknown"),OR(AQ947="",AQ947="Unknown"),OR(AR947="",AR947="Unknown",AR947="TBD"),OR(BC947="",NOT(ISNUMBER(BC947)))),"Evidence incomplete","Evidence recorded; review scope")))))</x:f>
      </x:c>
      <x:c r="BN947" s="73"/>
    </x:row>
    <x:row r="948" ht="34" customHeight="1">
      <x:c r="A948" s="73"/>
      <x:c r="B948" s="73"/>
      <x:c r="C948" s="73"/>
      <x:c r="D948" s="73"/>
      <x:c r="E948" s="73"/>
      <x:c r="F948" s="73"/>
      <x:c r="G948" s="73"/>
      <x:c r="H948" s="73"/>
      <x:c r="I948" s="75"/>
      <x:c r="J948" s="73"/>
      <x:c r="K948" s="73"/>
      <x:c r="L948" s="76"/>
      <x:c r="M948" s="73"/>
      <x:c r="N948" s="73"/>
      <x:c r="O948" s="73"/>
      <x:c r="P948" s="73"/>
      <x:c r="Q948" s="76"/>
      <x:c r="R948" s="73"/>
      <x:c r="S948" s="73"/>
      <x:c r="T948" s="73"/>
      <x:c r="U948" s="73"/>
      <x:c r="V948" s="73"/>
      <x:c r="W948" s="73"/>
      <x:c r="X948" s="73"/>
      <x:c r="Y948" s="73"/>
      <x:c r="Z948" s="73"/>
      <x:c r="AA948" s="73"/>
      <x:c r="AB948" s="76" t="str">
        <x:f>IF(A948="","",IF(OR(NOT(ISNUMBER(I948)),I948&lt;0,NOT(ISNUMBER(AP948)),AP948&lt;0,NOT(ISNUMBER(L948)),L948&lt;1,L948&gt;5,L948&lt;&gt;INT(L948),AND(J948&lt;&gt;"Public",J948&lt;&gt;"Partner",J948&lt;&gt;"Internal",J948&lt;&gt;"None"),AND(K948&lt;&gt;"High",K948&lt;&gt;"Medium",K948&lt;&gt;"Low",K948&lt;&gt;"None"),AND(W948&lt;&gt;"Hard-coded",W948&lt;&gt;"Configurable",W948&lt;&gt;"Policy-managed",W948&lt;&gt;"API/Library abstraction",W948&lt;&gt;"Automated"),AND(Z948&lt;&gt;"Y",Z948&lt;&gt;"N"),AND(AA948&lt;&gt;"Y",AA948&lt;&gt;"N")),"Incomplete",IF(Z948="Y",20,0)+L948*5+IF(AA948="Y",15,0)+IF(J948="Public",10,IF(J948="Partner",7,IF(J948="Internal",3,0)))+IF(W948="Hard-coded",10,IF(W948="Configurable",3,0))+IF(MAX(I948,AP948)&gt;=10,10,IF(MAX(I948,AP948)&gt;=5,7,IF(MAX(I948,AP948)&gt;=2,3,0)))+IF(K948="High",10,IF(K948="Medium",5,0))))</x:f>
      </x:c>
      <x:c r="AC948" s="73" t="str">
        <x:f>IF(A948="","",IF(NOT(ISNUMBER(AB948)),"Review inputs",IF(AB948&gt;=70,"P0 - Immediate",IF(AB948&gt;=50,"P1 - High",IF(AB948&gt;=30,"P2 - Medium",IF(AB948&gt;=15,"P3 - Low","P4 - Monitor"))))))</x:f>
      </x:c>
      <x:c r="AD948" s="73"/>
      <x:c r="AE948" s="73"/>
      <x:c r="AF948" s="73"/>
      <x:c r="AG948" s="77"/>
      <x:c r="AH948" s="73"/>
      <x:c r="AI948" s="91"/>
      <x:c r="AJ948" s="91"/>
      <x:c r="AK948" s="91"/>
      <x:c r="AL948" s="92"/>
      <x:c r="AM948" s="91"/>
      <x:c r="AN948" s="91"/>
      <x:c r="AO948" s="93"/>
      <x:c r="AP948" s="94"/>
      <x:c r="AQ948" s="91"/>
      <x:c r="AR948" s="91"/>
      <x:c r="AS948" s="91"/>
      <x:c r="AT948" s="91"/>
      <x:c r="AU948" s="91"/>
      <x:c r="AV948" s="91"/>
      <x:c r="AW948" s="91"/>
      <x:c r="AX948" s="91"/>
      <x:c r="AY948" s="91"/>
      <x:c r="AZ948" s="92"/>
      <x:c r="BA948" s="94"/>
      <x:c r="BB948" s="91"/>
      <x:c r="BC948" s="92"/>
      <x:c r="BD948" s="92"/>
      <x:c r="BE948" s="91"/>
      <x:c r="BF948" s="91"/>
      <x:c r="BG948" s="91"/>
      <x:c r="BH948" s="91"/>
      <x:c r="BI948" s="91"/>
      <x:c r="BJ948" s="91"/>
      <x:c r="BK948" s="91"/>
      <x:c r="BL948" s="91"/>
      <x:c r="BM948" s="73" t="str">
        <x:f>IF(A948="","",IF(AI948="Example","Example only",IF(AI948&lt;&gt;"Actual","Set record type",IF(COUNTIF($A$2:$A$1001,A948)&gt;1,"Duplicate record ID",IF(OR(D948="",E948="",AF948="",NOT(ISNUMBER(AG948)),AJ948="",AK948="",NOT(ISNUMBER(AL948)),AND(AM948&lt;&gt;"Observed",AM948&lt;&gt;"Corroborated",AM948&lt;&gt;"Declared"),OR(AN948="",AN948="Unknown"),OR(AQ948="",AQ948="Unknown"),OR(AR948="",AR948="Unknown",AR948="TBD"),OR(BC948="",NOT(ISNUMBER(BC948)))),"Evidence incomplete","Evidence recorded; review scope")))))</x:f>
      </x:c>
      <x:c r="BN948" s="73"/>
    </x:row>
    <x:row r="949" ht="34" customHeight="1">
      <x:c r="A949" s="73"/>
      <x:c r="B949" s="73"/>
      <x:c r="C949" s="73"/>
      <x:c r="D949" s="73"/>
      <x:c r="E949" s="73"/>
      <x:c r="F949" s="73"/>
      <x:c r="G949" s="73"/>
      <x:c r="H949" s="73"/>
      <x:c r="I949" s="75"/>
      <x:c r="J949" s="73"/>
      <x:c r="K949" s="73"/>
      <x:c r="L949" s="76"/>
      <x:c r="M949" s="73"/>
      <x:c r="N949" s="73"/>
      <x:c r="O949" s="73"/>
      <x:c r="P949" s="73"/>
      <x:c r="Q949" s="76"/>
      <x:c r="R949" s="73"/>
      <x:c r="S949" s="73"/>
      <x:c r="T949" s="73"/>
      <x:c r="U949" s="73"/>
      <x:c r="V949" s="73"/>
      <x:c r="W949" s="73"/>
      <x:c r="X949" s="73"/>
      <x:c r="Y949" s="73"/>
      <x:c r="Z949" s="73"/>
      <x:c r="AA949" s="73"/>
      <x:c r="AB949" s="76" t="str">
        <x:f>IF(A949="","",IF(OR(NOT(ISNUMBER(I949)),I949&lt;0,NOT(ISNUMBER(AP949)),AP949&lt;0,NOT(ISNUMBER(L949)),L949&lt;1,L949&gt;5,L949&lt;&gt;INT(L949),AND(J949&lt;&gt;"Public",J949&lt;&gt;"Partner",J949&lt;&gt;"Internal",J949&lt;&gt;"None"),AND(K949&lt;&gt;"High",K949&lt;&gt;"Medium",K949&lt;&gt;"Low",K949&lt;&gt;"None"),AND(W949&lt;&gt;"Hard-coded",W949&lt;&gt;"Configurable",W949&lt;&gt;"Policy-managed",W949&lt;&gt;"API/Library abstraction",W949&lt;&gt;"Automated"),AND(Z949&lt;&gt;"Y",Z949&lt;&gt;"N"),AND(AA949&lt;&gt;"Y",AA949&lt;&gt;"N")),"Incomplete",IF(Z949="Y",20,0)+L949*5+IF(AA949="Y",15,0)+IF(J949="Public",10,IF(J949="Partner",7,IF(J949="Internal",3,0)))+IF(W949="Hard-coded",10,IF(W949="Configurable",3,0))+IF(MAX(I949,AP949)&gt;=10,10,IF(MAX(I949,AP949)&gt;=5,7,IF(MAX(I949,AP949)&gt;=2,3,0)))+IF(K949="High",10,IF(K949="Medium",5,0))))</x:f>
      </x:c>
      <x:c r="AC949" s="73" t="str">
        <x:f>IF(A949="","",IF(NOT(ISNUMBER(AB949)),"Review inputs",IF(AB949&gt;=70,"P0 - Immediate",IF(AB949&gt;=50,"P1 - High",IF(AB949&gt;=30,"P2 - Medium",IF(AB949&gt;=15,"P3 - Low","P4 - Monitor"))))))</x:f>
      </x:c>
      <x:c r="AD949" s="73"/>
      <x:c r="AE949" s="73"/>
      <x:c r="AF949" s="73"/>
      <x:c r="AG949" s="77"/>
      <x:c r="AH949" s="73"/>
      <x:c r="AI949" s="91"/>
      <x:c r="AJ949" s="91"/>
      <x:c r="AK949" s="91"/>
      <x:c r="AL949" s="92"/>
      <x:c r="AM949" s="91"/>
      <x:c r="AN949" s="91"/>
      <x:c r="AO949" s="93"/>
      <x:c r="AP949" s="94"/>
      <x:c r="AQ949" s="91"/>
      <x:c r="AR949" s="91"/>
      <x:c r="AS949" s="91"/>
      <x:c r="AT949" s="91"/>
      <x:c r="AU949" s="91"/>
      <x:c r="AV949" s="91"/>
      <x:c r="AW949" s="91"/>
      <x:c r="AX949" s="91"/>
      <x:c r="AY949" s="91"/>
      <x:c r="AZ949" s="92"/>
      <x:c r="BA949" s="94"/>
      <x:c r="BB949" s="91"/>
      <x:c r="BC949" s="92"/>
      <x:c r="BD949" s="92"/>
      <x:c r="BE949" s="91"/>
      <x:c r="BF949" s="91"/>
      <x:c r="BG949" s="91"/>
      <x:c r="BH949" s="91"/>
      <x:c r="BI949" s="91"/>
      <x:c r="BJ949" s="91"/>
      <x:c r="BK949" s="91"/>
      <x:c r="BL949" s="91"/>
      <x:c r="BM949" s="73" t="str">
        <x:f>IF(A949="","",IF(AI949="Example","Example only",IF(AI949&lt;&gt;"Actual","Set record type",IF(COUNTIF($A$2:$A$1001,A949)&gt;1,"Duplicate record ID",IF(OR(D949="",E949="",AF949="",NOT(ISNUMBER(AG949)),AJ949="",AK949="",NOT(ISNUMBER(AL949)),AND(AM949&lt;&gt;"Observed",AM949&lt;&gt;"Corroborated",AM949&lt;&gt;"Declared"),OR(AN949="",AN949="Unknown"),OR(AQ949="",AQ949="Unknown"),OR(AR949="",AR949="Unknown",AR949="TBD"),OR(BC949="",NOT(ISNUMBER(BC949)))),"Evidence incomplete","Evidence recorded; review scope")))))</x:f>
      </x:c>
      <x:c r="BN949" s="73"/>
    </x:row>
    <x:row r="950" ht="34" customHeight="1">
      <x:c r="A950" s="73"/>
      <x:c r="B950" s="73"/>
      <x:c r="C950" s="73"/>
      <x:c r="D950" s="73"/>
      <x:c r="E950" s="73"/>
      <x:c r="F950" s="73"/>
      <x:c r="G950" s="73"/>
      <x:c r="H950" s="73"/>
      <x:c r="I950" s="75"/>
      <x:c r="J950" s="73"/>
      <x:c r="K950" s="73"/>
      <x:c r="L950" s="76"/>
      <x:c r="M950" s="73"/>
      <x:c r="N950" s="73"/>
      <x:c r="O950" s="73"/>
      <x:c r="P950" s="73"/>
      <x:c r="Q950" s="76"/>
      <x:c r="R950" s="73"/>
      <x:c r="S950" s="73"/>
      <x:c r="T950" s="73"/>
      <x:c r="U950" s="73"/>
      <x:c r="V950" s="73"/>
      <x:c r="W950" s="73"/>
      <x:c r="X950" s="73"/>
      <x:c r="Y950" s="73"/>
      <x:c r="Z950" s="73"/>
      <x:c r="AA950" s="73"/>
      <x:c r="AB950" s="76" t="str">
        <x:f>IF(A950="","",IF(OR(NOT(ISNUMBER(I950)),I950&lt;0,NOT(ISNUMBER(AP950)),AP950&lt;0,NOT(ISNUMBER(L950)),L950&lt;1,L950&gt;5,L950&lt;&gt;INT(L950),AND(J950&lt;&gt;"Public",J950&lt;&gt;"Partner",J950&lt;&gt;"Internal",J950&lt;&gt;"None"),AND(K950&lt;&gt;"High",K950&lt;&gt;"Medium",K950&lt;&gt;"Low",K950&lt;&gt;"None"),AND(W950&lt;&gt;"Hard-coded",W950&lt;&gt;"Configurable",W950&lt;&gt;"Policy-managed",W950&lt;&gt;"API/Library abstraction",W950&lt;&gt;"Automated"),AND(Z950&lt;&gt;"Y",Z950&lt;&gt;"N"),AND(AA950&lt;&gt;"Y",AA950&lt;&gt;"N")),"Incomplete",IF(Z950="Y",20,0)+L950*5+IF(AA950="Y",15,0)+IF(J950="Public",10,IF(J950="Partner",7,IF(J950="Internal",3,0)))+IF(W950="Hard-coded",10,IF(W950="Configurable",3,0))+IF(MAX(I950,AP950)&gt;=10,10,IF(MAX(I950,AP950)&gt;=5,7,IF(MAX(I950,AP950)&gt;=2,3,0)))+IF(K950="High",10,IF(K950="Medium",5,0))))</x:f>
      </x:c>
      <x:c r="AC950" s="73" t="str">
        <x:f>IF(A950="","",IF(NOT(ISNUMBER(AB950)),"Review inputs",IF(AB950&gt;=70,"P0 - Immediate",IF(AB950&gt;=50,"P1 - High",IF(AB950&gt;=30,"P2 - Medium",IF(AB950&gt;=15,"P3 - Low","P4 - Monitor"))))))</x:f>
      </x:c>
      <x:c r="AD950" s="73"/>
      <x:c r="AE950" s="73"/>
      <x:c r="AF950" s="73"/>
      <x:c r="AG950" s="77"/>
      <x:c r="AH950" s="73"/>
      <x:c r="AI950" s="91"/>
      <x:c r="AJ950" s="91"/>
      <x:c r="AK950" s="91"/>
      <x:c r="AL950" s="92"/>
      <x:c r="AM950" s="91"/>
      <x:c r="AN950" s="91"/>
      <x:c r="AO950" s="93"/>
      <x:c r="AP950" s="94"/>
      <x:c r="AQ950" s="91"/>
      <x:c r="AR950" s="91"/>
      <x:c r="AS950" s="91"/>
      <x:c r="AT950" s="91"/>
      <x:c r="AU950" s="91"/>
      <x:c r="AV950" s="91"/>
      <x:c r="AW950" s="91"/>
      <x:c r="AX950" s="91"/>
      <x:c r="AY950" s="91"/>
      <x:c r="AZ950" s="92"/>
      <x:c r="BA950" s="94"/>
      <x:c r="BB950" s="91"/>
      <x:c r="BC950" s="92"/>
      <x:c r="BD950" s="92"/>
      <x:c r="BE950" s="91"/>
      <x:c r="BF950" s="91"/>
      <x:c r="BG950" s="91"/>
      <x:c r="BH950" s="91"/>
      <x:c r="BI950" s="91"/>
      <x:c r="BJ950" s="91"/>
      <x:c r="BK950" s="91"/>
      <x:c r="BL950" s="91"/>
      <x:c r="BM950" s="73" t="str">
        <x:f>IF(A950="","",IF(AI950="Example","Example only",IF(AI950&lt;&gt;"Actual","Set record type",IF(COUNTIF($A$2:$A$1001,A950)&gt;1,"Duplicate record ID",IF(OR(D950="",E950="",AF950="",NOT(ISNUMBER(AG950)),AJ950="",AK950="",NOT(ISNUMBER(AL950)),AND(AM950&lt;&gt;"Observed",AM950&lt;&gt;"Corroborated",AM950&lt;&gt;"Declared"),OR(AN950="",AN950="Unknown"),OR(AQ950="",AQ950="Unknown"),OR(AR950="",AR950="Unknown",AR950="TBD"),OR(BC950="",NOT(ISNUMBER(BC950)))),"Evidence incomplete","Evidence recorded; review scope")))))</x:f>
      </x:c>
      <x:c r="BN950" s="73"/>
    </x:row>
    <x:row r="951" ht="34" customHeight="1">
      <x:c r="A951" s="73"/>
      <x:c r="B951" s="73"/>
      <x:c r="C951" s="73"/>
      <x:c r="D951" s="73"/>
      <x:c r="E951" s="73"/>
      <x:c r="F951" s="73"/>
      <x:c r="G951" s="73"/>
      <x:c r="H951" s="73"/>
      <x:c r="I951" s="75"/>
      <x:c r="J951" s="73"/>
      <x:c r="K951" s="73"/>
      <x:c r="L951" s="76"/>
      <x:c r="M951" s="73"/>
      <x:c r="N951" s="73"/>
      <x:c r="O951" s="73"/>
      <x:c r="P951" s="73"/>
      <x:c r="Q951" s="76"/>
      <x:c r="R951" s="73"/>
      <x:c r="S951" s="73"/>
      <x:c r="T951" s="73"/>
      <x:c r="U951" s="73"/>
      <x:c r="V951" s="73"/>
      <x:c r="W951" s="73"/>
      <x:c r="X951" s="73"/>
      <x:c r="Y951" s="73"/>
      <x:c r="Z951" s="73"/>
      <x:c r="AA951" s="73"/>
      <x:c r="AB951" s="76" t="str">
        <x:f>IF(A951="","",IF(OR(NOT(ISNUMBER(I951)),I951&lt;0,NOT(ISNUMBER(AP951)),AP951&lt;0,NOT(ISNUMBER(L951)),L951&lt;1,L951&gt;5,L951&lt;&gt;INT(L951),AND(J951&lt;&gt;"Public",J951&lt;&gt;"Partner",J951&lt;&gt;"Internal",J951&lt;&gt;"None"),AND(K951&lt;&gt;"High",K951&lt;&gt;"Medium",K951&lt;&gt;"Low",K951&lt;&gt;"None"),AND(W951&lt;&gt;"Hard-coded",W951&lt;&gt;"Configurable",W951&lt;&gt;"Policy-managed",W951&lt;&gt;"API/Library abstraction",W951&lt;&gt;"Automated"),AND(Z951&lt;&gt;"Y",Z951&lt;&gt;"N"),AND(AA951&lt;&gt;"Y",AA951&lt;&gt;"N")),"Incomplete",IF(Z951="Y",20,0)+L951*5+IF(AA951="Y",15,0)+IF(J951="Public",10,IF(J951="Partner",7,IF(J951="Internal",3,0)))+IF(W951="Hard-coded",10,IF(W951="Configurable",3,0))+IF(MAX(I951,AP951)&gt;=10,10,IF(MAX(I951,AP951)&gt;=5,7,IF(MAX(I951,AP951)&gt;=2,3,0)))+IF(K951="High",10,IF(K951="Medium",5,0))))</x:f>
      </x:c>
      <x:c r="AC951" s="73" t="str">
        <x:f>IF(A951="","",IF(NOT(ISNUMBER(AB951)),"Review inputs",IF(AB951&gt;=70,"P0 - Immediate",IF(AB951&gt;=50,"P1 - High",IF(AB951&gt;=30,"P2 - Medium",IF(AB951&gt;=15,"P3 - Low","P4 - Monitor"))))))</x:f>
      </x:c>
      <x:c r="AD951" s="73"/>
      <x:c r="AE951" s="73"/>
      <x:c r="AF951" s="73"/>
      <x:c r="AG951" s="77"/>
      <x:c r="AH951" s="73"/>
      <x:c r="AI951" s="91"/>
      <x:c r="AJ951" s="91"/>
      <x:c r="AK951" s="91"/>
      <x:c r="AL951" s="92"/>
      <x:c r="AM951" s="91"/>
      <x:c r="AN951" s="91"/>
      <x:c r="AO951" s="93"/>
      <x:c r="AP951" s="94"/>
      <x:c r="AQ951" s="91"/>
      <x:c r="AR951" s="91"/>
      <x:c r="AS951" s="91"/>
      <x:c r="AT951" s="91"/>
      <x:c r="AU951" s="91"/>
      <x:c r="AV951" s="91"/>
      <x:c r="AW951" s="91"/>
      <x:c r="AX951" s="91"/>
      <x:c r="AY951" s="91"/>
      <x:c r="AZ951" s="92"/>
      <x:c r="BA951" s="94"/>
      <x:c r="BB951" s="91"/>
      <x:c r="BC951" s="92"/>
      <x:c r="BD951" s="92"/>
      <x:c r="BE951" s="91"/>
      <x:c r="BF951" s="91"/>
      <x:c r="BG951" s="91"/>
      <x:c r="BH951" s="91"/>
      <x:c r="BI951" s="91"/>
      <x:c r="BJ951" s="91"/>
      <x:c r="BK951" s="91"/>
      <x:c r="BL951" s="91"/>
      <x:c r="BM951" s="73" t="str">
        <x:f>IF(A951="","",IF(AI951="Example","Example only",IF(AI951&lt;&gt;"Actual","Set record type",IF(COUNTIF($A$2:$A$1001,A951)&gt;1,"Duplicate record ID",IF(OR(D951="",E951="",AF951="",NOT(ISNUMBER(AG951)),AJ951="",AK951="",NOT(ISNUMBER(AL951)),AND(AM951&lt;&gt;"Observed",AM951&lt;&gt;"Corroborated",AM951&lt;&gt;"Declared"),OR(AN951="",AN951="Unknown"),OR(AQ951="",AQ951="Unknown"),OR(AR951="",AR951="Unknown",AR951="TBD"),OR(BC951="",NOT(ISNUMBER(BC951)))),"Evidence incomplete","Evidence recorded; review scope")))))</x:f>
      </x:c>
      <x:c r="BN951" s="73"/>
    </x:row>
    <x:row r="952" ht="34" customHeight="1">
      <x:c r="A952" s="73"/>
      <x:c r="B952" s="73"/>
      <x:c r="C952" s="73"/>
      <x:c r="D952" s="73"/>
      <x:c r="E952" s="73"/>
      <x:c r="F952" s="73"/>
      <x:c r="G952" s="73"/>
      <x:c r="H952" s="73"/>
      <x:c r="I952" s="75"/>
      <x:c r="J952" s="73"/>
      <x:c r="K952" s="73"/>
      <x:c r="L952" s="76"/>
      <x:c r="M952" s="73"/>
      <x:c r="N952" s="73"/>
      <x:c r="O952" s="73"/>
      <x:c r="P952" s="73"/>
      <x:c r="Q952" s="76"/>
      <x:c r="R952" s="73"/>
      <x:c r="S952" s="73"/>
      <x:c r="T952" s="73"/>
      <x:c r="U952" s="73"/>
      <x:c r="V952" s="73"/>
      <x:c r="W952" s="73"/>
      <x:c r="X952" s="73"/>
      <x:c r="Y952" s="73"/>
      <x:c r="Z952" s="73"/>
      <x:c r="AA952" s="73"/>
      <x:c r="AB952" s="76" t="str">
        <x:f>IF(A952="","",IF(OR(NOT(ISNUMBER(I952)),I952&lt;0,NOT(ISNUMBER(AP952)),AP952&lt;0,NOT(ISNUMBER(L952)),L952&lt;1,L952&gt;5,L952&lt;&gt;INT(L952),AND(J952&lt;&gt;"Public",J952&lt;&gt;"Partner",J952&lt;&gt;"Internal",J952&lt;&gt;"None"),AND(K952&lt;&gt;"High",K952&lt;&gt;"Medium",K952&lt;&gt;"Low",K952&lt;&gt;"None"),AND(W952&lt;&gt;"Hard-coded",W952&lt;&gt;"Configurable",W952&lt;&gt;"Policy-managed",W952&lt;&gt;"API/Library abstraction",W952&lt;&gt;"Automated"),AND(Z952&lt;&gt;"Y",Z952&lt;&gt;"N"),AND(AA952&lt;&gt;"Y",AA952&lt;&gt;"N")),"Incomplete",IF(Z952="Y",20,0)+L952*5+IF(AA952="Y",15,0)+IF(J952="Public",10,IF(J952="Partner",7,IF(J952="Internal",3,0)))+IF(W952="Hard-coded",10,IF(W952="Configurable",3,0))+IF(MAX(I952,AP952)&gt;=10,10,IF(MAX(I952,AP952)&gt;=5,7,IF(MAX(I952,AP952)&gt;=2,3,0)))+IF(K952="High",10,IF(K952="Medium",5,0))))</x:f>
      </x:c>
      <x:c r="AC952" s="73" t="str">
        <x:f>IF(A952="","",IF(NOT(ISNUMBER(AB952)),"Review inputs",IF(AB952&gt;=70,"P0 - Immediate",IF(AB952&gt;=50,"P1 - High",IF(AB952&gt;=30,"P2 - Medium",IF(AB952&gt;=15,"P3 - Low","P4 - Monitor"))))))</x:f>
      </x:c>
      <x:c r="AD952" s="73"/>
      <x:c r="AE952" s="73"/>
      <x:c r="AF952" s="73"/>
      <x:c r="AG952" s="77"/>
      <x:c r="AH952" s="73"/>
      <x:c r="AI952" s="91"/>
      <x:c r="AJ952" s="91"/>
      <x:c r="AK952" s="91"/>
      <x:c r="AL952" s="92"/>
      <x:c r="AM952" s="91"/>
      <x:c r="AN952" s="91"/>
      <x:c r="AO952" s="93"/>
      <x:c r="AP952" s="94"/>
      <x:c r="AQ952" s="91"/>
      <x:c r="AR952" s="91"/>
      <x:c r="AS952" s="91"/>
      <x:c r="AT952" s="91"/>
      <x:c r="AU952" s="91"/>
      <x:c r="AV952" s="91"/>
      <x:c r="AW952" s="91"/>
      <x:c r="AX952" s="91"/>
      <x:c r="AY952" s="91"/>
      <x:c r="AZ952" s="92"/>
      <x:c r="BA952" s="94"/>
      <x:c r="BB952" s="91"/>
      <x:c r="BC952" s="92"/>
      <x:c r="BD952" s="92"/>
      <x:c r="BE952" s="91"/>
      <x:c r="BF952" s="91"/>
      <x:c r="BG952" s="91"/>
      <x:c r="BH952" s="91"/>
      <x:c r="BI952" s="91"/>
      <x:c r="BJ952" s="91"/>
      <x:c r="BK952" s="91"/>
      <x:c r="BL952" s="91"/>
      <x:c r="BM952" s="73" t="str">
        <x:f>IF(A952="","",IF(AI952="Example","Example only",IF(AI952&lt;&gt;"Actual","Set record type",IF(COUNTIF($A$2:$A$1001,A952)&gt;1,"Duplicate record ID",IF(OR(D952="",E952="",AF952="",NOT(ISNUMBER(AG952)),AJ952="",AK952="",NOT(ISNUMBER(AL952)),AND(AM952&lt;&gt;"Observed",AM952&lt;&gt;"Corroborated",AM952&lt;&gt;"Declared"),OR(AN952="",AN952="Unknown"),OR(AQ952="",AQ952="Unknown"),OR(AR952="",AR952="Unknown",AR952="TBD"),OR(BC952="",NOT(ISNUMBER(BC952)))),"Evidence incomplete","Evidence recorded; review scope")))))</x:f>
      </x:c>
      <x:c r="BN952" s="73"/>
    </x:row>
    <x:row r="953" ht="34" customHeight="1">
      <x:c r="A953" s="73"/>
      <x:c r="B953" s="73"/>
      <x:c r="C953" s="73"/>
      <x:c r="D953" s="73"/>
      <x:c r="E953" s="73"/>
      <x:c r="F953" s="73"/>
      <x:c r="G953" s="73"/>
      <x:c r="H953" s="73"/>
      <x:c r="I953" s="75"/>
      <x:c r="J953" s="73"/>
      <x:c r="K953" s="73"/>
      <x:c r="L953" s="76"/>
      <x:c r="M953" s="73"/>
      <x:c r="N953" s="73"/>
      <x:c r="O953" s="73"/>
      <x:c r="P953" s="73"/>
      <x:c r="Q953" s="76"/>
      <x:c r="R953" s="73"/>
      <x:c r="S953" s="73"/>
      <x:c r="T953" s="73"/>
      <x:c r="U953" s="73"/>
      <x:c r="V953" s="73"/>
      <x:c r="W953" s="73"/>
      <x:c r="X953" s="73"/>
      <x:c r="Y953" s="73"/>
      <x:c r="Z953" s="73"/>
      <x:c r="AA953" s="73"/>
      <x:c r="AB953" s="76" t="str">
        <x:f>IF(A953="","",IF(OR(NOT(ISNUMBER(I953)),I953&lt;0,NOT(ISNUMBER(AP953)),AP953&lt;0,NOT(ISNUMBER(L953)),L953&lt;1,L953&gt;5,L953&lt;&gt;INT(L953),AND(J953&lt;&gt;"Public",J953&lt;&gt;"Partner",J953&lt;&gt;"Internal",J953&lt;&gt;"None"),AND(K953&lt;&gt;"High",K953&lt;&gt;"Medium",K953&lt;&gt;"Low",K953&lt;&gt;"None"),AND(W953&lt;&gt;"Hard-coded",W953&lt;&gt;"Configurable",W953&lt;&gt;"Policy-managed",W953&lt;&gt;"API/Library abstraction",W953&lt;&gt;"Automated"),AND(Z953&lt;&gt;"Y",Z953&lt;&gt;"N"),AND(AA953&lt;&gt;"Y",AA953&lt;&gt;"N")),"Incomplete",IF(Z953="Y",20,0)+L953*5+IF(AA953="Y",15,0)+IF(J953="Public",10,IF(J953="Partner",7,IF(J953="Internal",3,0)))+IF(W953="Hard-coded",10,IF(W953="Configurable",3,0))+IF(MAX(I953,AP953)&gt;=10,10,IF(MAX(I953,AP953)&gt;=5,7,IF(MAX(I953,AP953)&gt;=2,3,0)))+IF(K953="High",10,IF(K953="Medium",5,0))))</x:f>
      </x:c>
      <x:c r="AC953" s="73" t="str">
        <x:f>IF(A953="","",IF(NOT(ISNUMBER(AB953)),"Review inputs",IF(AB953&gt;=70,"P0 - Immediate",IF(AB953&gt;=50,"P1 - High",IF(AB953&gt;=30,"P2 - Medium",IF(AB953&gt;=15,"P3 - Low","P4 - Monitor"))))))</x:f>
      </x:c>
      <x:c r="AD953" s="73"/>
      <x:c r="AE953" s="73"/>
      <x:c r="AF953" s="73"/>
      <x:c r="AG953" s="77"/>
      <x:c r="AH953" s="73"/>
      <x:c r="AI953" s="91"/>
      <x:c r="AJ953" s="91"/>
      <x:c r="AK953" s="91"/>
      <x:c r="AL953" s="92"/>
      <x:c r="AM953" s="91"/>
      <x:c r="AN953" s="91"/>
      <x:c r="AO953" s="93"/>
      <x:c r="AP953" s="94"/>
      <x:c r="AQ953" s="91"/>
      <x:c r="AR953" s="91"/>
      <x:c r="AS953" s="91"/>
      <x:c r="AT953" s="91"/>
      <x:c r="AU953" s="91"/>
      <x:c r="AV953" s="91"/>
      <x:c r="AW953" s="91"/>
      <x:c r="AX953" s="91"/>
      <x:c r="AY953" s="91"/>
      <x:c r="AZ953" s="92"/>
      <x:c r="BA953" s="94"/>
      <x:c r="BB953" s="91"/>
      <x:c r="BC953" s="92"/>
      <x:c r="BD953" s="92"/>
      <x:c r="BE953" s="91"/>
      <x:c r="BF953" s="91"/>
      <x:c r="BG953" s="91"/>
      <x:c r="BH953" s="91"/>
      <x:c r="BI953" s="91"/>
      <x:c r="BJ953" s="91"/>
      <x:c r="BK953" s="91"/>
      <x:c r="BL953" s="91"/>
      <x:c r="BM953" s="73" t="str">
        <x:f>IF(A953="","",IF(AI953="Example","Example only",IF(AI953&lt;&gt;"Actual","Set record type",IF(COUNTIF($A$2:$A$1001,A953)&gt;1,"Duplicate record ID",IF(OR(D953="",E953="",AF953="",NOT(ISNUMBER(AG953)),AJ953="",AK953="",NOT(ISNUMBER(AL953)),AND(AM953&lt;&gt;"Observed",AM953&lt;&gt;"Corroborated",AM953&lt;&gt;"Declared"),OR(AN953="",AN953="Unknown"),OR(AQ953="",AQ953="Unknown"),OR(AR953="",AR953="Unknown",AR953="TBD"),OR(BC953="",NOT(ISNUMBER(BC953)))),"Evidence incomplete","Evidence recorded; review scope")))))</x:f>
      </x:c>
      <x:c r="BN953" s="73"/>
    </x:row>
    <x:row r="954" ht="34" customHeight="1">
      <x:c r="A954" s="73"/>
      <x:c r="B954" s="73"/>
      <x:c r="C954" s="73"/>
      <x:c r="D954" s="73"/>
      <x:c r="E954" s="73"/>
      <x:c r="F954" s="73"/>
      <x:c r="G954" s="73"/>
      <x:c r="H954" s="73"/>
      <x:c r="I954" s="75"/>
      <x:c r="J954" s="73"/>
      <x:c r="K954" s="73"/>
      <x:c r="L954" s="76"/>
      <x:c r="M954" s="73"/>
      <x:c r="N954" s="73"/>
      <x:c r="O954" s="73"/>
      <x:c r="P954" s="73"/>
      <x:c r="Q954" s="76"/>
      <x:c r="R954" s="73"/>
      <x:c r="S954" s="73"/>
      <x:c r="T954" s="73"/>
      <x:c r="U954" s="73"/>
      <x:c r="V954" s="73"/>
      <x:c r="W954" s="73"/>
      <x:c r="X954" s="73"/>
      <x:c r="Y954" s="73"/>
      <x:c r="Z954" s="73"/>
      <x:c r="AA954" s="73"/>
      <x:c r="AB954" s="76" t="str">
        <x:f>IF(A954="","",IF(OR(NOT(ISNUMBER(I954)),I954&lt;0,NOT(ISNUMBER(AP954)),AP954&lt;0,NOT(ISNUMBER(L954)),L954&lt;1,L954&gt;5,L954&lt;&gt;INT(L954),AND(J954&lt;&gt;"Public",J954&lt;&gt;"Partner",J954&lt;&gt;"Internal",J954&lt;&gt;"None"),AND(K954&lt;&gt;"High",K954&lt;&gt;"Medium",K954&lt;&gt;"Low",K954&lt;&gt;"None"),AND(W954&lt;&gt;"Hard-coded",W954&lt;&gt;"Configurable",W954&lt;&gt;"Policy-managed",W954&lt;&gt;"API/Library abstraction",W954&lt;&gt;"Automated"),AND(Z954&lt;&gt;"Y",Z954&lt;&gt;"N"),AND(AA954&lt;&gt;"Y",AA954&lt;&gt;"N")),"Incomplete",IF(Z954="Y",20,0)+L954*5+IF(AA954="Y",15,0)+IF(J954="Public",10,IF(J954="Partner",7,IF(J954="Internal",3,0)))+IF(W954="Hard-coded",10,IF(W954="Configurable",3,0))+IF(MAX(I954,AP954)&gt;=10,10,IF(MAX(I954,AP954)&gt;=5,7,IF(MAX(I954,AP954)&gt;=2,3,0)))+IF(K954="High",10,IF(K954="Medium",5,0))))</x:f>
      </x:c>
      <x:c r="AC954" s="73" t="str">
        <x:f>IF(A954="","",IF(NOT(ISNUMBER(AB954)),"Review inputs",IF(AB954&gt;=70,"P0 - Immediate",IF(AB954&gt;=50,"P1 - High",IF(AB954&gt;=30,"P2 - Medium",IF(AB954&gt;=15,"P3 - Low","P4 - Monitor"))))))</x:f>
      </x:c>
      <x:c r="AD954" s="73"/>
      <x:c r="AE954" s="73"/>
      <x:c r="AF954" s="73"/>
      <x:c r="AG954" s="77"/>
      <x:c r="AH954" s="73"/>
      <x:c r="AI954" s="91"/>
      <x:c r="AJ954" s="91"/>
      <x:c r="AK954" s="91"/>
      <x:c r="AL954" s="92"/>
      <x:c r="AM954" s="91"/>
      <x:c r="AN954" s="91"/>
      <x:c r="AO954" s="93"/>
      <x:c r="AP954" s="94"/>
      <x:c r="AQ954" s="91"/>
      <x:c r="AR954" s="91"/>
      <x:c r="AS954" s="91"/>
      <x:c r="AT954" s="91"/>
      <x:c r="AU954" s="91"/>
      <x:c r="AV954" s="91"/>
      <x:c r="AW954" s="91"/>
      <x:c r="AX954" s="91"/>
      <x:c r="AY954" s="91"/>
      <x:c r="AZ954" s="92"/>
      <x:c r="BA954" s="94"/>
      <x:c r="BB954" s="91"/>
      <x:c r="BC954" s="92"/>
      <x:c r="BD954" s="92"/>
      <x:c r="BE954" s="91"/>
      <x:c r="BF954" s="91"/>
      <x:c r="BG954" s="91"/>
      <x:c r="BH954" s="91"/>
      <x:c r="BI954" s="91"/>
      <x:c r="BJ954" s="91"/>
      <x:c r="BK954" s="91"/>
      <x:c r="BL954" s="91"/>
      <x:c r="BM954" s="73" t="str">
        <x:f>IF(A954="","",IF(AI954="Example","Example only",IF(AI954&lt;&gt;"Actual","Set record type",IF(COUNTIF($A$2:$A$1001,A954)&gt;1,"Duplicate record ID",IF(OR(D954="",E954="",AF954="",NOT(ISNUMBER(AG954)),AJ954="",AK954="",NOT(ISNUMBER(AL954)),AND(AM954&lt;&gt;"Observed",AM954&lt;&gt;"Corroborated",AM954&lt;&gt;"Declared"),OR(AN954="",AN954="Unknown"),OR(AQ954="",AQ954="Unknown"),OR(AR954="",AR954="Unknown",AR954="TBD"),OR(BC954="",NOT(ISNUMBER(BC954)))),"Evidence incomplete","Evidence recorded; review scope")))))</x:f>
      </x:c>
      <x:c r="BN954" s="73"/>
    </x:row>
    <x:row r="955" ht="34" customHeight="1">
      <x:c r="A955" s="73"/>
      <x:c r="B955" s="73"/>
      <x:c r="C955" s="73"/>
      <x:c r="D955" s="73"/>
      <x:c r="E955" s="73"/>
      <x:c r="F955" s="73"/>
      <x:c r="G955" s="73"/>
      <x:c r="H955" s="73"/>
      <x:c r="I955" s="75"/>
      <x:c r="J955" s="73"/>
      <x:c r="K955" s="73"/>
      <x:c r="L955" s="76"/>
      <x:c r="M955" s="73"/>
      <x:c r="N955" s="73"/>
      <x:c r="O955" s="73"/>
      <x:c r="P955" s="73"/>
      <x:c r="Q955" s="76"/>
      <x:c r="R955" s="73"/>
      <x:c r="S955" s="73"/>
      <x:c r="T955" s="73"/>
      <x:c r="U955" s="73"/>
      <x:c r="V955" s="73"/>
      <x:c r="W955" s="73"/>
      <x:c r="X955" s="73"/>
      <x:c r="Y955" s="73"/>
      <x:c r="Z955" s="73"/>
      <x:c r="AA955" s="73"/>
      <x:c r="AB955" s="76" t="str">
        <x:f>IF(A955="","",IF(OR(NOT(ISNUMBER(I955)),I955&lt;0,NOT(ISNUMBER(AP955)),AP955&lt;0,NOT(ISNUMBER(L955)),L955&lt;1,L955&gt;5,L955&lt;&gt;INT(L955),AND(J955&lt;&gt;"Public",J955&lt;&gt;"Partner",J955&lt;&gt;"Internal",J955&lt;&gt;"None"),AND(K955&lt;&gt;"High",K955&lt;&gt;"Medium",K955&lt;&gt;"Low",K955&lt;&gt;"None"),AND(W955&lt;&gt;"Hard-coded",W955&lt;&gt;"Configurable",W955&lt;&gt;"Policy-managed",W955&lt;&gt;"API/Library abstraction",W955&lt;&gt;"Automated"),AND(Z955&lt;&gt;"Y",Z955&lt;&gt;"N"),AND(AA955&lt;&gt;"Y",AA955&lt;&gt;"N")),"Incomplete",IF(Z955="Y",20,0)+L955*5+IF(AA955="Y",15,0)+IF(J955="Public",10,IF(J955="Partner",7,IF(J955="Internal",3,0)))+IF(W955="Hard-coded",10,IF(W955="Configurable",3,0))+IF(MAX(I955,AP955)&gt;=10,10,IF(MAX(I955,AP955)&gt;=5,7,IF(MAX(I955,AP955)&gt;=2,3,0)))+IF(K955="High",10,IF(K955="Medium",5,0))))</x:f>
      </x:c>
      <x:c r="AC955" s="73" t="str">
        <x:f>IF(A955="","",IF(NOT(ISNUMBER(AB955)),"Review inputs",IF(AB955&gt;=70,"P0 - Immediate",IF(AB955&gt;=50,"P1 - High",IF(AB955&gt;=30,"P2 - Medium",IF(AB955&gt;=15,"P3 - Low","P4 - Monitor"))))))</x:f>
      </x:c>
      <x:c r="AD955" s="73"/>
      <x:c r="AE955" s="73"/>
      <x:c r="AF955" s="73"/>
      <x:c r="AG955" s="77"/>
      <x:c r="AH955" s="73"/>
      <x:c r="AI955" s="91"/>
      <x:c r="AJ955" s="91"/>
      <x:c r="AK955" s="91"/>
      <x:c r="AL955" s="92"/>
      <x:c r="AM955" s="91"/>
      <x:c r="AN955" s="91"/>
      <x:c r="AO955" s="93"/>
      <x:c r="AP955" s="94"/>
      <x:c r="AQ955" s="91"/>
      <x:c r="AR955" s="91"/>
      <x:c r="AS955" s="91"/>
      <x:c r="AT955" s="91"/>
      <x:c r="AU955" s="91"/>
      <x:c r="AV955" s="91"/>
      <x:c r="AW955" s="91"/>
      <x:c r="AX955" s="91"/>
      <x:c r="AY955" s="91"/>
      <x:c r="AZ955" s="92"/>
      <x:c r="BA955" s="94"/>
      <x:c r="BB955" s="91"/>
      <x:c r="BC955" s="92"/>
      <x:c r="BD955" s="92"/>
      <x:c r="BE955" s="91"/>
      <x:c r="BF955" s="91"/>
      <x:c r="BG955" s="91"/>
      <x:c r="BH955" s="91"/>
      <x:c r="BI955" s="91"/>
      <x:c r="BJ955" s="91"/>
      <x:c r="BK955" s="91"/>
      <x:c r="BL955" s="91"/>
      <x:c r="BM955" s="73" t="str">
        <x:f>IF(A955="","",IF(AI955="Example","Example only",IF(AI955&lt;&gt;"Actual","Set record type",IF(COUNTIF($A$2:$A$1001,A955)&gt;1,"Duplicate record ID",IF(OR(D955="",E955="",AF955="",NOT(ISNUMBER(AG955)),AJ955="",AK955="",NOT(ISNUMBER(AL955)),AND(AM955&lt;&gt;"Observed",AM955&lt;&gt;"Corroborated",AM955&lt;&gt;"Declared"),OR(AN955="",AN955="Unknown"),OR(AQ955="",AQ955="Unknown"),OR(AR955="",AR955="Unknown",AR955="TBD"),OR(BC955="",NOT(ISNUMBER(BC955)))),"Evidence incomplete","Evidence recorded; review scope")))))</x:f>
      </x:c>
      <x:c r="BN955" s="73"/>
    </x:row>
    <x:row r="956" ht="34" customHeight="1">
      <x:c r="A956" s="73"/>
      <x:c r="B956" s="73"/>
      <x:c r="C956" s="73"/>
      <x:c r="D956" s="73"/>
      <x:c r="E956" s="73"/>
      <x:c r="F956" s="73"/>
      <x:c r="G956" s="73"/>
      <x:c r="H956" s="73"/>
      <x:c r="I956" s="75"/>
      <x:c r="J956" s="73"/>
      <x:c r="K956" s="73"/>
      <x:c r="L956" s="76"/>
      <x:c r="M956" s="73"/>
      <x:c r="N956" s="73"/>
      <x:c r="O956" s="73"/>
      <x:c r="P956" s="73"/>
      <x:c r="Q956" s="76"/>
      <x:c r="R956" s="73"/>
      <x:c r="S956" s="73"/>
      <x:c r="T956" s="73"/>
      <x:c r="U956" s="73"/>
      <x:c r="V956" s="73"/>
      <x:c r="W956" s="73"/>
      <x:c r="X956" s="73"/>
      <x:c r="Y956" s="73"/>
      <x:c r="Z956" s="73"/>
      <x:c r="AA956" s="73"/>
      <x:c r="AB956" s="76" t="str">
        <x:f>IF(A956="","",IF(OR(NOT(ISNUMBER(I956)),I956&lt;0,NOT(ISNUMBER(AP956)),AP956&lt;0,NOT(ISNUMBER(L956)),L956&lt;1,L956&gt;5,L956&lt;&gt;INT(L956),AND(J956&lt;&gt;"Public",J956&lt;&gt;"Partner",J956&lt;&gt;"Internal",J956&lt;&gt;"None"),AND(K956&lt;&gt;"High",K956&lt;&gt;"Medium",K956&lt;&gt;"Low",K956&lt;&gt;"None"),AND(W956&lt;&gt;"Hard-coded",W956&lt;&gt;"Configurable",W956&lt;&gt;"Policy-managed",W956&lt;&gt;"API/Library abstraction",W956&lt;&gt;"Automated"),AND(Z956&lt;&gt;"Y",Z956&lt;&gt;"N"),AND(AA956&lt;&gt;"Y",AA956&lt;&gt;"N")),"Incomplete",IF(Z956="Y",20,0)+L956*5+IF(AA956="Y",15,0)+IF(J956="Public",10,IF(J956="Partner",7,IF(J956="Internal",3,0)))+IF(W956="Hard-coded",10,IF(W956="Configurable",3,0))+IF(MAX(I956,AP956)&gt;=10,10,IF(MAX(I956,AP956)&gt;=5,7,IF(MAX(I956,AP956)&gt;=2,3,0)))+IF(K956="High",10,IF(K956="Medium",5,0))))</x:f>
      </x:c>
      <x:c r="AC956" s="73" t="str">
        <x:f>IF(A956="","",IF(NOT(ISNUMBER(AB956)),"Review inputs",IF(AB956&gt;=70,"P0 - Immediate",IF(AB956&gt;=50,"P1 - High",IF(AB956&gt;=30,"P2 - Medium",IF(AB956&gt;=15,"P3 - Low","P4 - Monitor"))))))</x:f>
      </x:c>
      <x:c r="AD956" s="73"/>
      <x:c r="AE956" s="73"/>
      <x:c r="AF956" s="73"/>
      <x:c r="AG956" s="77"/>
      <x:c r="AH956" s="73"/>
      <x:c r="AI956" s="91"/>
      <x:c r="AJ956" s="91"/>
      <x:c r="AK956" s="91"/>
      <x:c r="AL956" s="92"/>
      <x:c r="AM956" s="91"/>
      <x:c r="AN956" s="91"/>
      <x:c r="AO956" s="93"/>
      <x:c r="AP956" s="94"/>
      <x:c r="AQ956" s="91"/>
      <x:c r="AR956" s="91"/>
      <x:c r="AS956" s="91"/>
      <x:c r="AT956" s="91"/>
      <x:c r="AU956" s="91"/>
      <x:c r="AV956" s="91"/>
      <x:c r="AW956" s="91"/>
      <x:c r="AX956" s="91"/>
      <x:c r="AY956" s="91"/>
      <x:c r="AZ956" s="92"/>
      <x:c r="BA956" s="94"/>
      <x:c r="BB956" s="91"/>
      <x:c r="BC956" s="92"/>
      <x:c r="BD956" s="92"/>
      <x:c r="BE956" s="91"/>
      <x:c r="BF956" s="91"/>
      <x:c r="BG956" s="91"/>
      <x:c r="BH956" s="91"/>
      <x:c r="BI956" s="91"/>
      <x:c r="BJ956" s="91"/>
      <x:c r="BK956" s="91"/>
      <x:c r="BL956" s="91"/>
      <x:c r="BM956" s="73" t="str">
        <x:f>IF(A956="","",IF(AI956="Example","Example only",IF(AI956&lt;&gt;"Actual","Set record type",IF(COUNTIF($A$2:$A$1001,A956)&gt;1,"Duplicate record ID",IF(OR(D956="",E956="",AF956="",NOT(ISNUMBER(AG956)),AJ956="",AK956="",NOT(ISNUMBER(AL956)),AND(AM956&lt;&gt;"Observed",AM956&lt;&gt;"Corroborated",AM956&lt;&gt;"Declared"),OR(AN956="",AN956="Unknown"),OR(AQ956="",AQ956="Unknown"),OR(AR956="",AR956="Unknown",AR956="TBD"),OR(BC956="",NOT(ISNUMBER(BC956)))),"Evidence incomplete","Evidence recorded; review scope")))))</x:f>
      </x:c>
      <x:c r="BN956" s="73"/>
    </x:row>
    <x:row r="957" ht="34" customHeight="1">
      <x:c r="A957" s="73"/>
      <x:c r="B957" s="73"/>
      <x:c r="C957" s="73"/>
      <x:c r="D957" s="73"/>
      <x:c r="E957" s="73"/>
      <x:c r="F957" s="73"/>
      <x:c r="G957" s="73"/>
      <x:c r="H957" s="73"/>
      <x:c r="I957" s="75"/>
      <x:c r="J957" s="73"/>
      <x:c r="K957" s="73"/>
      <x:c r="L957" s="76"/>
      <x:c r="M957" s="73"/>
      <x:c r="N957" s="73"/>
      <x:c r="O957" s="73"/>
      <x:c r="P957" s="73"/>
      <x:c r="Q957" s="76"/>
      <x:c r="R957" s="73"/>
      <x:c r="S957" s="73"/>
      <x:c r="T957" s="73"/>
      <x:c r="U957" s="73"/>
      <x:c r="V957" s="73"/>
      <x:c r="W957" s="73"/>
      <x:c r="X957" s="73"/>
      <x:c r="Y957" s="73"/>
      <x:c r="Z957" s="73"/>
      <x:c r="AA957" s="73"/>
      <x:c r="AB957" s="76" t="str">
        <x:f>IF(A957="","",IF(OR(NOT(ISNUMBER(I957)),I957&lt;0,NOT(ISNUMBER(AP957)),AP957&lt;0,NOT(ISNUMBER(L957)),L957&lt;1,L957&gt;5,L957&lt;&gt;INT(L957),AND(J957&lt;&gt;"Public",J957&lt;&gt;"Partner",J957&lt;&gt;"Internal",J957&lt;&gt;"None"),AND(K957&lt;&gt;"High",K957&lt;&gt;"Medium",K957&lt;&gt;"Low",K957&lt;&gt;"None"),AND(W957&lt;&gt;"Hard-coded",W957&lt;&gt;"Configurable",W957&lt;&gt;"Policy-managed",W957&lt;&gt;"API/Library abstraction",W957&lt;&gt;"Automated"),AND(Z957&lt;&gt;"Y",Z957&lt;&gt;"N"),AND(AA957&lt;&gt;"Y",AA957&lt;&gt;"N")),"Incomplete",IF(Z957="Y",20,0)+L957*5+IF(AA957="Y",15,0)+IF(J957="Public",10,IF(J957="Partner",7,IF(J957="Internal",3,0)))+IF(W957="Hard-coded",10,IF(W957="Configurable",3,0))+IF(MAX(I957,AP957)&gt;=10,10,IF(MAX(I957,AP957)&gt;=5,7,IF(MAX(I957,AP957)&gt;=2,3,0)))+IF(K957="High",10,IF(K957="Medium",5,0))))</x:f>
      </x:c>
      <x:c r="AC957" s="73" t="str">
        <x:f>IF(A957="","",IF(NOT(ISNUMBER(AB957)),"Review inputs",IF(AB957&gt;=70,"P0 - Immediate",IF(AB957&gt;=50,"P1 - High",IF(AB957&gt;=30,"P2 - Medium",IF(AB957&gt;=15,"P3 - Low","P4 - Monitor"))))))</x:f>
      </x:c>
      <x:c r="AD957" s="73"/>
      <x:c r="AE957" s="73"/>
      <x:c r="AF957" s="73"/>
      <x:c r="AG957" s="77"/>
      <x:c r="AH957" s="73"/>
      <x:c r="AI957" s="91"/>
      <x:c r="AJ957" s="91"/>
      <x:c r="AK957" s="91"/>
      <x:c r="AL957" s="92"/>
      <x:c r="AM957" s="91"/>
      <x:c r="AN957" s="91"/>
      <x:c r="AO957" s="93"/>
      <x:c r="AP957" s="94"/>
      <x:c r="AQ957" s="91"/>
      <x:c r="AR957" s="91"/>
      <x:c r="AS957" s="91"/>
      <x:c r="AT957" s="91"/>
      <x:c r="AU957" s="91"/>
      <x:c r="AV957" s="91"/>
      <x:c r="AW957" s="91"/>
      <x:c r="AX957" s="91"/>
      <x:c r="AY957" s="91"/>
      <x:c r="AZ957" s="92"/>
      <x:c r="BA957" s="94"/>
      <x:c r="BB957" s="91"/>
      <x:c r="BC957" s="92"/>
      <x:c r="BD957" s="92"/>
      <x:c r="BE957" s="91"/>
      <x:c r="BF957" s="91"/>
      <x:c r="BG957" s="91"/>
      <x:c r="BH957" s="91"/>
      <x:c r="BI957" s="91"/>
      <x:c r="BJ957" s="91"/>
      <x:c r="BK957" s="91"/>
      <x:c r="BL957" s="91"/>
      <x:c r="BM957" s="73" t="str">
        <x:f>IF(A957="","",IF(AI957="Example","Example only",IF(AI957&lt;&gt;"Actual","Set record type",IF(COUNTIF($A$2:$A$1001,A957)&gt;1,"Duplicate record ID",IF(OR(D957="",E957="",AF957="",NOT(ISNUMBER(AG957)),AJ957="",AK957="",NOT(ISNUMBER(AL957)),AND(AM957&lt;&gt;"Observed",AM957&lt;&gt;"Corroborated",AM957&lt;&gt;"Declared"),OR(AN957="",AN957="Unknown"),OR(AQ957="",AQ957="Unknown"),OR(AR957="",AR957="Unknown",AR957="TBD"),OR(BC957="",NOT(ISNUMBER(BC957)))),"Evidence incomplete","Evidence recorded; review scope")))))</x:f>
      </x:c>
      <x:c r="BN957" s="73"/>
    </x:row>
    <x:row r="958" ht="34" customHeight="1">
      <x:c r="A958" s="73"/>
      <x:c r="B958" s="73"/>
      <x:c r="C958" s="73"/>
      <x:c r="D958" s="73"/>
      <x:c r="E958" s="73"/>
      <x:c r="F958" s="73"/>
      <x:c r="G958" s="73"/>
      <x:c r="H958" s="73"/>
      <x:c r="I958" s="75"/>
      <x:c r="J958" s="73"/>
      <x:c r="K958" s="73"/>
      <x:c r="L958" s="76"/>
      <x:c r="M958" s="73"/>
      <x:c r="N958" s="73"/>
      <x:c r="O958" s="73"/>
      <x:c r="P958" s="73"/>
      <x:c r="Q958" s="76"/>
      <x:c r="R958" s="73"/>
      <x:c r="S958" s="73"/>
      <x:c r="T958" s="73"/>
      <x:c r="U958" s="73"/>
      <x:c r="V958" s="73"/>
      <x:c r="W958" s="73"/>
      <x:c r="X958" s="73"/>
      <x:c r="Y958" s="73"/>
      <x:c r="Z958" s="73"/>
      <x:c r="AA958" s="73"/>
      <x:c r="AB958" s="76" t="str">
        <x:f>IF(A958="","",IF(OR(NOT(ISNUMBER(I958)),I958&lt;0,NOT(ISNUMBER(AP958)),AP958&lt;0,NOT(ISNUMBER(L958)),L958&lt;1,L958&gt;5,L958&lt;&gt;INT(L958),AND(J958&lt;&gt;"Public",J958&lt;&gt;"Partner",J958&lt;&gt;"Internal",J958&lt;&gt;"None"),AND(K958&lt;&gt;"High",K958&lt;&gt;"Medium",K958&lt;&gt;"Low",K958&lt;&gt;"None"),AND(W958&lt;&gt;"Hard-coded",W958&lt;&gt;"Configurable",W958&lt;&gt;"Policy-managed",W958&lt;&gt;"API/Library abstraction",W958&lt;&gt;"Automated"),AND(Z958&lt;&gt;"Y",Z958&lt;&gt;"N"),AND(AA958&lt;&gt;"Y",AA958&lt;&gt;"N")),"Incomplete",IF(Z958="Y",20,0)+L958*5+IF(AA958="Y",15,0)+IF(J958="Public",10,IF(J958="Partner",7,IF(J958="Internal",3,0)))+IF(W958="Hard-coded",10,IF(W958="Configurable",3,0))+IF(MAX(I958,AP958)&gt;=10,10,IF(MAX(I958,AP958)&gt;=5,7,IF(MAX(I958,AP958)&gt;=2,3,0)))+IF(K958="High",10,IF(K958="Medium",5,0))))</x:f>
      </x:c>
      <x:c r="AC958" s="73" t="str">
        <x:f>IF(A958="","",IF(NOT(ISNUMBER(AB958)),"Review inputs",IF(AB958&gt;=70,"P0 - Immediate",IF(AB958&gt;=50,"P1 - High",IF(AB958&gt;=30,"P2 - Medium",IF(AB958&gt;=15,"P3 - Low","P4 - Monitor"))))))</x:f>
      </x:c>
      <x:c r="AD958" s="73"/>
      <x:c r="AE958" s="73"/>
      <x:c r="AF958" s="73"/>
      <x:c r="AG958" s="77"/>
      <x:c r="AH958" s="73"/>
      <x:c r="AI958" s="91"/>
      <x:c r="AJ958" s="91"/>
      <x:c r="AK958" s="91"/>
      <x:c r="AL958" s="92"/>
      <x:c r="AM958" s="91"/>
      <x:c r="AN958" s="91"/>
      <x:c r="AO958" s="93"/>
      <x:c r="AP958" s="94"/>
      <x:c r="AQ958" s="91"/>
      <x:c r="AR958" s="91"/>
      <x:c r="AS958" s="91"/>
      <x:c r="AT958" s="91"/>
      <x:c r="AU958" s="91"/>
      <x:c r="AV958" s="91"/>
      <x:c r="AW958" s="91"/>
      <x:c r="AX958" s="91"/>
      <x:c r="AY958" s="91"/>
      <x:c r="AZ958" s="92"/>
      <x:c r="BA958" s="94"/>
      <x:c r="BB958" s="91"/>
      <x:c r="BC958" s="92"/>
      <x:c r="BD958" s="92"/>
      <x:c r="BE958" s="91"/>
      <x:c r="BF958" s="91"/>
      <x:c r="BG958" s="91"/>
      <x:c r="BH958" s="91"/>
      <x:c r="BI958" s="91"/>
      <x:c r="BJ958" s="91"/>
      <x:c r="BK958" s="91"/>
      <x:c r="BL958" s="91"/>
      <x:c r="BM958" s="73" t="str">
        <x:f>IF(A958="","",IF(AI958="Example","Example only",IF(AI958&lt;&gt;"Actual","Set record type",IF(COUNTIF($A$2:$A$1001,A958)&gt;1,"Duplicate record ID",IF(OR(D958="",E958="",AF958="",NOT(ISNUMBER(AG958)),AJ958="",AK958="",NOT(ISNUMBER(AL958)),AND(AM958&lt;&gt;"Observed",AM958&lt;&gt;"Corroborated",AM958&lt;&gt;"Declared"),OR(AN958="",AN958="Unknown"),OR(AQ958="",AQ958="Unknown"),OR(AR958="",AR958="Unknown",AR958="TBD"),OR(BC958="",NOT(ISNUMBER(BC958)))),"Evidence incomplete","Evidence recorded; review scope")))))</x:f>
      </x:c>
      <x:c r="BN958" s="73"/>
    </x:row>
    <x:row r="959" ht="34" customHeight="1">
      <x:c r="A959" s="73"/>
      <x:c r="B959" s="73"/>
      <x:c r="C959" s="73"/>
      <x:c r="D959" s="73"/>
      <x:c r="E959" s="73"/>
      <x:c r="F959" s="73"/>
      <x:c r="G959" s="73"/>
      <x:c r="H959" s="73"/>
      <x:c r="I959" s="75"/>
      <x:c r="J959" s="73"/>
      <x:c r="K959" s="73"/>
      <x:c r="L959" s="76"/>
      <x:c r="M959" s="73"/>
      <x:c r="N959" s="73"/>
      <x:c r="O959" s="73"/>
      <x:c r="P959" s="73"/>
      <x:c r="Q959" s="76"/>
      <x:c r="R959" s="73"/>
      <x:c r="S959" s="73"/>
      <x:c r="T959" s="73"/>
      <x:c r="U959" s="73"/>
      <x:c r="V959" s="73"/>
      <x:c r="W959" s="73"/>
      <x:c r="X959" s="73"/>
      <x:c r="Y959" s="73"/>
      <x:c r="Z959" s="73"/>
      <x:c r="AA959" s="73"/>
      <x:c r="AB959" s="76" t="str">
        <x:f>IF(A959="","",IF(OR(NOT(ISNUMBER(I959)),I959&lt;0,NOT(ISNUMBER(AP959)),AP959&lt;0,NOT(ISNUMBER(L959)),L959&lt;1,L959&gt;5,L959&lt;&gt;INT(L959),AND(J959&lt;&gt;"Public",J959&lt;&gt;"Partner",J959&lt;&gt;"Internal",J959&lt;&gt;"None"),AND(K959&lt;&gt;"High",K959&lt;&gt;"Medium",K959&lt;&gt;"Low",K959&lt;&gt;"None"),AND(W959&lt;&gt;"Hard-coded",W959&lt;&gt;"Configurable",W959&lt;&gt;"Policy-managed",W959&lt;&gt;"API/Library abstraction",W959&lt;&gt;"Automated"),AND(Z959&lt;&gt;"Y",Z959&lt;&gt;"N"),AND(AA959&lt;&gt;"Y",AA959&lt;&gt;"N")),"Incomplete",IF(Z959="Y",20,0)+L959*5+IF(AA959="Y",15,0)+IF(J959="Public",10,IF(J959="Partner",7,IF(J959="Internal",3,0)))+IF(W959="Hard-coded",10,IF(W959="Configurable",3,0))+IF(MAX(I959,AP959)&gt;=10,10,IF(MAX(I959,AP959)&gt;=5,7,IF(MAX(I959,AP959)&gt;=2,3,0)))+IF(K959="High",10,IF(K959="Medium",5,0))))</x:f>
      </x:c>
      <x:c r="AC959" s="73" t="str">
        <x:f>IF(A959="","",IF(NOT(ISNUMBER(AB959)),"Review inputs",IF(AB959&gt;=70,"P0 - Immediate",IF(AB959&gt;=50,"P1 - High",IF(AB959&gt;=30,"P2 - Medium",IF(AB959&gt;=15,"P3 - Low","P4 - Monitor"))))))</x:f>
      </x:c>
      <x:c r="AD959" s="73"/>
      <x:c r="AE959" s="73"/>
      <x:c r="AF959" s="73"/>
      <x:c r="AG959" s="77"/>
      <x:c r="AH959" s="73"/>
      <x:c r="AI959" s="91"/>
      <x:c r="AJ959" s="91"/>
      <x:c r="AK959" s="91"/>
      <x:c r="AL959" s="92"/>
      <x:c r="AM959" s="91"/>
      <x:c r="AN959" s="91"/>
      <x:c r="AO959" s="93"/>
      <x:c r="AP959" s="94"/>
      <x:c r="AQ959" s="91"/>
      <x:c r="AR959" s="91"/>
      <x:c r="AS959" s="91"/>
      <x:c r="AT959" s="91"/>
      <x:c r="AU959" s="91"/>
      <x:c r="AV959" s="91"/>
      <x:c r="AW959" s="91"/>
      <x:c r="AX959" s="91"/>
      <x:c r="AY959" s="91"/>
      <x:c r="AZ959" s="92"/>
      <x:c r="BA959" s="94"/>
      <x:c r="BB959" s="91"/>
      <x:c r="BC959" s="92"/>
      <x:c r="BD959" s="92"/>
      <x:c r="BE959" s="91"/>
      <x:c r="BF959" s="91"/>
      <x:c r="BG959" s="91"/>
      <x:c r="BH959" s="91"/>
      <x:c r="BI959" s="91"/>
      <x:c r="BJ959" s="91"/>
      <x:c r="BK959" s="91"/>
      <x:c r="BL959" s="91"/>
      <x:c r="BM959" s="73" t="str">
        <x:f>IF(A959="","",IF(AI959="Example","Example only",IF(AI959&lt;&gt;"Actual","Set record type",IF(COUNTIF($A$2:$A$1001,A959)&gt;1,"Duplicate record ID",IF(OR(D959="",E959="",AF959="",NOT(ISNUMBER(AG959)),AJ959="",AK959="",NOT(ISNUMBER(AL959)),AND(AM959&lt;&gt;"Observed",AM959&lt;&gt;"Corroborated",AM959&lt;&gt;"Declared"),OR(AN959="",AN959="Unknown"),OR(AQ959="",AQ959="Unknown"),OR(AR959="",AR959="Unknown",AR959="TBD"),OR(BC959="",NOT(ISNUMBER(BC959)))),"Evidence incomplete","Evidence recorded; review scope")))))</x:f>
      </x:c>
      <x:c r="BN959" s="73"/>
    </x:row>
    <x:row r="960" ht="34" customHeight="1">
      <x:c r="A960" s="73"/>
      <x:c r="B960" s="73"/>
      <x:c r="C960" s="73"/>
      <x:c r="D960" s="73"/>
      <x:c r="E960" s="73"/>
      <x:c r="F960" s="73"/>
      <x:c r="G960" s="73"/>
      <x:c r="H960" s="73"/>
      <x:c r="I960" s="75"/>
      <x:c r="J960" s="73"/>
      <x:c r="K960" s="73"/>
      <x:c r="L960" s="76"/>
      <x:c r="M960" s="73"/>
      <x:c r="N960" s="73"/>
      <x:c r="O960" s="73"/>
      <x:c r="P960" s="73"/>
      <x:c r="Q960" s="76"/>
      <x:c r="R960" s="73"/>
      <x:c r="S960" s="73"/>
      <x:c r="T960" s="73"/>
      <x:c r="U960" s="73"/>
      <x:c r="V960" s="73"/>
      <x:c r="W960" s="73"/>
      <x:c r="X960" s="73"/>
      <x:c r="Y960" s="73"/>
      <x:c r="Z960" s="73"/>
      <x:c r="AA960" s="73"/>
      <x:c r="AB960" s="76" t="str">
        <x:f>IF(A960="","",IF(OR(NOT(ISNUMBER(I960)),I960&lt;0,NOT(ISNUMBER(AP960)),AP960&lt;0,NOT(ISNUMBER(L960)),L960&lt;1,L960&gt;5,L960&lt;&gt;INT(L960),AND(J960&lt;&gt;"Public",J960&lt;&gt;"Partner",J960&lt;&gt;"Internal",J960&lt;&gt;"None"),AND(K960&lt;&gt;"High",K960&lt;&gt;"Medium",K960&lt;&gt;"Low",K960&lt;&gt;"None"),AND(W960&lt;&gt;"Hard-coded",W960&lt;&gt;"Configurable",W960&lt;&gt;"Policy-managed",W960&lt;&gt;"API/Library abstraction",W960&lt;&gt;"Automated"),AND(Z960&lt;&gt;"Y",Z960&lt;&gt;"N"),AND(AA960&lt;&gt;"Y",AA960&lt;&gt;"N")),"Incomplete",IF(Z960="Y",20,0)+L960*5+IF(AA960="Y",15,0)+IF(J960="Public",10,IF(J960="Partner",7,IF(J960="Internal",3,0)))+IF(W960="Hard-coded",10,IF(W960="Configurable",3,0))+IF(MAX(I960,AP960)&gt;=10,10,IF(MAX(I960,AP960)&gt;=5,7,IF(MAX(I960,AP960)&gt;=2,3,0)))+IF(K960="High",10,IF(K960="Medium",5,0))))</x:f>
      </x:c>
      <x:c r="AC960" s="73" t="str">
        <x:f>IF(A960="","",IF(NOT(ISNUMBER(AB960)),"Review inputs",IF(AB960&gt;=70,"P0 - Immediate",IF(AB960&gt;=50,"P1 - High",IF(AB960&gt;=30,"P2 - Medium",IF(AB960&gt;=15,"P3 - Low","P4 - Monitor"))))))</x:f>
      </x:c>
      <x:c r="AD960" s="73"/>
      <x:c r="AE960" s="73"/>
      <x:c r="AF960" s="73"/>
      <x:c r="AG960" s="77"/>
      <x:c r="AH960" s="73"/>
      <x:c r="AI960" s="91"/>
      <x:c r="AJ960" s="91"/>
      <x:c r="AK960" s="91"/>
      <x:c r="AL960" s="92"/>
      <x:c r="AM960" s="91"/>
      <x:c r="AN960" s="91"/>
      <x:c r="AO960" s="93"/>
      <x:c r="AP960" s="94"/>
      <x:c r="AQ960" s="91"/>
      <x:c r="AR960" s="91"/>
      <x:c r="AS960" s="91"/>
      <x:c r="AT960" s="91"/>
      <x:c r="AU960" s="91"/>
      <x:c r="AV960" s="91"/>
      <x:c r="AW960" s="91"/>
      <x:c r="AX960" s="91"/>
      <x:c r="AY960" s="91"/>
      <x:c r="AZ960" s="92"/>
      <x:c r="BA960" s="94"/>
      <x:c r="BB960" s="91"/>
      <x:c r="BC960" s="92"/>
      <x:c r="BD960" s="92"/>
      <x:c r="BE960" s="91"/>
      <x:c r="BF960" s="91"/>
      <x:c r="BG960" s="91"/>
      <x:c r="BH960" s="91"/>
      <x:c r="BI960" s="91"/>
      <x:c r="BJ960" s="91"/>
      <x:c r="BK960" s="91"/>
      <x:c r="BL960" s="91"/>
      <x:c r="BM960" s="73" t="str">
        <x:f>IF(A960="","",IF(AI960="Example","Example only",IF(AI960&lt;&gt;"Actual","Set record type",IF(COUNTIF($A$2:$A$1001,A960)&gt;1,"Duplicate record ID",IF(OR(D960="",E960="",AF960="",NOT(ISNUMBER(AG960)),AJ960="",AK960="",NOT(ISNUMBER(AL960)),AND(AM960&lt;&gt;"Observed",AM960&lt;&gt;"Corroborated",AM960&lt;&gt;"Declared"),OR(AN960="",AN960="Unknown"),OR(AQ960="",AQ960="Unknown"),OR(AR960="",AR960="Unknown",AR960="TBD"),OR(BC960="",NOT(ISNUMBER(BC960)))),"Evidence incomplete","Evidence recorded; review scope")))))</x:f>
      </x:c>
      <x:c r="BN960" s="73"/>
    </x:row>
    <x:row r="961" ht="34" customHeight="1">
      <x:c r="A961" s="73"/>
      <x:c r="B961" s="73"/>
      <x:c r="C961" s="73"/>
      <x:c r="D961" s="73"/>
      <x:c r="E961" s="73"/>
      <x:c r="F961" s="73"/>
      <x:c r="G961" s="73"/>
      <x:c r="H961" s="73"/>
      <x:c r="I961" s="75"/>
      <x:c r="J961" s="73"/>
      <x:c r="K961" s="73"/>
      <x:c r="L961" s="76"/>
      <x:c r="M961" s="73"/>
      <x:c r="N961" s="73"/>
      <x:c r="O961" s="73"/>
      <x:c r="P961" s="73"/>
      <x:c r="Q961" s="76"/>
      <x:c r="R961" s="73"/>
      <x:c r="S961" s="73"/>
      <x:c r="T961" s="73"/>
      <x:c r="U961" s="73"/>
      <x:c r="V961" s="73"/>
      <x:c r="W961" s="73"/>
      <x:c r="X961" s="73"/>
      <x:c r="Y961" s="73"/>
      <x:c r="Z961" s="73"/>
      <x:c r="AA961" s="73"/>
      <x:c r="AB961" s="76" t="str">
        <x:f>IF(A961="","",IF(OR(NOT(ISNUMBER(I961)),I961&lt;0,NOT(ISNUMBER(AP961)),AP961&lt;0,NOT(ISNUMBER(L961)),L961&lt;1,L961&gt;5,L961&lt;&gt;INT(L961),AND(J961&lt;&gt;"Public",J961&lt;&gt;"Partner",J961&lt;&gt;"Internal",J961&lt;&gt;"None"),AND(K961&lt;&gt;"High",K961&lt;&gt;"Medium",K961&lt;&gt;"Low",K961&lt;&gt;"None"),AND(W961&lt;&gt;"Hard-coded",W961&lt;&gt;"Configurable",W961&lt;&gt;"Policy-managed",W961&lt;&gt;"API/Library abstraction",W961&lt;&gt;"Automated"),AND(Z961&lt;&gt;"Y",Z961&lt;&gt;"N"),AND(AA961&lt;&gt;"Y",AA961&lt;&gt;"N")),"Incomplete",IF(Z961="Y",20,0)+L961*5+IF(AA961="Y",15,0)+IF(J961="Public",10,IF(J961="Partner",7,IF(J961="Internal",3,0)))+IF(W961="Hard-coded",10,IF(W961="Configurable",3,0))+IF(MAX(I961,AP961)&gt;=10,10,IF(MAX(I961,AP961)&gt;=5,7,IF(MAX(I961,AP961)&gt;=2,3,0)))+IF(K961="High",10,IF(K961="Medium",5,0))))</x:f>
      </x:c>
      <x:c r="AC961" s="73" t="str">
        <x:f>IF(A961="","",IF(NOT(ISNUMBER(AB961)),"Review inputs",IF(AB961&gt;=70,"P0 - Immediate",IF(AB961&gt;=50,"P1 - High",IF(AB961&gt;=30,"P2 - Medium",IF(AB961&gt;=15,"P3 - Low","P4 - Monitor"))))))</x:f>
      </x:c>
      <x:c r="AD961" s="73"/>
      <x:c r="AE961" s="73"/>
      <x:c r="AF961" s="73"/>
      <x:c r="AG961" s="77"/>
      <x:c r="AH961" s="73"/>
      <x:c r="AI961" s="91"/>
      <x:c r="AJ961" s="91"/>
      <x:c r="AK961" s="91"/>
      <x:c r="AL961" s="92"/>
      <x:c r="AM961" s="91"/>
      <x:c r="AN961" s="91"/>
      <x:c r="AO961" s="93"/>
      <x:c r="AP961" s="94"/>
      <x:c r="AQ961" s="91"/>
      <x:c r="AR961" s="91"/>
      <x:c r="AS961" s="91"/>
      <x:c r="AT961" s="91"/>
      <x:c r="AU961" s="91"/>
      <x:c r="AV961" s="91"/>
      <x:c r="AW961" s="91"/>
      <x:c r="AX961" s="91"/>
      <x:c r="AY961" s="91"/>
      <x:c r="AZ961" s="92"/>
      <x:c r="BA961" s="94"/>
      <x:c r="BB961" s="91"/>
      <x:c r="BC961" s="92"/>
      <x:c r="BD961" s="92"/>
      <x:c r="BE961" s="91"/>
      <x:c r="BF961" s="91"/>
      <x:c r="BG961" s="91"/>
      <x:c r="BH961" s="91"/>
      <x:c r="BI961" s="91"/>
      <x:c r="BJ961" s="91"/>
      <x:c r="BK961" s="91"/>
      <x:c r="BL961" s="91"/>
      <x:c r="BM961" s="73" t="str">
        <x:f>IF(A961="","",IF(AI961="Example","Example only",IF(AI961&lt;&gt;"Actual","Set record type",IF(COUNTIF($A$2:$A$1001,A961)&gt;1,"Duplicate record ID",IF(OR(D961="",E961="",AF961="",NOT(ISNUMBER(AG961)),AJ961="",AK961="",NOT(ISNUMBER(AL961)),AND(AM961&lt;&gt;"Observed",AM961&lt;&gt;"Corroborated",AM961&lt;&gt;"Declared"),OR(AN961="",AN961="Unknown"),OR(AQ961="",AQ961="Unknown"),OR(AR961="",AR961="Unknown",AR961="TBD"),OR(BC961="",NOT(ISNUMBER(BC961)))),"Evidence incomplete","Evidence recorded; review scope")))))</x:f>
      </x:c>
      <x:c r="BN961" s="73"/>
    </x:row>
    <x:row r="962" ht="34" customHeight="1">
      <x:c r="A962" s="73"/>
      <x:c r="B962" s="73"/>
      <x:c r="C962" s="73"/>
      <x:c r="D962" s="73"/>
      <x:c r="E962" s="73"/>
      <x:c r="F962" s="73"/>
      <x:c r="G962" s="73"/>
      <x:c r="H962" s="73"/>
      <x:c r="I962" s="75"/>
      <x:c r="J962" s="73"/>
      <x:c r="K962" s="73"/>
      <x:c r="L962" s="76"/>
      <x:c r="M962" s="73"/>
      <x:c r="N962" s="73"/>
      <x:c r="O962" s="73"/>
      <x:c r="P962" s="73"/>
      <x:c r="Q962" s="76"/>
      <x:c r="R962" s="73"/>
      <x:c r="S962" s="73"/>
      <x:c r="T962" s="73"/>
      <x:c r="U962" s="73"/>
      <x:c r="V962" s="73"/>
      <x:c r="W962" s="73"/>
      <x:c r="X962" s="73"/>
      <x:c r="Y962" s="73"/>
      <x:c r="Z962" s="73"/>
      <x:c r="AA962" s="73"/>
      <x:c r="AB962" s="76" t="str">
        <x:f>IF(A962="","",IF(OR(NOT(ISNUMBER(I962)),I962&lt;0,NOT(ISNUMBER(AP962)),AP962&lt;0,NOT(ISNUMBER(L962)),L962&lt;1,L962&gt;5,L962&lt;&gt;INT(L962),AND(J962&lt;&gt;"Public",J962&lt;&gt;"Partner",J962&lt;&gt;"Internal",J962&lt;&gt;"None"),AND(K962&lt;&gt;"High",K962&lt;&gt;"Medium",K962&lt;&gt;"Low",K962&lt;&gt;"None"),AND(W962&lt;&gt;"Hard-coded",W962&lt;&gt;"Configurable",W962&lt;&gt;"Policy-managed",W962&lt;&gt;"API/Library abstraction",W962&lt;&gt;"Automated"),AND(Z962&lt;&gt;"Y",Z962&lt;&gt;"N"),AND(AA962&lt;&gt;"Y",AA962&lt;&gt;"N")),"Incomplete",IF(Z962="Y",20,0)+L962*5+IF(AA962="Y",15,0)+IF(J962="Public",10,IF(J962="Partner",7,IF(J962="Internal",3,0)))+IF(W962="Hard-coded",10,IF(W962="Configurable",3,0))+IF(MAX(I962,AP962)&gt;=10,10,IF(MAX(I962,AP962)&gt;=5,7,IF(MAX(I962,AP962)&gt;=2,3,0)))+IF(K962="High",10,IF(K962="Medium",5,0))))</x:f>
      </x:c>
      <x:c r="AC962" s="73" t="str">
        <x:f>IF(A962="","",IF(NOT(ISNUMBER(AB962)),"Review inputs",IF(AB962&gt;=70,"P0 - Immediate",IF(AB962&gt;=50,"P1 - High",IF(AB962&gt;=30,"P2 - Medium",IF(AB962&gt;=15,"P3 - Low","P4 - Monitor"))))))</x:f>
      </x:c>
      <x:c r="AD962" s="73"/>
      <x:c r="AE962" s="73"/>
      <x:c r="AF962" s="73"/>
      <x:c r="AG962" s="77"/>
      <x:c r="AH962" s="73"/>
      <x:c r="AI962" s="91"/>
      <x:c r="AJ962" s="91"/>
      <x:c r="AK962" s="91"/>
      <x:c r="AL962" s="92"/>
      <x:c r="AM962" s="91"/>
      <x:c r="AN962" s="91"/>
      <x:c r="AO962" s="93"/>
      <x:c r="AP962" s="94"/>
      <x:c r="AQ962" s="91"/>
      <x:c r="AR962" s="91"/>
      <x:c r="AS962" s="91"/>
      <x:c r="AT962" s="91"/>
      <x:c r="AU962" s="91"/>
      <x:c r="AV962" s="91"/>
      <x:c r="AW962" s="91"/>
      <x:c r="AX962" s="91"/>
      <x:c r="AY962" s="91"/>
      <x:c r="AZ962" s="92"/>
      <x:c r="BA962" s="94"/>
      <x:c r="BB962" s="91"/>
      <x:c r="BC962" s="92"/>
      <x:c r="BD962" s="92"/>
      <x:c r="BE962" s="91"/>
      <x:c r="BF962" s="91"/>
      <x:c r="BG962" s="91"/>
      <x:c r="BH962" s="91"/>
      <x:c r="BI962" s="91"/>
      <x:c r="BJ962" s="91"/>
      <x:c r="BK962" s="91"/>
      <x:c r="BL962" s="91"/>
      <x:c r="BM962" s="73" t="str">
        <x:f>IF(A962="","",IF(AI962="Example","Example only",IF(AI962&lt;&gt;"Actual","Set record type",IF(COUNTIF($A$2:$A$1001,A962)&gt;1,"Duplicate record ID",IF(OR(D962="",E962="",AF962="",NOT(ISNUMBER(AG962)),AJ962="",AK962="",NOT(ISNUMBER(AL962)),AND(AM962&lt;&gt;"Observed",AM962&lt;&gt;"Corroborated",AM962&lt;&gt;"Declared"),OR(AN962="",AN962="Unknown"),OR(AQ962="",AQ962="Unknown"),OR(AR962="",AR962="Unknown",AR962="TBD"),OR(BC962="",NOT(ISNUMBER(BC962)))),"Evidence incomplete","Evidence recorded; review scope")))))</x:f>
      </x:c>
      <x:c r="BN962" s="73"/>
    </x:row>
    <x:row r="963" ht="34" customHeight="1">
      <x:c r="A963" s="73"/>
      <x:c r="B963" s="73"/>
      <x:c r="C963" s="73"/>
      <x:c r="D963" s="73"/>
      <x:c r="E963" s="73"/>
      <x:c r="F963" s="73"/>
      <x:c r="G963" s="73"/>
      <x:c r="H963" s="73"/>
      <x:c r="I963" s="75"/>
      <x:c r="J963" s="73"/>
      <x:c r="K963" s="73"/>
      <x:c r="L963" s="76"/>
      <x:c r="M963" s="73"/>
      <x:c r="N963" s="73"/>
      <x:c r="O963" s="73"/>
      <x:c r="P963" s="73"/>
      <x:c r="Q963" s="76"/>
      <x:c r="R963" s="73"/>
      <x:c r="S963" s="73"/>
      <x:c r="T963" s="73"/>
      <x:c r="U963" s="73"/>
      <x:c r="V963" s="73"/>
      <x:c r="W963" s="73"/>
      <x:c r="X963" s="73"/>
      <x:c r="Y963" s="73"/>
      <x:c r="Z963" s="73"/>
      <x:c r="AA963" s="73"/>
      <x:c r="AB963" s="76" t="str">
        <x:f>IF(A963="","",IF(OR(NOT(ISNUMBER(I963)),I963&lt;0,NOT(ISNUMBER(AP963)),AP963&lt;0,NOT(ISNUMBER(L963)),L963&lt;1,L963&gt;5,L963&lt;&gt;INT(L963),AND(J963&lt;&gt;"Public",J963&lt;&gt;"Partner",J963&lt;&gt;"Internal",J963&lt;&gt;"None"),AND(K963&lt;&gt;"High",K963&lt;&gt;"Medium",K963&lt;&gt;"Low",K963&lt;&gt;"None"),AND(W963&lt;&gt;"Hard-coded",W963&lt;&gt;"Configurable",W963&lt;&gt;"Policy-managed",W963&lt;&gt;"API/Library abstraction",W963&lt;&gt;"Automated"),AND(Z963&lt;&gt;"Y",Z963&lt;&gt;"N"),AND(AA963&lt;&gt;"Y",AA963&lt;&gt;"N")),"Incomplete",IF(Z963="Y",20,0)+L963*5+IF(AA963="Y",15,0)+IF(J963="Public",10,IF(J963="Partner",7,IF(J963="Internal",3,0)))+IF(W963="Hard-coded",10,IF(W963="Configurable",3,0))+IF(MAX(I963,AP963)&gt;=10,10,IF(MAX(I963,AP963)&gt;=5,7,IF(MAX(I963,AP963)&gt;=2,3,0)))+IF(K963="High",10,IF(K963="Medium",5,0))))</x:f>
      </x:c>
      <x:c r="AC963" s="73" t="str">
        <x:f>IF(A963="","",IF(NOT(ISNUMBER(AB963)),"Review inputs",IF(AB963&gt;=70,"P0 - Immediate",IF(AB963&gt;=50,"P1 - High",IF(AB963&gt;=30,"P2 - Medium",IF(AB963&gt;=15,"P3 - Low","P4 - Monitor"))))))</x:f>
      </x:c>
      <x:c r="AD963" s="73"/>
      <x:c r="AE963" s="73"/>
      <x:c r="AF963" s="73"/>
      <x:c r="AG963" s="77"/>
      <x:c r="AH963" s="73"/>
      <x:c r="AI963" s="91"/>
      <x:c r="AJ963" s="91"/>
      <x:c r="AK963" s="91"/>
      <x:c r="AL963" s="92"/>
      <x:c r="AM963" s="91"/>
      <x:c r="AN963" s="91"/>
      <x:c r="AO963" s="93"/>
      <x:c r="AP963" s="94"/>
      <x:c r="AQ963" s="91"/>
      <x:c r="AR963" s="91"/>
      <x:c r="AS963" s="91"/>
      <x:c r="AT963" s="91"/>
      <x:c r="AU963" s="91"/>
      <x:c r="AV963" s="91"/>
      <x:c r="AW963" s="91"/>
      <x:c r="AX963" s="91"/>
      <x:c r="AY963" s="91"/>
      <x:c r="AZ963" s="92"/>
      <x:c r="BA963" s="94"/>
      <x:c r="BB963" s="91"/>
      <x:c r="BC963" s="92"/>
      <x:c r="BD963" s="92"/>
      <x:c r="BE963" s="91"/>
      <x:c r="BF963" s="91"/>
      <x:c r="BG963" s="91"/>
      <x:c r="BH963" s="91"/>
      <x:c r="BI963" s="91"/>
      <x:c r="BJ963" s="91"/>
      <x:c r="BK963" s="91"/>
      <x:c r="BL963" s="91"/>
      <x:c r="BM963" s="73" t="str">
        <x:f>IF(A963="","",IF(AI963="Example","Example only",IF(AI963&lt;&gt;"Actual","Set record type",IF(COUNTIF($A$2:$A$1001,A963)&gt;1,"Duplicate record ID",IF(OR(D963="",E963="",AF963="",NOT(ISNUMBER(AG963)),AJ963="",AK963="",NOT(ISNUMBER(AL963)),AND(AM963&lt;&gt;"Observed",AM963&lt;&gt;"Corroborated",AM963&lt;&gt;"Declared"),OR(AN963="",AN963="Unknown"),OR(AQ963="",AQ963="Unknown"),OR(AR963="",AR963="Unknown",AR963="TBD"),OR(BC963="",NOT(ISNUMBER(BC963)))),"Evidence incomplete","Evidence recorded; review scope")))))</x:f>
      </x:c>
      <x:c r="BN963" s="73"/>
    </x:row>
    <x:row r="964" ht="34" customHeight="1">
      <x:c r="A964" s="73"/>
      <x:c r="B964" s="73"/>
      <x:c r="C964" s="73"/>
      <x:c r="D964" s="73"/>
      <x:c r="E964" s="73"/>
      <x:c r="F964" s="73"/>
      <x:c r="G964" s="73"/>
      <x:c r="H964" s="73"/>
      <x:c r="I964" s="75"/>
      <x:c r="J964" s="73"/>
      <x:c r="K964" s="73"/>
      <x:c r="L964" s="76"/>
      <x:c r="M964" s="73"/>
      <x:c r="N964" s="73"/>
      <x:c r="O964" s="73"/>
      <x:c r="P964" s="73"/>
      <x:c r="Q964" s="76"/>
      <x:c r="R964" s="73"/>
      <x:c r="S964" s="73"/>
      <x:c r="T964" s="73"/>
      <x:c r="U964" s="73"/>
      <x:c r="V964" s="73"/>
      <x:c r="W964" s="73"/>
      <x:c r="X964" s="73"/>
      <x:c r="Y964" s="73"/>
      <x:c r="Z964" s="73"/>
      <x:c r="AA964" s="73"/>
      <x:c r="AB964" s="76" t="str">
        <x:f>IF(A964="","",IF(OR(NOT(ISNUMBER(I964)),I964&lt;0,NOT(ISNUMBER(AP964)),AP964&lt;0,NOT(ISNUMBER(L964)),L964&lt;1,L964&gt;5,L964&lt;&gt;INT(L964),AND(J964&lt;&gt;"Public",J964&lt;&gt;"Partner",J964&lt;&gt;"Internal",J964&lt;&gt;"None"),AND(K964&lt;&gt;"High",K964&lt;&gt;"Medium",K964&lt;&gt;"Low",K964&lt;&gt;"None"),AND(W964&lt;&gt;"Hard-coded",W964&lt;&gt;"Configurable",W964&lt;&gt;"Policy-managed",W964&lt;&gt;"API/Library abstraction",W964&lt;&gt;"Automated"),AND(Z964&lt;&gt;"Y",Z964&lt;&gt;"N"),AND(AA964&lt;&gt;"Y",AA964&lt;&gt;"N")),"Incomplete",IF(Z964="Y",20,0)+L964*5+IF(AA964="Y",15,0)+IF(J964="Public",10,IF(J964="Partner",7,IF(J964="Internal",3,0)))+IF(W964="Hard-coded",10,IF(W964="Configurable",3,0))+IF(MAX(I964,AP964)&gt;=10,10,IF(MAX(I964,AP964)&gt;=5,7,IF(MAX(I964,AP964)&gt;=2,3,0)))+IF(K964="High",10,IF(K964="Medium",5,0))))</x:f>
      </x:c>
      <x:c r="AC964" s="73" t="str">
        <x:f>IF(A964="","",IF(NOT(ISNUMBER(AB964)),"Review inputs",IF(AB964&gt;=70,"P0 - Immediate",IF(AB964&gt;=50,"P1 - High",IF(AB964&gt;=30,"P2 - Medium",IF(AB964&gt;=15,"P3 - Low","P4 - Monitor"))))))</x:f>
      </x:c>
      <x:c r="AD964" s="73"/>
      <x:c r="AE964" s="73"/>
      <x:c r="AF964" s="73"/>
      <x:c r="AG964" s="77"/>
      <x:c r="AH964" s="73"/>
      <x:c r="AI964" s="91"/>
      <x:c r="AJ964" s="91"/>
      <x:c r="AK964" s="91"/>
      <x:c r="AL964" s="92"/>
      <x:c r="AM964" s="91"/>
      <x:c r="AN964" s="91"/>
      <x:c r="AO964" s="93"/>
      <x:c r="AP964" s="94"/>
      <x:c r="AQ964" s="91"/>
      <x:c r="AR964" s="91"/>
      <x:c r="AS964" s="91"/>
      <x:c r="AT964" s="91"/>
      <x:c r="AU964" s="91"/>
      <x:c r="AV964" s="91"/>
      <x:c r="AW964" s="91"/>
      <x:c r="AX964" s="91"/>
      <x:c r="AY964" s="91"/>
      <x:c r="AZ964" s="92"/>
      <x:c r="BA964" s="94"/>
      <x:c r="BB964" s="91"/>
      <x:c r="BC964" s="92"/>
      <x:c r="BD964" s="92"/>
      <x:c r="BE964" s="91"/>
      <x:c r="BF964" s="91"/>
      <x:c r="BG964" s="91"/>
      <x:c r="BH964" s="91"/>
      <x:c r="BI964" s="91"/>
      <x:c r="BJ964" s="91"/>
      <x:c r="BK964" s="91"/>
      <x:c r="BL964" s="91"/>
      <x:c r="BM964" s="73" t="str">
        <x:f>IF(A964="","",IF(AI964="Example","Example only",IF(AI964&lt;&gt;"Actual","Set record type",IF(COUNTIF($A$2:$A$1001,A964)&gt;1,"Duplicate record ID",IF(OR(D964="",E964="",AF964="",NOT(ISNUMBER(AG964)),AJ964="",AK964="",NOT(ISNUMBER(AL964)),AND(AM964&lt;&gt;"Observed",AM964&lt;&gt;"Corroborated",AM964&lt;&gt;"Declared"),OR(AN964="",AN964="Unknown"),OR(AQ964="",AQ964="Unknown"),OR(AR964="",AR964="Unknown",AR964="TBD"),OR(BC964="",NOT(ISNUMBER(BC964)))),"Evidence incomplete","Evidence recorded; review scope")))))</x:f>
      </x:c>
      <x:c r="BN964" s="73"/>
    </x:row>
    <x:row r="965" ht="34" customHeight="1">
      <x:c r="A965" s="73"/>
      <x:c r="B965" s="73"/>
      <x:c r="C965" s="73"/>
      <x:c r="D965" s="73"/>
      <x:c r="E965" s="73"/>
      <x:c r="F965" s="73"/>
      <x:c r="G965" s="73"/>
      <x:c r="H965" s="73"/>
      <x:c r="I965" s="75"/>
      <x:c r="J965" s="73"/>
      <x:c r="K965" s="73"/>
      <x:c r="L965" s="76"/>
      <x:c r="M965" s="73"/>
      <x:c r="N965" s="73"/>
      <x:c r="O965" s="73"/>
      <x:c r="P965" s="73"/>
      <x:c r="Q965" s="76"/>
      <x:c r="R965" s="73"/>
      <x:c r="S965" s="73"/>
      <x:c r="T965" s="73"/>
      <x:c r="U965" s="73"/>
      <x:c r="V965" s="73"/>
      <x:c r="W965" s="73"/>
      <x:c r="X965" s="73"/>
      <x:c r="Y965" s="73"/>
      <x:c r="Z965" s="73"/>
      <x:c r="AA965" s="73"/>
      <x:c r="AB965" s="76" t="str">
        <x:f>IF(A965="","",IF(OR(NOT(ISNUMBER(I965)),I965&lt;0,NOT(ISNUMBER(AP965)),AP965&lt;0,NOT(ISNUMBER(L965)),L965&lt;1,L965&gt;5,L965&lt;&gt;INT(L965),AND(J965&lt;&gt;"Public",J965&lt;&gt;"Partner",J965&lt;&gt;"Internal",J965&lt;&gt;"None"),AND(K965&lt;&gt;"High",K965&lt;&gt;"Medium",K965&lt;&gt;"Low",K965&lt;&gt;"None"),AND(W965&lt;&gt;"Hard-coded",W965&lt;&gt;"Configurable",W965&lt;&gt;"Policy-managed",W965&lt;&gt;"API/Library abstraction",W965&lt;&gt;"Automated"),AND(Z965&lt;&gt;"Y",Z965&lt;&gt;"N"),AND(AA965&lt;&gt;"Y",AA965&lt;&gt;"N")),"Incomplete",IF(Z965="Y",20,0)+L965*5+IF(AA965="Y",15,0)+IF(J965="Public",10,IF(J965="Partner",7,IF(J965="Internal",3,0)))+IF(W965="Hard-coded",10,IF(W965="Configurable",3,0))+IF(MAX(I965,AP965)&gt;=10,10,IF(MAX(I965,AP965)&gt;=5,7,IF(MAX(I965,AP965)&gt;=2,3,0)))+IF(K965="High",10,IF(K965="Medium",5,0))))</x:f>
      </x:c>
      <x:c r="AC965" s="73" t="str">
        <x:f>IF(A965="","",IF(NOT(ISNUMBER(AB965)),"Review inputs",IF(AB965&gt;=70,"P0 - Immediate",IF(AB965&gt;=50,"P1 - High",IF(AB965&gt;=30,"P2 - Medium",IF(AB965&gt;=15,"P3 - Low","P4 - Monitor"))))))</x:f>
      </x:c>
      <x:c r="AD965" s="73"/>
      <x:c r="AE965" s="73"/>
      <x:c r="AF965" s="73"/>
      <x:c r="AG965" s="77"/>
      <x:c r="AH965" s="73"/>
      <x:c r="AI965" s="91"/>
      <x:c r="AJ965" s="91"/>
      <x:c r="AK965" s="91"/>
      <x:c r="AL965" s="92"/>
      <x:c r="AM965" s="91"/>
      <x:c r="AN965" s="91"/>
      <x:c r="AO965" s="93"/>
      <x:c r="AP965" s="94"/>
      <x:c r="AQ965" s="91"/>
      <x:c r="AR965" s="91"/>
      <x:c r="AS965" s="91"/>
      <x:c r="AT965" s="91"/>
      <x:c r="AU965" s="91"/>
      <x:c r="AV965" s="91"/>
      <x:c r="AW965" s="91"/>
      <x:c r="AX965" s="91"/>
      <x:c r="AY965" s="91"/>
      <x:c r="AZ965" s="92"/>
      <x:c r="BA965" s="94"/>
      <x:c r="BB965" s="91"/>
      <x:c r="BC965" s="92"/>
      <x:c r="BD965" s="92"/>
      <x:c r="BE965" s="91"/>
      <x:c r="BF965" s="91"/>
      <x:c r="BG965" s="91"/>
      <x:c r="BH965" s="91"/>
      <x:c r="BI965" s="91"/>
      <x:c r="BJ965" s="91"/>
      <x:c r="BK965" s="91"/>
      <x:c r="BL965" s="91"/>
      <x:c r="BM965" s="73" t="str">
        <x:f>IF(A965="","",IF(AI965="Example","Example only",IF(AI965&lt;&gt;"Actual","Set record type",IF(COUNTIF($A$2:$A$1001,A965)&gt;1,"Duplicate record ID",IF(OR(D965="",E965="",AF965="",NOT(ISNUMBER(AG965)),AJ965="",AK965="",NOT(ISNUMBER(AL965)),AND(AM965&lt;&gt;"Observed",AM965&lt;&gt;"Corroborated",AM965&lt;&gt;"Declared"),OR(AN965="",AN965="Unknown"),OR(AQ965="",AQ965="Unknown"),OR(AR965="",AR965="Unknown",AR965="TBD"),OR(BC965="",NOT(ISNUMBER(BC965)))),"Evidence incomplete","Evidence recorded; review scope")))))</x:f>
      </x:c>
      <x:c r="BN965" s="73"/>
    </x:row>
    <x:row r="966" ht="34" customHeight="1">
      <x:c r="A966" s="73"/>
      <x:c r="B966" s="73"/>
      <x:c r="C966" s="73"/>
      <x:c r="D966" s="73"/>
      <x:c r="E966" s="73"/>
      <x:c r="F966" s="73"/>
      <x:c r="G966" s="73"/>
      <x:c r="H966" s="73"/>
      <x:c r="I966" s="75"/>
      <x:c r="J966" s="73"/>
      <x:c r="K966" s="73"/>
      <x:c r="L966" s="76"/>
      <x:c r="M966" s="73"/>
      <x:c r="N966" s="73"/>
      <x:c r="O966" s="73"/>
      <x:c r="P966" s="73"/>
      <x:c r="Q966" s="76"/>
      <x:c r="R966" s="73"/>
      <x:c r="S966" s="73"/>
      <x:c r="T966" s="73"/>
      <x:c r="U966" s="73"/>
      <x:c r="V966" s="73"/>
      <x:c r="W966" s="73"/>
      <x:c r="X966" s="73"/>
      <x:c r="Y966" s="73"/>
      <x:c r="Z966" s="73"/>
      <x:c r="AA966" s="73"/>
      <x:c r="AB966" s="76" t="str">
        <x:f>IF(A966="","",IF(OR(NOT(ISNUMBER(I966)),I966&lt;0,NOT(ISNUMBER(AP966)),AP966&lt;0,NOT(ISNUMBER(L966)),L966&lt;1,L966&gt;5,L966&lt;&gt;INT(L966),AND(J966&lt;&gt;"Public",J966&lt;&gt;"Partner",J966&lt;&gt;"Internal",J966&lt;&gt;"None"),AND(K966&lt;&gt;"High",K966&lt;&gt;"Medium",K966&lt;&gt;"Low",K966&lt;&gt;"None"),AND(W966&lt;&gt;"Hard-coded",W966&lt;&gt;"Configurable",W966&lt;&gt;"Policy-managed",W966&lt;&gt;"API/Library abstraction",W966&lt;&gt;"Automated"),AND(Z966&lt;&gt;"Y",Z966&lt;&gt;"N"),AND(AA966&lt;&gt;"Y",AA966&lt;&gt;"N")),"Incomplete",IF(Z966="Y",20,0)+L966*5+IF(AA966="Y",15,0)+IF(J966="Public",10,IF(J966="Partner",7,IF(J966="Internal",3,0)))+IF(W966="Hard-coded",10,IF(W966="Configurable",3,0))+IF(MAX(I966,AP966)&gt;=10,10,IF(MAX(I966,AP966)&gt;=5,7,IF(MAX(I966,AP966)&gt;=2,3,0)))+IF(K966="High",10,IF(K966="Medium",5,0))))</x:f>
      </x:c>
      <x:c r="AC966" s="73" t="str">
        <x:f>IF(A966="","",IF(NOT(ISNUMBER(AB966)),"Review inputs",IF(AB966&gt;=70,"P0 - Immediate",IF(AB966&gt;=50,"P1 - High",IF(AB966&gt;=30,"P2 - Medium",IF(AB966&gt;=15,"P3 - Low","P4 - Monitor"))))))</x:f>
      </x:c>
      <x:c r="AD966" s="73"/>
      <x:c r="AE966" s="73"/>
      <x:c r="AF966" s="73"/>
      <x:c r="AG966" s="77"/>
      <x:c r="AH966" s="73"/>
      <x:c r="AI966" s="91"/>
      <x:c r="AJ966" s="91"/>
      <x:c r="AK966" s="91"/>
      <x:c r="AL966" s="92"/>
      <x:c r="AM966" s="91"/>
      <x:c r="AN966" s="91"/>
      <x:c r="AO966" s="93"/>
      <x:c r="AP966" s="94"/>
      <x:c r="AQ966" s="91"/>
      <x:c r="AR966" s="91"/>
      <x:c r="AS966" s="91"/>
      <x:c r="AT966" s="91"/>
      <x:c r="AU966" s="91"/>
      <x:c r="AV966" s="91"/>
      <x:c r="AW966" s="91"/>
      <x:c r="AX966" s="91"/>
      <x:c r="AY966" s="91"/>
      <x:c r="AZ966" s="92"/>
      <x:c r="BA966" s="94"/>
      <x:c r="BB966" s="91"/>
      <x:c r="BC966" s="92"/>
      <x:c r="BD966" s="92"/>
      <x:c r="BE966" s="91"/>
      <x:c r="BF966" s="91"/>
      <x:c r="BG966" s="91"/>
      <x:c r="BH966" s="91"/>
      <x:c r="BI966" s="91"/>
      <x:c r="BJ966" s="91"/>
      <x:c r="BK966" s="91"/>
      <x:c r="BL966" s="91"/>
      <x:c r="BM966" s="73" t="str">
        <x:f>IF(A966="","",IF(AI966="Example","Example only",IF(AI966&lt;&gt;"Actual","Set record type",IF(COUNTIF($A$2:$A$1001,A966)&gt;1,"Duplicate record ID",IF(OR(D966="",E966="",AF966="",NOT(ISNUMBER(AG966)),AJ966="",AK966="",NOT(ISNUMBER(AL966)),AND(AM966&lt;&gt;"Observed",AM966&lt;&gt;"Corroborated",AM966&lt;&gt;"Declared"),OR(AN966="",AN966="Unknown"),OR(AQ966="",AQ966="Unknown"),OR(AR966="",AR966="Unknown",AR966="TBD"),OR(BC966="",NOT(ISNUMBER(BC966)))),"Evidence incomplete","Evidence recorded; review scope")))))</x:f>
      </x:c>
      <x:c r="BN966" s="73"/>
    </x:row>
    <x:row r="967" ht="34" customHeight="1">
      <x:c r="A967" s="73"/>
      <x:c r="B967" s="73"/>
      <x:c r="C967" s="73"/>
      <x:c r="D967" s="73"/>
      <x:c r="E967" s="73"/>
      <x:c r="F967" s="73"/>
      <x:c r="G967" s="73"/>
      <x:c r="H967" s="73"/>
      <x:c r="I967" s="75"/>
      <x:c r="J967" s="73"/>
      <x:c r="K967" s="73"/>
      <x:c r="L967" s="76"/>
      <x:c r="M967" s="73"/>
      <x:c r="N967" s="73"/>
      <x:c r="O967" s="73"/>
      <x:c r="P967" s="73"/>
      <x:c r="Q967" s="76"/>
      <x:c r="R967" s="73"/>
      <x:c r="S967" s="73"/>
      <x:c r="T967" s="73"/>
      <x:c r="U967" s="73"/>
      <x:c r="V967" s="73"/>
      <x:c r="W967" s="73"/>
      <x:c r="X967" s="73"/>
      <x:c r="Y967" s="73"/>
      <x:c r="Z967" s="73"/>
      <x:c r="AA967" s="73"/>
      <x:c r="AB967" s="76" t="str">
        <x:f>IF(A967="","",IF(OR(NOT(ISNUMBER(I967)),I967&lt;0,NOT(ISNUMBER(AP967)),AP967&lt;0,NOT(ISNUMBER(L967)),L967&lt;1,L967&gt;5,L967&lt;&gt;INT(L967),AND(J967&lt;&gt;"Public",J967&lt;&gt;"Partner",J967&lt;&gt;"Internal",J967&lt;&gt;"None"),AND(K967&lt;&gt;"High",K967&lt;&gt;"Medium",K967&lt;&gt;"Low",K967&lt;&gt;"None"),AND(W967&lt;&gt;"Hard-coded",W967&lt;&gt;"Configurable",W967&lt;&gt;"Policy-managed",W967&lt;&gt;"API/Library abstraction",W967&lt;&gt;"Automated"),AND(Z967&lt;&gt;"Y",Z967&lt;&gt;"N"),AND(AA967&lt;&gt;"Y",AA967&lt;&gt;"N")),"Incomplete",IF(Z967="Y",20,0)+L967*5+IF(AA967="Y",15,0)+IF(J967="Public",10,IF(J967="Partner",7,IF(J967="Internal",3,0)))+IF(W967="Hard-coded",10,IF(W967="Configurable",3,0))+IF(MAX(I967,AP967)&gt;=10,10,IF(MAX(I967,AP967)&gt;=5,7,IF(MAX(I967,AP967)&gt;=2,3,0)))+IF(K967="High",10,IF(K967="Medium",5,0))))</x:f>
      </x:c>
      <x:c r="AC967" s="73" t="str">
        <x:f>IF(A967="","",IF(NOT(ISNUMBER(AB967)),"Review inputs",IF(AB967&gt;=70,"P0 - Immediate",IF(AB967&gt;=50,"P1 - High",IF(AB967&gt;=30,"P2 - Medium",IF(AB967&gt;=15,"P3 - Low","P4 - Monitor"))))))</x:f>
      </x:c>
      <x:c r="AD967" s="73"/>
      <x:c r="AE967" s="73"/>
      <x:c r="AF967" s="73"/>
      <x:c r="AG967" s="77"/>
      <x:c r="AH967" s="73"/>
      <x:c r="AI967" s="91"/>
      <x:c r="AJ967" s="91"/>
      <x:c r="AK967" s="91"/>
      <x:c r="AL967" s="92"/>
      <x:c r="AM967" s="91"/>
      <x:c r="AN967" s="91"/>
      <x:c r="AO967" s="93"/>
      <x:c r="AP967" s="94"/>
      <x:c r="AQ967" s="91"/>
      <x:c r="AR967" s="91"/>
      <x:c r="AS967" s="91"/>
      <x:c r="AT967" s="91"/>
      <x:c r="AU967" s="91"/>
      <x:c r="AV967" s="91"/>
      <x:c r="AW967" s="91"/>
      <x:c r="AX967" s="91"/>
      <x:c r="AY967" s="91"/>
      <x:c r="AZ967" s="92"/>
      <x:c r="BA967" s="94"/>
      <x:c r="BB967" s="91"/>
      <x:c r="BC967" s="92"/>
      <x:c r="BD967" s="92"/>
      <x:c r="BE967" s="91"/>
      <x:c r="BF967" s="91"/>
      <x:c r="BG967" s="91"/>
      <x:c r="BH967" s="91"/>
      <x:c r="BI967" s="91"/>
      <x:c r="BJ967" s="91"/>
      <x:c r="BK967" s="91"/>
      <x:c r="BL967" s="91"/>
      <x:c r="BM967" s="73" t="str">
        <x:f>IF(A967="","",IF(AI967="Example","Example only",IF(AI967&lt;&gt;"Actual","Set record type",IF(COUNTIF($A$2:$A$1001,A967)&gt;1,"Duplicate record ID",IF(OR(D967="",E967="",AF967="",NOT(ISNUMBER(AG967)),AJ967="",AK967="",NOT(ISNUMBER(AL967)),AND(AM967&lt;&gt;"Observed",AM967&lt;&gt;"Corroborated",AM967&lt;&gt;"Declared"),OR(AN967="",AN967="Unknown"),OR(AQ967="",AQ967="Unknown"),OR(AR967="",AR967="Unknown",AR967="TBD"),OR(BC967="",NOT(ISNUMBER(BC967)))),"Evidence incomplete","Evidence recorded; review scope")))))</x:f>
      </x:c>
      <x:c r="BN967" s="73"/>
    </x:row>
    <x:row r="968" ht="34" customHeight="1">
      <x:c r="A968" s="73"/>
      <x:c r="B968" s="73"/>
      <x:c r="C968" s="73"/>
      <x:c r="D968" s="73"/>
      <x:c r="E968" s="73"/>
      <x:c r="F968" s="73"/>
      <x:c r="G968" s="73"/>
      <x:c r="H968" s="73"/>
      <x:c r="I968" s="75"/>
      <x:c r="J968" s="73"/>
      <x:c r="K968" s="73"/>
      <x:c r="L968" s="76"/>
      <x:c r="M968" s="73"/>
      <x:c r="N968" s="73"/>
      <x:c r="O968" s="73"/>
      <x:c r="P968" s="73"/>
      <x:c r="Q968" s="76"/>
      <x:c r="R968" s="73"/>
      <x:c r="S968" s="73"/>
      <x:c r="T968" s="73"/>
      <x:c r="U968" s="73"/>
      <x:c r="V968" s="73"/>
      <x:c r="W968" s="73"/>
      <x:c r="X968" s="73"/>
      <x:c r="Y968" s="73"/>
      <x:c r="Z968" s="73"/>
      <x:c r="AA968" s="73"/>
      <x:c r="AB968" s="76" t="str">
        <x:f>IF(A968="","",IF(OR(NOT(ISNUMBER(I968)),I968&lt;0,NOT(ISNUMBER(AP968)),AP968&lt;0,NOT(ISNUMBER(L968)),L968&lt;1,L968&gt;5,L968&lt;&gt;INT(L968),AND(J968&lt;&gt;"Public",J968&lt;&gt;"Partner",J968&lt;&gt;"Internal",J968&lt;&gt;"None"),AND(K968&lt;&gt;"High",K968&lt;&gt;"Medium",K968&lt;&gt;"Low",K968&lt;&gt;"None"),AND(W968&lt;&gt;"Hard-coded",W968&lt;&gt;"Configurable",W968&lt;&gt;"Policy-managed",W968&lt;&gt;"API/Library abstraction",W968&lt;&gt;"Automated"),AND(Z968&lt;&gt;"Y",Z968&lt;&gt;"N"),AND(AA968&lt;&gt;"Y",AA968&lt;&gt;"N")),"Incomplete",IF(Z968="Y",20,0)+L968*5+IF(AA968="Y",15,0)+IF(J968="Public",10,IF(J968="Partner",7,IF(J968="Internal",3,0)))+IF(W968="Hard-coded",10,IF(W968="Configurable",3,0))+IF(MAX(I968,AP968)&gt;=10,10,IF(MAX(I968,AP968)&gt;=5,7,IF(MAX(I968,AP968)&gt;=2,3,0)))+IF(K968="High",10,IF(K968="Medium",5,0))))</x:f>
      </x:c>
      <x:c r="AC968" s="73" t="str">
        <x:f>IF(A968="","",IF(NOT(ISNUMBER(AB968)),"Review inputs",IF(AB968&gt;=70,"P0 - Immediate",IF(AB968&gt;=50,"P1 - High",IF(AB968&gt;=30,"P2 - Medium",IF(AB968&gt;=15,"P3 - Low","P4 - Monitor"))))))</x:f>
      </x:c>
      <x:c r="AD968" s="73"/>
      <x:c r="AE968" s="73"/>
      <x:c r="AF968" s="73"/>
      <x:c r="AG968" s="77"/>
      <x:c r="AH968" s="73"/>
      <x:c r="AI968" s="91"/>
      <x:c r="AJ968" s="91"/>
      <x:c r="AK968" s="91"/>
      <x:c r="AL968" s="92"/>
      <x:c r="AM968" s="91"/>
      <x:c r="AN968" s="91"/>
      <x:c r="AO968" s="93"/>
      <x:c r="AP968" s="94"/>
      <x:c r="AQ968" s="91"/>
      <x:c r="AR968" s="91"/>
      <x:c r="AS968" s="91"/>
      <x:c r="AT968" s="91"/>
      <x:c r="AU968" s="91"/>
      <x:c r="AV968" s="91"/>
      <x:c r="AW968" s="91"/>
      <x:c r="AX968" s="91"/>
      <x:c r="AY968" s="91"/>
      <x:c r="AZ968" s="92"/>
      <x:c r="BA968" s="94"/>
      <x:c r="BB968" s="91"/>
      <x:c r="BC968" s="92"/>
      <x:c r="BD968" s="92"/>
      <x:c r="BE968" s="91"/>
      <x:c r="BF968" s="91"/>
      <x:c r="BG968" s="91"/>
      <x:c r="BH968" s="91"/>
      <x:c r="BI968" s="91"/>
      <x:c r="BJ968" s="91"/>
      <x:c r="BK968" s="91"/>
      <x:c r="BL968" s="91"/>
      <x:c r="BM968" s="73" t="str">
        <x:f>IF(A968="","",IF(AI968="Example","Example only",IF(AI968&lt;&gt;"Actual","Set record type",IF(COUNTIF($A$2:$A$1001,A968)&gt;1,"Duplicate record ID",IF(OR(D968="",E968="",AF968="",NOT(ISNUMBER(AG968)),AJ968="",AK968="",NOT(ISNUMBER(AL968)),AND(AM968&lt;&gt;"Observed",AM968&lt;&gt;"Corroborated",AM968&lt;&gt;"Declared"),OR(AN968="",AN968="Unknown"),OR(AQ968="",AQ968="Unknown"),OR(AR968="",AR968="Unknown",AR968="TBD"),OR(BC968="",NOT(ISNUMBER(BC968)))),"Evidence incomplete","Evidence recorded; review scope")))))</x:f>
      </x:c>
      <x:c r="BN968" s="73"/>
    </x:row>
    <x:row r="969" ht="34" customHeight="1">
      <x:c r="A969" s="73"/>
      <x:c r="B969" s="73"/>
      <x:c r="C969" s="73"/>
      <x:c r="D969" s="73"/>
      <x:c r="E969" s="73"/>
      <x:c r="F969" s="73"/>
      <x:c r="G969" s="73"/>
      <x:c r="H969" s="73"/>
      <x:c r="I969" s="75"/>
      <x:c r="J969" s="73"/>
      <x:c r="K969" s="73"/>
      <x:c r="L969" s="76"/>
      <x:c r="M969" s="73"/>
      <x:c r="N969" s="73"/>
      <x:c r="O969" s="73"/>
      <x:c r="P969" s="73"/>
      <x:c r="Q969" s="76"/>
      <x:c r="R969" s="73"/>
      <x:c r="S969" s="73"/>
      <x:c r="T969" s="73"/>
      <x:c r="U969" s="73"/>
      <x:c r="V969" s="73"/>
      <x:c r="W969" s="73"/>
      <x:c r="X969" s="73"/>
      <x:c r="Y969" s="73"/>
      <x:c r="Z969" s="73"/>
      <x:c r="AA969" s="73"/>
      <x:c r="AB969" s="76" t="str">
        <x:f>IF(A969="","",IF(OR(NOT(ISNUMBER(I969)),I969&lt;0,NOT(ISNUMBER(AP969)),AP969&lt;0,NOT(ISNUMBER(L969)),L969&lt;1,L969&gt;5,L969&lt;&gt;INT(L969),AND(J969&lt;&gt;"Public",J969&lt;&gt;"Partner",J969&lt;&gt;"Internal",J969&lt;&gt;"None"),AND(K969&lt;&gt;"High",K969&lt;&gt;"Medium",K969&lt;&gt;"Low",K969&lt;&gt;"None"),AND(W969&lt;&gt;"Hard-coded",W969&lt;&gt;"Configurable",W969&lt;&gt;"Policy-managed",W969&lt;&gt;"API/Library abstraction",W969&lt;&gt;"Automated"),AND(Z969&lt;&gt;"Y",Z969&lt;&gt;"N"),AND(AA969&lt;&gt;"Y",AA969&lt;&gt;"N")),"Incomplete",IF(Z969="Y",20,0)+L969*5+IF(AA969="Y",15,0)+IF(J969="Public",10,IF(J969="Partner",7,IF(J969="Internal",3,0)))+IF(W969="Hard-coded",10,IF(W969="Configurable",3,0))+IF(MAX(I969,AP969)&gt;=10,10,IF(MAX(I969,AP969)&gt;=5,7,IF(MAX(I969,AP969)&gt;=2,3,0)))+IF(K969="High",10,IF(K969="Medium",5,0))))</x:f>
      </x:c>
      <x:c r="AC969" s="73" t="str">
        <x:f>IF(A969="","",IF(NOT(ISNUMBER(AB969)),"Review inputs",IF(AB969&gt;=70,"P0 - Immediate",IF(AB969&gt;=50,"P1 - High",IF(AB969&gt;=30,"P2 - Medium",IF(AB969&gt;=15,"P3 - Low","P4 - Monitor"))))))</x:f>
      </x:c>
      <x:c r="AD969" s="73"/>
      <x:c r="AE969" s="73"/>
      <x:c r="AF969" s="73"/>
      <x:c r="AG969" s="77"/>
      <x:c r="AH969" s="73"/>
      <x:c r="AI969" s="91"/>
      <x:c r="AJ969" s="91"/>
      <x:c r="AK969" s="91"/>
      <x:c r="AL969" s="92"/>
      <x:c r="AM969" s="91"/>
      <x:c r="AN969" s="91"/>
      <x:c r="AO969" s="93"/>
      <x:c r="AP969" s="94"/>
      <x:c r="AQ969" s="91"/>
      <x:c r="AR969" s="91"/>
      <x:c r="AS969" s="91"/>
      <x:c r="AT969" s="91"/>
      <x:c r="AU969" s="91"/>
      <x:c r="AV969" s="91"/>
      <x:c r="AW969" s="91"/>
      <x:c r="AX969" s="91"/>
      <x:c r="AY969" s="91"/>
      <x:c r="AZ969" s="92"/>
      <x:c r="BA969" s="94"/>
      <x:c r="BB969" s="91"/>
      <x:c r="BC969" s="92"/>
      <x:c r="BD969" s="92"/>
      <x:c r="BE969" s="91"/>
      <x:c r="BF969" s="91"/>
      <x:c r="BG969" s="91"/>
      <x:c r="BH969" s="91"/>
      <x:c r="BI969" s="91"/>
      <x:c r="BJ969" s="91"/>
      <x:c r="BK969" s="91"/>
      <x:c r="BL969" s="91"/>
      <x:c r="BM969" s="73" t="str">
        <x:f>IF(A969="","",IF(AI969="Example","Example only",IF(AI969&lt;&gt;"Actual","Set record type",IF(COUNTIF($A$2:$A$1001,A969)&gt;1,"Duplicate record ID",IF(OR(D969="",E969="",AF969="",NOT(ISNUMBER(AG969)),AJ969="",AK969="",NOT(ISNUMBER(AL969)),AND(AM969&lt;&gt;"Observed",AM969&lt;&gt;"Corroborated",AM969&lt;&gt;"Declared"),OR(AN969="",AN969="Unknown"),OR(AQ969="",AQ969="Unknown"),OR(AR969="",AR969="Unknown",AR969="TBD"),OR(BC969="",NOT(ISNUMBER(BC969)))),"Evidence incomplete","Evidence recorded; review scope")))))</x:f>
      </x:c>
      <x:c r="BN969" s="73"/>
    </x:row>
    <x:row r="970" ht="34" customHeight="1">
      <x:c r="A970" s="73"/>
      <x:c r="B970" s="73"/>
      <x:c r="C970" s="73"/>
      <x:c r="D970" s="73"/>
      <x:c r="E970" s="73"/>
      <x:c r="F970" s="73"/>
      <x:c r="G970" s="73"/>
      <x:c r="H970" s="73"/>
      <x:c r="I970" s="75"/>
      <x:c r="J970" s="73"/>
      <x:c r="K970" s="73"/>
      <x:c r="L970" s="76"/>
      <x:c r="M970" s="73"/>
      <x:c r="N970" s="73"/>
      <x:c r="O970" s="73"/>
      <x:c r="P970" s="73"/>
      <x:c r="Q970" s="76"/>
      <x:c r="R970" s="73"/>
      <x:c r="S970" s="73"/>
      <x:c r="T970" s="73"/>
      <x:c r="U970" s="73"/>
      <x:c r="V970" s="73"/>
      <x:c r="W970" s="73"/>
      <x:c r="X970" s="73"/>
      <x:c r="Y970" s="73"/>
      <x:c r="Z970" s="73"/>
      <x:c r="AA970" s="73"/>
      <x:c r="AB970" s="76" t="str">
        <x:f>IF(A970="","",IF(OR(NOT(ISNUMBER(I970)),I970&lt;0,NOT(ISNUMBER(AP970)),AP970&lt;0,NOT(ISNUMBER(L970)),L970&lt;1,L970&gt;5,L970&lt;&gt;INT(L970),AND(J970&lt;&gt;"Public",J970&lt;&gt;"Partner",J970&lt;&gt;"Internal",J970&lt;&gt;"None"),AND(K970&lt;&gt;"High",K970&lt;&gt;"Medium",K970&lt;&gt;"Low",K970&lt;&gt;"None"),AND(W970&lt;&gt;"Hard-coded",W970&lt;&gt;"Configurable",W970&lt;&gt;"Policy-managed",W970&lt;&gt;"API/Library abstraction",W970&lt;&gt;"Automated"),AND(Z970&lt;&gt;"Y",Z970&lt;&gt;"N"),AND(AA970&lt;&gt;"Y",AA970&lt;&gt;"N")),"Incomplete",IF(Z970="Y",20,0)+L970*5+IF(AA970="Y",15,0)+IF(J970="Public",10,IF(J970="Partner",7,IF(J970="Internal",3,0)))+IF(W970="Hard-coded",10,IF(W970="Configurable",3,0))+IF(MAX(I970,AP970)&gt;=10,10,IF(MAX(I970,AP970)&gt;=5,7,IF(MAX(I970,AP970)&gt;=2,3,0)))+IF(K970="High",10,IF(K970="Medium",5,0))))</x:f>
      </x:c>
      <x:c r="AC970" s="73" t="str">
        <x:f>IF(A970="","",IF(NOT(ISNUMBER(AB970)),"Review inputs",IF(AB970&gt;=70,"P0 - Immediate",IF(AB970&gt;=50,"P1 - High",IF(AB970&gt;=30,"P2 - Medium",IF(AB970&gt;=15,"P3 - Low","P4 - Monitor"))))))</x:f>
      </x:c>
      <x:c r="AD970" s="73"/>
      <x:c r="AE970" s="73"/>
      <x:c r="AF970" s="73"/>
      <x:c r="AG970" s="77"/>
      <x:c r="AH970" s="73"/>
      <x:c r="AI970" s="91"/>
      <x:c r="AJ970" s="91"/>
      <x:c r="AK970" s="91"/>
      <x:c r="AL970" s="92"/>
      <x:c r="AM970" s="91"/>
      <x:c r="AN970" s="91"/>
      <x:c r="AO970" s="93"/>
      <x:c r="AP970" s="94"/>
      <x:c r="AQ970" s="91"/>
      <x:c r="AR970" s="91"/>
      <x:c r="AS970" s="91"/>
      <x:c r="AT970" s="91"/>
      <x:c r="AU970" s="91"/>
      <x:c r="AV970" s="91"/>
      <x:c r="AW970" s="91"/>
      <x:c r="AX970" s="91"/>
      <x:c r="AY970" s="91"/>
      <x:c r="AZ970" s="92"/>
      <x:c r="BA970" s="94"/>
      <x:c r="BB970" s="91"/>
      <x:c r="BC970" s="92"/>
      <x:c r="BD970" s="92"/>
      <x:c r="BE970" s="91"/>
      <x:c r="BF970" s="91"/>
      <x:c r="BG970" s="91"/>
      <x:c r="BH970" s="91"/>
      <x:c r="BI970" s="91"/>
      <x:c r="BJ970" s="91"/>
      <x:c r="BK970" s="91"/>
      <x:c r="BL970" s="91"/>
      <x:c r="BM970" s="73" t="str">
        <x:f>IF(A970="","",IF(AI970="Example","Example only",IF(AI970&lt;&gt;"Actual","Set record type",IF(COUNTIF($A$2:$A$1001,A970)&gt;1,"Duplicate record ID",IF(OR(D970="",E970="",AF970="",NOT(ISNUMBER(AG970)),AJ970="",AK970="",NOT(ISNUMBER(AL970)),AND(AM970&lt;&gt;"Observed",AM970&lt;&gt;"Corroborated",AM970&lt;&gt;"Declared"),OR(AN970="",AN970="Unknown"),OR(AQ970="",AQ970="Unknown"),OR(AR970="",AR970="Unknown",AR970="TBD"),OR(BC970="",NOT(ISNUMBER(BC970)))),"Evidence incomplete","Evidence recorded; review scope")))))</x:f>
      </x:c>
      <x:c r="BN970" s="73"/>
    </x:row>
    <x:row r="971" ht="34" customHeight="1">
      <x:c r="A971" s="73"/>
      <x:c r="B971" s="73"/>
      <x:c r="C971" s="73"/>
      <x:c r="D971" s="73"/>
      <x:c r="E971" s="73"/>
      <x:c r="F971" s="73"/>
      <x:c r="G971" s="73"/>
      <x:c r="H971" s="73"/>
      <x:c r="I971" s="75"/>
      <x:c r="J971" s="73"/>
      <x:c r="K971" s="73"/>
      <x:c r="L971" s="76"/>
      <x:c r="M971" s="73"/>
      <x:c r="N971" s="73"/>
      <x:c r="O971" s="73"/>
      <x:c r="P971" s="73"/>
      <x:c r="Q971" s="76"/>
      <x:c r="R971" s="73"/>
      <x:c r="S971" s="73"/>
      <x:c r="T971" s="73"/>
      <x:c r="U971" s="73"/>
      <x:c r="V971" s="73"/>
      <x:c r="W971" s="73"/>
      <x:c r="X971" s="73"/>
      <x:c r="Y971" s="73"/>
      <x:c r="Z971" s="73"/>
      <x:c r="AA971" s="73"/>
      <x:c r="AB971" s="76" t="str">
        <x:f>IF(A971="","",IF(OR(NOT(ISNUMBER(I971)),I971&lt;0,NOT(ISNUMBER(AP971)),AP971&lt;0,NOT(ISNUMBER(L971)),L971&lt;1,L971&gt;5,L971&lt;&gt;INT(L971),AND(J971&lt;&gt;"Public",J971&lt;&gt;"Partner",J971&lt;&gt;"Internal",J971&lt;&gt;"None"),AND(K971&lt;&gt;"High",K971&lt;&gt;"Medium",K971&lt;&gt;"Low",K971&lt;&gt;"None"),AND(W971&lt;&gt;"Hard-coded",W971&lt;&gt;"Configurable",W971&lt;&gt;"Policy-managed",W971&lt;&gt;"API/Library abstraction",W971&lt;&gt;"Automated"),AND(Z971&lt;&gt;"Y",Z971&lt;&gt;"N"),AND(AA971&lt;&gt;"Y",AA971&lt;&gt;"N")),"Incomplete",IF(Z971="Y",20,0)+L971*5+IF(AA971="Y",15,0)+IF(J971="Public",10,IF(J971="Partner",7,IF(J971="Internal",3,0)))+IF(W971="Hard-coded",10,IF(W971="Configurable",3,0))+IF(MAX(I971,AP971)&gt;=10,10,IF(MAX(I971,AP971)&gt;=5,7,IF(MAX(I971,AP971)&gt;=2,3,0)))+IF(K971="High",10,IF(K971="Medium",5,0))))</x:f>
      </x:c>
      <x:c r="AC971" s="73" t="str">
        <x:f>IF(A971="","",IF(NOT(ISNUMBER(AB971)),"Review inputs",IF(AB971&gt;=70,"P0 - Immediate",IF(AB971&gt;=50,"P1 - High",IF(AB971&gt;=30,"P2 - Medium",IF(AB971&gt;=15,"P3 - Low","P4 - Monitor"))))))</x:f>
      </x:c>
      <x:c r="AD971" s="73"/>
      <x:c r="AE971" s="73"/>
      <x:c r="AF971" s="73"/>
      <x:c r="AG971" s="77"/>
      <x:c r="AH971" s="73"/>
      <x:c r="AI971" s="91"/>
      <x:c r="AJ971" s="91"/>
      <x:c r="AK971" s="91"/>
      <x:c r="AL971" s="92"/>
      <x:c r="AM971" s="91"/>
      <x:c r="AN971" s="91"/>
      <x:c r="AO971" s="93"/>
      <x:c r="AP971" s="94"/>
      <x:c r="AQ971" s="91"/>
      <x:c r="AR971" s="91"/>
      <x:c r="AS971" s="91"/>
      <x:c r="AT971" s="91"/>
      <x:c r="AU971" s="91"/>
      <x:c r="AV971" s="91"/>
      <x:c r="AW971" s="91"/>
      <x:c r="AX971" s="91"/>
      <x:c r="AY971" s="91"/>
      <x:c r="AZ971" s="92"/>
      <x:c r="BA971" s="94"/>
      <x:c r="BB971" s="91"/>
      <x:c r="BC971" s="92"/>
      <x:c r="BD971" s="92"/>
      <x:c r="BE971" s="91"/>
      <x:c r="BF971" s="91"/>
      <x:c r="BG971" s="91"/>
      <x:c r="BH971" s="91"/>
      <x:c r="BI971" s="91"/>
      <x:c r="BJ971" s="91"/>
      <x:c r="BK971" s="91"/>
      <x:c r="BL971" s="91"/>
      <x:c r="BM971" s="73" t="str">
        <x:f>IF(A971="","",IF(AI971="Example","Example only",IF(AI971&lt;&gt;"Actual","Set record type",IF(COUNTIF($A$2:$A$1001,A971)&gt;1,"Duplicate record ID",IF(OR(D971="",E971="",AF971="",NOT(ISNUMBER(AG971)),AJ971="",AK971="",NOT(ISNUMBER(AL971)),AND(AM971&lt;&gt;"Observed",AM971&lt;&gt;"Corroborated",AM971&lt;&gt;"Declared"),OR(AN971="",AN971="Unknown"),OR(AQ971="",AQ971="Unknown"),OR(AR971="",AR971="Unknown",AR971="TBD"),OR(BC971="",NOT(ISNUMBER(BC971)))),"Evidence incomplete","Evidence recorded; review scope")))))</x:f>
      </x:c>
      <x:c r="BN971" s="73"/>
    </x:row>
    <x:row r="972" ht="34" customHeight="1">
      <x:c r="A972" s="73"/>
      <x:c r="B972" s="73"/>
      <x:c r="C972" s="73"/>
      <x:c r="D972" s="73"/>
      <x:c r="E972" s="73"/>
      <x:c r="F972" s="73"/>
      <x:c r="G972" s="73"/>
      <x:c r="H972" s="73"/>
      <x:c r="I972" s="75"/>
      <x:c r="J972" s="73"/>
      <x:c r="K972" s="73"/>
      <x:c r="L972" s="76"/>
      <x:c r="M972" s="73"/>
      <x:c r="N972" s="73"/>
      <x:c r="O972" s="73"/>
      <x:c r="P972" s="73"/>
      <x:c r="Q972" s="76"/>
      <x:c r="R972" s="73"/>
      <x:c r="S972" s="73"/>
      <x:c r="T972" s="73"/>
      <x:c r="U972" s="73"/>
      <x:c r="V972" s="73"/>
      <x:c r="W972" s="73"/>
      <x:c r="X972" s="73"/>
      <x:c r="Y972" s="73"/>
      <x:c r="Z972" s="73"/>
      <x:c r="AA972" s="73"/>
      <x:c r="AB972" s="76" t="str">
        <x:f>IF(A972="","",IF(OR(NOT(ISNUMBER(I972)),I972&lt;0,NOT(ISNUMBER(AP972)),AP972&lt;0,NOT(ISNUMBER(L972)),L972&lt;1,L972&gt;5,L972&lt;&gt;INT(L972),AND(J972&lt;&gt;"Public",J972&lt;&gt;"Partner",J972&lt;&gt;"Internal",J972&lt;&gt;"None"),AND(K972&lt;&gt;"High",K972&lt;&gt;"Medium",K972&lt;&gt;"Low",K972&lt;&gt;"None"),AND(W972&lt;&gt;"Hard-coded",W972&lt;&gt;"Configurable",W972&lt;&gt;"Policy-managed",W972&lt;&gt;"API/Library abstraction",W972&lt;&gt;"Automated"),AND(Z972&lt;&gt;"Y",Z972&lt;&gt;"N"),AND(AA972&lt;&gt;"Y",AA972&lt;&gt;"N")),"Incomplete",IF(Z972="Y",20,0)+L972*5+IF(AA972="Y",15,0)+IF(J972="Public",10,IF(J972="Partner",7,IF(J972="Internal",3,0)))+IF(W972="Hard-coded",10,IF(W972="Configurable",3,0))+IF(MAX(I972,AP972)&gt;=10,10,IF(MAX(I972,AP972)&gt;=5,7,IF(MAX(I972,AP972)&gt;=2,3,0)))+IF(K972="High",10,IF(K972="Medium",5,0))))</x:f>
      </x:c>
      <x:c r="AC972" s="73" t="str">
        <x:f>IF(A972="","",IF(NOT(ISNUMBER(AB972)),"Review inputs",IF(AB972&gt;=70,"P0 - Immediate",IF(AB972&gt;=50,"P1 - High",IF(AB972&gt;=30,"P2 - Medium",IF(AB972&gt;=15,"P3 - Low","P4 - Monitor"))))))</x:f>
      </x:c>
      <x:c r="AD972" s="73"/>
      <x:c r="AE972" s="73"/>
      <x:c r="AF972" s="73"/>
      <x:c r="AG972" s="77"/>
      <x:c r="AH972" s="73"/>
      <x:c r="AI972" s="91"/>
      <x:c r="AJ972" s="91"/>
      <x:c r="AK972" s="91"/>
      <x:c r="AL972" s="92"/>
      <x:c r="AM972" s="91"/>
      <x:c r="AN972" s="91"/>
      <x:c r="AO972" s="93"/>
      <x:c r="AP972" s="94"/>
      <x:c r="AQ972" s="91"/>
      <x:c r="AR972" s="91"/>
      <x:c r="AS972" s="91"/>
      <x:c r="AT972" s="91"/>
      <x:c r="AU972" s="91"/>
      <x:c r="AV972" s="91"/>
      <x:c r="AW972" s="91"/>
      <x:c r="AX972" s="91"/>
      <x:c r="AY972" s="91"/>
      <x:c r="AZ972" s="92"/>
      <x:c r="BA972" s="94"/>
      <x:c r="BB972" s="91"/>
      <x:c r="BC972" s="92"/>
      <x:c r="BD972" s="92"/>
      <x:c r="BE972" s="91"/>
      <x:c r="BF972" s="91"/>
      <x:c r="BG972" s="91"/>
      <x:c r="BH972" s="91"/>
      <x:c r="BI972" s="91"/>
      <x:c r="BJ972" s="91"/>
      <x:c r="BK972" s="91"/>
      <x:c r="BL972" s="91"/>
      <x:c r="BM972" s="73" t="str">
        <x:f>IF(A972="","",IF(AI972="Example","Example only",IF(AI972&lt;&gt;"Actual","Set record type",IF(COUNTIF($A$2:$A$1001,A972)&gt;1,"Duplicate record ID",IF(OR(D972="",E972="",AF972="",NOT(ISNUMBER(AG972)),AJ972="",AK972="",NOT(ISNUMBER(AL972)),AND(AM972&lt;&gt;"Observed",AM972&lt;&gt;"Corroborated",AM972&lt;&gt;"Declared"),OR(AN972="",AN972="Unknown"),OR(AQ972="",AQ972="Unknown"),OR(AR972="",AR972="Unknown",AR972="TBD"),OR(BC972="",NOT(ISNUMBER(BC972)))),"Evidence incomplete","Evidence recorded; review scope")))))</x:f>
      </x:c>
      <x:c r="BN972" s="73"/>
    </x:row>
    <x:row r="973" ht="34" customHeight="1">
      <x:c r="A973" s="73"/>
      <x:c r="B973" s="73"/>
      <x:c r="C973" s="73"/>
      <x:c r="D973" s="73"/>
      <x:c r="E973" s="73"/>
      <x:c r="F973" s="73"/>
      <x:c r="G973" s="73"/>
      <x:c r="H973" s="73"/>
      <x:c r="I973" s="75"/>
      <x:c r="J973" s="73"/>
      <x:c r="K973" s="73"/>
      <x:c r="L973" s="76"/>
      <x:c r="M973" s="73"/>
      <x:c r="N973" s="73"/>
      <x:c r="O973" s="73"/>
      <x:c r="P973" s="73"/>
      <x:c r="Q973" s="76"/>
      <x:c r="R973" s="73"/>
      <x:c r="S973" s="73"/>
      <x:c r="T973" s="73"/>
      <x:c r="U973" s="73"/>
      <x:c r="V973" s="73"/>
      <x:c r="W973" s="73"/>
      <x:c r="X973" s="73"/>
      <x:c r="Y973" s="73"/>
      <x:c r="Z973" s="73"/>
      <x:c r="AA973" s="73"/>
      <x:c r="AB973" s="76" t="str">
        <x:f>IF(A973="","",IF(OR(NOT(ISNUMBER(I973)),I973&lt;0,NOT(ISNUMBER(AP973)),AP973&lt;0,NOT(ISNUMBER(L973)),L973&lt;1,L973&gt;5,L973&lt;&gt;INT(L973),AND(J973&lt;&gt;"Public",J973&lt;&gt;"Partner",J973&lt;&gt;"Internal",J973&lt;&gt;"None"),AND(K973&lt;&gt;"High",K973&lt;&gt;"Medium",K973&lt;&gt;"Low",K973&lt;&gt;"None"),AND(W973&lt;&gt;"Hard-coded",W973&lt;&gt;"Configurable",W973&lt;&gt;"Policy-managed",W973&lt;&gt;"API/Library abstraction",W973&lt;&gt;"Automated"),AND(Z973&lt;&gt;"Y",Z973&lt;&gt;"N"),AND(AA973&lt;&gt;"Y",AA973&lt;&gt;"N")),"Incomplete",IF(Z973="Y",20,0)+L973*5+IF(AA973="Y",15,0)+IF(J973="Public",10,IF(J973="Partner",7,IF(J973="Internal",3,0)))+IF(W973="Hard-coded",10,IF(W973="Configurable",3,0))+IF(MAX(I973,AP973)&gt;=10,10,IF(MAX(I973,AP973)&gt;=5,7,IF(MAX(I973,AP973)&gt;=2,3,0)))+IF(K973="High",10,IF(K973="Medium",5,0))))</x:f>
      </x:c>
      <x:c r="AC973" s="73" t="str">
        <x:f>IF(A973="","",IF(NOT(ISNUMBER(AB973)),"Review inputs",IF(AB973&gt;=70,"P0 - Immediate",IF(AB973&gt;=50,"P1 - High",IF(AB973&gt;=30,"P2 - Medium",IF(AB973&gt;=15,"P3 - Low","P4 - Monitor"))))))</x:f>
      </x:c>
      <x:c r="AD973" s="73"/>
      <x:c r="AE973" s="73"/>
      <x:c r="AF973" s="73"/>
      <x:c r="AG973" s="77"/>
      <x:c r="AH973" s="73"/>
      <x:c r="AI973" s="91"/>
      <x:c r="AJ973" s="91"/>
      <x:c r="AK973" s="91"/>
      <x:c r="AL973" s="92"/>
      <x:c r="AM973" s="91"/>
      <x:c r="AN973" s="91"/>
      <x:c r="AO973" s="93"/>
      <x:c r="AP973" s="94"/>
      <x:c r="AQ973" s="91"/>
      <x:c r="AR973" s="91"/>
      <x:c r="AS973" s="91"/>
      <x:c r="AT973" s="91"/>
      <x:c r="AU973" s="91"/>
      <x:c r="AV973" s="91"/>
      <x:c r="AW973" s="91"/>
      <x:c r="AX973" s="91"/>
      <x:c r="AY973" s="91"/>
      <x:c r="AZ973" s="92"/>
      <x:c r="BA973" s="94"/>
      <x:c r="BB973" s="91"/>
      <x:c r="BC973" s="92"/>
      <x:c r="BD973" s="92"/>
      <x:c r="BE973" s="91"/>
      <x:c r="BF973" s="91"/>
      <x:c r="BG973" s="91"/>
      <x:c r="BH973" s="91"/>
      <x:c r="BI973" s="91"/>
      <x:c r="BJ973" s="91"/>
      <x:c r="BK973" s="91"/>
      <x:c r="BL973" s="91"/>
      <x:c r="BM973" s="73" t="str">
        <x:f>IF(A973="","",IF(AI973="Example","Example only",IF(AI973&lt;&gt;"Actual","Set record type",IF(COUNTIF($A$2:$A$1001,A973)&gt;1,"Duplicate record ID",IF(OR(D973="",E973="",AF973="",NOT(ISNUMBER(AG973)),AJ973="",AK973="",NOT(ISNUMBER(AL973)),AND(AM973&lt;&gt;"Observed",AM973&lt;&gt;"Corroborated",AM973&lt;&gt;"Declared"),OR(AN973="",AN973="Unknown"),OR(AQ973="",AQ973="Unknown"),OR(AR973="",AR973="Unknown",AR973="TBD"),OR(BC973="",NOT(ISNUMBER(BC973)))),"Evidence incomplete","Evidence recorded; review scope")))))</x:f>
      </x:c>
      <x:c r="BN973" s="73"/>
    </x:row>
    <x:row r="974" ht="34" customHeight="1">
      <x:c r="A974" s="73"/>
      <x:c r="B974" s="73"/>
      <x:c r="C974" s="73"/>
      <x:c r="D974" s="73"/>
      <x:c r="E974" s="73"/>
      <x:c r="F974" s="73"/>
      <x:c r="G974" s="73"/>
      <x:c r="H974" s="73"/>
      <x:c r="I974" s="75"/>
      <x:c r="J974" s="73"/>
      <x:c r="K974" s="73"/>
      <x:c r="L974" s="76"/>
      <x:c r="M974" s="73"/>
      <x:c r="N974" s="73"/>
      <x:c r="O974" s="73"/>
      <x:c r="P974" s="73"/>
      <x:c r="Q974" s="76"/>
      <x:c r="R974" s="73"/>
      <x:c r="S974" s="73"/>
      <x:c r="T974" s="73"/>
      <x:c r="U974" s="73"/>
      <x:c r="V974" s="73"/>
      <x:c r="W974" s="73"/>
      <x:c r="X974" s="73"/>
      <x:c r="Y974" s="73"/>
      <x:c r="Z974" s="73"/>
      <x:c r="AA974" s="73"/>
      <x:c r="AB974" s="76" t="str">
        <x:f>IF(A974="","",IF(OR(NOT(ISNUMBER(I974)),I974&lt;0,NOT(ISNUMBER(AP974)),AP974&lt;0,NOT(ISNUMBER(L974)),L974&lt;1,L974&gt;5,L974&lt;&gt;INT(L974),AND(J974&lt;&gt;"Public",J974&lt;&gt;"Partner",J974&lt;&gt;"Internal",J974&lt;&gt;"None"),AND(K974&lt;&gt;"High",K974&lt;&gt;"Medium",K974&lt;&gt;"Low",K974&lt;&gt;"None"),AND(W974&lt;&gt;"Hard-coded",W974&lt;&gt;"Configurable",W974&lt;&gt;"Policy-managed",W974&lt;&gt;"API/Library abstraction",W974&lt;&gt;"Automated"),AND(Z974&lt;&gt;"Y",Z974&lt;&gt;"N"),AND(AA974&lt;&gt;"Y",AA974&lt;&gt;"N")),"Incomplete",IF(Z974="Y",20,0)+L974*5+IF(AA974="Y",15,0)+IF(J974="Public",10,IF(J974="Partner",7,IF(J974="Internal",3,0)))+IF(W974="Hard-coded",10,IF(W974="Configurable",3,0))+IF(MAX(I974,AP974)&gt;=10,10,IF(MAX(I974,AP974)&gt;=5,7,IF(MAX(I974,AP974)&gt;=2,3,0)))+IF(K974="High",10,IF(K974="Medium",5,0))))</x:f>
      </x:c>
      <x:c r="AC974" s="73" t="str">
        <x:f>IF(A974="","",IF(NOT(ISNUMBER(AB974)),"Review inputs",IF(AB974&gt;=70,"P0 - Immediate",IF(AB974&gt;=50,"P1 - High",IF(AB974&gt;=30,"P2 - Medium",IF(AB974&gt;=15,"P3 - Low","P4 - Monitor"))))))</x:f>
      </x:c>
      <x:c r="AD974" s="73"/>
      <x:c r="AE974" s="73"/>
      <x:c r="AF974" s="73"/>
      <x:c r="AG974" s="77"/>
      <x:c r="AH974" s="73"/>
      <x:c r="AI974" s="91"/>
      <x:c r="AJ974" s="91"/>
      <x:c r="AK974" s="91"/>
      <x:c r="AL974" s="92"/>
      <x:c r="AM974" s="91"/>
      <x:c r="AN974" s="91"/>
      <x:c r="AO974" s="93"/>
      <x:c r="AP974" s="94"/>
      <x:c r="AQ974" s="91"/>
      <x:c r="AR974" s="91"/>
      <x:c r="AS974" s="91"/>
      <x:c r="AT974" s="91"/>
      <x:c r="AU974" s="91"/>
      <x:c r="AV974" s="91"/>
      <x:c r="AW974" s="91"/>
      <x:c r="AX974" s="91"/>
      <x:c r="AY974" s="91"/>
      <x:c r="AZ974" s="92"/>
      <x:c r="BA974" s="94"/>
      <x:c r="BB974" s="91"/>
      <x:c r="BC974" s="92"/>
      <x:c r="BD974" s="92"/>
      <x:c r="BE974" s="91"/>
      <x:c r="BF974" s="91"/>
      <x:c r="BG974" s="91"/>
      <x:c r="BH974" s="91"/>
      <x:c r="BI974" s="91"/>
      <x:c r="BJ974" s="91"/>
      <x:c r="BK974" s="91"/>
      <x:c r="BL974" s="91"/>
      <x:c r="BM974" s="73" t="str">
        <x:f>IF(A974="","",IF(AI974="Example","Example only",IF(AI974&lt;&gt;"Actual","Set record type",IF(COUNTIF($A$2:$A$1001,A974)&gt;1,"Duplicate record ID",IF(OR(D974="",E974="",AF974="",NOT(ISNUMBER(AG974)),AJ974="",AK974="",NOT(ISNUMBER(AL974)),AND(AM974&lt;&gt;"Observed",AM974&lt;&gt;"Corroborated",AM974&lt;&gt;"Declared"),OR(AN974="",AN974="Unknown"),OR(AQ974="",AQ974="Unknown"),OR(AR974="",AR974="Unknown",AR974="TBD"),OR(BC974="",NOT(ISNUMBER(BC974)))),"Evidence incomplete","Evidence recorded; review scope")))))</x:f>
      </x:c>
      <x:c r="BN974" s="73"/>
    </x:row>
    <x:row r="975" ht="34" customHeight="1">
      <x:c r="A975" s="73"/>
      <x:c r="B975" s="73"/>
      <x:c r="C975" s="73"/>
      <x:c r="D975" s="73"/>
      <x:c r="E975" s="73"/>
      <x:c r="F975" s="73"/>
      <x:c r="G975" s="73"/>
      <x:c r="H975" s="73"/>
      <x:c r="I975" s="75"/>
      <x:c r="J975" s="73"/>
      <x:c r="K975" s="73"/>
      <x:c r="L975" s="76"/>
      <x:c r="M975" s="73"/>
      <x:c r="N975" s="73"/>
      <x:c r="O975" s="73"/>
      <x:c r="P975" s="73"/>
      <x:c r="Q975" s="76"/>
      <x:c r="R975" s="73"/>
      <x:c r="S975" s="73"/>
      <x:c r="T975" s="73"/>
      <x:c r="U975" s="73"/>
      <x:c r="V975" s="73"/>
      <x:c r="W975" s="73"/>
      <x:c r="X975" s="73"/>
      <x:c r="Y975" s="73"/>
      <x:c r="Z975" s="73"/>
      <x:c r="AA975" s="73"/>
      <x:c r="AB975" s="76" t="str">
        <x:f>IF(A975="","",IF(OR(NOT(ISNUMBER(I975)),I975&lt;0,NOT(ISNUMBER(AP975)),AP975&lt;0,NOT(ISNUMBER(L975)),L975&lt;1,L975&gt;5,L975&lt;&gt;INT(L975),AND(J975&lt;&gt;"Public",J975&lt;&gt;"Partner",J975&lt;&gt;"Internal",J975&lt;&gt;"None"),AND(K975&lt;&gt;"High",K975&lt;&gt;"Medium",K975&lt;&gt;"Low",K975&lt;&gt;"None"),AND(W975&lt;&gt;"Hard-coded",W975&lt;&gt;"Configurable",W975&lt;&gt;"Policy-managed",W975&lt;&gt;"API/Library abstraction",W975&lt;&gt;"Automated"),AND(Z975&lt;&gt;"Y",Z975&lt;&gt;"N"),AND(AA975&lt;&gt;"Y",AA975&lt;&gt;"N")),"Incomplete",IF(Z975="Y",20,0)+L975*5+IF(AA975="Y",15,0)+IF(J975="Public",10,IF(J975="Partner",7,IF(J975="Internal",3,0)))+IF(W975="Hard-coded",10,IF(W975="Configurable",3,0))+IF(MAX(I975,AP975)&gt;=10,10,IF(MAX(I975,AP975)&gt;=5,7,IF(MAX(I975,AP975)&gt;=2,3,0)))+IF(K975="High",10,IF(K975="Medium",5,0))))</x:f>
      </x:c>
      <x:c r="AC975" s="73" t="str">
        <x:f>IF(A975="","",IF(NOT(ISNUMBER(AB975)),"Review inputs",IF(AB975&gt;=70,"P0 - Immediate",IF(AB975&gt;=50,"P1 - High",IF(AB975&gt;=30,"P2 - Medium",IF(AB975&gt;=15,"P3 - Low","P4 - Monitor"))))))</x:f>
      </x:c>
      <x:c r="AD975" s="73"/>
      <x:c r="AE975" s="73"/>
      <x:c r="AF975" s="73"/>
      <x:c r="AG975" s="77"/>
      <x:c r="AH975" s="73"/>
      <x:c r="AI975" s="91"/>
      <x:c r="AJ975" s="91"/>
      <x:c r="AK975" s="91"/>
      <x:c r="AL975" s="92"/>
      <x:c r="AM975" s="91"/>
      <x:c r="AN975" s="91"/>
      <x:c r="AO975" s="93"/>
      <x:c r="AP975" s="94"/>
      <x:c r="AQ975" s="91"/>
      <x:c r="AR975" s="91"/>
      <x:c r="AS975" s="91"/>
      <x:c r="AT975" s="91"/>
      <x:c r="AU975" s="91"/>
      <x:c r="AV975" s="91"/>
      <x:c r="AW975" s="91"/>
      <x:c r="AX975" s="91"/>
      <x:c r="AY975" s="91"/>
      <x:c r="AZ975" s="92"/>
      <x:c r="BA975" s="94"/>
      <x:c r="BB975" s="91"/>
      <x:c r="BC975" s="92"/>
      <x:c r="BD975" s="92"/>
      <x:c r="BE975" s="91"/>
      <x:c r="BF975" s="91"/>
      <x:c r="BG975" s="91"/>
      <x:c r="BH975" s="91"/>
      <x:c r="BI975" s="91"/>
      <x:c r="BJ975" s="91"/>
      <x:c r="BK975" s="91"/>
      <x:c r="BL975" s="91"/>
      <x:c r="BM975" s="73" t="str">
        <x:f>IF(A975="","",IF(AI975="Example","Example only",IF(AI975&lt;&gt;"Actual","Set record type",IF(COUNTIF($A$2:$A$1001,A975)&gt;1,"Duplicate record ID",IF(OR(D975="",E975="",AF975="",NOT(ISNUMBER(AG975)),AJ975="",AK975="",NOT(ISNUMBER(AL975)),AND(AM975&lt;&gt;"Observed",AM975&lt;&gt;"Corroborated",AM975&lt;&gt;"Declared"),OR(AN975="",AN975="Unknown"),OR(AQ975="",AQ975="Unknown"),OR(AR975="",AR975="Unknown",AR975="TBD"),OR(BC975="",NOT(ISNUMBER(BC975)))),"Evidence incomplete","Evidence recorded; review scope")))))</x:f>
      </x:c>
      <x:c r="BN975" s="73"/>
    </x:row>
    <x:row r="976" ht="34" customHeight="1">
      <x:c r="A976" s="73"/>
      <x:c r="B976" s="73"/>
      <x:c r="C976" s="73"/>
      <x:c r="D976" s="73"/>
      <x:c r="E976" s="73"/>
      <x:c r="F976" s="73"/>
      <x:c r="G976" s="73"/>
      <x:c r="H976" s="73"/>
      <x:c r="I976" s="75"/>
      <x:c r="J976" s="73"/>
      <x:c r="K976" s="73"/>
      <x:c r="L976" s="76"/>
      <x:c r="M976" s="73"/>
      <x:c r="N976" s="73"/>
      <x:c r="O976" s="73"/>
      <x:c r="P976" s="73"/>
      <x:c r="Q976" s="76"/>
      <x:c r="R976" s="73"/>
      <x:c r="S976" s="73"/>
      <x:c r="T976" s="73"/>
      <x:c r="U976" s="73"/>
      <x:c r="V976" s="73"/>
      <x:c r="W976" s="73"/>
      <x:c r="X976" s="73"/>
      <x:c r="Y976" s="73"/>
      <x:c r="Z976" s="73"/>
      <x:c r="AA976" s="73"/>
      <x:c r="AB976" s="76" t="str">
        <x:f>IF(A976="","",IF(OR(NOT(ISNUMBER(I976)),I976&lt;0,NOT(ISNUMBER(AP976)),AP976&lt;0,NOT(ISNUMBER(L976)),L976&lt;1,L976&gt;5,L976&lt;&gt;INT(L976),AND(J976&lt;&gt;"Public",J976&lt;&gt;"Partner",J976&lt;&gt;"Internal",J976&lt;&gt;"None"),AND(K976&lt;&gt;"High",K976&lt;&gt;"Medium",K976&lt;&gt;"Low",K976&lt;&gt;"None"),AND(W976&lt;&gt;"Hard-coded",W976&lt;&gt;"Configurable",W976&lt;&gt;"Policy-managed",W976&lt;&gt;"API/Library abstraction",W976&lt;&gt;"Automated"),AND(Z976&lt;&gt;"Y",Z976&lt;&gt;"N"),AND(AA976&lt;&gt;"Y",AA976&lt;&gt;"N")),"Incomplete",IF(Z976="Y",20,0)+L976*5+IF(AA976="Y",15,0)+IF(J976="Public",10,IF(J976="Partner",7,IF(J976="Internal",3,0)))+IF(W976="Hard-coded",10,IF(W976="Configurable",3,0))+IF(MAX(I976,AP976)&gt;=10,10,IF(MAX(I976,AP976)&gt;=5,7,IF(MAX(I976,AP976)&gt;=2,3,0)))+IF(K976="High",10,IF(K976="Medium",5,0))))</x:f>
      </x:c>
      <x:c r="AC976" s="73" t="str">
        <x:f>IF(A976="","",IF(NOT(ISNUMBER(AB976)),"Review inputs",IF(AB976&gt;=70,"P0 - Immediate",IF(AB976&gt;=50,"P1 - High",IF(AB976&gt;=30,"P2 - Medium",IF(AB976&gt;=15,"P3 - Low","P4 - Monitor"))))))</x:f>
      </x:c>
      <x:c r="AD976" s="73"/>
      <x:c r="AE976" s="73"/>
      <x:c r="AF976" s="73"/>
      <x:c r="AG976" s="77"/>
      <x:c r="AH976" s="73"/>
      <x:c r="AI976" s="91"/>
      <x:c r="AJ976" s="91"/>
      <x:c r="AK976" s="91"/>
      <x:c r="AL976" s="92"/>
      <x:c r="AM976" s="91"/>
      <x:c r="AN976" s="91"/>
      <x:c r="AO976" s="93"/>
      <x:c r="AP976" s="94"/>
      <x:c r="AQ976" s="91"/>
      <x:c r="AR976" s="91"/>
      <x:c r="AS976" s="91"/>
      <x:c r="AT976" s="91"/>
      <x:c r="AU976" s="91"/>
      <x:c r="AV976" s="91"/>
      <x:c r="AW976" s="91"/>
      <x:c r="AX976" s="91"/>
      <x:c r="AY976" s="91"/>
      <x:c r="AZ976" s="92"/>
      <x:c r="BA976" s="94"/>
      <x:c r="BB976" s="91"/>
      <x:c r="BC976" s="92"/>
      <x:c r="BD976" s="92"/>
      <x:c r="BE976" s="91"/>
      <x:c r="BF976" s="91"/>
      <x:c r="BG976" s="91"/>
      <x:c r="BH976" s="91"/>
      <x:c r="BI976" s="91"/>
      <x:c r="BJ976" s="91"/>
      <x:c r="BK976" s="91"/>
      <x:c r="BL976" s="91"/>
      <x:c r="BM976" s="73" t="str">
        <x:f>IF(A976="","",IF(AI976="Example","Example only",IF(AI976&lt;&gt;"Actual","Set record type",IF(COUNTIF($A$2:$A$1001,A976)&gt;1,"Duplicate record ID",IF(OR(D976="",E976="",AF976="",NOT(ISNUMBER(AG976)),AJ976="",AK976="",NOT(ISNUMBER(AL976)),AND(AM976&lt;&gt;"Observed",AM976&lt;&gt;"Corroborated",AM976&lt;&gt;"Declared"),OR(AN976="",AN976="Unknown"),OR(AQ976="",AQ976="Unknown"),OR(AR976="",AR976="Unknown",AR976="TBD"),OR(BC976="",NOT(ISNUMBER(BC976)))),"Evidence incomplete","Evidence recorded; review scope")))))</x:f>
      </x:c>
      <x:c r="BN976" s="73"/>
    </x:row>
    <x:row r="977" ht="34" customHeight="1">
      <x:c r="A977" s="73"/>
      <x:c r="B977" s="73"/>
      <x:c r="C977" s="73"/>
      <x:c r="D977" s="73"/>
      <x:c r="E977" s="73"/>
      <x:c r="F977" s="73"/>
      <x:c r="G977" s="73"/>
      <x:c r="H977" s="73"/>
      <x:c r="I977" s="75"/>
      <x:c r="J977" s="73"/>
      <x:c r="K977" s="73"/>
      <x:c r="L977" s="76"/>
      <x:c r="M977" s="73"/>
      <x:c r="N977" s="73"/>
      <x:c r="O977" s="73"/>
      <x:c r="P977" s="73"/>
      <x:c r="Q977" s="76"/>
      <x:c r="R977" s="73"/>
      <x:c r="S977" s="73"/>
      <x:c r="T977" s="73"/>
      <x:c r="U977" s="73"/>
      <x:c r="V977" s="73"/>
      <x:c r="W977" s="73"/>
      <x:c r="X977" s="73"/>
      <x:c r="Y977" s="73"/>
      <x:c r="Z977" s="73"/>
      <x:c r="AA977" s="73"/>
      <x:c r="AB977" s="76" t="str">
        <x:f>IF(A977="","",IF(OR(NOT(ISNUMBER(I977)),I977&lt;0,NOT(ISNUMBER(AP977)),AP977&lt;0,NOT(ISNUMBER(L977)),L977&lt;1,L977&gt;5,L977&lt;&gt;INT(L977),AND(J977&lt;&gt;"Public",J977&lt;&gt;"Partner",J977&lt;&gt;"Internal",J977&lt;&gt;"None"),AND(K977&lt;&gt;"High",K977&lt;&gt;"Medium",K977&lt;&gt;"Low",K977&lt;&gt;"None"),AND(W977&lt;&gt;"Hard-coded",W977&lt;&gt;"Configurable",W977&lt;&gt;"Policy-managed",W977&lt;&gt;"API/Library abstraction",W977&lt;&gt;"Automated"),AND(Z977&lt;&gt;"Y",Z977&lt;&gt;"N"),AND(AA977&lt;&gt;"Y",AA977&lt;&gt;"N")),"Incomplete",IF(Z977="Y",20,0)+L977*5+IF(AA977="Y",15,0)+IF(J977="Public",10,IF(J977="Partner",7,IF(J977="Internal",3,0)))+IF(W977="Hard-coded",10,IF(W977="Configurable",3,0))+IF(MAX(I977,AP977)&gt;=10,10,IF(MAX(I977,AP977)&gt;=5,7,IF(MAX(I977,AP977)&gt;=2,3,0)))+IF(K977="High",10,IF(K977="Medium",5,0))))</x:f>
      </x:c>
      <x:c r="AC977" s="73" t="str">
        <x:f>IF(A977="","",IF(NOT(ISNUMBER(AB977)),"Review inputs",IF(AB977&gt;=70,"P0 - Immediate",IF(AB977&gt;=50,"P1 - High",IF(AB977&gt;=30,"P2 - Medium",IF(AB977&gt;=15,"P3 - Low","P4 - Monitor"))))))</x:f>
      </x:c>
      <x:c r="AD977" s="73"/>
      <x:c r="AE977" s="73"/>
      <x:c r="AF977" s="73"/>
      <x:c r="AG977" s="77"/>
      <x:c r="AH977" s="73"/>
      <x:c r="AI977" s="91"/>
      <x:c r="AJ977" s="91"/>
      <x:c r="AK977" s="91"/>
      <x:c r="AL977" s="92"/>
      <x:c r="AM977" s="91"/>
      <x:c r="AN977" s="91"/>
      <x:c r="AO977" s="93"/>
      <x:c r="AP977" s="94"/>
      <x:c r="AQ977" s="91"/>
      <x:c r="AR977" s="91"/>
      <x:c r="AS977" s="91"/>
      <x:c r="AT977" s="91"/>
      <x:c r="AU977" s="91"/>
      <x:c r="AV977" s="91"/>
      <x:c r="AW977" s="91"/>
      <x:c r="AX977" s="91"/>
      <x:c r="AY977" s="91"/>
      <x:c r="AZ977" s="92"/>
      <x:c r="BA977" s="94"/>
      <x:c r="BB977" s="91"/>
      <x:c r="BC977" s="92"/>
      <x:c r="BD977" s="92"/>
      <x:c r="BE977" s="91"/>
      <x:c r="BF977" s="91"/>
      <x:c r="BG977" s="91"/>
      <x:c r="BH977" s="91"/>
      <x:c r="BI977" s="91"/>
      <x:c r="BJ977" s="91"/>
      <x:c r="BK977" s="91"/>
      <x:c r="BL977" s="91"/>
      <x:c r="BM977" s="73" t="str">
        <x:f>IF(A977="","",IF(AI977="Example","Example only",IF(AI977&lt;&gt;"Actual","Set record type",IF(COUNTIF($A$2:$A$1001,A977)&gt;1,"Duplicate record ID",IF(OR(D977="",E977="",AF977="",NOT(ISNUMBER(AG977)),AJ977="",AK977="",NOT(ISNUMBER(AL977)),AND(AM977&lt;&gt;"Observed",AM977&lt;&gt;"Corroborated",AM977&lt;&gt;"Declared"),OR(AN977="",AN977="Unknown"),OR(AQ977="",AQ977="Unknown"),OR(AR977="",AR977="Unknown",AR977="TBD"),OR(BC977="",NOT(ISNUMBER(BC977)))),"Evidence incomplete","Evidence recorded; review scope")))))</x:f>
      </x:c>
      <x:c r="BN977" s="73"/>
    </x:row>
    <x:row r="978" ht="34" customHeight="1">
      <x:c r="A978" s="73"/>
      <x:c r="B978" s="73"/>
      <x:c r="C978" s="73"/>
      <x:c r="D978" s="73"/>
      <x:c r="E978" s="73"/>
      <x:c r="F978" s="73"/>
      <x:c r="G978" s="73"/>
      <x:c r="H978" s="73"/>
      <x:c r="I978" s="75"/>
      <x:c r="J978" s="73"/>
      <x:c r="K978" s="73"/>
      <x:c r="L978" s="76"/>
      <x:c r="M978" s="73"/>
      <x:c r="N978" s="73"/>
      <x:c r="O978" s="73"/>
      <x:c r="P978" s="73"/>
      <x:c r="Q978" s="76"/>
      <x:c r="R978" s="73"/>
      <x:c r="S978" s="73"/>
      <x:c r="T978" s="73"/>
      <x:c r="U978" s="73"/>
      <x:c r="V978" s="73"/>
      <x:c r="W978" s="73"/>
      <x:c r="X978" s="73"/>
      <x:c r="Y978" s="73"/>
      <x:c r="Z978" s="73"/>
      <x:c r="AA978" s="73"/>
      <x:c r="AB978" s="76" t="str">
        <x:f>IF(A978="","",IF(OR(NOT(ISNUMBER(I978)),I978&lt;0,NOT(ISNUMBER(AP978)),AP978&lt;0,NOT(ISNUMBER(L978)),L978&lt;1,L978&gt;5,L978&lt;&gt;INT(L978),AND(J978&lt;&gt;"Public",J978&lt;&gt;"Partner",J978&lt;&gt;"Internal",J978&lt;&gt;"None"),AND(K978&lt;&gt;"High",K978&lt;&gt;"Medium",K978&lt;&gt;"Low",K978&lt;&gt;"None"),AND(W978&lt;&gt;"Hard-coded",W978&lt;&gt;"Configurable",W978&lt;&gt;"Policy-managed",W978&lt;&gt;"API/Library abstraction",W978&lt;&gt;"Automated"),AND(Z978&lt;&gt;"Y",Z978&lt;&gt;"N"),AND(AA978&lt;&gt;"Y",AA978&lt;&gt;"N")),"Incomplete",IF(Z978="Y",20,0)+L978*5+IF(AA978="Y",15,0)+IF(J978="Public",10,IF(J978="Partner",7,IF(J978="Internal",3,0)))+IF(W978="Hard-coded",10,IF(W978="Configurable",3,0))+IF(MAX(I978,AP978)&gt;=10,10,IF(MAX(I978,AP978)&gt;=5,7,IF(MAX(I978,AP978)&gt;=2,3,0)))+IF(K978="High",10,IF(K978="Medium",5,0))))</x:f>
      </x:c>
      <x:c r="AC978" s="73" t="str">
        <x:f>IF(A978="","",IF(NOT(ISNUMBER(AB978)),"Review inputs",IF(AB978&gt;=70,"P0 - Immediate",IF(AB978&gt;=50,"P1 - High",IF(AB978&gt;=30,"P2 - Medium",IF(AB978&gt;=15,"P3 - Low","P4 - Monitor"))))))</x:f>
      </x:c>
      <x:c r="AD978" s="73"/>
      <x:c r="AE978" s="73"/>
      <x:c r="AF978" s="73"/>
      <x:c r="AG978" s="77"/>
      <x:c r="AH978" s="73"/>
      <x:c r="AI978" s="91"/>
      <x:c r="AJ978" s="91"/>
      <x:c r="AK978" s="91"/>
      <x:c r="AL978" s="92"/>
      <x:c r="AM978" s="91"/>
      <x:c r="AN978" s="91"/>
      <x:c r="AO978" s="93"/>
      <x:c r="AP978" s="94"/>
      <x:c r="AQ978" s="91"/>
      <x:c r="AR978" s="91"/>
      <x:c r="AS978" s="91"/>
      <x:c r="AT978" s="91"/>
      <x:c r="AU978" s="91"/>
      <x:c r="AV978" s="91"/>
      <x:c r="AW978" s="91"/>
      <x:c r="AX978" s="91"/>
      <x:c r="AY978" s="91"/>
      <x:c r="AZ978" s="92"/>
      <x:c r="BA978" s="94"/>
      <x:c r="BB978" s="91"/>
      <x:c r="BC978" s="92"/>
      <x:c r="BD978" s="92"/>
      <x:c r="BE978" s="91"/>
      <x:c r="BF978" s="91"/>
      <x:c r="BG978" s="91"/>
      <x:c r="BH978" s="91"/>
      <x:c r="BI978" s="91"/>
      <x:c r="BJ978" s="91"/>
      <x:c r="BK978" s="91"/>
      <x:c r="BL978" s="91"/>
      <x:c r="BM978" s="73" t="str">
        <x:f>IF(A978="","",IF(AI978="Example","Example only",IF(AI978&lt;&gt;"Actual","Set record type",IF(COUNTIF($A$2:$A$1001,A978)&gt;1,"Duplicate record ID",IF(OR(D978="",E978="",AF978="",NOT(ISNUMBER(AG978)),AJ978="",AK978="",NOT(ISNUMBER(AL978)),AND(AM978&lt;&gt;"Observed",AM978&lt;&gt;"Corroborated",AM978&lt;&gt;"Declared"),OR(AN978="",AN978="Unknown"),OR(AQ978="",AQ978="Unknown"),OR(AR978="",AR978="Unknown",AR978="TBD"),OR(BC978="",NOT(ISNUMBER(BC978)))),"Evidence incomplete","Evidence recorded; review scope")))))</x:f>
      </x:c>
      <x:c r="BN978" s="73"/>
    </x:row>
    <x:row r="979" ht="34" customHeight="1">
      <x:c r="A979" s="73"/>
      <x:c r="B979" s="73"/>
      <x:c r="C979" s="73"/>
      <x:c r="D979" s="73"/>
      <x:c r="E979" s="73"/>
      <x:c r="F979" s="73"/>
      <x:c r="G979" s="73"/>
      <x:c r="H979" s="73"/>
      <x:c r="I979" s="75"/>
      <x:c r="J979" s="73"/>
      <x:c r="K979" s="73"/>
      <x:c r="L979" s="76"/>
      <x:c r="M979" s="73"/>
      <x:c r="N979" s="73"/>
      <x:c r="O979" s="73"/>
      <x:c r="P979" s="73"/>
      <x:c r="Q979" s="76"/>
      <x:c r="R979" s="73"/>
      <x:c r="S979" s="73"/>
      <x:c r="T979" s="73"/>
      <x:c r="U979" s="73"/>
      <x:c r="V979" s="73"/>
      <x:c r="W979" s="73"/>
      <x:c r="X979" s="73"/>
      <x:c r="Y979" s="73"/>
      <x:c r="Z979" s="73"/>
      <x:c r="AA979" s="73"/>
      <x:c r="AB979" s="76" t="str">
        <x:f>IF(A979="","",IF(OR(NOT(ISNUMBER(I979)),I979&lt;0,NOT(ISNUMBER(AP979)),AP979&lt;0,NOT(ISNUMBER(L979)),L979&lt;1,L979&gt;5,L979&lt;&gt;INT(L979),AND(J979&lt;&gt;"Public",J979&lt;&gt;"Partner",J979&lt;&gt;"Internal",J979&lt;&gt;"None"),AND(K979&lt;&gt;"High",K979&lt;&gt;"Medium",K979&lt;&gt;"Low",K979&lt;&gt;"None"),AND(W979&lt;&gt;"Hard-coded",W979&lt;&gt;"Configurable",W979&lt;&gt;"Policy-managed",W979&lt;&gt;"API/Library abstraction",W979&lt;&gt;"Automated"),AND(Z979&lt;&gt;"Y",Z979&lt;&gt;"N"),AND(AA979&lt;&gt;"Y",AA979&lt;&gt;"N")),"Incomplete",IF(Z979="Y",20,0)+L979*5+IF(AA979="Y",15,0)+IF(J979="Public",10,IF(J979="Partner",7,IF(J979="Internal",3,0)))+IF(W979="Hard-coded",10,IF(W979="Configurable",3,0))+IF(MAX(I979,AP979)&gt;=10,10,IF(MAX(I979,AP979)&gt;=5,7,IF(MAX(I979,AP979)&gt;=2,3,0)))+IF(K979="High",10,IF(K979="Medium",5,0))))</x:f>
      </x:c>
      <x:c r="AC979" s="73" t="str">
        <x:f>IF(A979="","",IF(NOT(ISNUMBER(AB979)),"Review inputs",IF(AB979&gt;=70,"P0 - Immediate",IF(AB979&gt;=50,"P1 - High",IF(AB979&gt;=30,"P2 - Medium",IF(AB979&gt;=15,"P3 - Low","P4 - Monitor"))))))</x:f>
      </x:c>
      <x:c r="AD979" s="73"/>
      <x:c r="AE979" s="73"/>
      <x:c r="AF979" s="73"/>
      <x:c r="AG979" s="77"/>
      <x:c r="AH979" s="73"/>
      <x:c r="AI979" s="91"/>
      <x:c r="AJ979" s="91"/>
      <x:c r="AK979" s="91"/>
      <x:c r="AL979" s="92"/>
      <x:c r="AM979" s="91"/>
      <x:c r="AN979" s="91"/>
      <x:c r="AO979" s="93"/>
      <x:c r="AP979" s="94"/>
      <x:c r="AQ979" s="91"/>
      <x:c r="AR979" s="91"/>
      <x:c r="AS979" s="91"/>
      <x:c r="AT979" s="91"/>
      <x:c r="AU979" s="91"/>
      <x:c r="AV979" s="91"/>
      <x:c r="AW979" s="91"/>
      <x:c r="AX979" s="91"/>
      <x:c r="AY979" s="91"/>
      <x:c r="AZ979" s="92"/>
      <x:c r="BA979" s="94"/>
      <x:c r="BB979" s="91"/>
      <x:c r="BC979" s="92"/>
      <x:c r="BD979" s="92"/>
      <x:c r="BE979" s="91"/>
      <x:c r="BF979" s="91"/>
      <x:c r="BG979" s="91"/>
      <x:c r="BH979" s="91"/>
      <x:c r="BI979" s="91"/>
      <x:c r="BJ979" s="91"/>
      <x:c r="BK979" s="91"/>
      <x:c r="BL979" s="91"/>
      <x:c r="BM979" s="73" t="str">
        <x:f>IF(A979="","",IF(AI979="Example","Example only",IF(AI979&lt;&gt;"Actual","Set record type",IF(COUNTIF($A$2:$A$1001,A979)&gt;1,"Duplicate record ID",IF(OR(D979="",E979="",AF979="",NOT(ISNUMBER(AG979)),AJ979="",AK979="",NOT(ISNUMBER(AL979)),AND(AM979&lt;&gt;"Observed",AM979&lt;&gt;"Corroborated",AM979&lt;&gt;"Declared"),OR(AN979="",AN979="Unknown"),OR(AQ979="",AQ979="Unknown"),OR(AR979="",AR979="Unknown",AR979="TBD"),OR(BC979="",NOT(ISNUMBER(BC979)))),"Evidence incomplete","Evidence recorded; review scope")))))</x:f>
      </x:c>
      <x:c r="BN979" s="73"/>
    </x:row>
    <x:row r="980" ht="34" customHeight="1">
      <x:c r="A980" s="73"/>
      <x:c r="B980" s="73"/>
      <x:c r="C980" s="73"/>
      <x:c r="D980" s="73"/>
      <x:c r="E980" s="73"/>
      <x:c r="F980" s="73"/>
      <x:c r="G980" s="73"/>
      <x:c r="H980" s="73"/>
      <x:c r="I980" s="75"/>
      <x:c r="J980" s="73"/>
      <x:c r="K980" s="73"/>
      <x:c r="L980" s="76"/>
      <x:c r="M980" s="73"/>
      <x:c r="N980" s="73"/>
      <x:c r="O980" s="73"/>
      <x:c r="P980" s="73"/>
      <x:c r="Q980" s="76"/>
      <x:c r="R980" s="73"/>
      <x:c r="S980" s="73"/>
      <x:c r="T980" s="73"/>
      <x:c r="U980" s="73"/>
      <x:c r="V980" s="73"/>
      <x:c r="W980" s="73"/>
      <x:c r="X980" s="73"/>
      <x:c r="Y980" s="73"/>
      <x:c r="Z980" s="73"/>
      <x:c r="AA980" s="73"/>
      <x:c r="AB980" s="76" t="str">
        <x:f>IF(A980="","",IF(OR(NOT(ISNUMBER(I980)),I980&lt;0,NOT(ISNUMBER(AP980)),AP980&lt;0,NOT(ISNUMBER(L980)),L980&lt;1,L980&gt;5,L980&lt;&gt;INT(L980),AND(J980&lt;&gt;"Public",J980&lt;&gt;"Partner",J980&lt;&gt;"Internal",J980&lt;&gt;"None"),AND(K980&lt;&gt;"High",K980&lt;&gt;"Medium",K980&lt;&gt;"Low",K980&lt;&gt;"None"),AND(W980&lt;&gt;"Hard-coded",W980&lt;&gt;"Configurable",W980&lt;&gt;"Policy-managed",W980&lt;&gt;"API/Library abstraction",W980&lt;&gt;"Automated"),AND(Z980&lt;&gt;"Y",Z980&lt;&gt;"N"),AND(AA980&lt;&gt;"Y",AA980&lt;&gt;"N")),"Incomplete",IF(Z980="Y",20,0)+L980*5+IF(AA980="Y",15,0)+IF(J980="Public",10,IF(J980="Partner",7,IF(J980="Internal",3,0)))+IF(W980="Hard-coded",10,IF(W980="Configurable",3,0))+IF(MAX(I980,AP980)&gt;=10,10,IF(MAX(I980,AP980)&gt;=5,7,IF(MAX(I980,AP980)&gt;=2,3,0)))+IF(K980="High",10,IF(K980="Medium",5,0))))</x:f>
      </x:c>
      <x:c r="AC980" s="73" t="str">
        <x:f>IF(A980="","",IF(NOT(ISNUMBER(AB980)),"Review inputs",IF(AB980&gt;=70,"P0 - Immediate",IF(AB980&gt;=50,"P1 - High",IF(AB980&gt;=30,"P2 - Medium",IF(AB980&gt;=15,"P3 - Low","P4 - Monitor"))))))</x:f>
      </x:c>
      <x:c r="AD980" s="73"/>
      <x:c r="AE980" s="73"/>
      <x:c r="AF980" s="73"/>
      <x:c r="AG980" s="77"/>
      <x:c r="AH980" s="73"/>
      <x:c r="AI980" s="91"/>
      <x:c r="AJ980" s="91"/>
      <x:c r="AK980" s="91"/>
      <x:c r="AL980" s="92"/>
      <x:c r="AM980" s="91"/>
      <x:c r="AN980" s="91"/>
      <x:c r="AO980" s="93"/>
      <x:c r="AP980" s="94"/>
      <x:c r="AQ980" s="91"/>
      <x:c r="AR980" s="91"/>
      <x:c r="AS980" s="91"/>
      <x:c r="AT980" s="91"/>
      <x:c r="AU980" s="91"/>
      <x:c r="AV980" s="91"/>
      <x:c r="AW980" s="91"/>
      <x:c r="AX980" s="91"/>
      <x:c r="AY980" s="91"/>
      <x:c r="AZ980" s="92"/>
      <x:c r="BA980" s="94"/>
      <x:c r="BB980" s="91"/>
      <x:c r="BC980" s="92"/>
      <x:c r="BD980" s="92"/>
      <x:c r="BE980" s="91"/>
      <x:c r="BF980" s="91"/>
      <x:c r="BG980" s="91"/>
      <x:c r="BH980" s="91"/>
      <x:c r="BI980" s="91"/>
      <x:c r="BJ980" s="91"/>
      <x:c r="BK980" s="91"/>
      <x:c r="BL980" s="91"/>
      <x:c r="BM980" s="73" t="str">
        <x:f>IF(A980="","",IF(AI980="Example","Example only",IF(AI980&lt;&gt;"Actual","Set record type",IF(COUNTIF($A$2:$A$1001,A980)&gt;1,"Duplicate record ID",IF(OR(D980="",E980="",AF980="",NOT(ISNUMBER(AG980)),AJ980="",AK980="",NOT(ISNUMBER(AL980)),AND(AM980&lt;&gt;"Observed",AM980&lt;&gt;"Corroborated",AM980&lt;&gt;"Declared"),OR(AN980="",AN980="Unknown"),OR(AQ980="",AQ980="Unknown"),OR(AR980="",AR980="Unknown",AR980="TBD"),OR(BC980="",NOT(ISNUMBER(BC980)))),"Evidence incomplete","Evidence recorded; review scope")))))</x:f>
      </x:c>
      <x:c r="BN980" s="73"/>
    </x:row>
    <x:row r="981" ht="34" customHeight="1">
      <x:c r="A981" s="73"/>
      <x:c r="B981" s="73"/>
      <x:c r="C981" s="73"/>
      <x:c r="D981" s="73"/>
      <x:c r="E981" s="73"/>
      <x:c r="F981" s="73"/>
      <x:c r="G981" s="73"/>
      <x:c r="H981" s="73"/>
      <x:c r="I981" s="75"/>
      <x:c r="J981" s="73"/>
      <x:c r="K981" s="73"/>
      <x:c r="L981" s="76"/>
      <x:c r="M981" s="73"/>
      <x:c r="N981" s="73"/>
      <x:c r="O981" s="73"/>
      <x:c r="P981" s="73"/>
      <x:c r="Q981" s="76"/>
      <x:c r="R981" s="73"/>
      <x:c r="S981" s="73"/>
      <x:c r="T981" s="73"/>
      <x:c r="U981" s="73"/>
      <x:c r="V981" s="73"/>
      <x:c r="W981" s="73"/>
      <x:c r="X981" s="73"/>
      <x:c r="Y981" s="73"/>
      <x:c r="Z981" s="73"/>
      <x:c r="AA981" s="73"/>
      <x:c r="AB981" s="76" t="str">
        <x:f>IF(A981="","",IF(OR(NOT(ISNUMBER(I981)),I981&lt;0,NOT(ISNUMBER(AP981)),AP981&lt;0,NOT(ISNUMBER(L981)),L981&lt;1,L981&gt;5,L981&lt;&gt;INT(L981),AND(J981&lt;&gt;"Public",J981&lt;&gt;"Partner",J981&lt;&gt;"Internal",J981&lt;&gt;"None"),AND(K981&lt;&gt;"High",K981&lt;&gt;"Medium",K981&lt;&gt;"Low",K981&lt;&gt;"None"),AND(W981&lt;&gt;"Hard-coded",W981&lt;&gt;"Configurable",W981&lt;&gt;"Policy-managed",W981&lt;&gt;"API/Library abstraction",W981&lt;&gt;"Automated"),AND(Z981&lt;&gt;"Y",Z981&lt;&gt;"N"),AND(AA981&lt;&gt;"Y",AA981&lt;&gt;"N")),"Incomplete",IF(Z981="Y",20,0)+L981*5+IF(AA981="Y",15,0)+IF(J981="Public",10,IF(J981="Partner",7,IF(J981="Internal",3,0)))+IF(W981="Hard-coded",10,IF(W981="Configurable",3,0))+IF(MAX(I981,AP981)&gt;=10,10,IF(MAX(I981,AP981)&gt;=5,7,IF(MAX(I981,AP981)&gt;=2,3,0)))+IF(K981="High",10,IF(K981="Medium",5,0))))</x:f>
      </x:c>
      <x:c r="AC981" s="73" t="str">
        <x:f>IF(A981="","",IF(NOT(ISNUMBER(AB981)),"Review inputs",IF(AB981&gt;=70,"P0 - Immediate",IF(AB981&gt;=50,"P1 - High",IF(AB981&gt;=30,"P2 - Medium",IF(AB981&gt;=15,"P3 - Low","P4 - Monitor"))))))</x:f>
      </x:c>
      <x:c r="AD981" s="73"/>
      <x:c r="AE981" s="73"/>
      <x:c r="AF981" s="73"/>
      <x:c r="AG981" s="77"/>
      <x:c r="AH981" s="73"/>
      <x:c r="AI981" s="91"/>
      <x:c r="AJ981" s="91"/>
      <x:c r="AK981" s="91"/>
      <x:c r="AL981" s="92"/>
      <x:c r="AM981" s="91"/>
      <x:c r="AN981" s="91"/>
      <x:c r="AO981" s="93"/>
      <x:c r="AP981" s="94"/>
      <x:c r="AQ981" s="91"/>
      <x:c r="AR981" s="91"/>
      <x:c r="AS981" s="91"/>
      <x:c r="AT981" s="91"/>
      <x:c r="AU981" s="91"/>
      <x:c r="AV981" s="91"/>
      <x:c r="AW981" s="91"/>
      <x:c r="AX981" s="91"/>
      <x:c r="AY981" s="91"/>
      <x:c r="AZ981" s="92"/>
      <x:c r="BA981" s="94"/>
      <x:c r="BB981" s="91"/>
      <x:c r="BC981" s="92"/>
      <x:c r="BD981" s="92"/>
      <x:c r="BE981" s="91"/>
      <x:c r="BF981" s="91"/>
      <x:c r="BG981" s="91"/>
      <x:c r="BH981" s="91"/>
      <x:c r="BI981" s="91"/>
      <x:c r="BJ981" s="91"/>
      <x:c r="BK981" s="91"/>
      <x:c r="BL981" s="91"/>
      <x:c r="BM981" s="73" t="str">
        <x:f>IF(A981="","",IF(AI981="Example","Example only",IF(AI981&lt;&gt;"Actual","Set record type",IF(COUNTIF($A$2:$A$1001,A981)&gt;1,"Duplicate record ID",IF(OR(D981="",E981="",AF981="",NOT(ISNUMBER(AG981)),AJ981="",AK981="",NOT(ISNUMBER(AL981)),AND(AM981&lt;&gt;"Observed",AM981&lt;&gt;"Corroborated",AM981&lt;&gt;"Declared"),OR(AN981="",AN981="Unknown"),OR(AQ981="",AQ981="Unknown"),OR(AR981="",AR981="Unknown",AR981="TBD"),OR(BC981="",NOT(ISNUMBER(BC981)))),"Evidence incomplete","Evidence recorded; review scope")))))</x:f>
      </x:c>
      <x:c r="BN981" s="73"/>
    </x:row>
    <x:row r="982" ht="34" customHeight="1">
      <x:c r="A982" s="73"/>
      <x:c r="B982" s="73"/>
      <x:c r="C982" s="73"/>
      <x:c r="D982" s="73"/>
      <x:c r="E982" s="73"/>
      <x:c r="F982" s="73"/>
      <x:c r="G982" s="73"/>
      <x:c r="H982" s="73"/>
      <x:c r="I982" s="75"/>
      <x:c r="J982" s="73"/>
      <x:c r="K982" s="73"/>
      <x:c r="L982" s="76"/>
      <x:c r="M982" s="73"/>
      <x:c r="N982" s="73"/>
      <x:c r="O982" s="73"/>
      <x:c r="P982" s="73"/>
      <x:c r="Q982" s="76"/>
      <x:c r="R982" s="73"/>
      <x:c r="S982" s="73"/>
      <x:c r="T982" s="73"/>
      <x:c r="U982" s="73"/>
      <x:c r="V982" s="73"/>
      <x:c r="W982" s="73"/>
      <x:c r="X982" s="73"/>
      <x:c r="Y982" s="73"/>
      <x:c r="Z982" s="73"/>
      <x:c r="AA982" s="73"/>
      <x:c r="AB982" s="76" t="str">
        <x:f>IF(A982="","",IF(OR(NOT(ISNUMBER(I982)),I982&lt;0,NOT(ISNUMBER(AP982)),AP982&lt;0,NOT(ISNUMBER(L982)),L982&lt;1,L982&gt;5,L982&lt;&gt;INT(L982),AND(J982&lt;&gt;"Public",J982&lt;&gt;"Partner",J982&lt;&gt;"Internal",J982&lt;&gt;"None"),AND(K982&lt;&gt;"High",K982&lt;&gt;"Medium",K982&lt;&gt;"Low",K982&lt;&gt;"None"),AND(W982&lt;&gt;"Hard-coded",W982&lt;&gt;"Configurable",W982&lt;&gt;"Policy-managed",W982&lt;&gt;"API/Library abstraction",W982&lt;&gt;"Automated"),AND(Z982&lt;&gt;"Y",Z982&lt;&gt;"N"),AND(AA982&lt;&gt;"Y",AA982&lt;&gt;"N")),"Incomplete",IF(Z982="Y",20,0)+L982*5+IF(AA982="Y",15,0)+IF(J982="Public",10,IF(J982="Partner",7,IF(J982="Internal",3,0)))+IF(W982="Hard-coded",10,IF(W982="Configurable",3,0))+IF(MAX(I982,AP982)&gt;=10,10,IF(MAX(I982,AP982)&gt;=5,7,IF(MAX(I982,AP982)&gt;=2,3,0)))+IF(K982="High",10,IF(K982="Medium",5,0))))</x:f>
      </x:c>
      <x:c r="AC982" s="73" t="str">
        <x:f>IF(A982="","",IF(NOT(ISNUMBER(AB982)),"Review inputs",IF(AB982&gt;=70,"P0 - Immediate",IF(AB982&gt;=50,"P1 - High",IF(AB982&gt;=30,"P2 - Medium",IF(AB982&gt;=15,"P3 - Low","P4 - Monitor"))))))</x:f>
      </x:c>
      <x:c r="AD982" s="73"/>
      <x:c r="AE982" s="73"/>
      <x:c r="AF982" s="73"/>
      <x:c r="AG982" s="77"/>
      <x:c r="AH982" s="73"/>
      <x:c r="AI982" s="91"/>
      <x:c r="AJ982" s="91"/>
      <x:c r="AK982" s="91"/>
      <x:c r="AL982" s="92"/>
      <x:c r="AM982" s="91"/>
      <x:c r="AN982" s="91"/>
      <x:c r="AO982" s="93"/>
      <x:c r="AP982" s="94"/>
      <x:c r="AQ982" s="91"/>
      <x:c r="AR982" s="91"/>
      <x:c r="AS982" s="91"/>
      <x:c r="AT982" s="91"/>
      <x:c r="AU982" s="91"/>
      <x:c r="AV982" s="91"/>
      <x:c r="AW982" s="91"/>
      <x:c r="AX982" s="91"/>
      <x:c r="AY982" s="91"/>
      <x:c r="AZ982" s="92"/>
      <x:c r="BA982" s="94"/>
      <x:c r="BB982" s="91"/>
      <x:c r="BC982" s="92"/>
      <x:c r="BD982" s="92"/>
      <x:c r="BE982" s="91"/>
      <x:c r="BF982" s="91"/>
      <x:c r="BG982" s="91"/>
      <x:c r="BH982" s="91"/>
      <x:c r="BI982" s="91"/>
      <x:c r="BJ982" s="91"/>
      <x:c r="BK982" s="91"/>
      <x:c r="BL982" s="91"/>
      <x:c r="BM982" s="73" t="str">
        <x:f>IF(A982="","",IF(AI982="Example","Example only",IF(AI982&lt;&gt;"Actual","Set record type",IF(COUNTIF($A$2:$A$1001,A982)&gt;1,"Duplicate record ID",IF(OR(D982="",E982="",AF982="",NOT(ISNUMBER(AG982)),AJ982="",AK982="",NOT(ISNUMBER(AL982)),AND(AM982&lt;&gt;"Observed",AM982&lt;&gt;"Corroborated",AM982&lt;&gt;"Declared"),OR(AN982="",AN982="Unknown"),OR(AQ982="",AQ982="Unknown"),OR(AR982="",AR982="Unknown",AR982="TBD"),OR(BC982="",NOT(ISNUMBER(BC982)))),"Evidence incomplete","Evidence recorded; review scope")))))</x:f>
      </x:c>
      <x:c r="BN982" s="73"/>
    </x:row>
    <x:row r="983" ht="34" customHeight="1">
      <x:c r="A983" s="73"/>
      <x:c r="B983" s="73"/>
      <x:c r="C983" s="73"/>
      <x:c r="D983" s="73"/>
      <x:c r="E983" s="73"/>
      <x:c r="F983" s="73"/>
      <x:c r="G983" s="73"/>
      <x:c r="H983" s="73"/>
      <x:c r="I983" s="75"/>
      <x:c r="J983" s="73"/>
      <x:c r="K983" s="73"/>
      <x:c r="L983" s="76"/>
      <x:c r="M983" s="73"/>
      <x:c r="N983" s="73"/>
      <x:c r="O983" s="73"/>
      <x:c r="P983" s="73"/>
      <x:c r="Q983" s="76"/>
      <x:c r="R983" s="73"/>
      <x:c r="S983" s="73"/>
      <x:c r="T983" s="73"/>
      <x:c r="U983" s="73"/>
      <x:c r="V983" s="73"/>
      <x:c r="W983" s="73"/>
      <x:c r="X983" s="73"/>
      <x:c r="Y983" s="73"/>
      <x:c r="Z983" s="73"/>
      <x:c r="AA983" s="73"/>
      <x:c r="AB983" s="76" t="str">
        <x:f>IF(A983="","",IF(OR(NOT(ISNUMBER(I983)),I983&lt;0,NOT(ISNUMBER(AP983)),AP983&lt;0,NOT(ISNUMBER(L983)),L983&lt;1,L983&gt;5,L983&lt;&gt;INT(L983),AND(J983&lt;&gt;"Public",J983&lt;&gt;"Partner",J983&lt;&gt;"Internal",J983&lt;&gt;"None"),AND(K983&lt;&gt;"High",K983&lt;&gt;"Medium",K983&lt;&gt;"Low",K983&lt;&gt;"None"),AND(W983&lt;&gt;"Hard-coded",W983&lt;&gt;"Configurable",W983&lt;&gt;"Policy-managed",W983&lt;&gt;"API/Library abstraction",W983&lt;&gt;"Automated"),AND(Z983&lt;&gt;"Y",Z983&lt;&gt;"N"),AND(AA983&lt;&gt;"Y",AA983&lt;&gt;"N")),"Incomplete",IF(Z983="Y",20,0)+L983*5+IF(AA983="Y",15,0)+IF(J983="Public",10,IF(J983="Partner",7,IF(J983="Internal",3,0)))+IF(W983="Hard-coded",10,IF(W983="Configurable",3,0))+IF(MAX(I983,AP983)&gt;=10,10,IF(MAX(I983,AP983)&gt;=5,7,IF(MAX(I983,AP983)&gt;=2,3,0)))+IF(K983="High",10,IF(K983="Medium",5,0))))</x:f>
      </x:c>
      <x:c r="AC983" s="73" t="str">
        <x:f>IF(A983="","",IF(NOT(ISNUMBER(AB983)),"Review inputs",IF(AB983&gt;=70,"P0 - Immediate",IF(AB983&gt;=50,"P1 - High",IF(AB983&gt;=30,"P2 - Medium",IF(AB983&gt;=15,"P3 - Low","P4 - Monitor"))))))</x:f>
      </x:c>
      <x:c r="AD983" s="73"/>
      <x:c r="AE983" s="73"/>
      <x:c r="AF983" s="73"/>
      <x:c r="AG983" s="77"/>
      <x:c r="AH983" s="73"/>
      <x:c r="AI983" s="91"/>
      <x:c r="AJ983" s="91"/>
      <x:c r="AK983" s="91"/>
      <x:c r="AL983" s="92"/>
      <x:c r="AM983" s="91"/>
      <x:c r="AN983" s="91"/>
      <x:c r="AO983" s="93"/>
      <x:c r="AP983" s="94"/>
      <x:c r="AQ983" s="91"/>
      <x:c r="AR983" s="91"/>
      <x:c r="AS983" s="91"/>
      <x:c r="AT983" s="91"/>
      <x:c r="AU983" s="91"/>
      <x:c r="AV983" s="91"/>
      <x:c r="AW983" s="91"/>
      <x:c r="AX983" s="91"/>
      <x:c r="AY983" s="91"/>
      <x:c r="AZ983" s="92"/>
      <x:c r="BA983" s="94"/>
      <x:c r="BB983" s="91"/>
      <x:c r="BC983" s="92"/>
      <x:c r="BD983" s="92"/>
      <x:c r="BE983" s="91"/>
      <x:c r="BF983" s="91"/>
      <x:c r="BG983" s="91"/>
      <x:c r="BH983" s="91"/>
      <x:c r="BI983" s="91"/>
      <x:c r="BJ983" s="91"/>
      <x:c r="BK983" s="91"/>
      <x:c r="BL983" s="91"/>
      <x:c r="BM983" s="73" t="str">
        <x:f>IF(A983="","",IF(AI983="Example","Example only",IF(AI983&lt;&gt;"Actual","Set record type",IF(COUNTIF($A$2:$A$1001,A983)&gt;1,"Duplicate record ID",IF(OR(D983="",E983="",AF983="",NOT(ISNUMBER(AG983)),AJ983="",AK983="",NOT(ISNUMBER(AL983)),AND(AM983&lt;&gt;"Observed",AM983&lt;&gt;"Corroborated",AM983&lt;&gt;"Declared"),OR(AN983="",AN983="Unknown"),OR(AQ983="",AQ983="Unknown"),OR(AR983="",AR983="Unknown",AR983="TBD"),OR(BC983="",NOT(ISNUMBER(BC983)))),"Evidence incomplete","Evidence recorded; review scope")))))</x:f>
      </x:c>
      <x:c r="BN983" s="73"/>
    </x:row>
    <x:row r="984" ht="34" customHeight="1">
      <x:c r="A984" s="73"/>
      <x:c r="B984" s="73"/>
      <x:c r="C984" s="73"/>
      <x:c r="D984" s="73"/>
      <x:c r="E984" s="73"/>
      <x:c r="F984" s="73"/>
      <x:c r="G984" s="73"/>
      <x:c r="H984" s="73"/>
      <x:c r="I984" s="75"/>
      <x:c r="J984" s="73"/>
      <x:c r="K984" s="73"/>
      <x:c r="L984" s="76"/>
      <x:c r="M984" s="73"/>
      <x:c r="N984" s="73"/>
      <x:c r="O984" s="73"/>
      <x:c r="P984" s="73"/>
      <x:c r="Q984" s="76"/>
      <x:c r="R984" s="73"/>
      <x:c r="S984" s="73"/>
      <x:c r="T984" s="73"/>
      <x:c r="U984" s="73"/>
      <x:c r="V984" s="73"/>
      <x:c r="W984" s="73"/>
      <x:c r="X984" s="73"/>
      <x:c r="Y984" s="73"/>
      <x:c r="Z984" s="73"/>
      <x:c r="AA984" s="73"/>
      <x:c r="AB984" s="76" t="str">
        <x:f>IF(A984="","",IF(OR(NOT(ISNUMBER(I984)),I984&lt;0,NOT(ISNUMBER(AP984)),AP984&lt;0,NOT(ISNUMBER(L984)),L984&lt;1,L984&gt;5,L984&lt;&gt;INT(L984),AND(J984&lt;&gt;"Public",J984&lt;&gt;"Partner",J984&lt;&gt;"Internal",J984&lt;&gt;"None"),AND(K984&lt;&gt;"High",K984&lt;&gt;"Medium",K984&lt;&gt;"Low",K984&lt;&gt;"None"),AND(W984&lt;&gt;"Hard-coded",W984&lt;&gt;"Configurable",W984&lt;&gt;"Policy-managed",W984&lt;&gt;"API/Library abstraction",W984&lt;&gt;"Automated"),AND(Z984&lt;&gt;"Y",Z984&lt;&gt;"N"),AND(AA984&lt;&gt;"Y",AA984&lt;&gt;"N")),"Incomplete",IF(Z984="Y",20,0)+L984*5+IF(AA984="Y",15,0)+IF(J984="Public",10,IF(J984="Partner",7,IF(J984="Internal",3,0)))+IF(W984="Hard-coded",10,IF(W984="Configurable",3,0))+IF(MAX(I984,AP984)&gt;=10,10,IF(MAX(I984,AP984)&gt;=5,7,IF(MAX(I984,AP984)&gt;=2,3,0)))+IF(K984="High",10,IF(K984="Medium",5,0))))</x:f>
      </x:c>
      <x:c r="AC984" s="73" t="str">
        <x:f>IF(A984="","",IF(NOT(ISNUMBER(AB984)),"Review inputs",IF(AB984&gt;=70,"P0 - Immediate",IF(AB984&gt;=50,"P1 - High",IF(AB984&gt;=30,"P2 - Medium",IF(AB984&gt;=15,"P3 - Low","P4 - Monitor"))))))</x:f>
      </x:c>
      <x:c r="AD984" s="73"/>
      <x:c r="AE984" s="73"/>
      <x:c r="AF984" s="73"/>
      <x:c r="AG984" s="77"/>
      <x:c r="AH984" s="73"/>
      <x:c r="AI984" s="91"/>
      <x:c r="AJ984" s="91"/>
      <x:c r="AK984" s="91"/>
      <x:c r="AL984" s="92"/>
      <x:c r="AM984" s="91"/>
      <x:c r="AN984" s="91"/>
      <x:c r="AO984" s="93"/>
      <x:c r="AP984" s="94"/>
      <x:c r="AQ984" s="91"/>
      <x:c r="AR984" s="91"/>
      <x:c r="AS984" s="91"/>
      <x:c r="AT984" s="91"/>
      <x:c r="AU984" s="91"/>
      <x:c r="AV984" s="91"/>
      <x:c r="AW984" s="91"/>
      <x:c r="AX984" s="91"/>
      <x:c r="AY984" s="91"/>
      <x:c r="AZ984" s="92"/>
      <x:c r="BA984" s="94"/>
      <x:c r="BB984" s="91"/>
      <x:c r="BC984" s="92"/>
      <x:c r="BD984" s="92"/>
      <x:c r="BE984" s="91"/>
      <x:c r="BF984" s="91"/>
      <x:c r="BG984" s="91"/>
      <x:c r="BH984" s="91"/>
      <x:c r="BI984" s="91"/>
      <x:c r="BJ984" s="91"/>
      <x:c r="BK984" s="91"/>
      <x:c r="BL984" s="91"/>
      <x:c r="BM984" s="73" t="str">
        <x:f>IF(A984="","",IF(AI984="Example","Example only",IF(AI984&lt;&gt;"Actual","Set record type",IF(COUNTIF($A$2:$A$1001,A984)&gt;1,"Duplicate record ID",IF(OR(D984="",E984="",AF984="",NOT(ISNUMBER(AG984)),AJ984="",AK984="",NOT(ISNUMBER(AL984)),AND(AM984&lt;&gt;"Observed",AM984&lt;&gt;"Corroborated",AM984&lt;&gt;"Declared"),OR(AN984="",AN984="Unknown"),OR(AQ984="",AQ984="Unknown"),OR(AR984="",AR984="Unknown",AR984="TBD"),OR(BC984="",NOT(ISNUMBER(BC984)))),"Evidence incomplete","Evidence recorded; review scope")))))</x:f>
      </x:c>
      <x:c r="BN984" s="73"/>
    </x:row>
    <x:row r="985" ht="34" customHeight="1">
      <x:c r="A985" s="73"/>
      <x:c r="B985" s="73"/>
      <x:c r="C985" s="73"/>
      <x:c r="D985" s="73"/>
      <x:c r="E985" s="73"/>
      <x:c r="F985" s="73"/>
      <x:c r="G985" s="73"/>
      <x:c r="H985" s="73"/>
      <x:c r="I985" s="75"/>
      <x:c r="J985" s="73"/>
      <x:c r="K985" s="73"/>
      <x:c r="L985" s="76"/>
      <x:c r="M985" s="73"/>
      <x:c r="N985" s="73"/>
      <x:c r="O985" s="73"/>
      <x:c r="P985" s="73"/>
      <x:c r="Q985" s="76"/>
      <x:c r="R985" s="73"/>
      <x:c r="S985" s="73"/>
      <x:c r="T985" s="73"/>
      <x:c r="U985" s="73"/>
      <x:c r="V985" s="73"/>
      <x:c r="W985" s="73"/>
      <x:c r="X985" s="73"/>
      <x:c r="Y985" s="73"/>
      <x:c r="Z985" s="73"/>
      <x:c r="AA985" s="73"/>
      <x:c r="AB985" s="76" t="str">
        <x:f>IF(A985="","",IF(OR(NOT(ISNUMBER(I985)),I985&lt;0,NOT(ISNUMBER(AP985)),AP985&lt;0,NOT(ISNUMBER(L985)),L985&lt;1,L985&gt;5,L985&lt;&gt;INT(L985),AND(J985&lt;&gt;"Public",J985&lt;&gt;"Partner",J985&lt;&gt;"Internal",J985&lt;&gt;"None"),AND(K985&lt;&gt;"High",K985&lt;&gt;"Medium",K985&lt;&gt;"Low",K985&lt;&gt;"None"),AND(W985&lt;&gt;"Hard-coded",W985&lt;&gt;"Configurable",W985&lt;&gt;"Policy-managed",W985&lt;&gt;"API/Library abstraction",W985&lt;&gt;"Automated"),AND(Z985&lt;&gt;"Y",Z985&lt;&gt;"N"),AND(AA985&lt;&gt;"Y",AA985&lt;&gt;"N")),"Incomplete",IF(Z985="Y",20,0)+L985*5+IF(AA985="Y",15,0)+IF(J985="Public",10,IF(J985="Partner",7,IF(J985="Internal",3,0)))+IF(W985="Hard-coded",10,IF(W985="Configurable",3,0))+IF(MAX(I985,AP985)&gt;=10,10,IF(MAX(I985,AP985)&gt;=5,7,IF(MAX(I985,AP985)&gt;=2,3,0)))+IF(K985="High",10,IF(K985="Medium",5,0))))</x:f>
      </x:c>
      <x:c r="AC985" s="73" t="str">
        <x:f>IF(A985="","",IF(NOT(ISNUMBER(AB985)),"Review inputs",IF(AB985&gt;=70,"P0 - Immediate",IF(AB985&gt;=50,"P1 - High",IF(AB985&gt;=30,"P2 - Medium",IF(AB985&gt;=15,"P3 - Low","P4 - Monitor"))))))</x:f>
      </x:c>
      <x:c r="AD985" s="73"/>
      <x:c r="AE985" s="73"/>
      <x:c r="AF985" s="73"/>
      <x:c r="AG985" s="77"/>
      <x:c r="AH985" s="73"/>
      <x:c r="AI985" s="91"/>
      <x:c r="AJ985" s="91"/>
      <x:c r="AK985" s="91"/>
      <x:c r="AL985" s="92"/>
      <x:c r="AM985" s="91"/>
      <x:c r="AN985" s="91"/>
      <x:c r="AO985" s="93"/>
      <x:c r="AP985" s="94"/>
      <x:c r="AQ985" s="91"/>
      <x:c r="AR985" s="91"/>
      <x:c r="AS985" s="91"/>
      <x:c r="AT985" s="91"/>
      <x:c r="AU985" s="91"/>
      <x:c r="AV985" s="91"/>
      <x:c r="AW985" s="91"/>
      <x:c r="AX985" s="91"/>
      <x:c r="AY985" s="91"/>
      <x:c r="AZ985" s="92"/>
      <x:c r="BA985" s="94"/>
      <x:c r="BB985" s="91"/>
      <x:c r="BC985" s="92"/>
      <x:c r="BD985" s="92"/>
      <x:c r="BE985" s="91"/>
      <x:c r="BF985" s="91"/>
      <x:c r="BG985" s="91"/>
      <x:c r="BH985" s="91"/>
      <x:c r="BI985" s="91"/>
      <x:c r="BJ985" s="91"/>
      <x:c r="BK985" s="91"/>
      <x:c r="BL985" s="91"/>
      <x:c r="BM985" s="73" t="str">
        <x:f>IF(A985="","",IF(AI985="Example","Example only",IF(AI985&lt;&gt;"Actual","Set record type",IF(COUNTIF($A$2:$A$1001,A985)&gt;1,"Duplicate record ID",IF(OR(D985="",E985="",AF985="",NOT(ISNUMBER(AG985)),AJ985="",AK985="",NOT(ISNUMBER(AL985)),AND(AM985&lt;&gt;"Observed",AM985&lt;&gt;"Corroborated",AM985&lt;&gt;"Declared"),OR(AN985="",AN985="Unknown"),OR(AQ985="",AQ985="Unknown"),OR(AR985="",AR985="Unknown",AR985="TBD"),OR(BC985="",NOT(ISNUMBER(BC985)))),"Evidence incomplete","Evidence recorded; review scope")))))</x:f>
      </x:c>
      <x:c r="BN985" s="73"/>
    </x:row>
    <x:row r="986" ht="34" customHeight="1">
      <x:c r="A986" s="73"/>
      <x:c r="B986" s="73"/>
      <x:c r="C986" s="73"/>
      <x:c r="D986" s="73"/>
      <x:c r="E986" s="73"/>
      <x:c r="F986" s="73"/>
      <x:c r="G986" s="73"/>
      <x:c r="H986" s="73"/>
      <x:c r="I986" s="75"/>
      <x:c r="J986" s="73"/>
      <x:c r="K986" s="73"/>
      <x:c r="L986" s="76"/>
      <x:c r="M986" s="73"/>
      <x:c r="N986" s="73"/>
      <x:c r="O986" s="73"/>
      <x:c r="P986" s="73"/>
      <x:c r="Q986" s="76"/>
      <x:c r="R986" s="73"/>
      <x:c r="S986" s="73"/>
      <x:c r="T986" s="73"/>
      <x:c r="U986" s="73"/>
      <x:c r="V986" s="73"/>
      <x:c r="W986" s="73"/>
      <x:c r="X986" s="73"/>
      <x:c r="Y986" s="73"/>
      <x:c r="Z986" s="73"/>
      <x:c r="AA986" s="73"/>
      <x:c r="AB986" s="76" t="str">
        <x:f>IF(A986="","",IF(OR(NOT(ISNUMBER(I986)),I986&lt;0,NOT(ISNUMBER(AP986)),AP986&lt;0,NOT(ISNUMBER(L986)),L986&lt;1,L986&gt;5,L986&lt;&gt;INT(L986),AND(J986&lt;&gt;"Public",J986&lt;&gt;"Partner",J986&lt;&gt;"Internal",J986&lt;&gt;"None"),AND(K986&lt;&gt;"High",K986&lt;&gt;"Medium",K986&lt;&gt;"Low",K986&lt;&gt;"None"),AND(W986&lt;&gt;"Hard-coded",W986&lt;&gt;"Configurable",W986&lt;&gt;"Policy-managed",W986&lt;&gt;"API/Library abstraction",W986&lt;&gt;"Automated"),AND(Z986&lt;&gt;"Y",Z986&lt;&gt;"N"),AND(AA986&lt;&gt;"Y",AA986&lt;&gt;"N")),"Incomplete",IF(Z986="Y",20,0)+L986*5+IF(AA986="Y",15,0)+IF(J986="Public",10,IF(J986="Partner",7,IF(J986="Internal",3,0)))+IF(W986="Hard-coded",10,IF(W986="Configurable",3,0))+IF(MAX(I986,AP986)&gt;=10,10,IF(MAX(I986,AP986)&gt;=5,7,IF(MAX(I986,AP986)&gt;=2,3,0)))+IF(K986="High",10,IF(K986="Medium",5,0))))</x:f>
      </x:c>
      <x:c r="AC986" s="73" t="str">
        <x:f>IF(A986="","",IF(NOT(ISNUMBER(AB986)),"Review inputs",IF(AB986&gt;=70,"P0 - Immediate",IF(AB986&gt;=50,"P1 - High",IF(AB986&gt;=30,"P2 - Medium",IF(AB986&gt;=15,"P3 - Low","P4 - Monitor"))))))</x:f>
      </x:c>
      <x:c r="AD986" s="73"/>
      <x:c r="AE986" s="73"/>
      <x:c r="AF986" s="73"/>
      <x:c r="AG986" s="77"/>
      <x:c r="AH986" s="73"/>
      <x:c r="AI986" s="91"/>
      <x:c r="AJ986" s="91"/>
      <x:c r="AK986" s="91"/>
      <x:c r="AL986" s="92"/>
      <x:c r="AM986" s="91"/>
      <x:c r="AN986" s="91"/>
      <x:c r="AO986" s="93"/>
      <x:c r="AP986" s="94"/>
      <x:c r="AQ986" s="91"/>
      <x:c r="AR986" s="91"/>
      <x:c r="AS986" s="91"/>
      <x:c r="AT986" s="91"/>
      <x:c r="AU986" s="91"/>
      <x:c r="AV986" s="91"/>
      <x:c r="AW986" s="91"/>
      <x:c r="AX986" s="91"/>
      <x:c r="AY986" s="91"/>
      <x:c r="AZ986" s="92"/>
      <x:c r="BA986" s="94"/>
      <x:c r="BB986" s="91"/>
      <x:c r="BC986" s="92"/>
      <x:c r="BD986" s="92"/>
      <x:c r="BE986" s="91"/>
      <x:c r="BF986" s="91"/>
      <x:c r="BG986" s="91"/>
      <x:c r="BH986" s="91"/>
      <x:c r="BI986" s="91"/>
      <x:c r="BJ986" s="91"/>
      <x:c r="BK986" s="91"/>
      <x:c r="BL986" s="91"/>
      <x:c r="BM986" s="73" t="str">
        <x:f>IF(A986="","",IF(AI986="Example","Example only",IF(AI986&lt;&gt;"Actual","Set record type",IF(COUNTIF($A$2:$A$1001,A986)&gt;1,"Duplicate record ID",IF(OR(D986="",E986="",AF986="",NOT(ISNUMBER(AG986)),AJ986="",AK986="",NOT(ISNUMBER(AL986)),AND(AM986&lt;&gt;"Observed",AM986&lt;&gt;"Corroborated",AM986&lt;&gt;"Declared"),OR(AN986="",AN986="Unknown"),OR(AQ986="",AQ986="Unknown"),OR(AR986="",AR986="Unknown",AR986="TBD"),OR(BC986="",NOT(ISNUMBER(BC986)))),"Evidence incomplete","Evidence recorded; review scope")))))</x:f>
      </x:c>
      <x:c r="BN986" s="73"/>
    </x:row>
    <x:row r="987" ht="34" customHeight="1">
      <x:c r="A987" s="73"/>
      <x:c r="B987" s="73"/>
      <x:c r="C987" s="73"/>
      <x:c r="D987" s="73"/>
      <x:c r="E987" s="73"/>
      <x:c r="F987" s="73"/>
      <x:c r="G987" s="73"/>
      <x:c r="H987" s="73"/>
      <x:c r="I987" s="75"/>
      <x:c r="J987" s="73"/>
      <x:c r="K987" s="73"/>
      <x:c r="L987" s="76"/>
      <x:c r="M987" s="73"/>
      <x:c r="N987" s="73"/>
      <x:c r="O987" s="73"/>
      <x:c r="P987" s="73"/>
      <x:c r="Q987" s="76"/>
      <x:c r="R987" s="73"/>
      <x:c r="S987" s="73"/>
      <x:c r="T987" s="73"/>
      <x:c r="U987" s="73"/>
      <x:c r="V987" s="73"/>
      <x:c r="W987" s="73"/>
      <x:c r="X987" s="73"/>
      <x:c r="Y987" s="73"/>
      <x:c r="Z987" s="73"/>
      <x:c r="AA987" s="73"/>
      <x:c r="AB987" s="76" t="str">
        <x:f>IF(A987="","",IF(OR(NOT(ISNUMBER(I987)),I987&lt;0,NOT(ISNUMBER(AP987)),AP987&lt;0,NOT(ISNUMBER(L987)),L987&lt;1,L987&gt;5,L987&lt;&gt;INT(L987),AND(J987&lt;&gt;"Public",J987&lt;&gt;"Partner",J987&lt;&gt;"Internal",J987&lt;&gt;"None"),AND(K987&lt;&gt;"High",K987&lt;&gt;"Medium",K987&lt;&gt;"Low",K987&lt;&gt;"None"),AND(W987&lt;&gt;"Hard-coded",W987&lt;&gt;"Configurable",W987&lt;&gt;"Policy-managed",W987&lt;&gt;"API/Library abstraction",W987&lt;&gt;"Automated"),AND(Z987&lt;&gt;"Y",Z987&lt;&gt;"N"),AND(AA987&lt;&gt;"Y",AA987&lt;&gt;"N")),"Incomplete",IF(Z987="Y",20,0)+L987*5+IF(AA987="Y",15,0)+IF(J987="Public",10,IF(J987="Partner",7,IF(J987="Internal",3,0)))+IF(W987="Hard-coded",10,IF(W987="Configurable",3,0))+IF(MAX(I987,AP987)&gt;=10,10,IF(MAX(I987,AP987)&gt;=5,7,IF(MAX(I987,AP987)&gt;=2,3,0)))+IF(K987="High",10,IF(K987="Medium",5,0))))</x:f>
      </x:c>
      <x:c r="AC987" s="73" t="str">
        <x:f>IF(A987="","",IF(NOT(ISNUMBER(AB987)),"Review inputs",IF(AB987&gt;=70,"P0 - Immediate",IF(AB987&gt;=50,"P1 - High",IF(AB987&gt;=30,"P2 - Medium",IF(AB987&gt;=15,"P3 - Low","P4 - Monitor"))))))</x:f>
      </x:c>
      <x:c r="AD987" s="73"/>
      <x:c r="AE987" s="73"/>
      <x:c r="AF987" s="73"/>
      <x:c r="AG987" s="77"/>
      <x:c r="AH987" s="73"/>
      <x:c r="AI987" s="91"/>
      <x:c r="AJ987" s="91"/>
      <x:c r="AK987" s="91"/>
      <x:c r="AL987" s="92"/>
      <x:c r="AM987" s="91"/>
      <x:c r="AN987" s="91"/>
      <x:c r="AO987" s="93"/>
      <x:c r="AP987" s="94"/>
      <x:c r="AQ987" s="91"/>
      <x:c r="AR987" s="91"/>
      <x:c r="AS987" s="91"/>
      <x:c r="AT987" s="91"/>
      <x:c r="AU987" s="91"/>
      <x:c r="AV987" s="91"/>
      <x:c r="AW987" s="91"/>
      <x:c r="AX987" s="91"/>
      <x:c r="AY987" s="91"/>
      <x:c r="AZ987" s="92"/>
      <x:c r="BA987" s="94"/>
      <x:c r="BB987" s="91"/>
      <x:c r="BC987" s="92"/>
      <x:c r="BD987" s="92"/>
      <x:c r="BE987" s="91"/>
      <x:c r="BF987" s="91"/>
      <x:c r="BG987" s="91"/>
      <x:c r="BH987" s="91"/>
      <x:c r="BI987" s="91"/>
      <x:c r="BJ987" s="91"/>
      <x:c r="BK987" s="91"/>
      <x:c r="BL987" s="91"/>
      <x:c r="BM987" s="73" t="str">
        <x:f>IF(A987="","",IF(AI987="Example","Example only",IF(AI987&lt;&gt;"Actual","Set record type",IF(COUNTIF($A$2:$A$1001,A987)&gt;1,"Duplicate record ID",IF(OR(D987="",E987="",AF987="",NOT(ISNUMBER(AG987)),AJ987="",AK987="",NOT(ISNUMBER(AL987)),AND(AM987&lt;&gt;"Observed",AM987&lt;&gt;"Corroborated",AM987&lt;&gt;"Declared"),OR(AN987="",AN987="Unknown"),OR(AQ987="",AQ987="Unknown"),OR(AR987="",AR987="Unknown",AR987="TBD"),OR(BC987="",NOT(ISNUMBER(BC987)))),"Evidence incomplete","Evidence recorded; review scope")))))</x:f>
      </x:c>
      <x:c r="BN987" s="73"/>
    </x:row>
    <x:row r="988" ht="34" customHeight="1">
      <x:c r="A988" s="73"/>
      <x:c r="B988" s="73"/>
      <x:c r="C988" s="73"/>
      <x:c r="D988" s="73"/>
      <x:c r="E988" s="73"/>
      <x:c r="F988" s="73"/>
      <x:c r="G988" s="73"/>
      <x:c r="H988" s="73"/>
      <x:c r="I988" s="75"/>
      <x:c r="J988" s="73"/>
      <x:c r="K988" s="73"/>
      <x:c r="L988" s="76"/>
      <x:c r="M988" s="73"/>
      <x:c r="N988" s="73"/>
      <x:c r="O988" s="73"/>
      <x:c r="P988" s="73"/>
      <x:c r="Q988" s="76"/>
      <x:c r="R988" s="73"/>
      <x:c r="S988" s="73"/>
      <x:c r="T988" s="73"/>
      <x:c r="U988" s="73"/>
      <x:c r="V988" s="73"/>
      <x:c r="W988" s="73"/>
      <x:c r="X988" s="73"/>
      <x:c r="Y988" s="73"/>
      <x:c r="Z988" s="73"/>
      <x:c r="AA988" s="73"/>
      <x:c r="AB988" s="76" t="str">
        <x:f>IF(A988="","",IF(OR(NOT(ISNUMBER(I988)),I988&lt;0,NOT(ISNUMBER(AP988)),AP988&lt;0,NOT(ISNUMBER(L988)),L988&lt;1,L988&gt;5,L988&lt;&gt;INT(L988),AND(J988&lt;&gt;"Public",J988&lt;&gt;"Partner",J988&lt;&gt;"Internal",J988&lt;&gt;"None"),AND(K988&lt;&gt;"High",K988&lt;&gt;"Medium",K988&lt;&gt;"Low",K988&lt;&gt;"None"),AND(W988&lt;&gt;"Hard-coded",W988&lt;&gt;"Configurable",W988&lt;&gt;"Policy-managed",W988&lt;&gt;"API/Library abstraction",W988&lt;&gt;"Automated"),AND(Z988&lt;&gt;"Y",Z988&lt;&gt;"N"),AND(AA988&lt;&gt;"Y",AA988&lt;&gt;"N")),"Incomplete",IF(Z988="Y",20,0)+L988*5+IF(AA988="Y",15,0)+IF(J988="Public",10,IF(J988="Partner",7,IF(J988="Internal",3,0)))+IF(W988="Hard-coded",10,IF(W988="Configurable",3,0))+IF(MAX(I988,AP988)&gt;=10,10,IF(MAX(I988,AP988)&gt;=5,7,IF(MAX(I988,AP988)&gt;=2,3,0)))+IF(K988="High",10,IF(K988="Medium",5,0))))</x:f>
      </x:c>
      <x:c r="AC988" s="73" t="str">
        <x:f>IF(A988="","",IF(NOT(ISNUMBER(AB988)),"Review inputs",IF(AB988&gt;=70,"P0 - Immediate",IF(AB988&gt;=50,"P1 - High",IF(AB988&gt;=30,"P2 - Medium",IF(AB988&gt;=15,"P3 - Low","P4 - Monitor"))))))</x:f>
      </x:c>
      <x:c r="AD988" s="73"/>
      <x:c r="AE988" s="73"/>
      <x:c r="AF988" s="73"/>
      <x:c r="AG988" s="77"/>
      <x:c r="AH988" s="73"/>
      <x:c r="AI988" s="91"/>
      <x:c r="AJ988" s="91"/>
      <x:c r="AK988" s="91"/>
      <x:c r="AL988" s="92"/>
      <x:c r="AM988" s="91"/>
      <x:c r="AN988" s="91"/>
      <x:c r="AO988" s="93"/>
      <x:c r="AP988" s="94"/>
      <x:c r="AQ988" s="91"/>
      <x:c r="AR988" s="91"/>
      <x:c r="AS988" s="91"/>
      <x:c r="AT988" s="91"/>
      <x:c r="AU988" s="91"/>
      <x:c r="AV988" s="91"/>
      <x:c r="AW988" s="91"/>
      <x:c r="AX988" s="91"/>
      <x:c r="AY988" s="91"/>
      <x:c r="AZ988" s="92"/>
      <x:c r="BA988" s="94"/>
      <x:c r="BB988" s="91"/>
      <x:c r="BC988" s="92"/>
      <x:c r="BD988" s="92"/>
      <x:c r="BE988" s="91"/>
      <x:c r="BF988" s="91"/>
      <x:c r="BG988" s="91"/>
      <x:c r="BH988" s="91"/>
      <x:c r="BI988" s="91"/>
      <x:c r="BJ988" s="91"/>
      <x:c r="BK988" s="91"/>
      <x:c r="BL988" s="91"/>
      <x:c r="BM988" s="73" t="str">
        <x:f>IF(A988="","",IF(AI988="Example","Example only",IF(AI988&lt;&gt;"Actual","Set record type",IF(COUNTIF($A$2:$A$1001,A988)&gt;1,"Duplicate record ID",IF(OR(D988="",E988="",AF988="",NOT(ISNUMBER(AG988)),AJ988="",AK988="",NOT(ISNUMBER(AL988)),AND(AM988&lt;&gt;"Observed",AM988&lt;&gt;"Corroborated",AM988&lt;&gt;"Declared"),OR(AN988="",AN988="Unknown"),OR(AQ988="",AQ988="Unknown"),OR(AR988="",AR988="Unknown",AR988="TBD"),OR(BC988="",NOT(ISNUMBER(BC988)))),"Evidence incomplete","Evidence recorded; review scope")))))</x:f>
      </x:c>
      <x:c r="BN988" s="73"/>
    </x:row>
    <x:row r="989" ht="34" customHeight="1">
      <x:c r="A989" s="73"/>
      <x:c r="B989" s="73"/>
      <x:c r="C989" s="73"/>
      <x:c r="D989" s="73"/>
      <x:c r="E989" s="73"/>
      <x:c r="F989" s="73"/>
      <x:c r="G989" s="73"/>
      <x:c r="H989" s="73"/>
      <x:c r="I989" s="75"/>
      <x:c r="J989" s="73"/>
      <x:c r="K989" s="73"/>
      <x:c r="L989" s="76"/>
      <x:c r="M989" s="73"/>
      <x:c r="N989" s="73"/>
      <x:c r="O989" s="73"/>
      <x:c r="P989" s="73"/>
      <x:c r="Q989" s="76"/>
      <x:c r="R989" s="73"/>
      <x:c r="S989" s="73"/>
      <x:c r="T989" s="73"/>
      <x:c r="U989" s="73"/>
      <x:c r="V989" s="73"/>
      <x:c r="W989" s="73"/>
      <x:c r="X989" s="73"/>
      <x:c r="Y989" s="73"/>
      <x:c r="Z989" s="73"/>
      <x:c r="AA989" s="73"/>
      <x:c r="AB989" s="76" t="str">
        <x:f>IF(A989="","",IF(OR(NOT(ISNUMBER(I989)),I989&lt;0,NOT(ISNUMBER(AP989)),AP989&lt;0,NOT(ISNUMBER(L989)),L989&lt;1,L989&gt;5,L989&lt;&gt;INT(L989),AND(J989&lt;&gt;"Public",J989&lt;&gt;"Partner",J989&lt;&gt;"Internal",J989&lt;&gt;"None"),AND(K989&lt;&gt;"High",K989&lt;&gt;"Medium",K989&lt;&gt;"Low",K989&lt;&gt;"None"),AND(W989&lt;&gt;"Hard-coded",W989&lt;&gt;"Configurable",W989&lt;&gt;"Policy-managed",W989&lt;&gt;"API/Library abstraction",W989&lt;&gt;"Automated"),AND(Z989&lt;&gt;"Y",Z989&lt;&gt;"N"),AND(AA989&lt;&gt;"Y",AA989&lt;&gt;"N")),"Incomplete",IF(Z989="Y",20,0)+L989*5+IF(AA989="Y",15,0)+IF(J989="Public",10,IF(J989="Partner",7,IF(J989="Internal",3,0)))+IF(W989="Hard-coded",10,IF(W989="Configurable",3,0))+IF(MAX(I989,AP989)&gt;=10,10,IF(MAX(I989,AP989)&gt;=5,7,IF(MAX(I989,AP989)&gt;=2,3,0)))+IF(K989="High",10,IF(K989="Medium",5,0))))</x:f>
      </x:c>
      <x:c r="AC989" s="73" t="str">
        <x:f>IF(A989="","",IF(NOT(ISNUMBER(AB989)),"Review inputs",IF(AB989&gt;=70,"P0 - Immediate",IF(AB989&gt;=50,"P1 - High",IF(AB989&gt;=30,"P2 - Medium",IF(AB989&gt;=15,"P3 - Low","P4 - Monitor"))))))</x:f>
      </x:c>
      <x:c r="AD989" s="73"/>
      <x:c r="AE989" s="73"/>
      <x:c r="AF989" s="73"/>
      <x:c r="AG989" s="77"/>
      <x:c r="AH989" s="73"/>
      <x:c r="AI989" s="91"/>
      <x:c r="AJ989" s="91"/>
      <x:c r="AK989" s="91"/>
      <x:c r="AL989" s="92"/>
      <x:c r="AM989" s="91"/>
      <x:c r="AN989" s="91"/>
      <x:c r="AO989" s="93"/>
      <x:c r="AP989" s="94"/>
      <x:c r="AQ989" s="91"/>
      <x:c r="AR989" s="91"/>
      <x:c r="AS989" s="91"/>
      <x:c r="AT989" s="91"/>
      <x:c r="AU989" s="91"/>
      <x:c r="AV989" s="91"/>
      <x:c r="AW989" s="91"/>
      <x:c r="AX989" s="91"/>
      <x:c r="AY989" s="91"/>
      <x:c r="AZ989" s="92"/>
      <x:c r="BA989" s="94"/>
      <x:c r="BB989" s="91"/>
      <x:c r="BC989" s="92"/>
      <x:c r="BD989" s="92"/>
      <x:c r="BE989" s="91"/>
      <x:c r="BF989" s="91"/>
      <x:c r="BG989" s="91"/>
      <x:c r="BH989" s="91"/>
      <x:c r="BI989" s="91"/>
      <x:c r="BJ989" s="91"/>
      <x:c r="BK989" s="91"/>
      <x:c r="BL989" s="91"/>
      <x:c r="BM989" s="73" t="str">
        <x:f>IF(A989="","",IF(AI989="Example","Example only",IF(AI989&lt;&gt;"Actual","Set record type",IF(COUNTIF($A$2:$A$1001,A989)&gt;1,"Duplicate record ID",IF(OR(D989="",E989="",AF989="",NOT(ISNUMBER(AG989)),AJ989="",AK989="",NOT(ISNUMBER(AL989)),AND(AM989&lt;&gt;"Observed",AM989&lt;&gt;"Corroborated",AM989&lt;&gt;"Declared"),OR(AN989="",AN989="Unknown"),OR(AQ989="",AQ989="Unknown"),OR(AR989="",AR989="Unknown",AR989="TBD"),OR(BC989="",NOT(ISNUMBER(BC989)))),"Evidence incomplete","Evidence recorded; review scope")))))</x:f>
      </x:c>
      <x:c r="BN989" s="73"/>
    </x:row>
    <x:row r="990" ht="34" customHeight="1">
      <x:c r="A990" s="73"/>
      <x:c r="B990" s="73"/>
      <x:c r="C990" s="73"/>
      <x:c r="D990" s="73"/>
      <x:c r="E990" s="73"/>
      <x:c r="F990" s="73"/>
      <x:c r="G990" s="73"/>
      <x:c r="H990" s="73"/>
      <x:c r="I990" s="75"/>
      <x:c r="J990" s="73"/>
      <x:c r="K990" s="73"/>
      <x:c r="L990" s="76"/>
      <x:c r="M990" s="73"/>
      <x:c r="N990" s="73"/>
      <x:c r="O990" s="73"/>
      <x:c r="P990" s="73"/>
      <x:c r="Q990" s="76"/>
      <x:c r="R990" s="73"/>
      <x:c r="S990" s="73"/>
      <x:c r="T990" s="73"/>
      <x:c r="U990" s="73"/>
      <x:c r="V990" s="73"/>
      <x:c r="W990" s="73"/>
      <x:c r="X990" s="73"/>
      <x:c r="Y990" s="73"/>
      <x:c r="Z990" s="73"/>
      <x:c r="AA990" s="73"/>
      <x:c r="AB990" s="76" t="str">
        <x:f>IF(A990="","",IF(OR(NOT(ISNUMBER(I990)),I990&lt;0,NOT(ISNUMBER(AP990)),AP990&lt;0,NOT(ISNUMBER(L990)),L990&lt;1,L990&gt;5,L990&lt;&gt;INT(L990),AND(J990&lt;&gt;"Public",J990&lt;&gt;"Partner",J990&lt;&gt;"Internal",J990&lt;&gt;"None"),AND(K990&lt;&gt;"High",K990&lt;&gt;"Medium",K990&lt;&gt;"Low",K990&lt;&gt;"None"),AND(W990&lt;&gt;"Hard-coded",W990&lt;&gt;"Configurable",W990&lt;&gt;"Policy-managed",W990&lt;&gt;"API/Library abstraction",W990&lt;&gt;"Automated"),AND(Z990&lt;&gt;"Y",Z990&lt;&gt;"N"),AND(AA990&lt;&gt;"Y",AA990&lt;&gt;"N")),"Incomplete",IF(Z990="Y",20,0)+L990*5+IF(AA990="Y",15,0)+IF(J990="Public",10,IF(J990="Partner",7,IF(J990="Internal",3,0)))+IF(W990="Hard-coded",10,IF(W990="Configurable",3,0))+IF(MAX(I990,AP990)&gt;=10,10,IF(MAX(I990,AP990)&gt;=5,7,IF(MAX(I990,AP990)&gt;=2,3,0)))+IF(K990="High",10,IF(K990="Medium",5,0))))</x:f>
      </x:c>
      <x:c r="AC990" s="73" t="str">
        <x:f>IF(A990="","",IF(NOT(ISNUMBER(AB990)),"Review inputs",IF(AB990&gt;=70,"P0 - Immediate",IF(AB990&gt;=50,"P1 - High",IF(AB990&gt;=30,"P2 - Medium",IF(AB990&gt;=15,"P3 - Low","P4 - Monitor"))))))</x:f>
      </x:c>
      <x:c r="AD990" s="73"/>
      <x:c r="AE990" s="73"/>
      <x:c r="AF990" s="73"/>
      <x:c r="AG990" s="77"/>
      <x:c r="AH990" s="73"/>
      <x:c r="AI990" s="91"/>
      <x:c r="AJ990" s="91"/>
      <x:c r="AK990" s="91"/>
      <x:c r="AL990" s="92"/>
      <x:c r="AM990" s="91"/>
      <x:c r="AN990" s="91"/>
      <x:c r="AO990" s="93"/>
      <x:c r="AP990" s="94"/>
      <x:c r="AQ990" s="91"/>
      <x:c r="AR990" s="91"/>
      <x:c r="AS990" s="91"/>
      <x:c r="AT990" s="91"/>
      <x:c r="AU990" s="91"/>
      <x:c r="AV990" s="91"/>
      <x:c r="AW990" s="91"/>
      <x:c r="AX990" s="91"/>
      <x:c r="AY990" s="91"/>
      <x:c r="AZ990" s="92"/>
      <x:c r="BA990" s="94"/>
      <x:c r="BB990" s="91"/>
      <x:c r="BC990" s="92"/>
      <x:c r="BD990" s="92"/>
      <x:c r="BE990" s="91"/>
      <x:c r="BF990" s="91"/>
      <x:c r="BG990" s="91"/>
      <x:c r="BH990" s="91"/>
      <x:c r="BI990" s="91"/>
      <x:c r="BJ990" s="91"/>
      <x:c r="BK990" s="91"/>
      <x:c r="BL990" s="91"/>
      <x:c r="BM990" s="73" t="str">
        <x:f>IF(A990="","",IF(AI990="Example","Example only",IF(AI990&lt;&gt;"Actual","Set record type",IF(COUNTIF($A$2:$A$1001,A990)&gt;1,"Duplicate record ID",IF(OR(D990="",E990="",AF990="",NOT(ISNUMBER(AG990)),AJ990="",AK990="",NOT(ISNUMBER(AL990)),AND(AM990&lt;&gt;"Observed",AM990&lt;&gt;"Corroborated",AM990&lt;&gt;"Declared"),OR(AN990="",AN990="Unknown"),OR(AQ990="",AQ990="Unknown"),OR(AR990="",AR990="Unknown",AR990="TBD"),OR(BC990="",NOT(ISNUMBER(BC990)))),"Evidence incomplete","Evidence recorded; review scope")))))</x:f>
      </x:c>
      <x:c r="BN990" s="73"/>
    </x:row>
    <x:row r="991" ht="34" customHeight="1">
      <x:c r="A991" s="73"/>
      <x:c r="B991" s="73"/>
      <x:c r="C991" s="73"/>
      <x:c r="D991" s="73"/>
      <x:c r="E991" s="73"/>
      <x:c r="F991" s="73"/>
      <x:c r="G991" s="73"/>
      <x:c r="H991" s="73"/>
      <x:c r="I991" s="75"/>
      <x:c r="J991" s="73"/>
      <x:c r="K991" s="73"/>
      <x:c r="L991" s="76"/>
      <x:c r="M991" s="73"/>
      <x:c r="N991" s="73"/>
      <x:c r="O991" s="73"/>
      <x:c r="P991" s="73"/>
      <x:c r="Q991" s="76"/>
      <x:c r="R991" s="73"/>
      <x:c r="S991" s="73"/>
      <x:c r="T991" s="73"/>
      <x:c r="U991" s="73"/>
      <x:c r="V991" s="73"/>
      <x:c r="W991" s="73"/>
      <x:c r="X991" s="73"/>
      <x:c r="Y991" s="73"/>
      <x:c r="Z991" s="73"/>
      <x:c r="AA991" s="73"/>
      <x:c r="AB991" s="76" t="str">
        <x:f>IF(A991="","",IF(OR(NOT(ISNUMBER(I991)),I991&lt;0,NOT(ISNUMBER(AP991)),AP991&lt;0,NOT(ISNUMBER(L991)),L991&lt;1,L991&gt;5,L991&lt;&gt;INT(L991),AND(J991&lt;&gt;"Public",J991&lt;&gt;"Partner",J991&lt;&gt;"Internal",J991&lt;&gt;"None"),AND(K991&lt;&gt;"High",K991&lt;&gt;"Medium",K991&lt;&gt;"Low",K991&lt;&gt;"None"),AND(W991&lt;&gt;"Hard-coded",W991&lt;&gt;"Configurable",W991&lt;&gt;"Policy-managed",W991&lt;&gt;"API/Library abstraction",W991&lt;&gt;"Automated"),AND(Z991&lt;&gt;"Y",Z991&lt;&gt;"N"),AND(AA991&lt;&gt;"Y",AA991&lt;&gt;"N")),"Incomplete",IF(Z991="Y",20,0)+L991*5+IF(AA991="Y",15,0)+IF(J991="Public",10,IF(J991="Partner",7,IF(J991="Internal",3,0)))+IF(W991="Hard-coded",10,IF(W991="Configurable",3,0))+IF(MAX(I991,AP991)&gt;=10,10,IF(MAX(I991,AP991)&gt;=5,7,IF(MAX(I991,AP991)&gt;=2,3,0)))+IF(K991="High",10,IF(K991="Medium",5,0))))</x:f>
      </x:c>
      <x:c r="AC991" s="73" t="str">
        <x:f>IF(A991="","",IF(NOT(ISNUMBER(AB991)),"Review inputs",IF(AB991&gt;=70,"P0 - Immediate",IF(AB991&gt;=50,"P1 - High",IF(AB991&gt;=30,"P2 - Medium",IF(AB991&gt;=15,"P3 - Low","P4 - Monitor"))))))</x:f>
      </x:c>
      <x:c r="AD991" s="73"/>
      <x:c r="AE991" s="73"/>
      <x:c r="AF991" s="73"/>
      <x:c r="AG991" s="77"/>
      <x:c r="AH991" s="73"/>
      <x:c r="AI991" s="91"/>
      <x:c r="AJ991" s="91"/>
      <x:c r="AK991" s="91"/>
      <x:c r="AL991" s="92"/>
      <x:c r="AM991" s="91"/>
      <x:c r="AN991" s="91"/>
      <x:c r="AO991" s="93"/>
      <x:c r="AP991" s="94"/>
      <x:c r="AQ991" s="91"/>
      <x:c r="AR991" s="91"/>
      <x:c r="AS991" s="91"/>
      <x:c r="AT991" s="91"/>
      <x:c r="AU991" s="91"/>
      <x:c r="AV991" s="91"/>
      <x:c r="AW991" s="91"/>
      <x:c r="AX991" s="91"/>
      <x:c r="AY991" s="91"/>
      <x:c r="AZ991" s="92"/>
      <x:c r="BA991" s="94"/>
      <x:c r="BB991" s="91"/>
      <x:c r="BC991" s="92"/>
      <x:c r="BD991" s="92"/>
      <x:c r="BE991" s="91"/>
      <x:c r="BF991" s="91"/>
      <x:c r="BG991" s="91"/>
      <x:c r="BH991" s="91"/>
      <x:c r="BI991" s="91"/>
      <x:c r="BJ991" s="91"/>
      <x:c r="BK991" s="91"/>
      <x:c r="BL991" s="91"/>
      <x:c r="BM991" s="73" t="str">
        <x:f>IF(A991="","",IF(AI991="Example","Example only",IF(AI991&lt;&gt;"Actual","Set record type",IF(COUNTIF($A$2:$A$1001,A991)&gt;1,"Duplicate record ID",IF(OR(D991="",E991="",AF991="",NOT(ISNUMBER(AG991)),AJ991="",AK991="",NOT(ISNUMBER(AL991)),AND(AM991&lt;&gt;"Observed",AM991&lt;&gt;"Corroborated",AM991&lt;&gt;"Declared"),OR(AN991="",AN991="Unknown"),OR(AQ991="",AQ991="Unknown"),OR(AR991="",AR991="Unknown",AR991="TBD"),OR(BC991="",NOT(ISNUMBER(BC991)))),"Evidence incomplete","Evidence recorded; review scope")))))</x:f>
      </x:c>
      <x:c r="BN991" s="73"/>
    </x:row>
    <x:row r="992" ht="34" customHeight="1">
      <x:c r="A992" s="73"/>
      <x:c r="B992" s="73"/>
      <x:c r="C992" s="73"/>
      <x:c r="D992" s="73"/>
      <x:c r="E992" s="73"/>
      <x:c r="F992" s="73"/>
      <x:c r="G992" s="73"/>
      <x:c r="H992" s="73"/>
      <x:c r="I992" s="75"/>
      <x:c r="J992" s="73"/>
      <x:c r="K992" s="73"/>
      <x:c r="L992" s="76"/>
      <x:c r="M992" s="73"/>
      <x:c r="N992" s="73"/>
      <x:c r="O992" s="73"/>
      <x:c r="P992" s="73"/>
      <x:c r="Q992" s="76"/>
      <x:c r="R992" s="73"/>
      <x:c r="S992" s="73"/>
      <x:c r="T992" s="73"/>
      <x:c r="U992" s="73"/>
      <x:c r="V992" s="73"/>
      <x:c r="W992" s="73"/>
      <x:c r="X992" s="73"/>
      <x:c r="Y992" s="73"/>
      <x:c r="Z992" s="73"/>
      <x:c r="AA992" s="73"/>
      <x:c r="AB992" s="76" t="str">
        <x:f>IF(A992="","",IF(OR(NOT(ISNUMBER(I992)),I992&lt;0,NOT(ISNUMBER(AP992)),AP992&lt;0,NOT(ISNUMBER(L992)),L992&lt;1,L992&gt;5,L992&lt;&gt;INT(L992),AND(J992&lt;&gt;"Public",J992&lt;&gt;"Partner",J992&lt;&gt;"Internal",J992&lt;&gt;"None"),AND(K992&lt;&gt;"High",K992&lt;&gt;"Medium",K992&lt;&gt;"Low",K992&lt;&gt;"None"),AND(W992&lt;&gt;"Hard-coded",W992&lt;&gt;"Configurable",W992&lt;&gt;"Policy-managed",W992&lt;&gt;"API/Library abstraction",W992&lt;&gt;"Automated"),AND(Z992&lt;&gt;"Y",Z992&lt;&gt;"N"),AND(AA992&lt;&gt;"Y",AA992&lt;&gt;"N")),"Incomplete",IF(Z992="Y",20,0)+L992*5+IF(AA992="Y",15,0)+IF(J992="Public",10,IF(J992="Partner",7,IF(J992="Internal",3,0)))+IF(W992="Hard-coded",10,IF(W992="Configurable",3,0))+IF(MAX(I992,AP992)&gt;=10,10,IF(MAX(I992,AP992)&gt;=5,7,IF(MAX(I992,AP992)&gt;=2,3,0)))+IF(K992="High",10,IF(K992="Medium",5,0))))</x:f>
      </x:c>
      <x:c r="AC992" s="73" t="str">
        <x:f>IF(A992="","",IF(NOT(ISNUMBER(AB992)),"Review inputs",IF(AB992&gt;=70,"P0 - Immediate",IF(AB992&gt;=50,"P1 - High",IF(AB992&gt;=30,"P2 - Medium",IF(AB992&gt;=15,"P3 - Low","P4 - Monitor"))))))</x:f>
      </x:c>
      <x:c r="AD992" s="73"/>
      <x:c r="AE992" s="73"/>
      <x:c r="AF992" s="73"/>
      <x:c r="AG992" s="77"/>
      <x:c r="AH992" s="73"/>
      <x:c r="AI992" s="91"/>
      <x:c r="AJ992" s="91"/>
      <x:c r="AK992" s="91"/>
      <x:c r="AL992" s="92"/>
      <x:c r="AM992" s="91"/>
      <x:c r="AN992" s="91"/>
      <x:c r="AO992" s="93"/>
      <x:c r="AP992" s="94"/>
      <x:c r="AQ992" s="91"/>
      <x:c r="AR992" s="91"/>
      <x:c r="AS992" s="91"/>
      <x:c r="AT992" s="91"/>
      <x:c r="AU992" s="91"/>
      <x:c r="AV992" s="91"/>
      <x:c r="AW992" s="91"/>
      <x:c r="AX992" s="91"/>
      <x:c r="AY992" s="91"/>
      <x:c r="AZ992" s="92"/>
      <x:c r="BA992" s="94"/>
      <x:c r="BB992" s="91"/>
      <x:c r="BC992" s="92"/>
      <x:c r="BD992" s="92"/>
      <x:c r="BE992" s="91"/>
      <x:c r="BF992" s="91"/>
      <x:c r="BG992" s="91"/>
      <x:c r="BH992" s="91"/>
      <x:c r="BI992" s="91"/>
      <x:c r="BJ992" s="91"/>
      <x:c r="BK992" s="91"/>
      <x:c r="BL992" s="91"/>
      <x:c r="BM992" s="73" t="str">
        <x:f>IF(A992="","",IF(AI992="Example","Example only",IF(AI992&lt;&gt;"Actual","Set record type",IF(COUNTIF($A$2:$A$1001,A992)&gt;1,"Duplicate record ID",IF(OR(D992="",E992="",AF992="",NOT(ISNUMBER(AG992)),AJ992="",AK992="",NOT(ISNUMBER(AL992)),AND(AM992&lt;&gt;"Observed",AM992&lt;&gt;"Corroborated",AM992&lt;&gt;"Declared"),OR(AN992="",AN992="Unknown"),OR(AQ992="",AQ992="Unknown"),OR(AR992="",AR992="Unknown",AR992="TBD"),OR(BC992="",NOT(ISNUMBER(BC992)))),"Evidence incomplete","Evidence recorded; review scope")))))</x:f>
      </x:c>
      <x:c r="BN992" s="73"/>
    </x:row>
    <x:row r="993" ht="34" customHeight="1">
      <x:c r="A993" s="73"/>
      <x:c r="B993" s="73"/>
      <x:c r="C993" s="73"/>
      <x:c r="D993" s="73"/>
      <x:c r="E993" s="73"/>
      <x:c r="F993" s="73"/>
      <x:c r="G993" s="73"/>
      <x:c r="H993" s="73"/>
      <x:c r="I993" s="75"/>
      <x:c r="J993" s="73"/>
      <x:c r="K993" s="73"/>
      <x:c r="L993" s="76"/>
      <x:c r="M993" s="73"/>
      <x:c r="N993" s="73"/>
      <x:c r="O993" s="73"/>
      <x:c r="P993" s="73"/>
      <x:c r="Q993" s="76"/>
      <x:c r="R993" s="73"/>
      <x:c r="S993" s="73"/>
      <x:c r="T993" s="73"/>
      <x:c r="U993" s="73"/>
      <x:c r="V993" s="73"/>
      <x:c r="W993" s="73"/>
      <x:c r="X993" s="73"/>
      <x:c r="Y993" s="73"/>
      <x:c r="Z993" s="73"/>
      <x:c r="AA993" s="73"/>
      <x:c r="AB993" s="76" t="str">
        <x:f>IF(A993="","",IF(OR(NOT(ISNUMBER(I993)),I993&lt;0,NOT(ISNUMBER(AP993)),AP993&lt;0,NOT(ISNUMBER(L993)),L993&lt;1,L993&gt;5,L993&lt;&gt;INT(L993),AND(J993&lt;&gt;"Public",J993&lt;&gt;"Partner",J993&lt;&gt;"Internal",J993&lt;&gt;"None"),AND(K993&lt;&gt;"High",K993&lt;&gt;"Medium",K993&lt;&gt;"Low",K993&lt;&gt;"None"),AND(W993&lt;&gt;"Hard-coded",W993&lt;&gt;"Configurable",W993&lt;&gt;"Policy-managed",W993&lt;&gt;"API/Library abstraction",W993&lt;&gt;"Automated"),AND(Z993&lt;&gt;"Y",Z993&lt;&gt;"N"),AND(AA993&lt;&gt;"Y",AA993&lt;&gt;"N")),"Incomplete",IF(Z993="Y",20,0)+L993*5+IF(AA993="Y",15,0)+IF(J993="Public",10,IF(J993="Partner",7,IF(J993="Internal",3,0)))+IF(W993="Hard-coded",10,IF(W993="Configurable",3,0))+IF(MAX(I993,AP993)&gt;=10,10,IF(MAX(I993,AP993)&gt;=5,7,IF(MAX(I993,AP993)&gt;=2,3,0)))+IF(K993="High",10,IF(K993="Medium",5,0))))</x:f>
      </x:c>
      <x:c r="AC993" s="73" t="str">
        <x:f>IF(A993="","",IF(NOT(ISNUMBER(AB993)),"Review inputs",IF(AB993&gt;=70,"P0 - Immediate",IF(AB993&gt;=50,"P1 - High",IF(AB993&gt;=30,"P2 - Medium",IF(AB993&gt;=15,"P3 - Low","P4 - Monitor"))))))</x:f>
      </x:c>
      <x:c r="AD993" s="73"/>
      <x:c r="AE993" s="73"/>
      <x:c r="AF993" s="73"/>
      <x:c r="AG993" s="77"/>
      <x:c r="AH993" s="73"/>
      <x:c r="AI993" s="91"/>
      <x:c r="AJ993" s="91"/>
      <x:c r="AK993" s="91"/>
      <x:c r="AL993" s="92"/>
      <x:c r="AM993" s="91"/>
      <x:c r="AN993" s="91"/>
      <x:c r="AO993" s="93"/>
      <x:c r="AP993" s="94"/>
      <x:c r="AQ993" s="91"/>
      <x:c r="AR993" s="91"/>
      <x:c r="AS993" s="91"/>
      <x:c r="AT993" s="91"/>
      <x:c r="AU993" s="91"/>
      <x:c r="AV993" s="91"/>
      <x:c r="AW993" s="91"/>
      <x:c r="AX993" s="91"/>
      <x:c r="AY993" s="91"/>
      <x:c r="AZ993" s="92"/>
      <x:c r="BA993" s="94"/>
      <x:c r="BB993" s="91"/>
      <x:c r="BC993" s="92"/>
      <x:c r="BD993" s="92"/>
      <x:c r="BE993" s="91"/>
      <x:c r="BF993" s="91"/>
      <x:c r="BG993" s="91"/>
      <x:c r="BH993" s="91"/>
      <x:c r="BI993" s="91"/>
      <x:c r="BJ993" s="91"/>
      <x:c r="BK993" s="91"/>
      <x:c r="BL993" s="91"/>
      <x:c r="BM993" s="73" t="str">
        <x:f>IF(A993="","",IF(AI993="Example","Example only",IF(AI993&lt;&gt;"Actual","Set record type",IF(COUNTIF($A$2:$A$1001,A993)&gt;1,"Duplicate record ID",IF(OR(D993="",E993="",AF993="",NOT(ISNUMBER(AG993)),AJ993="",AK993="",NOT(ISNUMBER(AL993)),AND(AM993&lt;&gt;"Observed",AM993&lt;&gt;"Corroborated",AM993&lt;&gt;"Declared"),OR(AN993="",AN993="Unknown"),OR(AQ993="",AQ993="Unknown"),OR(AR993="",AR993="Unknown",AR993="TBD"),OR(BC993="",NOT(ISNUMBER(BC993)))),"Evidence incomplete","Evidence recorded; review scope")))))</x:f>
      </x:c>
      <x:c r="BN993" s="73"/>
    </x:row>
    <x:row r="994" ht="34" customHeight="1">
      <x:c r="A994" s="73"/>
      <x:c r="B994" s="73"/>
      <x:c r="C994" s="73"/>
      <x:c r="D994" s="73"/>
      <x:c r="E994" s="73"/>
      <x:c r="F994" s="73"/>
      <x:c r="G994" s="73"/>
      <x:c r="H994" s="73"/>
      <x:c r="I994" s="75"/>
      <x:c r="J994" s="73"/>
      <x:c r="K994" s="73"/>
      <x:c r="L994" s="76"/>
      <x:c r="M994" s="73"/>
      <x:c r="N994" s="73"/>
      <x:c r="O994" s="73"/>
      <x:c r="P994" s="73"/>
      <x:c r="Q994" s="76"/>
      <x:c r="R994" s="73"/>
      <x:c r="S994" s="73"/>
      <x:c r="T994" s="73"/>
      <x:c r="U994" s="73"/>
      <x:c r="V994" s="73"/>
      <x:c r="W994" s="73"/>
      <x:c r="X994" s="73"/>
      <x:c r="Y994" s="73"/>
      <x:c r="Z994" s="73"/>
      <x:c r="AA994" s="73"/>
      <x:c r="AB994" s="76" t="str">
        <x:f>IF(A994="","",IF(OR(NOT(ISNUMBER(I994)),I994&lt;0,NOT(ISNUMBER(AP994)),AP994&lt;0,NOT(ISNUMBER(L994)),L994&lt;1,L994&gt;5,L994&lt;&gt;INT(L994),AND(J994&lt;&gt;"Public",J994&lt;&gt;"Partner",J994&lt;&gt;"Internal",J994&lt;&gt;"None"),AND(K994&lt;&gt;"High",K994&lt;&gt;"Medium",K994&lt;&gt;"Low",K994&lt;&gt;"None"),AND(W994&lt;&gt;"Hard-coded",W994&lt;&gt;"Configurable",W994&lt;&gt;"Policy-managed",W994&lt;&gt;"API/Library abstraction",W994&lt;&gt;"Automated"),AND(Z994&lt;&gt;"Y",Z994&lt;&gt;"N"),AND(AA994&lt;&gt;"Y",AA994&lt;&gt;"N")),"Incomplete",IF(Z994="Y",20,0)+L994*5+IF(AA994="Y",15,0)+IF(J994="Public",10,IF(J994="Partner",7,IF(J994="Internal",3,0)))+IF(W994="Hard-coded",10,IF(W994="Configurable",3,0))+IF(MAX(I994,AP994)&gt;=10,10,IF(MAX(I994,AP994)&gt;=5,7,IF(MAX(I994,AP994)&gt;=2,3,0)))+IF(K994="High",10,IF(K994="Medium",5,0))))</x:f>
      </x:c>
      <x:c r="AC994" s="73" t="str">
        <x:f>IF(A994="","",IF(NOT(ISNUMBER(AB994)),"Review inputs",IF(AB994&gt;=70,"P0 - Immediate",IF(AB994&gt;=50,"P1 - High",IF(AB994&gt;=30,"P2 - Medium",IF(AB994&gt;=15,"P3 - Low","P4 - Monitor"))))))</x:f>
      </x:c>
      <x:c r="AD994" s="73"/>
      <x:c r="AE994" s="73"/>
      <x:c r="AF994" s="73"/>
      <x:c r="AG994" s="77"/>
      <x:c r="AH994" s="73"/>
      <x:c r="AI994" s="91"/>
      <x:c r="AJ994" s="91"/>
      <x:c r="AK994" s="91"/>
      <x:c r="AL994" s="92"/>
      <x:c r="AM994" s="91"/>
      <x:c r="AN994" s="91"/>
      <x:c r="AO994" s="93"/>
      <x:c r="AP994" s="94"/>
      <x:c r="AQ994" s="91"/>
      <x:c r="AR994" s="91"/>
      <x:c r="AS994" s="91"/>
      <x:c r="AT994" s="91"/>
      <x:c r="AU994" s="91"/>
      <x:c r="AV994" s="91"/>
      <x:c r="AW994" s="91"/>
      <x:c r="AX994" s="91"/>
      <x:c r="AY994" s="91"/>
      <x:c r="AZ994" s="92"/>
      <x:c r="BA994" s="94"/>
      <x:c r="BB994" s="91"/>
      <x:c r="BC994" s="92"/>
      <x:c r="BD994" s="92"/>
      <x:c r="BE994" s="91"/>
      <x:c r="BF994" s="91"/>
      <x:c r="BG994" s="91"/>
      <x:c r="BH994" s="91"/>
      <x:c r="BI994" s="91"/>
      <x:c r="BJ994" s="91"/>
      <x:c r="BK994" s="91"/>
      <x:c r="BL994" s="91"/>
      <x:c r="BM994" s="73" t="str">
        <x:f>IF(A994="","",IF(AI994="Example","Example only",IF(AI994&lt;&gt;"Actual","Set record type",IF(COUNTIF($A$2:$A$1001,A994)&gt;1,"Duplicate record ID",IF(OR(D994="",E994="",AF994="",NOT(ISNUMBER(AG994)),AJ994="",AK994="",NOT(ISNUMBER(AL994)),AND(AM994&lt;&gt;"Observed",AM994&lt;&gt;"Corroborated",AM994&lt;&gt;"Declared"),OR(AN994="",AN994="Unknown"),OR(AQ994="",AQ994="Unknown"),OR(AR994="",AR994="Unknown",AR994="TBD"),OR(BC994="",NOT(ISNUMBER(BC994)))),"Evidence incomplete","Evidence recorded; review scope")))))</x:f>
      </x:c>
      <x:c r="BN994" s="73"/>
    </x:row>
    <x:row r="995" ht="34" customHeight="1">
      <x:c r="A995" s="73"/>
      <x:c r="B995" s="73"/>
      <x:c r="C995" s="73"/>
      <x:c r="D995" s="73"/>
      <x:c r="E995" s="73"/>
      <x:c r="F995" s="73"/>
      <x:c r="G995" s="73"/>
      <x:c r="H995" s="73"/>
      <x:c r="I995" s="75"/>
      <x:c r="J995" s="73"/>
      <x:c r="K995" s="73"/>
      <x:c r="L995" s="76"/>
      <x:c r="M995" s="73"/>
      <x:c r="N995" s="73"/>
      <x:c r="O995" s="73"/>
      <x:c r="P995" s="73"/>
      <x:c r="Q995" s="76"/>
      <x:c r="R995" s="73"/>
      <x:c r="S995" s="73"/>
      <x:c r="T995" s="73"/>
      <x:c r="U995" s="73"/>
      <x:c r="V995" s="73"/>
      <x:c r="W995" s="73"/>
      <x:c r="X995" s="73"/>
      <x:c r="Y995" s="73"/>
      <x:c r="Z995" s="73"/>
      <x:c r="AA995" s="73"/>
      <x:c r="AB995" s="76" t="str">
        <x:f>IF(A995="","",IF(OR(NOT(ISNUMBER(I995)),I995&lt;0,NOT(ISNUMBER(AP995)),AP995&lt;0,NOT(ISNUMBER(L995)),L995&lt;1,L995&gt;5,L995&lt;&gt;INT(L995),AND(J995&lt;&gt;"Public",J995&lt;&gt;"Partner",J995&lt;&gt;"Internal",J995&lt;&gt;"None"),AND(K995&lt;&gt;"High",K995&lt;&gt;"Medium",K995&lt;&gt;"Low",K995&lt;&gt;"None"),AND(W995&lt;&gt;"Hard-coded",W995&lt;&gt;"Configurable",W995&lt;&gt;"Policy-managed",W995&lt;&gt;"API/Library abstraction",W995&lt;&gt;"Automated"),AND(Z995&lt;&gt;"Y",Z995&lt;&gt;"N"),AND(AA995&lt;&gt;"Y",AA995&lt;&gt;"N")),"Incomplete",IF(Z995="Y",20,0)+L995*5+IF(AA995="Y",15,0)+IF(J995="Public",10,IF(J995="Partner",7,IF(J995="Internal",3,0)))+IF(W995="Hard-coded",10,IF(W995="Configurable",3,0))+IF(MAX(I995,AP995)&gt;=10,10,IF(MAX(I995,AP995)&gt;=5,7,IF(MAX(I995,AP995)&gt;=2,3,0)))+IF(K995="High",10,IF(K995="Medium",5,0))))</x:f>
      </x:c>
      <x:c r="AC995" s="73" t="str">
        <x:f>IF(A995="","",IF(NOT(ISNUMBER(AB995)),"Review inputs",IF(AB995&gt;=70,"P0 - Immediate",IF(AB995&gt;=50,"P1 - High",IF(AB995&gt;=30,"P2 - Medium",IF(AB995&gt;=15,"P3 - Low","P4 - Monitor"))))))</x:f>
      </x:c>
      <x:c r="AD995" s="73"/>
      <x:c r="AE995" s="73"/>
      <x:c r="AF995" s="73"/>
      <x:c r="AG995" s="77"/>
      <x:c r="AH995" s="73"/>
      <x:c r="AI995" s="91"/>
      <x:c r="AJ995" s="91"/>
      <x:c r="AK995" s="91"/>
      <x:c r="AL995" s="92"/>
      <x:c r="AM995" s="91"/>
      <x:c r="AN995" s="91"/>
      <x:c r="AO995" s="93"/>
      <x:c r="AP995" s="94"/>
      <x:c r="AQ995" s="91"/>
      <x:c r="AR995" s="91"/>
      <x:c r="AS995" s="91"/>
      <x:c r="AT995" s="91"/>
      <x:c r="AU995" s="91"/>
      <x:c r="AV995" s="91"/>
      <x:c r="AW995" s="91"/>
      <x:c r="AX995" s="91"/>
      <x:c r="AY995" s="91"/>
      <x:c r="AZ995" s="92"/>
      <x:c r="BA995" s="94"/>
      <x:c r="BB995" s="91"/>
      <x:c r="BC995" s="92"/>
      <x:c r="BD995" s="92"/>
      <x:c r="BE995" s="91"/>
      <x:c r="BF995" s="91"/>
      <x:c r="BG995" s="91"/>
      <x:c r="BH995" s="91"/>
      <x:c r="BI995" s="91"/>
      <x:c r="BJ995" s="91"/>
      <x:c r="BK995" s="91"/>
      <x:c r="BL995" s="91"/>
      <x:c r="BM995" s="73" t="str">
        <x:f>IF(A995="","",IF(AI995="Example","Example only",IF(AI995&lt;&gt;"Actual","Set record type",IF(COUNTIF($A$2:$A$1001,A995)&gt;1,"Duplicate record ID",IF(OR(D995="",E995="",AF995="",NOT(ISNUMBER(AG995)),AJ995="",AK995="",NOT(ISNUMBER(AL995)),AND(AM995&lt;&gt;"Observed",AM995&lt;&gt;"Corroborated",AM995&lt;&gt;"Declared"),OR(AN995="",AN995="Unknown"),OR(AQ995="",AQ995="Unknown"),OR(AR995="",AR995="Unknown",AR995="TBD"),OR(BC995="",NOT(ISNUMBER(BC995)))),"Evidence incomplete","Evidence recorded; review scope")))))</x:f>
      </x:c>
      <x:c r="BN995" s="73"/>
    </x:row>
    <x:row r="996" ht="34" customHeight="1">
      <x:c r="A996" s="73"/>
      <x:c r="B996" s="73"/>
      <x:c r="C996" s="73"/>
      <x:c r="D996" s="73"/>
      <x:c r="E996" s="73"/>
      <x:c r="F996" s="73"/>
      <x:c r="G996" s="73"/>
      <x:c r="H996" s="73"/>
      <x:c r="I996" s="75"/>
      <x:c r="J996" s="73"/>
      <x:c r="K996" s="73"/>
      <x:c r="L996" s="76"/>
      <x:c r="M996" s="73"/>
      <x:c r="N996" s="73"/>
      <x:c r="O996" s="73"/>
      <x:c r="P996" s="73"/>
      <x:c r="Q996" s="76"/>
      <x:c r="R996" s="73"/>
      <x:c r="S996" s="73"/>
      <x:c r="T996" s="73"/>
      <x:c r="U996" s="73"/>
      <x:c r="V996" s="73"/>
      <x:c r="W996" s="73"/>
      <x:c r="X996" s="73"/>
      <x:c r="Y996" s="73"/>
      <x:c r="Z996" s="73"/>
      <x:c r="AA996" s="73"/>
      <x:c r="AB996" s="76" t="str">
        <x:f>IF(A996="","",IF(OR(NOT(ISNUMBER(I996)),I996&lt;0,NOT(ISNUMBER(AP996)),AP996&lt;0,NOT(ISNUMBER(L996)),L996&lt;1,L996&gt;5,L996&lt;&gt;INT(L996),AND(J996&lt;&gt;"Public",J996&lt;&gt;"Partner",J996&lt;&gt;"Internal",J996&lt;&gt;"None"),AND(K996&lt;&gt;"High",K996&lt;&gt;"Medium",K996&lt;&gt;"Low",K996&lt;&gt;"None"),AND(W996&lt;&gt;"Hard-coded",W996&lt;&gt;"Configurable",W996&lt;&gt;"Policy-managed",W996&lt;&gt;"API/Library abstraction",W996&lt;&gt;"Automated"),AND(Z996&lt;&gt;"Y",Z996&lt;&gt;"N"),AND(AA996&lt;&gt;"Y",AA996&lt;&gt;"N")),"Incomplete",IF(Z996="Y",20,0)+L996*5+IF(AA996="Y",15,0)+IF(J996="Public",10,IF(J996="Partner",7,IF(J996="Internal",3,0)))+IF(W996="Hard-coded",10,IF(W996="Configurable",3,0))+IF(MAX(I996,AP996)&gt;=10,10,IF(MAX(I996,AP996)&gt;=5,7,IF(MAX(I996,AP996)&gt;=2,3,0)))+IF(K996="High",10,IF(K996="Medium",5,0))))</x:f>
      </x:c>
      <x:c r="AC996" s="73" t="str">
        <x:f>IF(A996="","",IF(NOT(ISNUMBER(AB996)),"Review inputs",IF(AB996&gt;=70,"P0 - Immediate",IF(AB996&gt;=50,"P1 - High",IF(AB996&gt;=30,"P2 - Medium",IF(AB996&gt;=15,"P3 - Low","P4 - Monitor"))))))</x:f>
      </x:c>
      <x:c r="AD996" s="73"/>
      <x:c r="AE996" s="73"/>
      <x:c r="AF996" s="73"/>
      <x:c r="AG996" s="77"/>
      <x:c r="AH996" s="73"/>
      <x:c r="AI996" s="91"/>
      <x:c r="AJ996" s="91"/>
      <x:c r="AK996" s="91"/>
      <x:c r="AL996" s="92"/>
      <x:c r="AM996" s="91"/>
      <x:c r="AN996" s="91"/>
      <x:c r="AO996" s="93"/>
      <x:c r="AP996" s="94"/>
      <x:c r="AQ996" s="91"/>
      <x:c r="AR996" s="91"/>
      <x:c r="AS996" s="91"/>
      <x:c r="AT996" s="91"/>
      <x:c r="AU996" s="91"/>
      <x:c r="AV996" s="91"/>
      <x:c r="AW996" s="91"/>
      <x:c r="AX996" s="91"/>
      <x:c r="AY996" s="91"/>
      <x:c r="AZ996" s="92"/>
      <x:c r="BA996" s="94"/>
      <x:c r="BB996" s="91"/>
      <x:c r="BC996" s="92"/>
      <x:c r="BD996" s="92"/>
      <x:c r="BE996" s="91"/>
      <x:c r="BF996" s="91"/>
      <x:c r="BG996" s="91"/>
      <x:c r="BH996" s="91"/>
      <x:c r="BI996" s="91"/>
      <x:c r="BJ996" s="91"/>
      <x:c r="BK996" s="91"/>
      <x:c r="BL996" s="91"/>
      <x:c r="BM996" s="73" t="str">
        <x:f>IF(A996="","",IF(AI996="Example","Example only",IF(AI996&lt;&gt;"Actual","Set record type",IF(COUNTIF($A$2:$A$1001,A996)&gt;1,"Duplicate record ID",IF(OR(D996="",E996="",AF996="",NOT(ISNUMBER(AG996)),AJ996="",AK996="",NOT(ISNUMBER(AL996)),AND(AM996&lt;&gt;"Observed",AM996&lt;&gt;"Corroborated",AM996&lt;&gt;"Declared"),OR(AN996="",AN996="Unknown"),OR(AQ996="",AQ996="Unknown"),OR(AR996="",AR996="Unknown",AR996="TBD"),OR(BC996="",NOT(ISNUMBER(BC996)))),"Evidence incomplete","Evidence recorded; review scope")))))</x:f>
      </x:c>
      <x:c r="BN996" s="73"/>
    </x:row>
    <x:row r="997" ht="34" customHeight="1">
      <x:c r="A997" s="73"/>
      <x:c r="B997" s="73"/>
      <x:c r="C997" s="73"/>
      <x:c r="D997" s="73"/>
      <x:c r="E997" s="73"/>
      <x:c r="F997" s="73"/>
      <x:c r="G997" s="73"/>
      <x:c r="H997" s="73"/>
      <x:c r="I997" s="75"/>
      <x:c r="J997" s="73"/>
      <x:c r="K997" s="73"/>
      <x:c r="L997" s="76"/>
      <x:c r="M997" s="73"/>
      <x:c r="N997" s="73"/>
      <x:c r="O997" s="73"/>
      <x:c r="P997" s="73"/>
      <x:c r="Q997" s="76"/>
      <x:c r="R997" s="73"/>
      <x:c r="S997" s="73"/>
      <x:c r="T997" s="73"/>
      <x:c r="U997" s="73"/>
      <x:c r="V997" s="73"/>
      <x:c r="W997" s="73"/>
      <x:c r="X997" s="73"/>
      <x:c r="Y997" s="73"/>
      <x:c r="Z997" s="73"/>
      <x:c r="AA997" s="73"/>
      <x:c r="AB997" s="76" t="str">
        <x:f>IF(A997="","",IF(OR(NOT(ISNUMBER(I997)),I997&lt;0,NOT(ISNUMBER(AP997)),AP997&lt;0,NOT(ISNUMBER(L997)),L997&lt;1,L997&gt;5,L997&lt;&gt;INT(L997),AND(J997&lt;&gt;"Public",J997&lt;&gt;"Partner",J997&lt;&gt;"Internal",J997&lt;&gt;"None"),AND(K997&lt;&gt;"High",K997&lt;&gt;"Medium",K997&lt;&gt;"Low",K997&lt;&gt;"None"),AND(W997&lt;&gt;"Hard-coded",W997&lt;&gt;"Configurable",W997&lt;&gt;"Policy-managed",W997&lt;&gt;"API/Library abstraction",W997&lt;&gt;"Automated"),AND(Z997&lt;&gt;"Y",Z997&lt;&gt;"N"),AND(AA997&lt;&gt;"Y",AA997&lt;&gt;"N")),"Incomplete",IF(Z997="Y",20,0)+L997*5+IF(AA997="Y",15,0)+IF(J997="Public",10,IF(J997="Partner",7,IF(J997="Internal",3,0)))+IF(W997="Hard-coded",10,IF(W997="Configurable",3,0))+IF(MAX(I997,AP997)&gt;=10,10,IF(MAX(I997,AP997)&gt;=5,7,IF(MAX(I997,AP997)&gt;=2,3,0)))+IF(K997="High",10,IF(K997="Medium",5,0))))</x:f>
      </x:c>
      <x:c r="AC997" s="73" t="str">
        <x:f>IF(A997="","",IF(NOT(ISNUMBER(AB997)),"Review inputs",IF(AB997&gt;=70,"P0 - Immediate",IF(AB997&gt;=50,"P1 - High",IF(AB997&gt;=30,"P2 - Medium",IF(AB997&gt;=15,"P3 - Low","P4 - Monitor"))))))</x:f>
      </x:c>
      <x:c r="AD997" s="73"/>
      <x:c r="AE997" s="73"/>
      <x:c r="AF997" s="73"/>
      <x:c r="AG997" s="77"/>
      <x:c r="AH997" s="73"/>
      <x:c r="AI997" s="91"/>
      <x:c r="AJ997" s="91"/>
      <x:c r="AK997" s="91"/>
      <x:c r="AL997" s="92"/>
      <x:c r="AM997" s="91"/>
      <x:c r="AN997" s="91"/>
      <x:c r="AO997" s="93"/>
      <x:c r="AP997" s="94"/>
      <x:c r="AQ997" s="91"/>
      <x:c r="AR997" s="91"/>
      <x:c r="AS997" s="91"/>
      <x:c r="AT997" s="91"/>
      <x:c r="AU997" s="91"/>
      <x:c r="AV997" s="91"/>
      <x:c r="AW997" s="91"/>
      <x:c r="AX997" s="91"/>
      <x:c r="AY997" s="91"/>
      <x:c r="AZ997" s="92"/>
      <x:c r="BA997" s="94"/>
      <x:c r="BB997" s="91"/>
      <x:c r="BC997" s="92"/>
      <x:c r="BD997" s="92"/>
      <x:c r="BE997" s="91"/>
      <x:c r="BF997" s="91"/>
      <x:c r="BG997" s="91"/>
      <x:c r="BH997" s="91"/>
      <x:c r="BI997" s="91"/>
      <x:c r="BJ997" s="91"/>
      <x:c r="BK997" s="91"/>
      <x:c r="BL997" s="91"/>
      <x:c r="BM997" s="73" t="str">
        <x:f>IF(A997="","",IF(AI997="Example","Example only",IF(AI997&lt;&gt;"Actual","Set record type",IF(COUNTIF($A$2:$A$1001,A997)&gt;1,"Duplicate record ID",IF(OR(D997="",E997="",AF997="",NOT(ISNUMBER(AG997)),AJ997="",AK997="",NOT(ISNUMBER(AL997)),AND(AM997&lt;&gt;"Observed",AM997&lt;&gt;"Corroborated",AM997&lt;&gt;"Declared"),OR(AN997="",AN997="Unknown"),OR(AQ997="",AQ997="Unknown"),OR(AR997="",AR997="Unknown",AR997="TBD"),OR(BC997="",NOT(ISNUMBER(BC997)))),"Evidence incomplete","Evidence recorded; review scope")))))</x:f>
      </x:c>
      <x:c r="BN997" s="73"/>
    </x:row>
    <x:row r="998" ht="34" customHeight="1">
      <x:c r="A998" s="73"/>
      <x:c r="B998" s="73"/>
      <x:c r="C998" s="73"/>
      <x:c r="D998" s="73"/>
      <x:c r="E998" s="73"/>
      <x:c r="F998" s="73"/>
      <x:c r="G998" s="73"/>
      <x:c r="H998" s="73"/>
      <x:c r="I998" s="75"/>
      <x:c r="J998" s="73"/>
      <x:c r="K998" s="73"/>
      <x:c r="L998" s="76"/>
      <x:c r="M998" s="73"/>
      <x:c r="N998" s="73"/>
      <x:c r="O998" s="73"/>
      <x:c r="P998" s="73"/>
      <x:c r="Q998" s="76"/>
      <x:c r="R998" s="73"/>
      <x:c r="S998" s="73"/>
      <x:c r="T998" s="73"/>
      <x:c r="U998" s="73"/>
      <x:c r="V998" s="73"/>
      <x:c r="W998" s="73"/>
      <x:c r="X998" s="73"/>
      <x:c r="Y998" s="73"/>
      <x:c r="Z998" s="73"/>
      <x:c r="AA998" s="73"/>
      <x:c r="AB998" s="76" t="str">
        <x:f>IF(A998="","",IF(OR(NOT(ISNUMBER(I998)),I998&lt;0,NOT(ISNUMBER(AP998)),AP998&lt;0,NOT(ISNUMBER(L998)),L998&lt;1,L998&gt;5,L998&lt;&gt;INT(L998),AND(J998&lt;&gt;"Public",J998&lt;&gt;"Partner",J998&lt;&gt;"Internal",J998&lt;&gt;"None"),AND(K998&lt;&gt;"High",K998&lt;&gt;"Medium",K998&lt;&gt;"Low",K998&lt;&gt;"None"),AND(W998&lt;&gt;"Hard-coded",W998&lt;&gt;"Configurable",W998&lt;&gt;"Policy-managed",W998&lt;&gt;"API/Library abstraction",W998&lt;&gt;"Automated"),AND(Z998&lt;&gt;"Y",Z998&lt;&gt;"N"),AND(AA998&lt;&gt;"Y",AA998&lt;&gt;"N")),"Incomplete",IF(Z998="Y",20,0)+L998*5+IF(AA998="Y",15,0)+IF(J998="Public",10,IF(J998="Partner",7,IF(J998="Internal",3,0)))+IF(W998="Hard-coded",10,IF(W998="Configurable",3,0))+IF(MAX(I998,AP998)&gt;=10,10,IF(MAX(I998,AP998)&gt;=5,7,IF(MAX(I998,AP998)&gt;=2,3,0)))+IF(K998="High",10,IF(K998="Medium",5,0))))</x:f>
      </x:c>
      <x:c r="AC998" s="73" t="str">
        <x:f>IF(A998="","",IF(NOT(ISNUMBER(AB998)),"Review inputs",IF(AB998&gt;=70,"P0 - Immediate",IF(AB998&gt;=50,"P1 - High",IF(AB998&gt;=30,"P2 - Medium",IF(AB998&gt;=15,"P3 - Low","P4 - Monitor"))))))</x:f>
      </x:c>
      <x:c r="AD998" s="73"/>
      <x:c r="AE998" s="73"/>
      <x:c r="AF998" s="73"/>
      <x:c r="AG998" s="77"/>
      <x:c r="AH998" s="73"/>
      <x:c r="AI998" s="91"/>
      <x:c r="AJ998" s="91"/>
      <x:c r="AK998" s="91"/>
      <x:c r="AL998" s="92"/>
      <x:c r="AM998" s="91"/>
      <x:c r="AN998" s="91"/>
      <x:c r="AO998" s="93"/>
      <x:c r="AP998" s="94"/>
      <x:c r="AQ998" s="91"/>
      <x:c r="AR998" s="91"/>
      <x:c r="AS998" s="91"/>
      <x:c r="AT998" s="91"/>
      <x:c r="AU998" s="91"/>
      <x:c r="AV998" s="91"/>
      <x:c r="AW998" s="91"/>
      <x:c r="AX998" s="91"/>
      <x:c r="AY998" s="91"/>
      <x:c r="AZ998" s="92"/>
      <x:c r="BA998" s="94"/>
      <x:c r="BB998" s="91"/>
      <x:c r="BC998" s="92"/>
      <x:c r="BD998" s="92"/>
      <x:c r="BE998" s="91"/>
      <x:c r="BF998" s="91"/>
      <x:c r="BG998" s="91"/>
      <x:c r="BH998" s="91"/>
      <x:c r="BI998" s="91"/>
      <x:c r="BJ998" s="91"/>
      <x:c r="BK998" s="91"/>
      <x:c r="BL998" s="91"/>
      <x:c r="BM998" s="73" t="str">
        <x:f>IF(A998="","",IF(AI998="Example","Example only",IF(AI998&lt;&gt;"Actual","Set record type",IF(COUNTIF($A$2:$A$1001,A998)&gt;1,"Duplicate record ID",IF(OR(D998="",E998="",AF998="",NOT(ISNUMBER(AG998)),AJ998="",AK998="",NOT(ISNUMBER(AL998)),AND(AM998&lt;&gt;"Observed",AM998&lt;&gt;"Corroborated",AM998&lt;&gt;"Declared"),OR(AN998="",AN998="Unknown"),OR(AQ998="",AQ998="Unknown"),OR(AR998="",AR998="Unknown",AR998="TBD"),OR(BC998="",NOT(ISNUMBER(BC998)))),"Evidence incomplete","Evidence recorded; review scope")))))</x:f>
      </x:c>
      <x:c r="BN998" s="73"/>
    </x:row>
    <x:row r="999" ht="34" customHeight="1">
      <x:c r="A999" s="73"/>
      <x:c r="B999" s="73"/>
      <x:c r="C999" s="73"/>
      <x:c r="D999" s="73"/>
      <x:c r="E999" s="73"/>
      <x:c r="F999" s="73"/>
      <x:c r="G999" s="73"/>
      <x:c r="H999" s="73"/>
      <x:c r="I999" s="75"/>
      <x:c r="J999" s="73"/>
      <x:c r="K999" s="73"/>
      <x:c r="L999" s="76"/>
      <x:c r="M999" s="73"/>
      <x:c r="N999" s="73"/>
      <x:c r="O999" s="73"/>
      <x:c r="P999" s="73"/>
      <x:c r="Q999" s="76"/>
      <x:c r="R999" s="73"/>
      <x:c r="S999" s="73"/>
      <x:c r="T999" s="73"/>
      <x:c r="U999" s="73"/>
      <x:c r="V999" s="73"/>
      <x:c r="W999" s="73"/>
      <x:c r="X999" s="73"/>
      <x:c r="Y999" s="73"/>
      <x:c r="Z999" s="73"/>
      <x:c r="AA999" s="73"/>
      <x:c r="AB999" s="76" t="str">
        <x:f>IF(A999="","",IF(OR(NOT(ISNUMBER(I999)),I999&lt;0,NOT(ISNUMBER(AP999)),AP999&lt;0,NOT(ISNUMBER(L999)),L999&lt;1,L999&gt;5,L999&lt;&gt;INT(L999),AND(J999&lt;&gt;"Public",J999&lt;&gt;"Partner",J999&lt;&gt;"Internal",J999&lt;&gt;"None"),AND(K999&lt;&gt;"High",K999&lt;&gt;"Medium",K999&lt;&gt;"Low",K999&lt;&gt;"None"),AND(W999&lt;&gt;"Hard-coded",W999&lt;&gt;"Configurable",W999&lt;&gt;"Policy-managed",W999&lt;&gt;"API/Library abstraction",W999&lt;&gt;"Automated"),AND(Z999&lt;&gt;"Y",Z999&lt;&gt;"N"),AND(AA999&lt;&gt;"Y",AA999&lt;&gt;"N")),"Incomplete",IF(Z999="Y",20,0)+L999*5+IF(AA999="Y",15,0)+IF(J999="Public",10,IF(J999="Partner",7,IF(J999="Internal",3,0)))+IF(W999="Hard-coded",10,IF(W999="Configurable",3,0))+IF(MAX(I999,AP999)&gt;=10,10,IF(MAX(I999,AP999)&gt;=5,7,IF(MAX(I999,AP999)&gt;=2,3,0)))+IF(K999="High",10,IF(K999="Medium",5,0))))</x:f>
      </x:c>
      <x:c r="AC999" s="73" t="str">
        <x:f>IF(A999="","",IF(NOT(ISNUMBER(AB999)),"Review inputs",IF(AB999&gt;=70,"P0 - Immediate",IF(AB999&gt;=50,"P1 - High",IF(AB999&gt;=30,"P2 - Medium",IF(AB999&gt;=15,"P3 - Low","P4 - Monitor"))))))</x:f>
      </x:c>
      <x:c r="AD999" s="73"/>
      <x:c r="AE999" s="73"/>
      <x:c r="AF999" s="73"/>
      <x:c r="AG999" s="77"/>
      <x:c r="AH999" s="73"/>
      <x:c r="AI999" s="91"/>
      <x:c r="AJ999" s="91"/>
      <x:c r="AK999" s="91"/>
      <x:c r="AL999" s="92"/>
      <x:c r="AM999" s="91"/>
      <x:c r="AN999" s="91"/>
      <x:c r="AO999" s="93"/>
      <x:c r="AP999" s="94"/>
      <x:c r="AQ999" s="91"/>
      <x:c r="AR999" s="91"/>
      <x:c r="AS999" s="91"/>
      <x:c r="AT999" s="91"/>
      <x:c r="AU999" s="91"/>
      <x:c r="AV999" s="91"/>
      <x:c r="AW999" s="91"/>
      <x:c r="AX999" s="91"/>
      <x:c r="AY999" s="91"/>
      <x:c r="AZ999" s="92"/>
      <x:c r="BA999" s="94"/>
      <x:c r="BB999" s="91"/>
      <x:c r="BC999" s="92"/>
      <x:c r="BD999" s="92"/>
      <x:c r="BE999" s="91"/>
      <x:c r="BF999" s="91"/>
      <x:c r="BG999" s="91"/>
      <x:c r="BH999" s="91"/>
      <x:c r="BI999" s="91"/>
      <x:c r="BJ999" s="91"/>
      <x:c r="BK999" s="91"/>
      <x:c r="BL999" s="91"/>
      <x:c r="BM999" s="73" t="str">
        <x:f>IF(A999="","",IF(AI999="Example","Example only",IF(AI999&lt;&gt;"Actual","Set record type",IF(COUNTIF($A$2:$A$1001,A999)&gt;1,"Duplicate record ID",IF(OR(D999="",E999="",AF999="",NOT(ISNUMBER(AG999)),AJ999="",AK999="",NOT(ISNUMBER(AL999)),AND(AM999&lt;&gt;"Observed",AM999&lt;&gt;"Corroborated",AM999&lt;&gt;"Declared"),OR(AN999="",AN999="Unknown"),OR(AQ999="",AQ999="Unknown"),OR(AR999="",AR999="Unknown",AR999="TBD"),OR(BC999="",NOT(ISNUMBER(BC999)))),"Evidence incomplete","Evidence recorded; review scope")))))</x:f>
      </x:c>
      <x:c r="BN999" s="73"/>
    </x:row>
    <x:row r="1000" ht="34" customHeight="1">
      <x:c r="A1000" s="73"/>
      <x:c r="B1000" s="73"/>
      <x:c r="C1000" s="73"/>
      <x:c r="D1000" s="73"/>
      <x:c r="E1000" s="73"/>
      <x:c r="F1000" s="73"/>
      <x:c r="G1000" s="73"/>
      <x:c r="H1000" s="73"/>
      <x:c r="I1000" s="75"/>
      <x:c r="J1000" s="73"/>
      <x:c r="K1000" s="73"/>
      <x:c r="L1000" s="76"/>
      <x:c r="M1000" s="73"/>
      <x:c r="N1000" s="73"/>
      <x:c r="O1000" s="73"/>
      <x:c r="P1000" s="73"/>
      <x:c r="Q1000" s="76"/>
      <x:c r="R1000" s="73"/>
      <x:c r="S1000" s="73"/>
      <x:c r="T1000" s="73"/>
      <x:c r="U1000" s="73"/>
      <x:c r="V1000" s="73"/>
      <x:c r="W1000" s="73"/>
      <x:c r="X1000" s="73"/>
      <x:c r="Y1000" s="73"/>
      <x:c r="Z1000" s="73"/>
      <x:c r="AA1000" s="73"/>
      <x:c r="AB1000" s="76" t="str">
        <x:f>IF(A1000="","",IF(OR(NOT(ISNUMBER(I1000)),I1000&lt;0,NOT(ISNUMBER(AP1000)),AP1000&lt;0,NOT(ISNUMBER(L1000)),L1000&lt;1,L1000&gt;5,L1000&lt;&gt;INT(L1000),AND(J1000&lt;&gt;"Public",J1000&lt;&gt;"Partner",J1000&lt;&gt;"Internal",J1000&lt;&gt;"None"),AND(K1000&lt;&gt;"High",K1000&lt;&gt;"Medium",K1000&lt;&gt;"Low",K1000&lt;&gt;"None"),AND(W1000&lt;&gt;"Hard-coded",W1000&lt;&gt;"Configurable",W1000&lt;&gt;"Policy-managed",W1000&lt;&gt;"API/Library abstraction",W1000&lt;&gt;"Automated"),AND(Z1000&lt;&gt;"Y",Z1000&lt;&gt;"N"),AND(AA1000&lt;&gt;"Y",AA1000&lt;&gt;"N")),"Incomplete",IF(Z1000="Y",20,0)+L1000*5+IF(AA1000="Y",15,0)+IF(J1000="Public",10,IF(J1000="Partner",7,IF(J1000="Internal",3,0)))+IF(W1000="Hard-coded",10,IF(W1000="Configurable",3,0))+IF(MAX(I1000,AP1000)&gt;=10,10,IF(MAX(I1000,AP1000)&gt;=5,7,IF(MAX(I1000,AP1000)&gt;=2,3,0)))+IF(K1000="High",10,IF(K1000="Medium",5,0))))</x:f>
      </x:c>
      <x:c r="AC1000" s="73" t="str">
        <x:f>IF(A1000="","",IF(NOT(ISNUMBER(AB1000)),"Review inputs",IF(AB1000&gt;=70,"P0 - Immediate",IF(AB1000&gt;=50,"P1 - High",IF(AB1000&gt;=30,"P2 - Medium",IF(AB1000&gt;=15,"P3 - Low","P4 - Monitor"))))))</x:f>
      </x:c>
      <x:c r="AD1000" s="73"/>
      <x:c r="AE1000" s="73"/>
      <x:c r="AF1000" s="73"/>
      <x:c r="AG1000" s="77"/>
      <x:c r="AH1000" s="73"/>
      <x:c r="AI1000" s="91"/>
      <x:c r="AJ1000" s="91"/>
      <x:c r="AK1000" s="91"/>
      <x:c r="AL1000" s="92"/>
      <x:c r="AM1000" s="91"/>
      <x:c r="AN1000" s="91"/>
      <x:c r="AO1000" s="93"/>
      <x:c r="AP1000" s="94"/>
      <x:c r="AQ1000" s="91"/>
      <x:c r="AR1000" s="91"/>
      <x:c r="AS1000" s="91"/>
      <x:c r="AT1000" s="91"/>
      <x:c r="AU1000" s="91"/>
      <x:c r="AV1000" s="91"/>
      <x:c r="AW1000" s="91"/>
      <x:c r="AX1000" s="91"/>
      <x:c r="AY1000" s="91"/>
      <x:c r="AZ1000" s="92"/>
      <x:c r="BA1000" s="94"/>
      <x:c r="BB1000" s="91"/>
      <x:c r="BC1000" s="92"/>
      <x:c r="BD1000" s="92"/>
      <x:c r="BE1000" s="91"/>
      <x:c r="BF1000" s="91"/>
      <x:c r="BG1000" s="91"/>
      <x:c r="BH1000" s="91"/>
      <x:c r="BI1000" s="91"/>
      <x:c r="BJ1000" s="91"/>
      <x:c r="BK1000" s="91"/>
      <x:c r="BL1000" s="91"/>
      <x:c r="BM1000" s="73" t="str">
        <x:f>IF(A1000="","",IF(AI1000="Example","Example only",IF(AI1000&lt;&gt;"Actual","Set record type",IF(COUNTIF($A$2:$A$1001,A1000)&gt;1,"Duplicate record ID",IF(OR(D1000="",E1000="",AF1000="",NOT(ISNUMBER(AG1000)),AJ1000="",AK1000="",NOT(ISNUMBER(AL1000)),AND(AM1000&lt;&gt;"Observed",AM1000&lt;&gt;"Corroborated",AM1000&lt;&gt;"Declared"),OR(AN1000="",AN1000="Unknown"),OR(AQ1000="",AQ1000="Unknown"),OR(AR1000="",AR1000="Unknown",AR1000="TBD"),OR(BC1000="",NOT(ISNUMBER(BC1000)))),"Evidence incomplete","Evidence recorded; review scope")))))</x:f>
      </x:c>
      <x:c r="BN1000" s="73"/>
    </x:row>
    <x:row r="1001" ht="34" customHeight="1">
      <x:c r="A1001" s="73"/>
      <x:c r="B1001" s="73"/>
      <x:c r="C1001" s="73"/>
      <x:c r="D1001" s="73"/>
      <x:c r="E1001" s="73"/>
      <x:c r="F1001" s="73"/>
      <x:c r="G1001" s="73"/>
      <x:c r="H1001" s="73"/>
      <x:c r="I1001" s="75"/>
      <x:c r="J1001" s="73"/>
      <x:c r="K1001" s="73"/>
      <x:c r="L1001" s="76"/>
      <x:c r="M1001" s="73"/>
      <x:c r="N1001" s="73"/>
      <x:c r="O1001" s="73"/>
      <x:c r="P1001" s="73"/>
      <x:c r="Q1001" s="76"/>
      <x:c r="R1001" s="73"/>
      <x:c r="S1001" s="73"/>
      <x:c r="T1001" s="73"/>
      <x:c r="U1001" s="73"/>
      <x:c r="V1001" s="73"/>
      <x:c r="W1001" s="73"/>
      <x:c r="X1001" s="73"/>
      <x:c r="Y1001" s="73"/>
      <x:c r="Z1001" s="73"/>
      <x:c r="AA1001" s="73"/>
      <x:c r="AB1001" s="76" t="str">
        <x:f>IF(A1001="","",IF(OR(NOT(ISNUMBER(I1001)),I1001&lt;0,NOT(ISNUMBER(AP1001)),AP1001&lt;0,NOT(ISNUMBER(L1001)),L1001&lt;1,L1001&gt;5,L1001&lt;&gt;INT(L1001),AND(J1001&lt;&gt;"Public",J1001&lt;&gt;"Partner",J1001&lt;&gt;"Internal",J1001&lt;&gt;"None"),AND(K1001&lt;&gt;"High",K1001&lt;&gt;"Medium",K1001&lt;&gt;"Low",K1001&lt;&gt;"None"),AND(W1001&lt;&gt;"Hard-coded",W1001&lt;&gt;"Configurable",W1001&lt;&gt;"Policy-managed",W1001&lt;&gt;"API/Library abstraction",W1001&lt;&gt;"Automated"),AND(Z1001&lt;&gt;"Y",Z1001&lt;&gt;"N"),AND(AA1001&lt;&gt;"Y",AA1001&lt;&gt;"N")),"Incomplete",IF(Z1001="Y",20,0)+L1001*5+IF(AA1001="Y",15,0)+IF(J1001="Public",10,IF(J1001="Partner",7,IF(J1001="Internal",3,0)))+IF(W1001="Hard-coded",10,IF(W1001="Configurable",3,0))+IF(MAX(I1001,AP1001)&gt;=10,10,IF(MAX(I1001,AP1001)&gt;=5,7,IF(MAX(I1001,AP1001)&gt;=2,3,0)))+IF(K1001="High",10,IF(K1001="Medium",5,0))))</x:f>
      </x:c>
      <x:c r="AC1001" s="73" t="str">
        <x:f>IF(A1001="","",IF(NOT(ISNUMBER(AB1001)),"Review inputs",IF(AB1001&gt;=70,"P0 - Immediate",IF(AB1001&gt;=50,"P1 - High",IF(AB1001&gt;=30,"P2 - Medium",IF(AB1001&gt;=15,"P3 - Low","P4 - Monitor"))))))</x:f>
      </x:c>
      <x:c r="AD1001" s="73"/>
      <x:c r="AE1001" s="73"/>
      <x:c r="AF1001" s="73"/>
      <x:c r="AG1001" s="77"/>
      <x:c r="AH1001" s="73"/>
      <x:c r="AI1001" s="91"/>
      <x:c r="AJ1001" s="91"/>
      <x:c r="AK1001" s="91"/>
      <x:c r="AL1001" s="92"/>
      <x:c r="AM1001" s="91"/>
      <x:c r="AN1001" s="91"/>
      <x:c r="AO1001" s="93"/>
      <x:c r="AP1001" s="94"/>
      <x:c r="AQ1001" s="91"/>
      <x:c r="AR1001" s="91"/>
      <x:c r="AS1001" s="91"/>
      <x:c r="AT1001" s="91"/>
      <x:c r="AU1001" s="91"/>
      <x:c r="AV1001" s="91"/>
      <x:c r="AW1001" s="91"/>
      <x:c r="AX1001" s="91"/>
      <x:c r="AY1001" s="91"/>
      <x:c r="AZ1001" s="92"/>
      <x:c r="BA1001" s="94"/>
      <x:c r="BB1001" s="91"/>
      <x:c r="BC1001" s="92"/>
      <x:c r="BD1001" s="92"/>
      <x:c r="BE1001" s="91"/>
      <x:c r="BF1001" s="91"/>
      <x:c r="BG1001" s="91"/>
      <x:c r="BH1001" s="91"/>
      <x:c r="BI1001" s="91"/>
      <x:c r="BJ1001" s="91"/>
      <x:c r="BK1001" s="91"/>
      <x:c r="BL1001" s="91"/>
      <x:c r="BM1001" s="73" t="str">
        <x:f>IF(A1001="","",IF(AI1001="Example","Example only",IF(AI1001&lt;&gt;"Actual","Set record type",IF(COUNTIF($A$2:$A$1001,A1001)&gt;1,"Duplicate record ID",IF(OR(D1001="",E1001="",AF1001="",NOT(ISNUMBER(AG1001)),AJ1001="",AK1001="",NOT(ISNUMBER(AL1001)),AND(AM1001&lt;&gt;"Observed",AM1001&lt;&gt;"Corroborated",AM1001&lt;&gt;"Declared"),OR(AN1001="",AN1001="Unknown"),OR(AQ1001="",AQ1001="Unknown"),OR(AR1001="",AR1001="Unknown",AR1001="TBD"),OR(BC1001="",NOT(ISNUMBER(BC1001)))),"Evidence incomplete","Evidence recorded; review scope")))))</x:f>
      </x:c>
      <x:c r="BN1001" s="73"/>
    </x:row>
  </x:sheetData>
  <x:conditionalFormatting sqref="AC2:AC1001">
    <x:cfRule type="expression" dxfId="0" priority="1">
      <x:formula>LEFT(AC2,2)="P0"</x:formula>
    </x:cfRule>
    <x:cfRule type="expression" dxfId="1" priority="2">
      <x:formula>LEFT(AC2,2)="P1"</x:formula>
    </x:cfRule>
    <x:cfRule type="expression" dxfId="2" priority="3">
      <x:formula>LEFT(AC2,2)="P2"</x:formula>
    </x:cfRule>
    <x:cfRule type="containsText" dxfId="5" priority="7" operator="containsText" text="Review inputs"/>
  </x:conditionalFormatting>
  <x:conditionalFormatting sqref="AD2:AD1001">
    <x:cfRule type="expression" dxfId="3" priority="4">
      <x:formula>AD2="Complete"</x:formula>
    </x:cfRule>
  </x:conditionalFormatting>
  <x:conditionalFormatting sqref="AB2:AB1001">
    <x:cfRule type="dataBar" priority="5">
      <x:dataBar>
        <x:cfvo type="min"/>
        <x:cfvo type="max"/>
        <x:color rgb="FF0B4F6C"/>
      </x:dataBar>
      <x:extLst>
        <x:ext xmlns:x14="http://schemas.microsoft.com/office/spreadsheetml/2009/9/main" uri="{B025F937-C7B1-47D3-B67F-A62EFF666E3E}">
          <x14:id>{DE9BE58A-CD7F-D299-56C6-95139ECBEF51}</x14:id>
        </x:ext>
      </x:extLst>
    </x:cfRule>
    <x:cfRule type="containsText" dxfId="4" priority="6" operator="containsText" text="Incomplete"/>
  </x:conditionalFormatting>
  <x:conditionalFormatting sqref="BM2:BM1001">
    <x:cfRule type="containsText" dxfId="6" priority="8" operator="containsText" text="incomplete"/>
  </x:conditionalFormatting>
  <x:dataValidations count="20">
    <x:dataValidation type="list" sqref="F2:F1001">
      <x:formula1>Lists!$A$2:$A$8</x:formula1>
    </x:dataValidation>
    <x:dataValidation type="list" sqref="H2:H1001">
      <x:formula1>Lists!$B$2:$B$8</x:formula1>
    </x:dataValidation>
    <x:dataValidation type="list" sqref="J2:J1001">
      <x:formula1>Lists!$C$2:$C$6</x:formula1>
    </x:dataValidation>
    <x:dataValidation type="list" sqref="K2:K1001">
      <x:formula1>Lists!$D$2:$D$6</x:formula1>
    </x:dataValidation>
    <x:dataValidation type="list" sqref="M2:M1001">
      <x:formula1>Lists!$E$2:$E$20</x:formula1>
    </x:dataValidation>
    <x:dataValidation type="list" sqref="O2:O1001">
      <x:formula1>Lists!$F$2:$F$10</x:formula1>
    </x:dataValidation>
    <x:dataValidation type="list" sqref="Z2:Z1001">
      <x:formula1>Lists!$G$2:$G$4</x:formula1>
    </x:dataValidation>
    <x:dataValidation type="list" sqref="AA2:AA1001">
      <x:formula1>Lists!$H$2:$H$4</x:formula1>
    </x:dataValidation>
    <x:dataValidation type="list" sqref="V2:V1001">
      <x:formula1>Lists!$I$2:$I$7</x:formula1>
    </x:dataValidation>
    <x:dataValidation type="list" sqref="W2:W1001">
      <x:formula1>Lists!$J$2:$J$7</x:formula1>
    </x:dataValidation>
    <x:dataValidation type="list" sqref="X2:X1001">
      <x:formula1>Lists!$K$2:$K$7</x:formula1>
    </x:dataValidation>
    <x:dataValidation type="list" sqref="Y2:Y1001">
      <x:formula1>Lists!$L$2:$L$11</x:formula1>
    </x:dataValidation>
    <x:dataValidation type="list" sqref="AC2:AC1001">
      <x:formula1>Lists!$M$2:$M$6</x:formula1>
    </x:dataValidation>
    <x:dataValidation type="list" sqref="AD2:AD1001">
      <x:formula1>Lists!$N$2:$N$11</x:formula1>
    </x:dataValidation>
    <x:dataValidation type="list" sqref="AI2:AI1001">
      <x:formula1>"Actual,Example"</x:formula1>
    </x:dataValidation>
    <x:dataValidation type="list" sqref="AM2:AM1001">
      <x:formula1>"Observed,Corroborated,Declared,Unverified,Unknown"</x:formula1>
    </x:dataValidation>
    <x:dataValidation type="list" sqref="AN2:AN1001">
      <x:formula1>"Key establishment,Digital signature,Symmetric encryption,Key wrapping,Hash / MAC,None (plaintext),Unknown"</x:formula1>
    </x:dataValidation>
    <x:dataValidation type="decimal" operator="greaterThanOrEqual" sqref="I2:I1001">
      <x:formula1>0</x:formula1>
    </x:dataValidation>
    <x:dataValidation type="decimal" operator="greaterThanOrEqual" sqref="AP2:AP1001">
      <x:formula1>0</x:formula1>
    </x:dataValidation>
    <x:dataValidation type="whole" operator="between" sqref="L2:L100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d17ab7b77c48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E9BE58A-CD7F-D299-56C6-95139ECBEF51}">
            <x14:dataBar gradient="1">
              <x14:cfvo type="min"/>
              <x14:cfvo type="max"/>
              <x14:fillColor rgb="FF0B4F6C"/>
            </x14:dataBar>
          </x14:cfRule>
          <xm:sqref>AB2:AB1001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0" hidden="0" customWidth="1"/>
    <x:col min="3" max="3" width="72" hidden="0" customWidth="1"/>
    <x:col min="4" max="4" width="45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55" hidden="0" customWidth="1"/>
  </x:cols>
  <x:sheetData>
    <x:row r="1" ht="44" customHeight="1">
      <x:c r="A1" s="89" t="str">
        <x:v>Domain</x:v>
      </x:c>
      <x:c r="B1" s="89" t="str">
        <x:v>Checklist Item</x:v>
      </x:c>
      <x:c r="C1" s="89" t="str">
        <x:v>Acceptance Criteria</x:v>
      </x:c>
      <x:c r="D1" s="89" t="str">
        <x:v>Evidence / Artifact</x:v>
      </x:c>
      <x:c r="E1" s="89" t="str">
        <x:v>Suggested Owner</x:v>
      </x:c>
      <x:c r="F1" s="89" t="str">
        <x:v>NIST Alignment</x:v>
      </x:c>
      <x:c r="G1" s="89" t="str">
        <x:v>Status</x:v>
      </x:c>
      <x:c r="H1" s="89" t="str">
        <x:v>Target Date</x:v>
      </x:c>
      <x:c r="I1" s="89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60" customHeight="1">
      <x:c r="A2" s="73" t="str">
        <x:v>Governance</x:v>
      </x:c>
      <x:c r="B2" s="73" t="str">
        <x:v>Assign an accountable PQC migration owner and cross-functional working group.</x:v>
      </x:c>
      <x:c r="C2" s="73" t="str">
        <x:v>Named owner, RACI, recurring cadence, decision log.</x:v>
      </x:c>
      <x:c r="D2" s="73" t="str">
        <x:v>Program charter, RACI, meeting notes.</x:v>
      </x:c>
      <x:c r="E2" s="73" t="str">
        <x:v>Security leadership / architecture</x:v>
      </x:c>
      <x:c r="F2" s="73" t="str">
        <x:v>NIST CSF 2.0 Govern; NCCoE Migration to PQC</x:v>
      </x:c>
      <x:c r="G2" s="73" t="str">
        <x:v>Not Started</x:v>
      </x:c>
      <x:c r="H2" s="77"/>
      <x:c r="I2" s="73" t="str"/>
    </x:row>
    <x:row r="3" ht="60" customHeight="1">
      <x:c r="A3" s="73" t="str">
        <x:v>Governance</x:v>
      </x:c>
      <x:c r="B3" s="73" t="str">
        <x:v>Define enterprise crypto-agility policy.</x:v>
      </x:c>
      <x:c r="C3" s="73" t="str">
        <x:v>Policy requires configurable algorithms, approved cryptographic libraries, and migration-friendly architectures.</x:v>
      </x:c>
      <x:c r="D3" s="73" t="str">
        <x:v>Policy document, architecture standard.</x:v>
      </x:c>
      <x:c r="E3" s="73" t="str">
        <x:v>Security architecture</x:v>
      </x:c>
      <x:c r="F3" s="73" t="str">
        <x:v>N05 CSWP 39-upd1 final</x:v>
      </x:c>
      <x:c r="G3" s="73" t="str">
        <x:v>Not Started</x:v>
      </x:c>
      <x:c r="H3" s="77"/>
      <x:c r="I3" s="73" t="str"/>
    </x:row>
    <x:row r="4" ht="60" customHeight="1">
      <x:c r="A4" s="73" t="str">
        <x:v>Inventory</x:v>
      </x:c>
      <x:c r="B4" s="73" t="str">
        <x:v>Build a cryptographic inventory across applications, services, devices, certificates, libraries, protocols, and identities.</x:v>
      </x:c>
      <x:c r="C4" s="73" t="str">
        <x:v>Inventory covers at least externally exposed, high-value, long-lived, regulated, and OT/ICS systems.</x:v>
      </x:c>
      <x:c r="D4" s="73" t="str">
        <x:v>Completed Crypto Inventory sheet.</x:v>
      </x:c>
      <x:c r="E4" s="73" t="str">
        <x:v>Security engineering / asset owners</x:v>
      </x:c>
      <x:c r="F4" s="73" t="str">
        <x:v>NCCoE Migration to PQC; CISA quantum-readiness roadmap</x:v>
      </x:c>
      <x:c r="G4" s="73" t="str">
        <x:v>Not Started</x:v>
      </x:c>
      <x:c r="H4" s="77"/>
      <x:c r="I4" s="73" t="str"/>
    </x:row>
    <x:row r="5" ht="60" customHeight="1">
      <x:c r="A5" s="73" t="str">
        <x:v>Data risk</x:v>
      </x:c>
      <x:c r="B5" s="73" t="str">
        <x:v>Identify store-now/decrypt-later exposure.</x:v>
      </x:c>
      <x:c r="C5" s="73" t="str">
        <x:v>Data shelf life and sensitivity are recorded; long-life confidential data is prioritized.</x:v>
      </x:c>
      <x:c r="D5" s="73" t="str">
        <x:v>Data classification and retention mapping.</x:v>
      </x:c>
      <x:c r="E5" s="73" t="str">
        <x:v>Data governance / privacy / security</x:v>
      </x:c>
      <x:c r="F5" s="73" t="str">
        <x:v>NIST PQC migration planning</x:v>
      </x:c>
      <x:c r="G5" s="73" t="str">
        <x:v>Not Started</x:v>
      </x:c>
      <x:c r="H5" s="77"/>
      <x:c r="I5" s="73" t="str"/>
    </x:row>
    <x:row r="6" ht="60" customHeight="1">
      <x:c r="A6" s="73" t="str">
        <x:v>Architecture</x:v>
      </x:c>
      <x:c r="B6" s="73" t="str">
        <x:v>Classify crypto agility for each asset.</x:v>
      </x:c>
      <x:c r="C6" s="73" t="str">
        <x:v>Hard-coded algorithms and non-upgradeable libraries are flagged as migration blockers.</x:v>
      </x:c>
      <x:c r="D6" s="73" t="str">
        <x:v>Crypto agility field in inventory.</x:v>
      </x:c>
      <x:c r="E6" s="73" t="str">
        <x:v>Application owners / platform teams</x:v>
      </x:c>
      <x:c r="F6" s="73" t="str">
        <x:v>NIST CSWP 39</x:v>
      </x:c>
      <x:c r="G6" s="73" t="str">
        <x:v>Not Started</x:v>
      </x:c>
      <x:c r="H6" s="77"/>
      <x:c r="I6" s="73" t="str"/>
    </x:row>
    <x:row r="7" ht="60" customHeight="1">
      <x:c r="A7" s="73" t="str">
        <x:v>PKI</x:v>
      </x:c>
      <x:c r="B7" s="73" t="str">
        <x:v>Assess certificate authorities, certificate profiles, issuing workflows, trust anchors, and renewal automation.</x:v>
      </x:c>
      <x:c r="C7" s="73" t="str">
        <x:v>PKI roadmap includes algorithm agility, chain size impact, relying-party testing, rollback, and monitoring.</x:v>
      </x:c>
      <x:c r="D7" s="73" t="str">
        <x:v>PKI assessment, CA roadmap, certificate profile matrix.</x:v>
      </x:c>
      <x:c r="E7" s="73" t="str">
        <x:v>PKI/IAM team</x:v>
      </x:c>
      <x:c r="F7" s="73" t="str">
        <x:v>FIPS 204; FIPS 205; SP 800-53 IA/SC</x:v>
      </x:c>
      <x:c r="G7" s="73" t="str">
        <x:v>Not Started</x:v>
      </x:c>
      <x:c r="H7" s="77"/>
      <x:c r="I7" s="73" t="str"/>
    </x:row>
    <x:row r="8" ht="60" customHeight="1">
      <x:c r="A8" s="73" t="str">
        <x:v>Cloud/IAM</x:v>
      </x:c>
      <x:c r="B8" s="73" t="str">
        <x:v>Map authentication and federation dependencies using public-key signatures.</x:v>
      </x:c>
      <x:c r="C8" s="73" t="str">
        <x:v>SAML/OIDC/OAuth, service identities, workload identities, SSH, device identities, and signing flows are inventoried.</x:v>
      </x:c>
      <x:c r="D8" s="73" t="str">
        <x:v>Cloud/IAM playbook output.</x:v>
      </x:c>
      <x:c r="E8" s="73" t="str">
        <x:v>IAM / cloud platform team</x:v>
      </x:c>
      <x:c r="F8" s="73" t="str">
        <x:v>CSF 2.0 Govern/Identify/Protect; FIPS 204/205</x:v>
      </x:c>
      <x:c r="G8" s="73" t="str">
        <x:v>Not Started</x:v>
      </x:c>
      <x:c r="H8" s="77"/>
      <x:c r="I8" s="73" t="str"/>
    </x:row>
    <x:row r="9" ht="60" customHeight="1">
      <x:c r="A9" s="73" t="str">
        <x:v>Network</x:v>
      </x:c>
      <x:c r="B9" s="73" t="str">
        <x:v>Identify TLS, VPN, SSH, API gateway, service mesh, and remote access dependencies.</x:v>
      </x:c>
      <x:c r="C9" s="73" t="str">
        <x:v>Externally exposed and partner-facing endpoints have migration readiness owners and test environments.</x:v>
      </x:c>
      <x:c r="D9" s="73" t="str">
        <x:v>Endpoint and protocol inventory.</x:v>
      </x:c>
      <x:c r="E9" s="73" t="str">
        <x:v>Network / platform security</x:v>
      </x:c>
      <x:c r="F9" s="73" t="str">
        <x:v>FIPS 203; NCCoE Migration to PQC</x:v>
      </x:c>
      <x:c r="G9" s="73" t="str">
        <x:v>Not Started</x:v>
      </x:c>
      <x:c r="H9" s="77"/>
      <x:c r="I9" s="73" t="str"/>
    </x:row>
    <x:row r="10" ht="60" customHeight="1">
      <x:c r="A10" s="73" t="str">
        <x:v>Suppliers</x:v>
      </x:c>
      <x:c r="B10" s="73" t="str">
        <x:v>Request vendor PQC roadmaps and product support statements.</x:v>
      </x:c>
      <x:c r="C10" s="73" t="str">
        <x:v>Critical vendors provide PQC roadmap, dependency disclosures, update mechanisms, and support windows.</x:v>
      </x:c>
      <x:c r="D10" s="73" t="str">
        <x:v>Vendor questionnaire responses, contracts, SLAs.</x:v>
      </x:c>
      <x:c r="E10" s="73" t="str">
        <x:v>Procurement / vendor risk</x:v>
      </x:c>
      <x:c r="F10" s="73" t="str">
        <x:v>SP 800-161r1; CISA product categories</x:v>
      </x:c>
      <x:c r="G10" s="73" t="str">
        <x:v>Not Started</x:v>
      </x:c>
      <x:c r="H10" s="77"/>
      <x:c r="I10" s="73" t="str"/>
    </x:row>
    <x:row r="11" ht="60" customHeight="1">
      <x:c r="A11" s="73" t="str">
        <x:v>Testing</x:v>
      </x:c>
      <x:c r="B11" s="73" t="str">
        <x:v>Create PQC interoperability and performance test plan.</x:v>
      </x:c>
      <x:c r="C11" s="73" t="str">
        <x:v>Test plan includes certificate size, handshake behavior, latency, logging, monitoring, failure modes, and rollback.</x:v>
      </x:c>
      <x:c r="D11" s="73" t="str">
        <x:v>Test plan, lab results.</x:v>
      </x:c>
      <x:c r="E11" s="73" t="str">
        <x:v>Engineering / QA / security</x:v>
      </x:c>
      <x:c r="F11" s="73" t="str">
        <x:v>NCCoE interoperability workstream; NIST CSWP 39</x:v>
      </x:c>
      <x:c r="G11" s="73" t="str">
        <x:v>Not Started</x:v>
      </x:c>
      <x:c r="H11" s="77"/>
      <x:c r="I11" s="73" t="str"/>
    </x:row>
    <x:row r="12" ht="60" customHeight="1">
      <x:c r="A12" s="73" t="str">
        <x:v>OT/ICS</x:v>
      </x:c>
      <x:c r="B12" s="73" t="str">
        <x:v>Use safety-first OT/ICS change governance.</x:v>
      </x:c>
      <x:c r="C12" s="73" t="str">
        <x:v>No production OT crypto changes occur without safety impact assessment, vendor validation, lab testing, MOC approval, and maintenance window.</x:v>
      </x:c>
      <x:c r="D12" s="73" t="str">
        <x:v>MOC records, lab evidence, vendor approval.</x:v>
      </x:c>
      <x:c r="E12" s="73" t="str">
        <x:v>OT security / operations</x:v>
      </x:c>
      <x:c r="F12" s="73" t="str">
        <x:v>NIST SP 800-82r3; CISA OT PQC considerations</x:v>
      </x:c>
      <x:c r="G12" s="73" t="str">
        <x:v>Not Started</x:v>
      </x:c>
      <x:c r="H12" s="77"/>
      <x:c r="I12" s="73" t="str"/>
    </x:row>
    <x:row r="13" ht="60" customHeight="1">
      <x:c r="A13" s="73" t="str">
        <x:v>Operations</x:v>
      </x:c>
      <x:c r="B13" s="73" t="str">
        <x:v>Update monitoring, incident response, and audit evidence for changed cryptographic protocols and certificates.</x:v>
      </x:c>
      <x:c r="C13" s="73" t="str">
        <x:v>Logs and alerts validate new certificates/protocols; runbooks reflect rollback and exception handling.</x:v>
      </x:c>
      <x:c r="D13" s="73" t="str">
        <x:v>Monitoring rules, runbooks, change records.</x:v>
      </x:c>
      <x:c r="E13" s="73" t="str">
        <x:v>SOC / operations</x:v>
      </x:c>
      <x:c r="F13" s="73" t="str">
        <x:v>SP 800-53 AU/IR/SC; CSF Detect/Respond/Recover</x:v>
      </x:c>
      <x:c r="G13" s="73" t="str">
        <x:v>Not Started</x:v>
      </x:c>
      <x:c r="H13" s="77"/>
      <x:c r="I13" s="73" t="str"/>
    </x:row>
    <x:row r="14" ht="60" customHeight="1">
      <x:c r="A14" s="73" t="str">
        <x:v>Training</x:v>
      </x:c>
      <x:c r="B14" s="73" t="str">
        <x:v>Publish role-based awareness for engineers, asset owners, and procurement.</x:v>
      </x:c>
      <x:c r="C14" s="73" t="str">
        <x:v>Audience-specific guidance explains inventory fields, vendor questions, testing expectations, and exception process.</x:v>
      </x:c>
      <x:c r="D14" s="73" t="str">
        <x:v>Training materials, communications.</x:v>
      </x:c>
      <x:c r="E14" s="73" t="str">
        <x:v>Security enablement</x:v>
      </x:c>
      <x:c r="F14" s="73" t="str">
        <x:v>CSF Govern; SP 800-53 AT</x:v>
      </x:c>
      <x:c r="G14" s="73" t="str">
        <x:v>Not Started</x:v>
      </x:c>
      <x:c r="H14" s="77"/>
      <x:c r="I14" s="73" t="str"/>
    </x:row>
    <x:row r="15" ht="60" customHeight="1">
      <x:c r="A15" s="73" t="str">
        <x:v>Inventory</x:v>
      </x:c>
      <x:c r="B15" s="73" t="str">
        <x:v>Separate cryptographic functions and relationship records.</x:v>
      </x:c>
      <x:c r="C15" s="73" t="str">
        <x:v>Record key establishment, signatures, key wrapping, symmetric protection and hashes separately. Reconcile CBOM, code/configuration and observed network evidence.</x:v>
      </x:c>
      <x:c r="D15" s="73" t="str">
        <x:v>Component IDs, dependency/peer mapping and discovery coverage.</x:v>
      </x:c>
      <x:c r="E15" s="73" t="str">
        <x:v>Security engineering</x:v>
      </x:c>
      <x:c r="F15" s="73" t="str">
        <x:v>N05 final; N07 project; N08 preliminary draft</x:v>
      </x:c>
      <x:c r="G15" s="73" t="str">
        <x:v>Not assessed</x:v>
      </x:c>
      <x:c r="H15" s="77"/>
      <x:c r="I15" s="73" t="str">
        <x:v>Algorithm discovery is not proof of whole-system security.</x:v>
      </x:c>
    </x:row>
    <x:row r="16" ht="60" customHeight="1">
      <x:c r="A16" s="73" t="str">
        <x:v>Threats</x:v>
      </x:c>
      <x:c r="B16" s="73" t="str">
        <x:v>Separate confidentiality and signature risks.</x:v>
      </x:c>
      <x:c r="C16" s="73" t="str">
        <x:v>Record confidentiality lifetime, long-lived verification obligations and migration lead time. Assess HNDL for confidentiality paths and forgery/impersonation for signing paths.</x:v>
      </x:c>
      <x:c r="D16" s="73" t="str">
        <x:v>Data retention and signature trust horizon.</x:v>
      </x:c>
      <x:c r="E16" s="73" t="str">
        <x:v>Data owners / PKI</x:v>
      </x:c>
      <x:c r="F16" s="73" t="str">
        <x:v>N06 draft; N09 final</x:v>
      </x:c>
      <x:c r="G16" s="73" t="str">
        <x:v>Not assessed</x:v>
      </x:c>
      <x:c r="H16" s="77"/>
      <x:c r="I16" s="73" t="str">
        <x:v>No assumed Q-day. Assess signing keys, firmware and immutable trust anchors.</x:v>
      </x:c>
    </x:row>
    <x:row r="17" ht="60" customHeight="1">
      <x:c r="A17" s="73" t="str">
        <x:v>Cryptography</x:v>
      </x:c>
      <x:c r="B17" s="73" t="str">
        <x:v>Choose standards and exact parameter/profile.</x:v>
      </x:c>
      <x:c r="C17" s="73" t="str">
        <x:v>Use FIPS 203 for KEM, FIPS 204/205 for signatures. Record exact parameters and supported integration. ML-KEM does not itself encrypt application data or authenticate peers.</x:v>
      </x:c>
      <x:c r="D17" s="73" t="str">
        <x:v>Approved profile, protocol, parameter set and vendor version.</x:v>
      </x:c>
      <x:c r="E17" s="73" t="str">
        <x:v>Crypto architecture</x:v>
      </x:c>
      <x:c r="F17" s="73" t="str">
        <x:v>N01-N04 final</x:v>
      </x:c>
      <x:c r="G17" s="73" t="str">
        <x:v>Not assessed</x:v>
      </x:c>
      <x:c r="H17" s="77"/>
      <x:c r="I17" s="73" t="str">
        <x:v>HQC/FN-DSA and additional signatures are watch items until standardized.</x:v>
      </x:c>
    </x:row>
    <x:row r="18" ht="60" customHeight="1">
      <x:c r="A18" s="73" t="str">
        <x:v>Implementation</x:v>
      </x:c>
      <x:c r="B18" s="73" t="str">
        <x:v>Verify KEM and implementation security.</x:v>
      </x:c>
      <x:c r="C18" s="73" t="str">
        <x:v>Test input validation, randomness, key derivation, authentication, key confirmation when required, secret handling/destruction and side-channel resistance. Use supported constructions.</x:v>
      </x:c>
      <x:c r="D18" s="73" t="str">
        <x:v>Implementation review and negative-test evidence.</x:v>
      </x:c>
      <x:c r="E18" s="73" t="str">
        <x:v>Security engineering</x:v>
      </x:c>
      <x:c r="F18" s="73" t="str">
        <x:v>N04 final</x:v>
      </x:c>
      <x:c r="G18" s="73" t="str">
        <x:v>Not assessed</x:v>
      </x:c>
      <x:c r="H18" s="77"/>
      <x:c r="I18" s="73" t="str">
        <x:v>No home-built hybrid combiners.</x:v>
      </x:c>
    </x:row>
    <x:row r="19" ht="60" customHeight="1">
      <x:c r="A19" s="73" t="str">
        <x:v>Validation</x:v>
      </x:c>
      <x:c r="B19" s="73" t="str">
        <x:v>Separate algorithm testing from module validation.</x:v>
      </x:c>
      <x:c r="C19" s="73" t="str">
        <x:v>Record algorithm test evidence separately from module certificate, exact software/firmware version, operational environment, approved mode, security policy, PQC service scope and current status/date where validation is required.</x:v>
      </x:c>
      <x:c r="D19" s="73" t="str">
        <x:v>CAVP evidence and CMVP module validation record.</x:v>
      </x:c>
      <x:c r="E19" s="73" t="str">
        <x:v>GRC / platform owner</x:v>
      </x:c>
      <x:c r="F19" s="73" t="str">
        <x:v>N24-N26 official programs</x:v>
      </x:c>
      <x:c r="G19" s="73" t="str">
        <x:v>Not assessed</x:v>
      </x:c>
      <x:c r="H19" s="77"/>
      <x:c r="I19" s="73" t="str">
        <x:v>A FIPS algorithm name or CAVP certificate is not product-wide FIPS 140 validation. Historical module status is not revoked status.</x:v>
      </x:c>
    </x:row>
    <x:row r="20" ht="60" customHeight="1">
      <x:c r="A20" s="73" t="str">
        <x:v>Lifecycle</x:v>
      </x:c>
      <x:c r="B20" s="73" t="str">
        <x:v>Track key and verification lifecycle.</x:v>
      </x:c>
      <x:c r="C20" s="73" t="str">
        <x:v>Include issuance, protection, rotation, revocation, recovery, backup, destruction, trust-store distribution and archived signature verification obligations.</x:v>
      </x:c>
      <x:c r="D20" s="73" t="str">
        <x:v>Key lifecycle policy and restore/rollover tests.</x:v>
      </x:c>
      <x:c r="E20" s="73" t="str">
        <x:v>PKI / key management</x:v>
      </x:c>
      <x:c r="F20" s="73" t="str">
        <x:v>N09 final; N10 draft watch</x:v>
      </x:c>
      <x:c r="G20" s="73" t="str">
        <x:v>Not assessed</x:v>
      </x:c>
      <x:c r="H20" s="77"/>
      <x:c r="I20" s="73" t="str">
        <x:v>Store key references only, never private keys, tokens or secrets in this workbook.</x:v>
      </x:c>
    </x:row>
    <x:row r="21" ht="60" customHeight="1">
      <x:c r="A21" s="73" t="str">
        <x:v>Supplier</x:v>
      </x:c>
      <x:c r="B21" s="73" t="str">
        <x:v>Tie migration to supported product releases and retirement.</x:v>
      </x:c>
      <x:c r="C21" s="73" t="str">
        <x:v>Obtain exact release/version commitments, end-of-support, HSM/KMS/CA dependencies, support constraints and lead time. Budget replacement for immutable verifiers.</x:v>
      </x:c>
      <x:c r="D21" s="73" t="str">
        <x:v>Supplier evidence, roadmap owner, funded milestones.</x:v>
      </x:c>
      <x:c r="E21" s="73" t="str">
        <x:v>Procurement / asset owner</x:v>
      </x:c>
      <x:c r="F21" s="73" t="str">
        <x:v>N05 final</x:v>
      </x:c>
      <x:c r="G21" s="73" t="str">
        <x:v>Not assessed</x:v>
      </x:c>
      <x:c r="H21" s="77"/>
      <x:c r="I21" s="73" t="str">
        <x:v>Vendor marketing alone is insufficient evidence.</x:v>
      </x:c>
    </x:row>
    <x:row r="22" ht="60" customHeight="1">
      <x:c r="A22" s="73" t="str">
        <x:v>Assurance</x:v>
      </x:c>
      <x:c r="B22" s="73" t="str">
        <x:v>Require end-to-end acceptance before Complete.</x:v>
      </x:c>
      <x:c r="C22" s="73" t="str">
        <x:v>All path components and peers meet approved security profile, interoperability, performance, rollback and evidence requirements. Close residual risks or approve time-bound exceptions.</x:v>
      </x:c>
      <x:c r="D22" s="73" t="str">
        <x:v>Signed acceptance, observed configuration, test report.</x:v>
      </x:c>
      <x:c r="E22" s="73" t="str">
        <x:v>Service / risk owners</x:v>
      </x:c>
      <x:c r="F22" s="73" t="str">
        <x:v>N04-N05 final; N07 project</x:v>
      </x:c>
      <x:c r="G22" s="73" t="str">
        <x:v>Not assessed</x:v>
      </x:c>
      <x:c r="H22" s="77"/>
      <x:c r="I22" s="73" t="str">
        <x:v>Local score and checklist status are not NIST certification.</x:v>
      </x:c>
    </x:row>
    <x:row r="23" ht="60" customHeight="1">
      <x:c r="A23" s="73" t="str">
        <x:v>Standards</x:v>
      </x:c>
      <x:c r="B23" s="73" t="str">
        <x:v>Operate standards and errata review.</x:v>
      </x:c>
      <x:c r="C23" s="73" t="str">
        <x:v>Review quarterly and upon errata, cryptanalysis, final standards, module-status change, releases and incidents. Reassess targets against current authoritative publications.</x:v>
      </x:c>
      <x:c r="D23" s="73" t="str">
        <x:v>Dated review log and changed decisions.</x:v>
      </x:c>
      <x:c r="E23" s="73" t="str">
        <x:v>Crypto governance</x:v>
      </x:c>
      <x:c r="F23" s="73" t="str">
        <x:v>N01-N06; N10/N12/N14 draft watch; N19-N21</x:v>
      </x:c>
      <x:c r="G23" s="73" t="str">
        <x:v>Not assessed</x:v>
      </x:c>
      <x:c r="H23" s="77"/>
      <x:c r="I23" s="73" t="str">
        <x:v>Quarterly cadence is a local recommendation. Future unpublished 2027+ guidance is not pre-certified.</x:v>
      </x:c>
    </x:row>
    <x:row r="24" ht="60" customHeight="1">
      <x:c r="A24" s="73" t="str">
        <x:v>Roadmap</x:v>
      </x:c>
      <x:c r="B24" s="73" t="str">
        <x:v>Track risk-based phases beyond 2027.</x:v>
      </x:c>
      <x:c r="C24" s="73" t="str">
        <x:v>Use the Roadmap sheet for local 2026, 2027, 2028-2030, 2031-2035 and ongoing milestones; apply earlier organizational or sector requirements where applicable.</x:v>
      </x:c>
      <x:c r="D24" s="73" t="str">
        <x:v>Owners, due dates, dependencies, exceptions and closure evidence.</x:v>
      </x:c>
      <x:c r="E24" s="73" t="str">
        <x:v>Program owner</x:v>
      </x:c>
      <x:c r="F24" s="73" t="str">
        <x:v>N05 final; N06 draft</x:v>
      </x:c>
      <x:c r="G24" s="73" t="str">
        <x:v>Not assessed</x:v>
      </x:c>
      <x:c r="H24" s="77"/>
      <x:c r="I24" s="73" t="str">
        <x:v>IR 8547 proposes after-2030 deprecation for 112-bit uses and after-2035 disallowance for listed vulnerable uses. It remains draft.</x:v>
      </x:c>
    </x:row>
    <x:row r="25" ht="60" customHeight="1">
      <x:c r="A25" s="73" t="str">
        <x:v>Validation</x:v>
      </x:c>
      <x:c r="B25" s="73" t="str">
        <x:v>Recheck the 2026 FIPS module transition.</x:v>
      </x:c>
      <x:c r="C25" s="73" t="str">
        <x:v>Review actual module certificate and applicability. FIPS 140-2 modules moved from the active list after 2026-09-21. Confirm status, approved services and operational environment before deployment.</x:v>
      </x:c>
      <x:c r="D25" s="73" t="str">
        <x:v>Current certificate/status/date and deployment acceptance.</x:v>
      </x:c>
      <x:c r="E25" s="73" t="str">
        <x:v>GRC / platform owner</x:v>
      </x:c>
      <x:c r="F25" s="73" t="str">
        <x:v>N25-N26 official CMVP guidance</x:v>
      </x:c>
      <x:c r="G25" s="73" t="str">
        <x:v>Not assessed</x:v>
      </x:c>
      <x:c r="H25" s="77"/>
      <x:c r="I25" s="73" t="str">
        <x:v>Historical does not mean revoked. An embedded validated module does not validate an entire product or protocol.</x:v>
      </x:c>
    </x:row>
    <x:row r="26" ht="60" customHeight="1">
      <x:c r="A26" s="73" t="str">
        <x:v>Standards watch</x:v>
      </x:c>
      <x:c r="B26" s="73" t="str">
        <x:v>Track 2026 key generation and limited-use signature drafts.</x:v>
      </x:c>
      <x:c r="C26" s="73" t="str">
        <x:v>Monitor SP 800-133r3 PQC key generation/seed/HSM proposals and SP 800-230 limited-signature SLH-DSA proposals before adopting new options.</x:v>
      </x:c>
      <x:c r="D26" s="73" t="str">
        <x:v>Dated standards watch and approved implementation changes.</x:v>
      </x:c>
      <x:c r="E26" s="73" t="str">
        <x:v>Crypto governance</x:v>
      </x:c>
      <x:c r="F26" s="73" t="str">
        <x:v>N30-N31 initial public drafts 2026</x:v>
      </x:c>
      <x:c r="G26" s="73" t="str">
        <x:v>Not assessed</x:v>
      </x:c>
      <x:c r="H26" s="77"/>
      <x:c r="I26" s="73" t="str">
        <x:v>Drafts do not create final approved parameter sets or requirements.</x:v>
      </x:c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2">
    <x:dataValidation type="list" sqref="G2:G200">
      <x:formula1>Lists!$N$2:$N$10</x:formula1>
    </x:dataValidation>
    <x:dataValidation type="list" sqref="G2:G100">
      <x:formula1>"Not Started,In Progress,Blocked,Pending Vendor,Ready for Pilot,Pilot Complete,Scheduled,Complete,Accepted Risk,Not Applicable,Not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26eb3c033949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0" hidden="0" customWidth="1"/>
    <x:col min="3" max="3" width="72" hidden="0" customWidth="1"/>
    <x:col min="4" max="4" width="45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55" hidden="0" customWidth="1"/>
  </x:cols>
  <x:sheetData>
    <x:row r="1" ht="44" customHeight="1">
      <x:c r="A1" s="89" t="str">
        <x:v>Phase</x:v>
      </x:c>
      <x:c r="B1" s="89" t="str">
        <x:v>Activity</x:v>
      </x:c>
      <x:c r="C1" s="89" t="str">
        <x:v>Detailed Action</x:v>
      </x:c>
      <x:c r="D1" s="89" t="str">
        <x:v>Output / Decision</x:v>
      </x:c>
      <x:c r="E1" s="89" t="str">
        <x:v>Owner</x:v>
      </x:c>
      <x:c r="F1" s="89" t="str">
        <x:v>Dependencies</x:v>
      </x:c>
      <x:c r="G1" s="89" t="str">
        <x:v>Status</x:v>
      </x:c>
      <x:c r="H1" s="89" t="str">
        <x:v>Target Date</x:v>
      </x:c>
      <x:c r="I1" s="89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60" customHeight="1">
      <x:c r="A2" s="73" t="str">
        <x:v>0. Mobilize</x:v>
      </x:c>
      <x:c r="B2" s="73" t="str">
        <x:v>Scope cloud and identity systems</x:v>
      </x:c>
      <x:c r="C2" s="73" t="str">
        <x:v>Define scope for public, private, hybrid cloud, identity providers, directories, PKI, KMS/HSM, certificate automation, workload identities, federation, service mesh, API gateways, VPN, SSH, CI/CD, artifact signing, and secrets management.</x:v>
      </x:c>
      <x:c r="D2" s="73" t="str">
        <x:v>Approved scope and architecture map.</x:v>
      </x:c>
      <x:c r="E2" s="73" t="str">
        <x:v>Cloud security lead</x:v>
      </x:c>
      <x:c r="F2" s="73" t="str">
        <x:v>Executive sponsor, asset inventory</x:v>
      </x:c>
      <x:c r="G2" s="73" t="str">
        <x:v>Not Started</x:v>
      </x:c>
      <x:c r="H2" s="77"/>
      <x:c r="I2" s="73" t="str"/>
    </x:row>
    <x:row r="3" ht="60" customHeight="1">
      <x:c r="A3" s="73" t="str">
        <x:v>0. Mobilize</x:v>
      </x:c>
      <x:c r="B3" s="73" t="str">
        <x:v>Define policy guardrails</x:v>
      </x:c>
      <x:c r="C3" s="73" t="str">
        <x:v>Require approved cryptographic libraries, centralized certificate lifecycle, algorithm agility, supplier disclosure, and documented exceptions.</x:v>
      </x:c>
      <x:c r="D3" s="73" t="str">
        <x:v>Updated cloud/IAM cryptography standard.</x:v>
      </x:c>
      <x:c r="E3" s="73" t="str">
        <x:v>Security architecture</x:v>
      </x:c>
      <x:c r="F3" s="73" t="str">
        <x:v>Policy team, legal/procurement</x:v>
      </x:c>
      <x:c r="G3" s="73" t="str">
        <x:v>Not Started</x:v>
      </x:c>
      <x:c r="H3" s="77"/>
      <x:c r="I3" s="73" t="str"/>
    </x:row>
    <x:row r="4" ht="60" customHeight="1">
      <x:c r="A4" s="73" t="str">
        <x:v>1. Discover</x:v>
      </x:c>
      <x:c r="B4" s="73" t="str">
        <x:v>Inventory machine identities and certificates</x:v>
      </x:c>
      <x:c r="C4" s="73" t="str">
        <x:v>Export certificate inventory from CAs, endpoints, ingress gateways, API gateways, service mesh, VPN, SSH, repositories, CI/CD, and device trust stores.</x:v>
      </x:c>
      <x:c r="D4" s="73" t="str">
        <x:v>Machine identity and certificate inventory.</x:v>
      </x:c>
      <x:c r="E4" s="73" t="str">
        <x:v>PKI/IAM team</x:v>
      </x:c>
      <x:c r="F4" s="73" t="str">
        <x:v>Access to CA and platform APIs</x:v>
      </x:c>
      <x:c r="G4" s="73" t="str">
        <x:v>Not Started</x:v>
      </x:c>
      <x:c r="H4" s="77"/>
      <x:c r="I4" s="73" t="str"/>
    </x:row>
    <x:row r="5" ht="60" customHeight="1">
      <x:c r="A5" s="73" t="str">
        <x:v>1. Discover</x:v>
      </x:c>
      <x:c r="B5" s="73" t="str">
        <x:v>Map federation and token-signing cryptography</x:v>
      </x:c>
      <x:c r="C5" s="73" t="str">
        <x:v>Record SAML signing/encryption certs, OIDC/OAuth token signing keys, JWT algorithms, federation metadata, partner trust anchors, and rotation procedures.</x:v>
      </x:c>
      <x:c r="D5" s="73" t="str">
        <x:v>Federation crypto dependency map.</x:v>
      </x:c>
      <x:c r="E5" s="73" t="str">
        <x:v>IAM team</x:v>
      </x:c>
      <x:c r="F5" s="73" t="str">
        <x:v>Partner metadata, IdP configuration</x:v>
      </x:c>
      <x:c r="G5" s="73" t="str">
        <x:v>Not Started</x:v>
      </x:c>
      <x:c r="H5" s="77"/>
      <x:c r="I5" s="73" t="str"/>
    </x:row>
    <x:row r="6" ht="60" customHeight="1">
      <x:c r="A6" s="73" t="str">
        <x:v>1. Discover</x:v>
      </x:c>
      <x:c r="B6" s="73" t="str">
        <x:v>Map transport and key-establishment paths</x:v>
      </x:c>
      <x:c r="C6" s="73" t="str">
        <x:v>Document TLS, mTLS, SSH, VPN, service-to-service encryption, database drivers, and API gateway policies.</x:v>
      </x:c>
      <x:c r="D6" s="73" t="str">
        <x:v>Transport crypto inventory.</x:v>
      </x:c>
      <x:c r="E6" s="73" t="str">
        <x:v>Network/platform teams</x:v>
      </x:c>
      <x:c r="F6" s="73" t="str">
        <x:v>Traffic flow maps, discovery tooling</x:v>
      </x:c>
      <x:c r="G6" s="73" t="str">
        <x:v>Not Started</x:v>
      </x:c>
      <x:c r="H6" s="77"/>
      <x:c r="I6" s="73" t="str"/>
    </x:row>
    <x:row r="7" ht="60" customHeight="1">
      <x:c r="A7" s="73" t="str">
        <x:v>2. Prioritize</x:v>
      </x:c>
      <x:c r="B7" s="73" t="str">
        <x:v>Score migration priority</x:v>
      </x:c>
      <x:c r="C7" s="73" t="str">
        <x:v>Use quantum vulnerability, data shelf life, public exposure, criticality, crypto agility, and supplier readiness to set P0/P1/P2 priorities.</x:v>
      </x:c>
      <x:c r="D7" s="73" t="str">
        <x:v>Risk-scored backlog.</x:v>
      </x:c>
      <x:c r="E7" s="73" t="str">
        <x:v>Security architecture</x:v>
      </x:c>
      <x:c r="F7" s="73" t="str">
        <x:v>Crypto Inventory sheet</x:v>
      </x:c>
      <x:c r="G7" s="73" t="str">
        <x:v>Not Started</x:v>
      </x:c>
      <x:c r="H7" s="77"/>
      <x:c r="I7" s="73" t="str"/>
    </x:row>
    <x:row r="8" ht="60" customHeight="1">
      <x:c r="A8" s="73" t="str">
        <x:v>2. Prioritize</x:v>
      </x:c>
      <x:c r="B8" s="73" t="str">
        <x:v>Identify blockers</x:v>
      </x:c>
      <x:c r="C8" s="73" t="str">
        <x:v>Flag hard-coded algorithms, legacy dependencies, non-upgradeable appliances, unmanaged certificates, and supplier roadmap gaps.</x:v>
      </x:c>
      <x:c r="D8" s="73" t="str">
        <x:v>Blocker register and mitigation owners.</x:v>
      </x:c>
      <x:c r="E8" s="73" t="str">
        <x:v>Architecture review board</x:v>
      </x:c>
      <x:c r="F8" s="73" t="str">
        <x:v>Supplier responses, engineering input</x:v>
      </x:c>
      <x:c r="G8" s="73" t="str">
        <x:v>Not Started</x:v>
      </x:c>
      <x:c r="H8" s="77"/>
      <x:c r="I8" s="73" t="str"/>
    </x:row>
    <x:row r="9" ht="60" customHeight="1">
      <x:c r="A9" s="73" t="str">
        <x:v>3. Design</x:v>
      </x:c>
      <x:c r="B9" s="73" t="str">
        <x:v>Set target architecture</x:v>
      </x:c>
      <x:c r="C9" s="73" t="str">
        <x:v>Choose migration patterns: library abstraction, certificate lifecycle automation, protocol upgrade, hybrid capable key establishment where supported, hardware refresh, or compensating control.</x:v>
      </x:c>
      <x:c r="D9" s="73" t="str">
        <x:v>Target-state design and standards.</x:v>
      </x:c>
      <x:c r="E9" s="73" t="str">
        <x:v>Cloud/IAM architects</x:v>
      </x:c>
      <x:c r="F9" s="73" t="str">
        <x:v>NIST FIPS 203/204/205; protocol maturity</x:v>
      </x:c>
      <x:c r="G9" s="73" t="str">
        <x:v>Not Started</x:v>
      </x:c>
      <x:c r="H9" s="77"/>
      <x:c r="I9" s="73" t="str"/>
    </x:row>
    <x:row r="10" ht="60" customHeight="1">
      <x:c r="A10" s="73" t="str">
        <x:v>3. Design</x:v>
      </x:c>
      <x:c r="B10" s="73" t="str">
        <x:v>Design certificate and key lifecycle</x:v>
      </x:c>
      <x:c r="C10" s="73" t="str">
        <x:v>Plan certificate issuance, renewal, revocation, telemetry, staged rollout, and emergency rollback. Include chain-size and relying-party compatibility testing.</x:v>
      </x:c>
      <x:c r="D10" s="73" t="str">
        <x:v>PKI transition plan.</x:v>
      </x:c>
      <x:c r="E10" s="73" t="str">
        <x:v>PKI team</x:v>
      </x:c>
      <x:c r="F10" s="73" t="str">
        <x:v>CA, platform, partner dependencies</x:v>
      </x:c>
      <x:c r="G10" s="73" t="str">
        <x:v>Not Started</x:v>
      </x:c>
      <x:c r="H10" s="77"/>
      <x:c r="I10" s="73" t="str"/>
    </x:row>
    <x:row r="11" ht="60" customHeight="1">
      <x:c r="A11" s="73" t="str">
        <x:v>3. Design</x:v>
      </x:c>
      <x:c r="B11" s="73" t="str">
        <x:v>Define non-production pilot</x:v>
      </x:c>
      <x:c r="C11" s="73" t="str">
        <x:v>Select low-blast-radius services with representative TLS, federation, workload identity, signing, and monitoring dependencies.</x:v>
      </x:c>
      <x:c r="D11" s="73" t="str">
        <x:v>Pilot plan and success criteria.</x:v>
      </x:c>
      <x:c r="E11" s="73" t="str">
        <x:v>Engineering lead</x:v>
      </x:c>
      <x:c r="F11" s="73" t="str">
        <x:v>Test environment, observability</x:v>
      </x:c>
      <x:c r="G11" s="73" t="str">
        <x:v>Not Started</x:v>
      </x:c>
      <x:c r="H11" s="77"/>
      <x:c r="I11" s="73" t="str"/>
    </x:row>
    <x:row r="12" ht="60" customHeight="1">
      <x:c r="A12" s="73" t="str">
        <x:v>4. Pilot</x:v>
      </x:c>
      <x:c r="B12" s="73" t="str">
        <x:v>Run interoperability and performance tests</x:v>
      </x:c>
      <x:c r="C12" s="73" t="str">
        <x:v>Measure handshake behavior, certificate size, token validation, latency, logging, monitoring, error handling, and rollback.</x:v>
      </x:c>
      <x:c r="D12" s="73" t="str">
        <x:v>Pilot test report.</x:v>
      </x:c>
      <x:c r="E12" s="73" t="str">
        <x:v>Engineering / QA / SRE</x:v>
      </x:c>
      <x:c r="F12" s="73" t="str">
        <x:v>Load testing, client diversity</x:v>
      </x:c>
      <x:c r="G12" s="73" t="str">
        <x:v>Not Started</x:v>
      </x:c>
      <x:c r="H12" s="77"/>
      <x:c r="I12" s="73" t="str"/>
    </x:row>
    <x:row r="13" ht="60" customHeight="1">
      <x:c r="A13" s="73" t="str">
        <x:v>4. Pilot</x:v>
      </x:c>
      <x:c r="B13" s="73" t="str">
        <x:v>Validate security controls</x:v>
      </x:c>
      <x:c r="C13" s="73" t="str">
        <x:v>Confirm policy enforcement, key protection, audit logging, access control, certificate transparency/telemetry, and incident response runbooks.</x:v>
      </x:c>
      <x:c r="D13" s="73" t="str">
        <x:v>Control validation evidence.</x:v>
      </x:c>
      <x:c r="E13" s="73" t="str">
        <x:v>Security operations</x:v>
      </x:c>
      <x:c r="F13" s="73" t="str">
        <x:v>SOC, GRC, platform owners</x:v>
      </x:c>
      <x:c r="G13" s="73" t="str">
        <x:v>Not Started</x:v>
      </x:c>
      <x:c r="H13" s="77"/>
      <x:c r="I13" s="73" t="str"/>
    </x:row>
    <x:row r="14" ht="60" customHeight="1">
      <x:c r="A14" s="73" t="str">
        <x:v>5. Rollout</x:v>
      </x:c>
      <x:c r="B14" s="73" t="str">
        <x:v>Implement phased migration</x:v>
      </x:c>
      <x:c r="C14" s="73" t="str">
        <x:v>Roll out by priority cohort with maintenance windows, canary deployments, automated checks, and rollback triggers.</x:v>
      </x:c>
      <x:c r="D14" s="73" t="str">
        <x:v>Change records and migration status.</x:v>
      </x:c>
      <x:c r="E14" s="73" t="str">
        <x:v>Platform/service owners</x:v>
      </x:c>
      <x:c r="F14" s="73" t="str">
        <x:v>CAB/MOC approval</x:v>
      </x:c>
      <x:c r="G14" s="73" t="str">
        <x:v>Not Started</x:v>
      </x:c>
      <x:c r="H14" s="77"/>
      <x:c r="I14" s="73" t="str"/>
    </x:row>
    <x:row r="15" ht="60" customHeight="1">
      <x:c r="A15" s="73" t="str">
        <x:v>5. Rollout</x:v>
      </x:c>
      <x:c r="B15" s="73" t="str">
        <x:v>Coordinate partners</x:v>
      </x:c>
      <x:c r="C15" s="73" t="str">
        <x:v>Notify relying parties and partners of certificate/signing/protocol changes; obtain compatibility confirmation.</x:v>
      </x:c>
      <x:c r="D15" s="73" t="str">
        <x:v>Partner compatibility approvals.</x:v>
      </x:c>
      <x:c r="E15" s="73" t="str">
        <x:v>IAM/vendor/partner management</x:v>
      </x:c>
      <x:c r="F15" s="73" t="str">
        <x:v>Partner contacts, contracts</x:v>
      </x:c>
      <x:c r="G15" s="73" t="str">
        <x:v>Not Started</x:v>
      </x:c>
      <x:c r="H15" s="77"/>
      <x:c r="I15" s="73" t="str"/>
    </x:row>
    <x:row r="16" ht="60" customHeight="1">
      <x:c r="A16" s="73" t="str">
        <x:v>6. Operate</x:v>
      </x:c>
      <x:c r="B16" s="73" t="str">
        <x:v>Update continuous discovery</x:v>
      </x:c>
      <x:c r="C16" s="73" t="str">
        <x:v>Schedule recurring crypto inventory refresh from endpoints, certificates, code repos, containers, libraries, and network telemetry.</x:v>
      </x:c>
      <x:c r="D16" s="73" t="str">
        <x:v>Continuous inventory feed.</x:v>
      </x:c>
      <x:c r="E16" s="73" t="str">
        <x:v>Security engineering</x:v>
      </x:c>
      <x:c r="F16" s="73" t="str">
        <x:v>CMDB, scanners, CA logs, SBOMs</x:v>
      </x:c>
      <x:c r="G16" s="73" t="str">
        <x:v>Not Started</x:v>
      </x:c>
      <x:c r="H16" s="77"/>
      <x:c r="I16" s="73" t="str"/>
    </x:row>
    <x:row r="17" ht="60" customHeight="1">
      <x:c r="A17" s="73" t="str">
        <x:v>6. Operate</x:v>
      </x:c>
      <x:c r="B17" s="73" t="str">
        <x:v>Track exceptions and residual risk</x:v>
      </x:c>
      <x:c r="C17" s="73" t="str">
        <x:v>Document non-migrated assets, compensating controls, expiry dates, and accountable owners.</x:v>
      </x:c>
      <x:c r="D17" s="73" t="str">
        <x:v>Exception register and review cadence.</x:v>
      </x:c>
      <x:c r="E17" s="73" t="str">
        <x:v>Risk owner</x:v>
      </x:c>
      <x:c r="F17" s="73" t="str">
        <x:v>GRC workflow</x:v>
      </x:c>
      <x:c r="G17" s="73" t="str">
        <x:v>Not Started</x:v>
      </x:c>
      <x:c r="H17" s="77"/>
      <x:c r="I17" s="73" t="str"/>
    </x:row>
    <x:row r="18" ht="60" customHeight="1">
      <x:c r="A18" s="73" t="str">
        <x:v>1. Discover</x:v>
      </x:c>
      <x:c r="B18" s="73" t="str">
        <x:v>Inventory complete issuer-to-validator graph</x:v>
      </x:c>
      <x:c r="C18" s="73" t="str">
        <x:v>Map OIDC/OAuth/SAML, JWT/JOSE/COSE, JWKS, metadata, sidecars, gateways, SDKs and downstream validators. Include automated workload identities where present.</x:v>
      </x:c>
      <x:c r="D18" s="73" t="str">
        <x:v>Key use, issuer/validator ownership and trust distribution map.</x:v>
      </x:c>
      <x:c r="E18" s="73" t="str">
        <x:v>IAM / platform teams</x:v>
      </x:c>
      <x:c r="F18" s="73" t="str">
        <x:v>N16 IR 8587 final; N17 final</x:v>
      </x:c>
      <x:c r="G18" s="73" t="str">
        <x:v>Not assessed</x:v>
      </x:c>
      <x:c r="H18" s="77"/>
      <x:c r="I18" s="73" t="str">
        <x:v>Hybrid TLS does not migrate token/certificate signatures.</x:v>
      </x:c>
    </x:row>
    <x:row r="19" ht="60" customHeight="1">
      <x:c r="A19" s="73" t="str">
        <x:v>3. Design</x:v>
      </x:c>
      <x:c r="B19" s="73" t="str">
        <x:v>Gate identity signing changes by profile support</x:v>
      </x:c>
      <x:c r="C19" s="73" t="str">
        <x:v>Verify approved algorithm allowlists, issuer/audience binding, key-use restrictions, signed metadata, trust-anchor distribution and protocol/vendor maturity.</x:v>
      </x:c>
      <x:c r="D19" s="73" t="str">
        <x:v>Approved signing profile and every-validator compatibility.</x:v>
      </x:c>
      <x:c r="E19" s="73" t="str">
        <x:v>IAM architecture</x:v>
      </x:c>
      <x:c r="F19" s="73" t="str">
        <x:v>N16 final §7.7; N02-N03 final</x:v>
      </x:c>
      <x:c r="G19" s="73" t="str">
        <x:v>Not assessed</x:v>
      </x:c>
      <x:c r="H19" s="77"/>
      <x:c r="I19" s="73" t="str">
        <x:v>Do not insert unsupported PQC algorithms into existing tokens.</x:v>
      </x:c>
    </x:row>
    <x:row r="20" ht="60" customHeight="1">
      <x:c r="A20" s="73" t="str">
        <x:v>4. Pilot</x:v>
      </x:c>
      <x:c r="B20" s="73" t="str">
        <x:v>Test token and key rollover boundaries</x:v>
      </x:c>
      <x:c r="C20" s="73" t="str">
        <x:v>Test token lifetime/refresh, key overlap, JWKS cache expiry, replay protection, clock tolerance, revocation and compromise recovery.</x:v>
      </x:c>
      <x:c r="D20" s="73" t="str">
        <x:v>Positive/negative validation and recovery tests.</x:v>
      </x:c>
      <x:c r="E20" s="73" t="str">
        <x:v>IAM / QA / SOC</x:v>
      </x:c>
      <x:c r="F20" s="73" t="str">
        <x:v>N16 final</x:v>
      </x:c>
      <x:c r="G20" s="73" t="str">
        <x:v>Not assessed</x:v>
      </x:c>
      <x:c r="H20" s="77"/>
      <x:c r="I20" s="73" t="str">
        <x:v>Record measured product limits and failure behavior.</x:v>
      </x:c>
    </x:row>
    <x:row r="21" ht="60" customHeight="1">
      <x:c r="A21" s="73" t="str">
        <x:v>4. Pilot</x:v>
      </x:c>
      <x:c r="B21" s="73" t="str">
        <x:v>Measure larger object and traffic impact</x:v>
      </x:c>
      <x:c r="C21" s="73" t="str">
        <x:v>Test headers, cookies, proxies, brokers, parser limits, certificate chains, MTU/fragmentation, retries, CPU, throughput and p95/p99 latency.</x:v>
      </x:c>
      <x:c r="D21" s="73" t="str">
        <x:v>End-to-end load/interop evidence and approved thresholds.</x:v>
      </x:c>
      <x:c r="E21" s="73" t="str">
        <x:v>SRE / QA</x:v>
      </x:c>
      <x:c r="F21" s="73" t="str">
        <x:v>N04-N05 final; N07 project</x:v>
      </x:c>
      <x:c r="G21" s="73" t="str">
        <x:v>Not assessed</x:v>
      </x:c>
      <x:c r="H21" s="77"/>
      <x:c r="I21" s="73" t="str">
        <x:v>No assumed universal performance threshold.</x:v>
      </x:c>
    </x:row>
    <x:row r="22" ht="60" customHeight="1">
      <x:c r="A22" s="73" t="str">
        <x:v>3. Design</x:v>
      </x:c>
      <x:c r="B22" s="73" t="str">
        <x:v>Map transport termination and envelope encryption</x:v>
      </x:c>
      <x:c r="C22" s="73" t="str">
        <x:v>Record external/internal TLS legs, mesh hops, plaintext boundaries, database clients, storage/backup key wrapping and KMS/HSM roles.</x:v>
      </x:c>
      <x:c r="D22" s="73" t="str">
        <x:v>Distinct key establishment, signature and data-encryption components.</x:v>
      </x:c>
      <x:c r="E22" s="73" t="str">
        <x:v>Platform / data security</x:v>
      </x:c>
      <x:c r="F22" s="73" t="str">
        <x:v>N04,N09,N17,N22,N23 final</x:v>
      </x:c>
      <x:c r="G22" s="73" t="str">
        <x:v>Not assessed</x:v>
      </x:c>
      <x:c r="H22" s="77"/>
      <x:c r="I22" s="73" t="str">
        <x:v>AES data encryption does not remove vulnerable public-key key-wrapping dependencies.</x:v>
      </x:c>
    </x:row>
    <x:row r="23" ht="60" customHeight="1">
      <x:c r="A23" s="73" t="str">
        <x:v>6. Operate</x:v>
      </x:c>
      <x:c r="B23" s="73" t="str">
        <x:v>Control fallback, negotiation and emergency substitution</x:v>
      </x:c>
      <x:c r="C23" s="73" t="str">
        <x:v>Test downgrade resistance and configuration enforcement; document time-bound rollback authorization, monitoring and re-migration triggers.</x:v>
      </x:c>
      <x:c r="D23" s="73" t="str">
        <x:v>Policy evidence, rollback rehearsal and dated risk acceptance.</x:v>
      </x:c>
      <x:c r="E23" s="73" t="str">
        <x:v>Security / service owner</x:v>
      </x:c>
      <x:c r="F23" s="73" t="str">
        <x:v>N04-N05 final</x:v>
      </x:c>
      <x:c r="G23" s="73" t="str">
        <x:v>Not assessed</x:v>
      </x:c>
      <x:c r="H23" s="77"/>
      <x:c r="I23" s="73" t="str">
        <x:v>No silent fallback to an unapproved profile.</x:v>
      </x:c>
    </x:row>
    <x:row r="24">
      <x:c r="H24" s="60"/>
    </x:row>
    <x:row r="25">
      <x:c r="H25" s="60"/>
    </x:row>
    <x:row r="26">
      <x:c r="H26" s="60"/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2">
    <x:dataValidation type="list" sqref="G2:G200">
      <x:formula1>Lists!$N$2:$N$10</x:formula1>
    </x:dataValidation>
    <x:dataValidation type="list" sqref="G2:G100">
      <x:formula1>"Not Started,In Progress,Blocked,Pending Vendor,Ready for Pilot,Pilot Complete,Scheduled,Complete,Accepted Risk,Not Applicable,Not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46773156454ff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0" hidden="0" customWidth="1"/>
    <x:col min="3" max="3" width="72" hidden="0" customWidth="1"/>
    <x:col min="4" max="4" width="45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55" hidden="0" customWidth="1"/>
  </x:cols>
  <x:sheetData>
    <x:row r="1" ht="44" customHeight="1">
      <x:c r="A1" s="89" t="str">
        <x:v>Area</x:v>
      </x:c>
      <x:c r="B1" s="89" t="str">
        <x:v>Checklist Item</x:v>
      </x:c>
      <x:c r="C1" s="89" t="str">
        <x:v>Safety / Operational Consideration</x:v>
      </x:c>
      <x:c r="D1" s="89" t="str">
        <x:v>Evidence / Artifact</x:v>
      </x:c>
      <x:c r="E1" s="89" t="str">
        <x:v>Owner</x:v>
      </x:c>
      <x:c r="F1" s="89" t="str">
        <x:v>NIST Alignment</x:v>
      </x:c>
      <x:c r="G1" s="89" t="str">
        <x:v>Status</x:v>
      </x:c>
      <x:c r="H1" s="89" t="str">
        <x:v>Target Date</x:v>
      </x:c>
      <x:c r="I1" s="89" t="str">
        <x:v>Notes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60" customHeight="1">
      <x:c r="A2" s="73" t="str">
        <x:v>Governance</x:v>
      </x:c>
      <x:c r="B2" s="73" t="str">
        <x:v>Establish OT PQC change-control policy.</x:v>
      </x:c>
      <x:c r="C2" s="73" t="str">
        <x:v>No production change without safety impact assessment, management of change approval, vendor support, rollback plan, and approved maintenance window.</x:v>
      </x:c>
      <x:c r="D2" s="73" t="str">
        <x:v>MOC procedure, safety approval template.</x:v>
      </x:c>
      <x:c r="E2" s="73" t="str">
        <x:v>OT governance</x:v>
      </x:c>
      <x:c r="F2" s="73" t="str">
        <x:v>NIST SP 800-82r3; CSF Govern</x:v>
      </x:c>
      <x:c r="G2" s="73" t="str">
        <x:v>Not Started</x:v>
      </x:c>
      <x:c r="H2" s="77"/>
      <x:c r="I2" s="73" t="str"/>
    </x:row>
    <x:row r="3" ht="60" customHeight="1">
      <x:c r="A3" s="73" t="str">
        <x:v>Inventory</x:v>
      </x:c>
      <x:c r="B3" s="73" t="str">
        <x:v>Inventory OT crypto use without disrupting operations.</x:v>
      </x:c>
      <x:c r="C3" s="73" t="str">
        <x:v>Use passive discovery, configuration review, vendor docs, certificate exports, and engineering workstation review before active scanning.</x:v>
      </x:c>
      <x:c r="D3" s="73" t="str">
        <x:v>OT crypto inventory, discovery method log.</x:v>
      </x:c>
      <x:c r="E3" s="73" t="str">
        <x:v>OT security / engineering</x:v>
      </x:c>
      <x:c r="F3" s="73" t="str">
        <x:v>NIST SP 800-82r3; NCCoE Migration to PQC</x:v>
      </x:c>
      <x:c r="G3" s="73" t="str">
        <x:v>Not Started</x:v>
      </x:c>
      <x:c r="H3" s="77"/>
      <x:c r="I3" s="73" t="str"/>
    </x:row>
    <x:row r="4" ht="60" customHeight="1">
      <x:c r="A4" s="73" t="str">
        <x:v>Inventory</x:v>
      </x:c>
      <x:c r="B4" s="73" t="str">
        <x:v>Classify OT assets by process criticality and safety impact.</x:v>
      </x:c>
      <x:c r="C4" s="73" t="str">
        <x:v>Prioritize assets by process function, safety consequence, downtime tolerance, vendor support, and data sensitivity.</x:v>
      </x:c>
      <x:c r="D4" s="73" t="str">
        <x:v>Criticality and safety mapping.</x:v>
      </x:c>
      <x:c r="E4" s="73" t="str">
        <x:v>Operations / engineering</x:v>
      </x:c>
      <x:c r="F4" s="73" t="str">
        <x:v>NIST SP 800-82r3 risk management</x:v>
      </x:c>
      <x:c r="G4" s="73" t="str">
        <x:v>Not Started</x:v>
      </x:c>
      <x:c r="H4" s="77"/>
      <x:c r="I4" s="73" t="str"/>
    </x:row>
    <x:row r="5" ht="60" customHeight="1">
      <x:c r="A5" s="73" t="str">
        <x:v>Network</x:v>
      </x:c>
      <x:c r="B5" s="73" t="str">
        <x:v>Document encrypted remote access paths.</x:v>
      </x:c>
      <x:c r="C5" s="73" t="str">
        <x:v>Include VPN, jump hosts, vendor support links, modems, cloud connectors, remote engineering, bastions, and MFA dependencies.</x:v>
      </x:c>
      <x:c r="D5" s="73" t="str">
        <x:v>Remote access architecture map.</x:v>
      </x:c>
      <x:c r="E5" s="73" t="str">
        <x:v>OT network team</x:v>
      </x:c>
      <x:c r="F5" s="73" t="str">
        <x:v>SP 800-82r3; SP 800-53 AC/IA/SC</x:v>
      </x:c>
      <x:c r="G5" s="73" t="str">
        <x:v>Not Started</x:v>
      </x:c>
      <x:c r="H5" s="77"/>
      <x:c r="I5" s="73" t="str"/>
    </x:row>
    <x:row r="6" ht="60" customHeight="1">
      <x:c r="A6" s="73" t="str">
        <x:v>Network</x:v>
      </x:c>
      <x:c r="B6" s="73" t="str">
        <x:v>Review industrial protocol security settings.</x:v>
      </x:c>
      <x:c r="C6" s="73" t="str">
        <x:v>Identify where TLS, certificates, signed firmware, secure boot, or application-layer security are enabled, unsupported, or vendor-dependent.</x:v>
      </x:c>
      <x:c r="D6" s="73" t="str">
        <x:v>Protocol security matrix.</x:v>
      </x:c>
      <x:c r="E6" s="73" t="str">
        <x:v>Control systems engineer</x:v>
      </x:c>
      <x:c r="F6" s="73" t="str">
        <x:v>SP 800-82r3; FIPS 203/204 where applicable</x:v>
      </x:c>
      <x:c r="G6" s="73" t="str">
        <x:v>Not Started</x:v>
      </x:c>
      <x:c r="H6" s="77"/>
      <x:c r="I6" s="73" t="str"/>
    </x:row>
    <x:row r="7" ht="60" customHeight="1">
      <x:c r="A7" s="73" t="str">
        <x:v>PKI</x:v>
      </x:c>
      <x:c r="B7" s="73" t="str">
        <x:v>Map OT certificates and trust stores.</x:v>
      </x:c>
      <x:c r="C7" s="73" t="str">
        <x:v>Include historians, gateways, HMIs, engineering workstations, remote access, OPC UA, web interfaces, and device certificates.</x:v>
      </x:c>
      <x:c r="D7" s="73" t="str">
        <x:v>OT certificate inventory.</x:v>
      </x:c>
      <x:c r="E7" s="73" t="str">
        <x:v>PKI / OT engineering</x:v>
      </x:c>
      <x:c r="F7" s="73" t="str">
        <x:v>SP 800-82r3; FIPS 204/205</x:v>
      </x:c>
      <x:c r="G7" s="73" t="str">
        <x:v>Not Started</x:v>
      </x:c>
      <x:c r="H7" s="77"/>
      <x:c r="I7" s="73" t="str"/>
    </x:row>
    <x:row r="8" ht="60" customHeight="1">
      <x:c r="A8" s="73" t="str">
        <x:v>Vendor</x:v>
      </x:c>
      <x:c r="B8" s="73" t="str">
        <x:v>Request OT vendor PQC roadmap and support windows.</x:v>
      </x:c>
      <x:c r="C8" s="73" t="str">
        <x:v>Confirm firmware/software upgrade paths, protocol support, certificate/key size limits, hardware constraints, and validation process.</x:v>
      </x:c>
      <x:c r="D8" s="73" t="str">
        <x:v>Vendor responses and support statement.</x:v>
      </x:c>
      <x:c r="E8" s="73" t="str">
        <x:v>Vendor management / OT owner</x:v>
      </x:c>
      <x:c r="F8" s="73" t="str">
        <x:v>SP 800-161r1; CISA OT PQC considerations</x:v>
      </x:c>
      <x:c r="G8" s="73" t="str">
        <x:v>Not Started</x:v>
      </x:c>
      <x:c r="H8" s="77"/>
      <x:c r="I8" s="73" t="str"/>
    </x:row>
    <x:row r="9" ht="60" customHeight="1">
      <x:c r="A9" s="73" t="str">
        <x:v>Testing</x:v>
      </x:c>
      <x:c r="B9" s="73" t="str">
        <x:v>Build lab/digital twin test path for PQC-impacting changes.</x:v>
      </x:c>
      <x:c r="C9" s="73" t="str">
        <x:v>Never test unvalidated cryptographic changes directly on production control systems. Use representative devices where feasible.</x:v>
      </x:c>
      <x:c r="D9" s="73" t="str">
        <x:v>Lab plan, test assets, acceptance criteria.</x:v>
      </x:c>
      <x:c r="E9" s="73" t="str">
        <x:v>OT engineering / lab lead</x:v>
      </x:c>
      <x:c r="F9" s="73" t="str">
        <x:v>SP 800-82r3 safety/reliability focus</x:v>
      </x:c>
      <x:c r="G9" s="73" t="str">
        <x:v>Not Started</x:v>
      </x:c>
      <x:c r="H9" s="77"/>
      <x:c r="I9" s="73" t="str"/>
    </x:row>
    <x:row r="10" ht="60" customHeight="1">
      <x:c r="A10" s="73" t="str">
        <x:v>Testing</x:v>
      </x:c>
      <x:c r="B10" s="73" t="str">
        <x:v>Validate performance and packet-size impact.</x:v>
      </x:c>
      <x:c r="C10" s="73" t="str">
        <x:v>Assess latency, CPU/memory, handshake failures, fragmentation, certificate chain size, and recovery behavior on constrained devices.</x:v>
      </x:c>
      <x:c r="D10" s="73" t="str">
        <x:v>Test results and performance baseline.</x:v>
      </x:c>
      <x:c r="E10" s="73" t="str">
        <x:v>OT engineering / QA</x:v>
      </x:c>
      <x:c r="F10" s="73" t="str">
        <x:v>NIST CSWP 39 resource/performance considerations</x:v>
      </x:c>
      <x:c r="G10" s="73" t="str">
        <x:v>Not Started</x:v>
      </x:c>
      <x:c r="H10" s="77"/>
      <x:c r="I10" s="73" t="str"/>
    </x:row>
    <x:row r="11" ht="60" customHeight="1">
      <x:c r="A11" s="73" t="str">
        <x:v>Compensating Controls</x:v>
      </x:c>
      <x:c r="B11" s="73" t="str">
        <x:v>Define controls for non-upgradeable assets.</x:v>
      </x:c>
      <x:c r="C11" s="73" t="str">
        <x:v>Use segmentation, unidirectional gateways where appropriate, jump hosts, strict remote access, monitoring, lifecycle replacement, and accepted-risk expiration.</x:v>
      </x:c>
      <x:c r="D11" s="73" t="str">
        <x:v>Compensating control plan.</x:v>
      </x:c>
      <x:c r="E11" s="73" t="str">
        <x:v>OT security / risk owner</x:v>
      </x:c>
      <x:c r="F11" s="73" t="str">
        <x:v>SP 800-82r3; SP 800-53 SC/AC/RA</x:v>
      </x:c>
      <x:c r="G11" s="73" t="str">
        <x:v>Not Started</x:v>
      </x:c>
      <x:c r="H11" s="77"/>
      <x:c r="I11" s="73" t="str"/>
    </x:row>
    <x:row r="12" ht="60" customHeight="1">
      <x:c r="A12" s="73" t="str">
        <x:v>Operations</x:v>
      </x:c>
      <x:c r="B12" s="73" t="str">
        <x:v>Update OT monitoring and incident response.</x:v>
      </x:c>
      <x:c r="C12" s="73" t="str">
        <x:v>Ensure new or changed crypto protocols/certificates are visible in monitoring and runbooks; document emergency rollback.</x:v>
      </x:c>
      <x:c r="D12" s="73" t="str">
        <x:v>Runbooks, alert rules, tabletop results.</x:v>
      </x:c>
      <x:c r="E12" s="73" t="str">
        <x:v>SOC / OT operations</x:v>
      </x:c>
      <x:c r="F12" s="73" t="str">
        <x:v>CSF Detect/Respond/Recover; SP 800-82r3</x:v>
      </x:c>
      <x:c r="G12" s="73" t="str">
        <x:v>Not Started</x:v>
      </x:c>
      <x:c r="H12" s="77"/>
      <x:c r="I12" s="73" t="str"/>
    </x:row>
    <x:row r="13" ht="60" customHeight="1">
      <x:c r="A13" s="73" t="str">
        <x:v>Lifecycle</x:v>
      </x:c>
      <x:c r="B13" s="73" t="str">
        <x:v>Integrate PQC readiness into capital planning.</x:v>
      </x:c>
      <x:c r="C13" s="73" t="str">
        <x:v>Use asset refresh cycles to replace non-agile devices, unsupported firmware, and appliances with fixed cryptographic parameters.</x:v>
      </x:c>
      <x:c r="D13" s="73" t="str">
        <x:v>Capital plan, lifecycle roadmap.</x:v>
      </x:c>
      <x:c r="E13" s="73" t="str">
        <x:v>Operations / asset management</x:v>
      </x:c>
      <x:c r="F13" s="73" t="str">
        <x:v>SP 800-82r3; NIST CSWP 39</x:v>
      </x:c>
      <x:c r="G13" s="73" t="str">
        <x:v>Not Started</x:v>
      </x:c>
      <x:c r="H13" s="77"/>
      <x:c r="I13" s="73" t="str"/>
    </x:row>
    <x:row r="14" ht="60" customHeight="1">
      <x:c r="A14" s="73" t="str">
        <x:v>Recovery</x:v>
      </x:c>
      <x:c r="B14" s="73" t="str">
        <x:v>Verify protected backups and restoration.</x:v>
      </x:c>
      <x:c r="C14" s="73" t="str">
        <x:v>Restore controller logic, configuration, firmware, trust stores and recoverable keys in a representative lab. Confirm permissions, integrity and restoration time.</x:v>
      </x:c>
      <x:c r="D14" s="73" t="str">
        <x:v>Backup scope, restore proof and approved recovery objectives.</x:v>
      </x:c>
      <x:c r="E14" s="73" t="str">
        <x:v>OT engineering / operations</x:v>
      </x:c>
      <x:c r="F14" s="73" t="str">
        <x:v>N15 SP 1339 final; N13 final</x:v>
      </x:c>
      <x:c r="G14" s="73" t="str">
        <x:v>Not assessed</x:v>
      </x:c>
      <x:c r="H14" s="77"/>
      <x:c r="I14" s="73" t="str">
        <x:v>Backup existence alone does not demonstrate recovery.</x:v>
      </x:c>
    </x:row>
    <x:row r="15" ht="60" customHeight="1">
      <x:c r="A15" s="73" t="str">
        <x:v>Trust anchors</x:v>
      </x:c>
      <x:c r="B15" s="73" t="str">
        <x:v>Find immutable boot and firmware verifiers.</x:v>
      </x:c>
      <x:c r="C15" s="73" t="str">
        <x:v>Record hardware/ROM trust anchors, signed update chains, device provisioning and verification lifetime. Escalate replacement needs early.</x:v>
      </x:c>
      <x:c r="D15" s="73" t="str">
        <x:v>Verifier dependency inventory and funded replacement plan.</x:v>
      </x:c>
      <x:c r="E15" s="73" t="str">
        <x:v>OT asset owner / supplier</x:v>
      </x:c>
      <x:c r="F15" s="73" t="str">
        <x:v>N06 draft; N09/N13 final</x:v>
      </x:c>
      <x:c r="G15" s="73" t="str">
        <x:v>Not assessed</x:v>
      </x:c>
      <x:c r="H15" s="77"/>
      <x:c r="I15" s="73" t="str">
        <x:v>Long-lived authenticity risks differ from HNDL confidentiality.</x:v>
      </x:c>
    </x:row>
    <x:row r="16" ht="60" customHeight="1">
      <x:c r="A16" s="73" t="str">
        <x:v>Performance</x:v>
      </x:c>
      <x:c r="B16" s="73" t="str">
        <x:v>Test constrained and adverse conditions.</x:v>
      </x:c>
      <x:c r="C16" s="73" t="str">
        <x:v>Measure scan-cycle latency/jitter, CPU/memory, bandwidth, packet limits, malformed/oversize handling, reconnect, failover and resource exhaustion.</x:v>
      </x:c>
      <x:c r="D16" s="73" t="str">
        <x:v>Vendor-supported lab tests, safety acceptance and thresholds.</x:v>
      </x:c>
      <x:c r="E16" s="73" t="str">
        <x:v>OT lab / safety owner</x:v>
      </x:c>
      <x:c r="F16" s="73" t="str">
        <x:v>N04/N05/N13 final</x:v>
      </x:c>
      <x:c r="G16" s="73" t="str">
        <x:v>Not assessed</x:v>
      </x:c>
      <x:c r="H16" s="77"/>
      <x:c r="I16" s="73" t="str">
        <x:v>Keep tests out of production until MOC and safety approval.</x:v>
      </x:c>
    </x:row>
    <x:row r="17" ht="60" customHeight="1">
      <x:c r="A17" s="73" t="str">
        <x:v>Architecture</x:v>
      </x:c>
      <x:c r="B17" s="73" t="str">
        <x:v>Record downstream gaps after gateways.</x:v>
      </x:c>
      <x:c r="C17" s="73" t="str">
        <x:v>Map zones/conduits, plaintext or legacy protocols and every termination boundary. Record residual risk and scope of gateway protection.</x:v>
      </x:c>
      <x:c r="D17" s="73" t="str">
        <x:v>Path diagram and time-bound exception evidence.</x:v>
      </x:c>
      <x:c r="E17" s="73" t="str">
        <x:v>OT network / risk owner</x:v>
      </x:c>
      <x:c r="F17" s="73" t="str">
        <x:v>N13 final</x:v>
      </x:c>
      <x:c r="G17" s="73" t="str">
        <x:v>Not assessed</x:v>
      </x:c>
      <x:c r="H17" s="77"/>
      <x:c r="I17" s="73" t="str">
        <x:v>Segmentation and a PQC gateway do not convert downstream legacy crypto.</x:v>
      </x:c>
    </x:row>
    <x:row r="18" ht="60" customHeight="1">
      <x:c r="A18" s="73" t="str">
        <x:v>Operations</x:v>
      </x:c>
      <x:c r="B18" s="73" t="str">
        <x:v>Rehearse safe rollback and manual operation.</x:v>
      </x:c>
      <x:c r="C18" s="73" t="str">
        <x:v>Test approved restore/failover, safe state, manual operation, replacement equipment and emergency communication within operational limits.</x:v>
      </x:c>
      <x:c r="D18" s="73" t="str">
        <x:v>Exercise report, named decision authority and recovery acceptance.</x:v>
      </x:c>
      <x:c r="E18" s="73" t="str">
        <x:v>Operations / safety / SOC</x:v>
      </x:c>
      <x:c r="F18" s="73" t="str">
        <x:v>N13/N15 final</x:v>
      </x:c>
      <x:c r="G18" s="73" t="str">
        <x:v>Not assessed</x:v>
      </x:c>
      <x:c r="H18" s="77"/>
      <x:c r="I18" s="73" t="str">
        <x:v>Record maintenance window, downtime tolerance and owner approval.</x:v>
      </x:c>
    </x:row>
    <x:row r="19" ht="60" customHeight="1">
      <x:c r="A19" s="73" t="str">
        <x:v>Standards watch</x:v>
      </x:c>
      <x:c r="B19" s="73" t="str">
        <x:v>Review the 2026 OT draft without calling it final.</x:v>
      </x:c>
      <x:c r="C19" s="73" t="str">
        <x:v>Track SP 800-82 Rev.4 draft changes for asset management, monitoring, cloud/IIoT convergence and management systems. Maintain Rev.3 final baseline until superseded.</x:v>
      </x:c>
      <x:c r="D19" s="73" t="str">
        <x:v>Dated standards review and approved gap decisions.</x:v>
      </x:c>
      <x:c r="E19" s="73" t="str">
        <x:v>OT governance</x:v>
      </x:c>
      <x:c r="F19" s="73" t="str">
        <x:v>N14 initial public draft 2026-09-21; N13 final</x:v>
      </x:c>
      <x:c r="G19" s="73" t="str">
        <x:v>Not assessed</x:v>
      </x:c>
      <x:c r="H19" s="77"/>
      <x:c r="I19" s="73" t="str">
        <x:v>Comments due 2026-11-30. Draft changes are not final requirements.</x:v>
      </x:c>
    </x:row>
    <x:row r="20">
      <x:c r="H20" s="60"/>
    </x:row>
    <x:row r="21">
      <x:c r="H21" s="60"/>
    </x:row>
    <x:row r="22">
      <x:c r="H22" s="60"/>
    </x:row>
    <x:row r="23">
      <x:c r="H23" s="60"/>
    </x:row>
    <x:row r="24">
      <x:c r="H24" s="60"/>
    </x:row>
    <x:row r="25">
      <x:c r="H25" s="60"/>
    </x:row>
    <x:row r="26">
      <x:c r="H26" s="60"/>
    </x:row>
    <x:row r="27">
      <x:c r="H27" s="60"/>
    </x:row>
    <x:row r="28">
      <x:c r="H28" s="60"/>
    </x:row>
    <x:row r="29">
      <x:c r="H29" s="60"/>
    </x:row>
    <x:row r="30">
      <x:c r="H30" s="60"/>
    </x:row>
    <x:row r="31">
      <x:c r="H31" s="60"/>
    </x:row>
    <x:row r="32">
      <x:c r="H32" s="60"/>
    </x:row>
    <x:row r="33">
      <x:c r="H33" s="60"/>
    </x:row>
    <x:row r="34">
      <x:c r="H34" s="60"/>
    </x:row>
    <x:row r="35">
      <x:c r="H35" s="60"/>
    </x:row>
    <x:row r="36">
      <x:c r="H36" s="60"/>
    </x:row>
    <x:row r="37">
      <x:c r="H37" s="60"/>
    </x:row>
    <x:row r="38">
      <x:c r="H38" s="60"/>
    </x:row>
    <x:row r="39">
      <x:c r="H39" s="60"/>
    </x:row>
    <x:row r="40">
      <x:c r="H40" s="60"/>
    </x:row>
    <x:row r="41">
      <x:c r="H41" s="60"/>
    </x:row>
    <x:row r="42">
      <x:c r="H42" s="60"/>
    </x:row>
    <x:row r="43">
      <x:c r="H43" s="60"/>
    </x:row>
    <x:row r="44">
      <x:c r="H44" s="60"/>
    </x:row>
    <x:row r="45">
      <x:c r="H45" s="60"/>
    </x:row>
    <x:row r="46">
      <x:c r="H46" s="60"/>
    </x:row>
    <x:row r="47">
      <x:c r="H47" s="60"/>
    </x:row>
    <x:row r="48">
      <x:c r="H48" s="60"/>
    </x:row>
    <x:row r="49">
      <x:c r="H49" s="60"/>
    </x:row>
    <x:row r="50">
      <x:c r="H50" s="60"/>
    </x:row>
    <x:row r="51">
      <x:c r="H51" s="60"/>
    </x:row>
    <x:row r="52">
      <x:c r="H52" s="60"/>
    </x:row>
    <x:row r="53">
      <x:c r="H53" s="60"/>
    </x:row>
    <x:row r="54">
      <x:c r="H54" s="60"/>
    </x:row>
    <x:row r="55">
      <x:c r="H55" s="60"/>
    </x:row>
    <x:row r="56">
      <x:c r="H56" s="60"/>
    </x:row>
    <x:row r="57">
      <x:c r="H57" s="60"/>
    </x:row>
    <x:row r="58">
      <x:c r="H58" s="60"/>
    </x:row>
    <x:row r="59">
      <x:c r="H59" s="60"/>
    </x:row>
    <x:row r="60">
      <x:c r="H60" s="60"/>
    </x:row>
    <x:row r="61">
      <x:c r="H61" s="60"/>
    </x:row>
    <x:row r="62">
      <x:c r="H62" s="60"/>
    </x:row>
    <x:row r="63">
      <x:c r="H63" s="60"/>
    </x:row>
    <x:row r="64">
      <x:c r="H64" s="60"/>
    </x:row>
    <x:row r="65">
      <x:c r="H65" s="60"/>
    </x:row>
    <x:row r="66">
      <x:c r="H66" s="60"/>
    </x:row>
    <x:row r="67">
      <x:c r="H67" s="60"/>
    </x:row>
    <x:row r="68">
      <x:c r="H68" s="60"/>
    </x:row>
    <x:row r="69">
      <x:c r="H69" s="60"/>
    </x:row>
    <x:row r="70">
      <x:c r="H70" s="60"/>
    </x:row>
    <x:row r="71">
      <x:c r="H71" s="60"/>
    </x:row>
    <x:row r="72">
      <x:c r="H72" s="60"/>
    </x:row>
    <x:row r="73">
      <x:c r="H73" s="60"/>
    </x:row>
    <x:row r="74">
      <x:c r="H74" s="60"/>
    </x:row>
    <x:row r="75">
      <x:c r="H75" s="60"/>
    </x:row>
    <x:row r="76">
      <x:c r="H76" s="60"/>
    </x:row>
    <x:row r="77">
      <x:c r="H77" s="60"/>
    </x:row>
    <x:row r="78">
      <x:c r="H78" s="60"/>
    </x:row>
    <x:row r="79">
      <x:c r="H79" s="60"/>
    </x:row>
    <x:row r="80">
      <x:c r="H80" s="60"/>
    </x:row>
    <x:row r="81">
      <x:c r="H81" s="60"/>
    </x:row>
    <x:row r="82">
      <x:c r="H82" s="60"/>
    </x:row>
    <x:row r="83">
      <x:c r="H83" s="60"/>
    </x:row>
    <x:row r="84">
      <x:c r="H84" s="60"/>
    </x:row>
    <x:row r="85">
      <x:c r="H85" s="60"/>
    </x:row>
    <x:row r="86">
      <x:c r="H86" s="60"/>
    </x:row>
    <x:row r="87">
      <x:c r="H87" s="60"/>
    </x:row>
    <x:row r="88">
      <x:c r="H88" s="60"/>
    </x:row>
    <x:row r="89">
      <x:c r="H89" s="60"/>
    </x:row>
    <x:row r="90">
      <x:c r="H90" s="60"/>
    </x:row>
    <x:row r="91">
      <x:c r="H91" s="60"/>
    </x:row>
    <x:row r="92">
      <x:c r="H92" s="60"/>
    </x:row>
    <x:row r="93">
      <x:c r="H93" s="60"/>
    </x:row>
    <x:row r="94">
      <x:c r="H94" s="60"/>
    </x:row>
    <x:row r="95">
      <x:c r="H95" s="60"/>
    </x:row>
    <x:row r="96">
      <x:c r="H96" s="60"/>
    </x:row>
    <x:row r="97">
      <x:c r="H97" s="60"/>
    </x:row>
    <x:row r="98">
      <x:c r="H98" s="60"/>
    </x:row>
    <x:row r="99">
      <x:c r="H99" s="60"/>
    </x:row>
    <x:row r="100">
      <x:c r="H100" s="60"/>
    </x:row>
    <x:row r="101">
      <x:c r="H101" s="60"/>
    </x:row>
    <x:row r="102">
      <x:c r="H102" s="60"/>
    </x:row>
    <x:row r="103">
      <x:c r="H103" s="60"/>
    </x:row>
    <x:row r="104">
      <x:c r="H104" s="60"/>
    </x:row>
    <x:row r="105">
      <x:c r="H105" s="60"/>
    </x:row>
    <x:row r="106">
      <x:c r="H106" s="60"/>
    </x:row>
    <x:row r="107">
      <x:c r="H107" s="60"/>
    </x:row>
    <x:row r="108">
      <x:c r="H108" s="60"/>
    </x:row>
    <x:row r="109">
      <x:c r="H109" s="60"/>
    </x:row>
    <x:row r="110">
      <x:c r="H110" s="60"/>
    </x:row>
    <x:row r="111">
      <x:c r="H111" s="60"/>
    </x:row>
    <x:row r="112">
      <x:c r="H112" s="60"/>
    </x:row>
    <x:row r="113">
      <x:c r="H113" s="60"/>
    </x:row>
    <x:row r="114">
      <x:c r="H114" s="60"/>
    </x:row>
    <x:row r="115">
      <x:c r="H115" s="60"/>
    </x:row>
    <x:row r="116">
      <x:c r="H116" s="60"/>
    </x:row>
    <x:row r="117">
      <x:c r="H117" s="60"/>
    </x:row>
    <x:row r="118">
      <x:c r="H118" s="60"/>
    </x:row>
    <x:row r="119">
      <x:c r="H119" s="60"/>
    </x:row>
    <x:row r="120">
      <x:c r="H120" s="60"/>
    </x:row>
    <x:row r="121">
      <x:c r="H121" s="60"/>
    </x:row>
    <x:row r="122">
      <x:c r="H122" s="60"/>
    </x:row>
    <x:row r="123">
      <x:c r="H123" s="60"/>
    </x:row>
    <x:row r="124">
      <x:c r="H124" s="60"/>
    </x:row>
    <x:row r="125">
      <x:c r="H125" s="60"/>
    </x:row>
    <x:row r="126">
      <x:c r="H126" s="60"/>
    </x:row>
    <x:row r="127">
      <x:c r="H127" s="60"/>
    </x:row>
    <x:row r="128">
      <x:c r="H128" s="60"/>
    </x:row>
    <x:row r="129">
      <x:c r="H129" s="60"/>
    </x:row>
    <x:row r="130">
      <x:c r="H130" s="60"/>
    </x:row>
    <x:row r="131">
      <x:c r="H131" s="60"/>
    </x:row>
    <x:row r="132">
      <x:c r="H132" s="60"/>
    </x:row>
    <x:row r="133">
      <x:c r="H133" s="60"/>
    </x:row>
    <x:row r="134">
      <x:c r="H134" s="60"/>
    </x:row>
    <x:row r="135">
      <x:c r="H135" s="60"/>
    </x:row>
    <x:row r="136">
      <x:c r="H136" s="60"/>
    </x:row>
    <x:row r="137">
      <x:c r="H137" s="60"/>
    </x:row>
    <x:row r="138">
      <x:c r="H138" s="60"/>
    </x:row>
    <x:row r="139">
      <x:c r="H139" s="60"/>
    </x:row>
    <x:row r="140">
      <x:c r="H140" s="60"/>
    </x:row>
    <x:row r="141">
      <x:c r="H141" s="60"/>
    </x:row>
    <x:row r="142">
      <x:c r="H142" s="60"/>
    </x:row>
    <x:row r="143">
      <x:c r="H143" s="60"/>
    </x:row>
    <x:row r="144">
      <x:c r="H144" s="60"/>
    </x:row>
    <x:row r="145">
      <x:c r="H145" s="60"/>
    </x:row>
    <x:row r="146">
      <x:c r="H146" s="60"/>
    </x:row>
    <x:row r="147">
      <x:c r="H147" s="60"/>
    </x:row>
    <x:row r="148">
      <x:c r="H148" s="60"/>
    </x:row>
    <x:row r="149">
      <x:c r="H149" s="60"/>
    </x:row>
    <x:row r="150">
      <x:c r="H150" s="60"/>
    </x:row>
    <x:row r="151">
      <x:c r="H151" s="60"/>
    </x:row>
    <x:row r="152">
      <x:c r="H152" s="60"/>
    </x:row>
    <x:row r="153">
      <x:c r="H153" s="60"/>
    </x:row>
    <x:row r="154">
      <x:c r="H154" s="60"/>
    </x:row>
    <x:row r="155">
      <x:c r="H155" s="60"/>
    </x:row>
    <x:row r="156">
      <x:c r="H156" s="60"/>
    </x:row>
    <x:row r="157">
      <x:c r="H157" s="60"/>
    </x:row>
    <x:row r="158">
      <x:c r="H158" s="60"/>
    </x:row>
    <x:row r="159">
      <x:c r="H159" s="60"/>
    </x:row>
    <x:row r="160">
      <x:c r="H160" s="60"/>
    </x:row>
    <x:row r="161">
      <x:c r="H161" s="60"/>
    </x:row>
    <x:row r="162">
      <x:c r="H162" s="60"/>
    </x:row>
    <x:row r="163">
      <x:c r="H163" s="60"/>
    </x:row>
    <x:row r="164">
      <x:c r="H164" s="60"/>
    </x:row>
    <x:row r="165">
      <x:c r="H165" s="60"/>
    </x:row>
    <x:row r="166">
      <x:c r="H166" s="60"/>
    </x:row>
    <x:row r="167">
      <x:c r="H167" s="60"/>
    </x:row>
    <x:row r="168">
      <x:c r="H168" s="60"/>
    </x:row>
    <x:row r="169">
      <x:c r="H169" s="60"/>
    </x:row>
    <x:row r="170">
      <x:c r="H170" s="60"/>
    </x:row>
    <x:row r="171">
      <x:c r="H171" s="60"/>
    </x:row>
    <x:row r="172">
      <x:c r="H172" s="60"/>
    </x:row>
    <x:row r="173">
      <x:c r="H173" s="60"/>
    </x:row>
    <x:row r="174">
      <x:c r="H174" s="60"/>
    </x:row>
    <x:row r="175">
      <x:c r="H175" s="60"/>
    </x:row>
    <x:row r="176">
      <x:c r="H176" s="60"/>
    </x:row>
    <x:row r="177">
      <x:c r="H177" s="60"/>
    </x:row>
    <x:row r="178">
      <x:c r="H178" s="60"/>
    </x:row>
    <x:row r="179">
      <x:c r="H179" s="60"/>
    </x:row>
    <x:row r="180">
      <x:c r="H180" s="60"/>
    </x:row>
    <x:row r="181">
      <x:c r="H181" s="60"/>
    </x:row>
    <x:row r="182">
      <x:c r="H182" s="60"/>
    </x:row>
    <x:row r="183">
      <x:c r="H183" s="60"/>
    </x:row>
    <x:row r="184">
      <x:c r="H184" s="60"/>
    </x:row>
    <x:row r="185">
      <x:c r="H185" s="60"/>
    </x:row>
    <x:row r="186">
      <x:c r="H186" s="60"/>
    </x:row>
    <x:row r="187">
      <x:c r="H187" s="60"/>
    </x:row>
    <x:row r="188">
      <x:c r="H188" s="60"/>
    </x:row>
    <x:row r="189">
      <x:c r="H189" s="60"/>
    </x:row>
    <x:row r="190">
      <x:c r="H190" s="60"/>
    </x:row>
    <x:row r="191">
      <x:c r="H191" s="60"/>
    </x:row>
    <x:row r="192">
      <x:c r="H192" s="60"/>
    </x:row>
    <x:row r="193">
      <x:c r="H193" s="60"/>
    </x:row>
    <x:row r="194">
      <x:c r="H194" s="60"/>
    </x:row>
    <x:row r="195">
      <x:c r="H195" s="60"/>
    </x:row>
    <x:row r="196">
      <x:c r="H196" s="60"/>
    </x:row>
    <x:row r="197">
      <x:c r="H197" s="60"/>
    </x:row>
    <x:row r="198">
      <x:c r="H198" s="60"/>
    </x:row>
    <x:row r="199">
      <x:c r="H199" s="60"/>
    </x:row>
    <x:row r="200">
      <x:c r="H200" s="60"/>
    </x:row>
  </x:sheetData>
  <x:dataValidations count="2">
    <x:dataValidation type="list" sqref="G2:G200">
      <x:formula1>Lists!$N$2:$N$10</x:formula1>
    </x:dataValidation>
    <x:dataValidation type="list" sqref="G2:G100">
      <x:formula1>"Not Started,In Progress,Blocked,Pending Vendor,Ready for Pilot,Pilot Complete,Scheduled,Complete,Accepted Risk,Not Applicable,Not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15dbd4658941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5" hidden="0" customWidth="1"/>
    <x:col min="2" max="2" width="65" hidden="0" customWidth="1"/>
    <x:col min="3" max="3" width="90" hidden="0" customWidth="1"/>
    <x:col min="4" max="4" width="17" hidden="0" customWidth="1"/>
    <x:col min="5" max="5" width="17" hidden="0" customWidth="1"/>
  </x:cols>
  <x:sheetData>
    <x:row r="1" ht="44" customHeight="1">
      <x:c r="A1" s="89" t="str">
        <x:v>Publication / Purpose</x:v>
      </x:c>
      <x:c r="B1" s="89" t="str">
        <x:v>Publication Status / Scope</x:v>
      </x:c>
      <x:c r="C1" s="89" t="str">
        <x:v>Official URL</x:v>
      </x:c>
      <x:c r="D1" s="90" t="str">
        <x:v>Source ID</x:v>
      </x:c>
      <x:c r="E1" s="90" t="str">
        <x:v>Checked Date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  <x:c r="AE1" s="65"/>
      <x:c r="AF1" s="65"/>
      <x:c r="AG1" s="65"/>
      <x:c r="AH1" s="65"/>
      <x:c r="AI1" s="65"/>
      <x:c r="AJ1" s="65"/>
      <x:c r="AK1" s="65"/>
      <x:c r="AL1" s="65"/>
      <x:c r="AM1" s="65"/>
      <x:c r="AN1" s="65"/>
      <x:c r="AO1" s="65"/>
      <x:c r="AP1" s="65"/>
      <x:c r="AQ1" s="65"/>
      <x:c r="AR1" s="65"/>
      <x:c r="AS1" s="65"/>
      <x:c r="AT1" s="65"/>
      <x:c r="AU1" s="65"/>
      <x:c r="AV1" s="65"/>
      <x:c r="AW1" s="65"/>
      <x:c r="AX1" s="65"/>
      <x:c r="AY1" s="65"/>
      <x:c r="AZ1" s="65"/>
    </x:row>
    <x:row r="2" ht="48" customHeight="1">
      <x:c r="A2" s="73" t="str">
        <x:v>FIPS 203 ML-KEM; key establishment, parameter sets 512/768/1024; monitor potential errata</x:v>
      </x:c>
      <x:c r="B2" s="73" t="str">
        <x:v>Final 2024-08-13; notice 2025-11-17</x:v>
      </x:c>
      <x:c r="C2" s="73" t="str">
        <x:v>https://csrc.nist.gov/pubs/fips/203/final</x:v>
      </x:c>
      <x:c r="D2" s="73" t="str">
        <x:v>N01</x:v>
      </x:c>
      <x:c r="E2" s="77" t="n">
        <x:v>46294</x:v>
      </x:c>
    </x:row>
    <x:row r="3" ht="48" customHeight="1">
      <x:c r="A3" s="73" t="str">
        <x:v>FIPS 204 ML-DSA; signature generation and verification; monitor potential errata</x:v>
      </x:c>
      <x:c r="B3" s="73" t="str">
        <x:v>Final 2024-08-13; notice 2026-07-31</x:v>
      </x:c>
      <x:c r="C3" s="73" t="str">
        <x:v>https://csrc.nist.gov/pubs/fips/204/final</x:v>
      </x:c>
      <x:c r="D3" s="73" t="str">
        <x:v>N02</x:v>
      </x:c>
      <x:c r="E3" s="77" t="n">
        <x:v>46294</x:v>
      </x:c>
    </x:row>
    <x:row r="4" ht="48" customHeight="1">
      <x:c r="A4" s="73" t="str">
        <x:v>FIPS 205 SLH-DSA; stateless hash-based signatures</x:v>
      </x:c>
      <x:c r="B4" s="73" t="str">
        <x:v>Final 2024-08-13</x:v>
      </x:c>
      <x:c r="C4" s="73" t="str">
        <x:v>https://csrc.nist.gov/pubs/fips/205/final</x:v>
      </x:c>
      <x:c r="D4" s="73" t="str">
        <x:v>N03</x:v>
      </x:c>
      <x:c r="E4" s="77" t="n">
        <x:v>46294</x:v>
      </x:c>
    </x:row>
    <x:row r="5" ht="48" customHeight="1">
      <x:c r="A5" s="73" t="str">
        <x:v>SP 800-227; conforming KEM implementation, randomness, input validation, key destruction, authentication, key derivation/confirmation and multi-algorithm construction</x:v>
      </x:c>
      <x:c r="B5" s="73" t="str">
        <x:v>Final 2025-09-18</x:v>
      </x:c>
      <x:c r="C5" s="73" t="str">
        <x:v>https://csrc.nist.gov/pubs/sp/800/227/final</x:v>
      </x:c>
      <x:c r="D5" s="73" t="str">
        <x:v>N04</x:v>
      </x:c>
      <x:c r="E5" s="77" t="n">
        <x:v>46294</x:v>
      </x:c>
    </x:row>
    <x:row r="6" ht="48" customHeight="1">
      <x:c r="A6" s="73" t="str">
        <x:v>CSWP 39-upd1; governance, inventory, risk-prioritized agility, negotiation, supply chains, APIs, continuous improvement</x:v>
      </x:c>
      <x:c r="B6" s="73" t="str">
        <x:v>Final 2025-12-19; updated 2026-06-29</x:v>
      </x:c>
      <x:c r="C6" s="73" t="str">
        <x:v>https://csrc.nist.gov/pubs/cswp/39/upd1/considerations-for-achieving-crypto-agility/final</x:v>
      </x:c>
      <x:c r="D6" s="73" t="str">
        <x:v>N05</x:v>
      </x:c>
      <x:c r="E6" s="77" t="n">
        <x:v>46294</x:v>
      </x:c>
    </x:row>
    <x:row r="7" ht="48" customHeight="1">
      <x:c r="A7" s="73" t="str">
        <x:v>IR 8547; HNDL, signature and code-verification distinctions, draft transition tables</x:v>
      </x:c>
      <x:c r="B7" s="73" t="str">
        <x:v>Initial public draft 2024-11-12</x:v>
      </x:c>
      <x:c r="C7" s="73" t="str">
        <x:v>https://csrc.nist.gov/pubs/ir/8547/ipd</x:v>
      </x:c>
      <x:c r="D7" s="73" t="str">
        <x:v>N06</x:v>
      </x:c>
      <x:c r="E7" s="77" t="n">
        <x:v>46294</x:v>
      </x:c>
    </x:row>
    <x:row r="8" ht="48" customHeight="1">
      <x:c r="A8" s="73" t="str">
        <x:v>NCCoE Migration to PQC; discovery/inventory and interoperability workstreams; evolving output model</x:v>
      </x:c>
      <x:c r="B8" s="73" t="str">
        <x:v>Active project; preliminary documents</x:v>
      </x:c>
      <x:c r="C8" s="73" t="str">
        <x:v>https://www.nccoe.nist.gov/applied-cryptography/migration-to-pqc</x:v>
      </x:c>
      <x:c r="D8" s="73" t="str">
        <x:v>N07</x:v>
      </x:c>
      <x:c r="E8" s="77" t="n">
        <x:v>46294</x:v>
      </x:c>
    </x:row>
    <x:row r="9" ht="48" customHeight="1">
      <x:c r="A9" s="73" t="str">
        <x:v>SP 1800-38 B/C; discovery and interoperability/performance demonstration</x:v>
      </x:c>
      <x:c r="B9" s="73" t="str">
        <x:v>Initial preliminary draft 2023-12-19</x:v>
      </x:c>
      <x:c r="C9" s="73" t="str">
        <x:v>https://csrc.nist.gov/pubs/sp/1800/38/iprd-(1)</x:v>
      </x:c>
      <x:c r="D9" s="73" t="str">
        <x:v>N08</x:v>
      </x:c>
      <x:c r="E9" s="77" t="n">
        <x:v>46294</x:v>
      </x:c>
    </x:row>
    <x:row r="10" ht="48" customHeight="1">
      <x:c r="A10" s="73" t="str">
        <x:v>SP 800-57 Part 1 Rev. 5; key management baseline</x:v>
      </x:c>
      <x:c r="B10" s="73" t="str">
        <x:v>Final 2020-05-04</x:v>
      </x:c>
      <x:c r="C10" s="73" t="str">
        <x:v>https://csrc.nist.gov/pubs/sp/800/57/pt1/r5/final</x:v>
      </x:c>
      <x:c r="D10" s="73" t="str">
        <x:v>N09</x:v>
      </x:c>
      <x:c r="E10" s="77" t="n">
        <x:v>46294</x:v>
      </x:c>
    </x:row>
    <x:row r="11" ht="48" customHeight="1">
      <x:c r="A11" s="73" t="str">
        <x:v>SP 800-57 Part 1 Rev. 6; PQC-aware key management and storage proposals</x:v>
      </x:c>
      <x:c r="B11" s="73" t="str">
        <x:v>Initial public draft 2025-12-05</x:v>
      </x:c>
      <x:c r="C11" s="73" t="str">
        <x:v>https://csrc.nist.gov/pubs/sp/800/57/pt1/r6/ipd</x:v>
      </x:c>
      <x:c r="D11" s="73" t="str">
        <x:v>N10</x:v>
      </x:c>
      <x:c r="E11" s="77" t="n">
        <x:v>46294</x:v>
      </x:c>
    </x:row>
    <x:row r="12" ht="48" customHeight="1">
      <x:c r="A12" s="73" t="str">
        <x:v>SP 800-131A Rev. 2; current final algorithm transition baseline</x:v>
      </x:c>
      <x:c r="B12" s="73" t="str">
        <x:v>Final 2019-03-21</x:v>
      </x:c>
      <x:c r="C12" s="73" t="str">
        <x:v>https://csrc.nist.gov/pubs/sp/800/131/a/r2/final</x:v>
      </x:c>
      <x:c r="D12" s="73" t="str">
        <x:v>N11</x:v>
      </x:c>
      <x:c r="E12" s="77" t="n">
        <x:v>46294</x:v>
      </x:c>
    </x:row>
    <x:row r="13" ht="48" customHeight="1">
      <x:c r="A13" s="73" t="str">
        <x:v>SP 800-131A Rev. 3; proposed algorithm/key-strength transitions</x:v>
      </x:c>
      <x:c r="B13" s="73" t="str">
        <x:v>Initial public draft 2024-10-21</x:v>
      </x:c>
      <x:c r="C13" s="73" t="str">
        <x:v>https://csrc.nist.gov/pubs/sp/800/131/a/r3/ipd</x:v>
      </x:c>
      <x:c r="D13" s="73" t="str">
        <x:v>N12</x:v>
      </x:c>
      <x:c r="E13" s="77" t="n">
        <x:v>46294</x:v>
      </x:c>
    </x:row>
    <x:row r="14" ht="48" customHeight="1">
      <x:c r="A14" s="73" t="str">
        <x:v>SP 800-82 Rev. 3; OT performance, reliability, safety and controls</x:v>
      </x:c>
      <x:c r="B14" s="73" t="str">
        <x:v>Final 2023-09-28</x:v>
      </x:c>
      <x:c r="C14" s="73" t="str">
        <x:v>https://csrc.nist.gov/pubs/sp/800/82/r3/final</x:v>
      </x:c>
      <x:c r="D14" s="73" t="str">
        <x:v>N13</x:v>
      </x:c>
      <x:c r="E14" s="77" t="n">
        <x:v>46294</x:v>
      </x:c>
    </x:row>
    <x:row r="15" ht="48" customHeight="1">
      <x:c r="A15" s="73" t="str">
        <x:v>SP 800-82 Rev. 4; CSF2 alignment, asset management, monitoring, OT/IIoT/cloud, system-management security</x:v>
      </x:c>
      <x:c r="B15" s="73" t="str">
        <x:v>Initial public draft 2026-09-21</x:v>
      </x:c>
      <x:c r="C15" s="73" t="str">
        <x:v>https://csrc.nist.gov/pubs/sp/800/82/r4/ipd</x:v>
      </x:c>
      <x:c r="D15" s="73" t="str">
        <x:v>N14</x:v>
      </x:c>
      <x:c r="E15" s="77" t="n">
        <x:v>46294</x:v>
      </x:c>
    </x:row>
    <x:row r="16" ht="48" customHeight="1">
      <x:c r="A16" s="73" t="str">
        <x:v>SP 1339; backups in OT change and recovery practice</x:v>
      </x:c>
      <x:c r="B16" s="73" t="str">
        <x:v>Final 2026-06-17</x:v>
      </x:c>
      <x:c r="C16" s="73" t="str">
        <x:v>https://csrc.nist.gov/pubs/sp/1339/final</x:v>
      </x:c>
      <x:c r="D16" s="73" t="str">
        <x:v>N15</x:v>
      </x:c>
      <x:c r="E16" s="77" t="n">
        <x:v>46294</x:v>
      </x:c>
    </x:row>
    <x:row r="17" ht="48" customHeight="1">
      <x:c r="A17" s="73" t="str">
        <x:v>IR 8587; signed tokens/assertions, key lifecycle, verification, workload/automated-workload token use, Section 7.7 PQC interoperability constraints</x:v>
      </x:c>
      <x:c r="B17" s="73" t="str">
        <x:v>Final 2026-09-15</x:v>
      </x:c>
      <x:c r="C17" s="73" t="str">
        <x:v>https://csrc.nist.gov/pubs/ir/8587/final</x:v>
      </x:c>
      <x:c r="D17" s="73" t="str">
        <x:v>N16</x:v>
      </x:c>
      <x:c r="E17" s="77" t="n">
        <x:v>46294</x:v>
      </x:c>
    </x:row>
    <x:row r="18" ht="48" customHeight="1">
      <x:c r="A18" s="73" t="str">
        <x:v>SP 800-228-upd1; API lifecycle risks and controls</x:v>
      </x:c>
      <x:c r="B18" s="73" t="str">
        <x:v>Final; original 2025-06-27, updated 2026-03-13</x:v>
      </x:c>
      <x:c r="C18" s="73" t="str">
        <x:v>https://csrc.nist.gov/pubs/sp/800/228/upd1/final</x:v>
      </x:c>
      <x:c r="D18" s="73" t="str">
        <x:v>N17</x:v>
      </x:c>
      <x:c r="E18" s="77" t="n">
        <x:v>46294</x:v>
      </x:c>
    </x:row>
    <x:row r="19" ht="48" customHeight="1">
      <x:c r="A19" s="73" t="str">
        <x:v>CSWP 48; mapping PQC discovery and interoperability capabilities to risk frameworks</x:v>
      </x:c>
      <x:c r="B19" s="73" t="str">
        <x:v>Initial public draft 2025-09-18</x:v>
      </x:c>
      <x:c r="C19" s="73" t="str">
        <x:v>https://csrc.nist.gov/pubs/cswp/48/mapping-migration-to-pqc-project-capabilities-to-r/ipd</x:v>
      </x:c>
      <x:c r="D19" s="73" t="str">
        <x:v>N18</x:v>
      </x:c>
      <x:c r="E19" s="77" t="n">
        <x:v>46294</x:v>
      </x:c>
    </x:row>
    <x:row r="20" ht="48" customHeight="1">
      <x:c r="A20" s="73" t="str">
        <x:v>NIST PQC project; current standardized/selected algorithm status</x:v>
      </x:c>
      <x:c r="B20" s="73" t="str">
        <x:v>Project updated 2026-08-05</x:v>
      </x:c>
      <x:c r="C20" s="73" t="str">
        <x:v>https://csrc.nist.gov/projects/post-quantum-cryptography</x:v>
      </x:c>
      <x:c r="D20" s="73" t="str">
        <x:v>N19</x:v>
      </x:c>
      <x:c r="E20" s="77" t="n">
        <x:v>46294</x:v>
      </x:c>
    </x:row>
    <x:row r="21" ht="48" customHeight="1">
      <x:c r="A21" s="73" t="str">
        <x:v>HQC selection announcement; diversification backup, continue current migration, expected 2027 finalization</x:v>
      </x:c>
      <x:c r="B21" s="73" t="str">
        <x:v>Selection announcement 2025-03-11, forecast not approval</x:v>
      </x:c>
      <x:c r="C21" s="73" t="str">
        <x:v>https://www.nist.gov/news-events/news/2025/03/nist-selects-hqc-fifth-algorithm-post-quantum-encryption</x:v>
      </x:c>
      <x:c r="D21" s="73" t="str">
        <x:v>N20</x:v>
      </x:c>
      <x:c r="E21" s="77" t="n">
        <x:v>46294</x:v>
      </x:c>
    </x:row>
    <x:row r="22" ht="48" customHeight="1">
      <x:c r="A22" s="73" t="str">
        <x:v>Additional digital signature schemes; Round3 announced May14,2026</x:v>
      </x:c>
      <x:c r="B22" s="73" t="str">
        <x:v>Evaluation candidates, not standards</x:v>
      </x:c>
      <x:c r="C22" s="73" t="str">
        <x:v>https://csrc.nist.gov/projects/pqc-dig-sig</x:v>
      </x:c>
      <x:c r="D22" s="73" t="str">
        <x:v>N21</x:v>
      </x:c>
      <x:c r="E22" s="77" t="n">
        <x:v>46294</x:v>
      </x:c>
    </x:row>
    <x:row r="23" ht="48" customHeight="1">
      <x:c r="A23" s="73" t="str">
        <x:v>SP 800-204A; service-mesh security architecture</x:v>
      </x:c>
      <x:c r="B23" s="73" t="str">
        <x:v>Final 2020-05-27</x:v>
      </x:c>
      <x:c r="C23" s="73" t="str">
        <x:v>https://csrc.nist.gov/pubs/sp/800/204/a/final</x:v>
      </x:c>
      <x:c r="D23" s="73" t="str">
        <x:v>N22</x:v>
      </x:c>
      <x:c r="E23" s="77" t="n">
        <x:v>46294</x:v>
      </x:c>
    </x:row>
    <x:row r="24" ht="48" customHeight="1">
      <x:c r="A24" s="73" t="str">
        <x:v>SP 800-204B; service-mesh authentication/authorization</x:v>
      </x:c>
      <x:c r="B24" s="73" t="str">
        <x:v>Final 2021-08</x:v>
      </x:c>
      <x:c r="C24" s="73" t="str">
        <x:v>https://csrc.nist.gov/pubs/sp/800/204/b/final</x:v>
      </x:c>
      <x:c r="D24" s="73" t="str">
        <x:v>N23</x:v>
      </x:c>
      <x:c r="E24" s="77" t="n">
        <x:v>46294</x:v>
      </x:c>
    </x:row>
    <x:row r="25" ht="48" customHeight="1">
      <x:c r="A25" s="73" t="str">
        <x:v>CAVP program; algorithm validation is prerequisite to, not replacement for, module validation</x:v>
      </x:c>
      <x:c r="B25" s="73" t="str">
        <x:v>Official program; updated 2026-09-22</x:v>
      </x:c>
      <x:c r="C25" s="73" t="str">
        <x:v>https://csrc.nist.gov/projects/cryptographic-algorithm-validation-program</x:v>
      </x:c>
      <x:c r="D25" s="73" t="str">
        <x:v>N24</x:v>
      </x:c>
      <x:c r="E25" s="77" t="n">
        <x:v>46294</x:v>
      </x:c>
    </x:row>
    <x:row r="26" ht="48" customHeight="1">
      <x:c r="A26" s="73" t="str">
        <x:v>CMVP FAQ; module/version/operating-environment verification, protocol/product validation boundary, FIPS140-2 active-list transition</x:v>
      </x:c>
      <x:c r="B26" s="73" t="str">
        <x:v>Official FAQ checked 2026-09-29</x:v>
      </x:c>
      <x:c r="C26" s="73" t="str">
        <x:v>https://csrc.nist.gov/Projects/cryptographic-module-validation-program/faqs</x:v>
      </x:c>
      <x:c r="D26" s="73" t="str">
        <x:v>N25</x:v>
      </x:c>
      <x:c r="E26" s="77" t="n">
        <x:v>46294</x:v>
      </x:c>
    </x:row>
    <x:row r="27" ht="48" customHeight="1">
      <x:c r="A27" s="73" t="str">
        <x:v>CMVP validated modules; inspect certificate/security policy and active/historical/revoked status</x:v>
      </x:c>
      <x:c r="B27" s="73" t="str">
        <x:v>Live certificate registry checked 2026-09-29</x:v>
      </x:c>
      <x:c r="C27" s="73" t="str">
        <x:v>https://csrc.nist.gov/projects/cryptographic-module-validation-program/validated-modules</x:v>
      </x:c>
      <x:c r="D27" s="73" t="str">
        <x:v>N26</x:v>
      </x:c>
      <x:c r="E27" s="77" t="n">
        <x:v>46294</x:v>
      </x:c>
    </x:row>
    <x:row r="28" ht="48" customHeight="1">
      <x:c r="A28" s="73" t="str">
        <x:v>CSWP 29 / CSF 2.0; cybersecurity outcome framework, not a prescriptive PQC implementation standard</x:v>
      </x:c>
      <x:c r="B28" s="73" t="str">
        <x:v>Final 2024-02-26</x:v>
      </x:c>
      <x:c r="C28" s="73" t="str">
        <x:v>https://csrc.nist.gov/pubs/cswp/29/the-nist-cybersecurity-framework-csf-20/final</x:v>
      </x:c>
      <x:c r="D28" s="73" t="str">
        <x:v>N27</x:v>
      </x:c>
      <x:c r="E28" s="77" t="n">
        <x:v>46294</x:v>
      </x:c>
    </x:row>
    <x:row r="29" ht="48" customHeight="1">
      <x:c r="A29" s="73" t="str">
        <x:v>SP 800-53 Rev. 5; current control catalog is Release 5.2.0 referenced by publication-page planning note</x:v>
      </x:c>
      <x:c r="B29" s="73" t="str">
        <x:v>Final; base 2020-09/update 2020-12-10; minor Release 5.2.0 finalized 2025-08-27</x:v>
      </x:c>
      <x:c r="C29" s="73" t="str">
        <x:v>https://csrc.nist.gov/pubs/sp/800/53/r5/upd1/final</x:v>
      </x:c>
      <x:c r="D29" s="73" t="str">
        <x:v>N28</x:v>
      </x:c>
      <x:c r="E29" s="77" t="n">
        <x:v>46294</x:v>
      </x:c>
    </x:row>
    <x:row r="30" ht="48" customHeight="1">
      <x:c r="A30" s="73" t="str">
        <x:v>SP 800-161 Rev. 1-upd1; supplier risk and dependency governance</x:v>
      </x:c>
      <x:c r="B30" s="73" t="str">
        <x:v>Final; original 2022-05, update 2024-11-01</x:v>
      </x:c>
      <x:c r="C30" s="73" t="str">
        <x:v>https://csrc.nist.gov/pubs/sp/800/161/r1/upd1/final</x:v>
      </x:c>
      <x:c r="D30" s="73" t="str">
        <x:v>N29</x:v>
      </x:c>
      <x:c r="E30" s="77" t="n">
        <x:v>46294</x:v>
      </x:c>
    </x:row>
    <x:row r="31" ht="48" customHeight="1">
      <x:c r="A31" s="73" t="str">
        <x:v>SP 800-230; additional limited-signature SLH-DSA parameter sets, software/firmware/certificate watch item</x:v>
      </x:c>
      <x:c r="B31" s="73" t="str">
        <x:v>Initial public draft 2026-04-13</x:v>
      </x:c>
      <x:c r="C31" s="73" t="str">
        <x:v>https://csrc.nist.gov/pubs/sp/800/230/ipd</x:v>
      </x:c>
      <x:c r="D31" s="73" t="str">
        <x:v>N30</x:v>
      </x:c>
      <x:c r="E31" s="77" t="n">
        <x:v>46294</x:v>
      </x:c>
    </x:row>
    <x:row r="32" ht="48" customHeight="1">
      <x:c r="A32" s="73" t="str">
        <x:v>SP 800-133 Rev. 3; proposed PQC key generation, seed expansion, KEM and HSM considerations</x:v>
      </x:c>
      <x:c r="B32" s="73" t="str">
        <x:v>Initial public draft 2026-04-17</x:v>
      </x:c>
      <x:c r="C32" s="73" t="str">
        <x:v>https://csrc.nist.gov/pubs/sp/800/133/r3/ipd</x:v>
      </x:c>
      <x:c r="D32" s="73" t="str">
        <x:v>N31</x:v>
      </x:c>
      <x:c r="E32" s="77" t="n">
        <x:v>46294</x:v>
      </x:c>
    </x:row>
    <x:row r="33" ht="48" customHeight="1">
      <x:c r="A33" s="73" t="str">
        <x:v>CISA Migration to Post-Quantum Cryptography</x:v>
      </x:c>
      <x:c r="B33" s="73" t="str">
        <x:v>Context reference from v1.0. Recheck current status before reliance. Quantum-readiness roadmap and inventory considerations.</x:v>
      </x:c>
      <x:c r="C33" s="73" t="str">
        <x:v>https://www.cisa.gov/resources-tools/resources/quantum-readiness-migration-post-quantum-cryptography</x:v>
      </x:c>
      <x:c r="D33" s="73" t="str">
        <x:v>L11</x:v>
      </x:c>
      <x:c r="E33" s="77"/>
    </x:row>
    <x:row r="34" ht="48" customHeight="1">
      <x:c r="A34" s="73" t="str">
        <x:v>CISA Post-Quantum Considerations for Operational Technology</x:v>
      </x:c>
      <x:c r="B34" s="73" t="str">
        <x:v>Context reference from v1.0. Recheck current status before reliance. OT-specific PQC migration considerations.</x:v>
      </x:c>
      <x:c r="C34" s="73" t="str">
        <x:v>https://www.cisa.gov/resources-tools/resources/post-quantum-considerations-operational-technology</x:v>
      </x:c>
      <x:c r="D34" s="73" t="str">
        <x:v>L12</x:v>
      </x:c>
      <x:c r="E34" s="77"/>
    </x:row>
    <x:row r="35" ht="48" customHeight="1">
      <x:c r="A35" s="73" t="str">
        <x:v>CISA Product Categories for PQC Adoption</x:v>
      </x:c>
      <x:c r="B35" s="73" t="str">
        <x:v>Context reference from v1.0. Recheck current status before reliance. Product categories that currently support or are expected to support PQC standards.</x:v>
      </x:c>
      <x:c r="C35" s="73" t="str">
        <x:v>https://www.cisa.gov/resources-tools/resources/product-categories-technologies-use-post-quantum-cryptography-standards</x:v>
      </x:c>
      <x:c r="D35" s="73" t="str">
        <x:v>L13</x:v>
      </x:c>
      <x:c r="E35" s="77"/>
    </x:row>
  </x:sheetData>
  <x:pageMargins left="0.7" right="0.7" top="0.75" bottom="0.75" header="0.3" footer="0.3"/>
  <x:tableParts count="1">
    <x:tablePart xmlns:r="http://schemas.openxmlformats.org/officeDocument/2006/relationships" r:id="Re6b332b2f9994a8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62" hidden="0" customWidth="1"/>
    <x:col min="3" max="3" width="62" hidden="0" customWidth="1"/>
    <x:col min="4" max="4" width="18" hidden="0" customWidth="1"/>
    <x:col min="5" max="5" width="18" hidden="0" customWidth="1"/>
    <x:col min="6" max="6" width="55" hidden="0" customWidth="1"/>
    <x:col min="7" max="7" width="27" hidden="0" customWidth="1"/>
    <x:col min="8" max="8" width="27" hidden="0" customWidth="1"/>
    <x:col min="9" max="9" width="52" hidden="0" customWidth="1"/>
  </x:cols>
  <x:sheetData>
    <x:row r="1" ht="44" customHeight="1">
      <x:c r="A1" s="90" t="str">
        <x:v>Period</x:v>
      </x:c>
      <x:c r="B1" s="90" t="str">
        <x:v>Local Planning Action</x:v>
      </x:c>
      <x:c r="C1" s="90" t="str">
        <x:v>Exit Evidence</x:v>
      </x:c>
      <x:c r="D1" s="90" t="str">
        <x:v>Owner</x:v>
      </x:c>
      <x:c r="E1" s="90" t="str">
        <x:v>Due Date</x:v>
      </x:c>
      <x:c r="F1" s="90" t="str">
        <x:v>Dependencies / Risks</x:v>
      </x:c>
      <x:c r="G1" s="90" t="str">
        <x:v>Status</x:v>
      </x:c>
      <x:c r="H1" s="90" t="str">
        <x:v>Source IDs</x:v>
      </x:c>
      <x:c r="I1" s="90" t="str">
        <x:v>Exception / Review</x:v>
      </x:c>
    </x:row>
    <x:row r="2" ht="64" customHeight="1">
      <x:c r="A2" s="73" t="str">
        <x:v>2026 baseline</x:v>
      </x:c>
      <x:c r="B2" s="73" t="str">
        <x:v>Reconcile discovery, crypto component owners, long-lived confidentiality/signing risks, supplier evidence and immovable trust anchors.</x:v>
      </x:c>
      <x:c r="C2" s="73" t="str">
        <x:v>Coverage gaps, risk-approved backlog and current supplier statements.</x:v>
      </x:c>
      <x:c r="D2" s="73" t="str">
        <x:v>Unassigned</x:v>
      </x:c>
      <x:c r="E2" s="77"/>
      <x:c r="F2" s="73" t="str">
        <x:v>Inventory access, business owners and supplier engagement.</x:v>
      </x:c>
      <x:c r="G2" s="73" t="str">
        <x:v>Not assessed</x:v>
      </x:c>
      <x:c r="H2" s="73" t="str">
        <x:v>N05 final; N06 draft; N07 project</x:v>
      </x:c>
      <x:c r="I2" s="73" t="str">
        <x:v>Set organization-specific completion date.</x:v>
      </x:c>
    </x:row>
    <x:row r="3" ht="64" customHeight="1">
      <x:c r="A3" s="73" t="str">
        <x:v>2027 implementation</x:v>
      </x:c>
      <x:c r="B3" s="73" t="str">
        <x:v>Pilot supported high-risk paths, PKI/identity interoperability and OT recovery. Add agility and versioned support commitments to procurement.</x:v>
      </x:c>
      <x:c r="C3" s="73" t="str">
        <x:v>Measured end-to-end security/performance tests, rollback and approval.</x:v>
      </x:c>
      <x:c r="D3" s="73" t="str">
        <x:v>Unassigned</x:v>
      </x:c>
      <x:c r="E3" s="77"/>
      <x:c r="F3" s="73" t="str">
        <x:v>Protocol maturity, vendor versions, HSM/CA/validator support.</x:v>
      </x:c>
      <x:c r="G3" s="73" t="str">
        <x:v>Not assessed</x:v>
      </x:c>
      <x:c r="H3" s="73" t="str">
        <x:v>N01-N05,N15-N17 final</x:v>
      </x:c>
      <x:c r="I3" s="73" t="str">
        <x:v>HQC expected-2027 announcement is a forecast, not approval.</x:v>
      </x:c>
    </x:row>
    <x:row r="4" ht="64" customHeight="1">
      <x:c r="A4" s="73" t="str">
        <x:v>2028-2030 scale</x:v>
      </x:c>
      <x:c r="B4" s="73" t="str">
        <x:v>Expand successful migrations and retire avoidable legacy dependencies. Recheck proposed 112-bit transitions against then-current NIST publications.</x:v>
      </x:c>
      <x:c r="C4" s="73" t="str">
        <x:v>Observed deployment, funded replacement and exception burn-down.</x:v>
      </x:c>
      <x:c r="D4" s="73" t="str">
        <x:v>Unassigned</x:v>
      </x:c>
      <x:c r="E4" s="77"/>
      <x:c r="F4" s="73" t="str">
        <x:v>Risk-based sequencing and lifecycle windows.</x:v>
      </x:c>
      <x:c r="G4" s="73" t="str">
        <x:v>Not assessed</x:v>
      </x:c>
      <x:c r="H4" s="73" t="str">
        <x:v>N05 final; N06 draft</x:v>
      </x:c>
      <x:c r="I4" s="73" t="str">
        <x:v>No blanket 2030 deadline for all RSA/ECC.</x:v>
      </x:c>
    </x:row>
    <x:row r="5" ht="64" customHeight="1">
      <x:c r="A5" s="73" t="str">
        <x:v>2031-2035 closure</x:v>
      </x:c>
      <x:c r="B5" s="73" t="str">
        <x:v>Close long-lived/vendor-limited gaps early enough for applicable final policies. Remove obsolete fallback paths and decommission vulnerable components.</x:v>
      </x:c>
      <x:c r="C5" s="73" t="str">
        <x:v>Independent acceptance, closure evidence and time-bound exceptions.</x:v>
      </x:c>
      <x:c r="D5" s="73" t="str">
        <x:v>Unassigned</x:v>
      </x:c>
      <x:c r="E5" s="77"/>
      <x:c r="F5" s="73" t="str">
        <x:v>Draft IR 8547 proposes disallowance after 2035 for listed vulnerable uses.</x:v>
      </x:c>
      <x:c r="G5" s="73" t="str">
        <x:v>Not assessed</x:v>
      </x:c>
      <x:c r="H5" s="73" t="str">
        <x:v>N06 draft; N09/N11 final</x:v>
      </x:c>
      <x:c r="I5" s="73" t="str">
        <x:v>Treat draft dates as planning signals; confirm applicable policy.</x:v>
      </x:c>
    </x:row>
    <x:row r="6" ht="64" customHeight="1">
      <x:c r="A6" s="73" t="str">
        <x:v>2036+ ongoing</x:v>
      </x:c>
      <x:c r="B6" s="73" t="str">
        <x:v>Refresh inventory and tests; review new algorithms, cryptanalysis, errata, vendor/module status and retention/verification obligations.</x:v>
      </x:c>
      <x:c r="C6" s="73" t="str">
        <x:v>Dated review, incident exercises and refreshed dependency evidence.</x:v>
      </x:c>
      <x:c r="D6" s="73" t="str">
        <x:v>Unassigned</x:v>
      </x:c>
      <x:c r="E6" s="77"/>
      <x:c r="F6" s="73" t="str">
        <x:v>Standards changes and remaining archived verification needs.</x:v>
      </x:c>
      <x:c r="G6" s="73" t="str">
        <x:v>Not assessed</x:v>
      </x:c>
      <x:c r="H6" s="73" t="str">
        <x:v>N05/N09 final; N19-N21 watch</x:v>
      </x:c>
      <x:c r="I6" s="73" t="str">
        <x:v>Quarterly and event-triggered cadence is local guidance.</x:v>
      </x:c>
    </x:row>
    <x:row r="7" ht="60" customHeight="1">
      <x:c r="A7" s="73"/>
      <x:c r="B7" s="73"/>
      <x:c r="C7" s="73"/>
      <x:c r="D7" s="73"/>
      <x:c r="E7" s="77"/>
      <x:c r="F7" s="73"/>
      <x:c r="G7" s="73"/>
      <x:c r="H7" s="73"/>
      <x:c r="I7" s="73"/>
    </x:row>
    <x:row r="8" ht="60" customHeight="1">
      <x:c r="A8" s="73"/>
      <x:c r="B8" s="73"/>
      <x:c r="C8" s="73"/>
      <x:c r="D8" s="73"/>
      <x:c r="E8" s="77"/>
      <x:c r="F8" s="73"/>
      <x:c r="G8" s="73"/>
      <x:c r="H8" s="73"/>
      <x:c r="I8" s="73"/>
    </x:row>
    <x:row r="9" ht="60" customHeight="1">
      <x:c r="A9" s="73"/>
      <x:c r="B9" s="73"/>
      <x:c r="C9" s="73"/>
      <x:c r="D9" s="73"/>
      <x:c r="E9" s="77"/>
      <x:c r="F9" s="73"/>
      <x:c r="G9" s="73"/>
      <x:c r="H9" s="73"/>
      <x:c r="I9" s="73"/>
    </x:row>
    <x:row r="10" ht="60" customHeight="1">
      <x:c r="A10" s="73"/>
      <x:c r="B10" s="73"/>
      <x:c r="C10" s="73"/>
      <x:c r="D10" s="73"/>
      <x:c r="E10" s="77"/>
      <x:c r="F10" s="73"/>
      <x:c r="G10" s="73"/>
      <x:c r="H10" s="73"/>
      <x:c r="I10" s="73"/>
    </x:row>
    <x:row r="11" ht="60" customHeight="1">
      <x:c r="A11" s="73"/>
      <x:c r="B11" s="73"/>
      <x:c r="C11" s="73"/>
      <x:c r="D11" s="73"/>
      <x:c r="E11" s="77"/>
      <x:c r="F11" s="73"/>
      <x:c r="G11" s="73"/>
      <x:c r="H11" s="73"/>
      <x:c r="I11" s="73"/>
    </x:row>
    <x:row r="12" ht="60" customHeight="1">
      <x:c r="A12" s="73"/>
      <x:c r="B12" s="73"/>
      <x:c r="C12" s="73"/>
      <x:c r="D12" s="73"/>
      <x:c r="E12" s="77"/>
      <x:c r="F12" s="73"/>
      <x:c r="G12" s="73"/>
      <x:c r="H12" s="73"/>
      <x:c r="I12" s="73"/>
    </x:row>
    <x:row r="13" ht="60" customHeight="1">
      <x:c r="A13" s="73"/>
      <x:c r="B13" s="73"/>
      <x:c r="C13" s="73"/>
      <x:c r="D13" s="73"/>
      <x:c r="E13" s="77"/>
      <x:c r="F13" s="73"/>
      <x:c r="G13" s="73"/>
      <x:c r="H13" s="73"/>
      <x:c r="I13" s="73"/>
    </x:row>
    <x:row r="14" ht="60" customHeight="1">
      <x:c r="A14" s="73"/>
      <x:c r="B14" s="73"/>
      <x:c r="C14" s="73"/>
      <x:c r="D14" s="73"/>
      <x:c r="E14" s="77"/>
      <x:c r="F14" s="73"/>
      <x:c r="G14" s="73"/>
      <x:c r="H14" s="73"/>
      <x:c r="I14" s="73"/>
    </x:row>
    <x:row r="15" ht="60" customHeight="1">
      <x:c r="A15" s="73"/>
      <x:c r="B15" s="73"/>
      <x:c r="C15" s="73"/>
      <x:c r="D15" s="73"/>
      <x:c r="E15" s="77"/>
      <x:c r="F15" s="73"/>
      <x:c r="G15" s="73"/>
      <x:c r="H15" s="73"/>
      <x:c r="I15" s="73"/>
    </x:row>
    <x:row r="16" ht="60" customHeight="1">
      <x:c r="A16" s="73"/>
      <x:c r="B16" s="73"/>
      <x:c r="C16" s="73"/>
      <x:c r="D16" s="73"/>
      <x:c r="E16" s="77"/>
      <x:c r="F16" s="73"/>
      <x:c r="G16" s="73"/>
      <x:c r="H16" s="73"/>
      <x:c r="I16" s="73"/>
    </x:row>
    <x:row r="17" ht="60" customHeight="1">
      <x:c r="A17" s="73"/>
      <x:c r="B17" s="73"/>
      <x:c r="C17" s="73"/>
      <x:c r="D17" s="73"/>
      <x:c r="E17" s="77"/>
      <x:c r="F17" s="73"/>
      <x:c r="G17" s="73"/>
      <x:c r="H17" s="73"/>
      <x:c r="I17" s="73"/>
    </x:row>
    <x:row r="18" ht="60" customHeight="1">
      <x:c r="A18" s="73"/>
      <x:c r="B18" s="73"/>
      <x:c r="C18" s="73"/>
      <x:c r="D18" s="73"/>
      <x:c r="E18" s="77"/>
      <x:c r="F18" s="73"/>
      <x:c r="G18" s="73"/>
      <x:c r="H18" s="73"/>
      <x:c r="I18" s="73"/>
    </x:row>
    <x:row r="19" ht="60" customHeight="1">
      <x:c r="A19" s="73"/>
      <x:c r="B19" s="73"/>
      <x:c r="C19" s="73"/>
      <x:c r="D19" s="73"/>
      <x:c r="E19" s="77"/>
      <x:c r="F19" s="73"/>
      <x:c r="G19" s="73"/>
      <x:c r="H19" s="73"/>
      <x:c r="I19" s="73"/>
    </x:row>
    <x:row r="20" ht="60" customHeight="1">
      <x:c r="A20" s="73"/>
      <x:c r="B20" s="73"/>
      <x:c r="C20" s="73"/>
      <x:c r="D20" s="73"/>
      <x:c r="E20" s="77"/>
      <x:c r="F20" s="73"/>
      <x:c r="G20" s="73"/>
      <x:c r="H20" s="73"/>
      <x:c r="I20" s="73"/>
    </x:row>
    <x:row r="21" ht="60" customHeight="1">
      <x:c r="A21" s="73"/>
      <x:c r="B21" s="73"/>
      <x:c r="C21" s="73"/>
      <x:c r="D21" s="73"/>
      <x:c r="E21" s="77"/>
      <x:c r="F21" s="73"/>
      <x:c r="G21" s="73"/>
      <x:c r="H21" s="73"/>
      <x:c r="I21" s="73"/>
    </x:row>
    <x:row r="22" ht="60" customHeight="1">
      <x:c r="A22" s="73"/>
      <x:c r="B22" s="73"/>
      <x:c r="C22" s="73"/>
      <x:c r="D22" s="73"/>
      <x:c r="E22" s="77"/>
      <x:c r="F22" s="73"/>
      <x:c r="G22" s="73"/>
      <x:c r="H22" s="73"/>
      <x:c r="I22" s="73"/>
    </x:row>
    <x:row r="23" ht="60" customHeight="1">
      <x:c r="A23" s="73"/>
      <x:c r="B23" s="73"/>
      <x:c r="C23" s="73"/>
      <x:c r="D23" s="73"/>
      <x:c r="E23" s="77"/>
      <x:c r="F23" s="73"/>
      <x:c r="G23" s="73"/>
      <x:c r="H23" s="73"/>
      <x:c r="I23" s="73"/>
    </x:row>
    <x:row r="24" ht="60" customHeight="1">
      <x:c r="A24" s="73"/>
      <x:c r="B24" s="73"/>
      <x:c r="C24" s="73"/>
      <x:c r="D24" s="73"/>
      <x:c r="E24" s="77"/>
      <x:c r="F24" s="73"/>
      <x:c r="G24" s="73"/>
      <x:c r="H24" s="73"/>
      <x:c r="I24" s="73"/>
    </x:row>
    <x:row r="25" ht="60" customHeight="1">
      <x:c r="A25" s="73"/>
      <x:c r="B25" s="73"/>
      <x:c r="C25" s="73"/>
      <x:c r="D25" s="73"/>
      <x:c r="E25" s="77"/>
      <x:c r="F25" s="73"/>
      <x:c r="G25" s="73"/>
      <x:c r="H25" s="73"/>
      <x:c r="I25" s="73"/>
    </x:row>
    <x:row r="26" ht="60" customHeight="1">
      <x:c r="A26" s="73"/>
      <x:c r="B26" s="73"/>
      <x:c r="C26" s="73"/>
      <x:c r="D26" s="73"/>
      <x:c r="E26" s="77"/>
      <x:c r="F26" s="73"/>
      <x:c r="G26" s="73"/>
      <x:c r="H26" s="73"/>
      <x:c r="I26" s="73"/>
    </x:row>
    <x:row r="27" ht="60" customHeight="1">
      <x:c r="A27" s="73"/>
      <x:c r="B27" s="73"/>
      <x:c r="C27" s="73"/>
      <x:c r="D27" s="73"/>
      <x:c r="E27" s="77"/>
      <x:c r="F27" s="73"/>
      <x:c r="G27" s="73"/>
      <x:c r="H27" s="73"/>
      <x:c r="I27" s="73"/>
    </x:row>
    <x:row r="28" ht="60" customHeight="1">
      <x:c r="A28" s="73"/>
      <x:c r="B28" s="73"/>
      <x:c r="C28" s="73"/>
      <x:c r="D28" s="73"/>
      <x:c r="E28" s="77"/>
      <x:c r="F28" s="73"/>
      <x:c r="G28" s="73"/>
      <x:c r="H28" s="73"/>
      <x:c r="I28" s="73"/>
    </x:row>
    <x:row r="29" ht="60" customHeight="1">
      <x:c r="A29" s="73"/>
      <x:c r="B29" s="73"/>
      <x:c r="C29" s="73"/>
      <x:c r="D29" s="73"/>
      <x:c r="E29" s="77"/>
      <x:c r="F29" s="73"/>
      <x:c r="G29" s="73"/>
      <x:c r="H29" s="73"/>
      <x:c r="I29" s="73"/>
    </x:row>
    <x:row r="30" ht="60" customHeight="1">
      <x:c r="A30" s="73"/>
      <x:c r="B30" s="73"/>
      <x:c r="C30" s="73"/>
      <x:c r="D30" s="73"/>
      <x:c r="E30" s="77"/>
      <x:c r="F30" s="73"/>
      <x:c r="G30" s="73"/>
      <x:c r="H30" s="73"/>
      <x:c r="I30" s="73"/>
    </x:row>
    <x:row r="31" ht="60" customHeight="1">
      <x:c r="A31" s="73"/>
      <x:c r="B31" s="73"/>
      <x:c r="C31" s="73"/>
      <x:c r="D31" s="73"/>
      <x:c r="E31" s="77"/>
      <x:c r="F31" s="73"/>
      <x:c r="G31" s="73"/>
      <x:c r="H31" s="73"/>
      <x:c r="I31" s="73"/>
    </x:row>
    <x:row r="32" ht="60" customHeight="1">
      <x:c r="A32" s="73"/>
      <x:c r="B32" s="73"/>
      <x:c r="C32" s="73"/>
      <x:c r="D32" s="73"/>
      <x:c r="E32" s="77"/>
      <x:c r="F32" s="73"/>
      <x:c r="G32" s="73"/>
      <x:c r="H32" s="73"/>
      <x:c r="I32" s="73"/>
    </x:row>
    <x:row r="33" ht="60" customHeight="1">
      <x:c r="A33" s="73"/>
      <x:c r="B33" s="73"/>
      <x:c r="C33" s="73"/>
      <x:c r="D33" s="73"/>
      <x:c r="E33" s="77"/>
      <x:c r="F33" s="73"/>
      <x:c r="G33" s="73"/>
      <x:c r="H33" s="73"/>
      <x:c r="I33" s="73"/>
    </x:row>
    <x:row r="34" ht="60" customHeight="1">
      <x:c r="A34" s="73"/>
      <x:c r="B34" s="73"/>
      <x:c r="C34" s="73"/>
      <x:c r="D34" s="73"/>
      <x:c r="E34" s="77"/>
      <x:c r="F34" s="73"/>
      <x:c r="G34" s="73"/>
      <x:c r="H34" s="73"/>
      <x:c r="I34" s="73"/>
    </x:row>
    <x:row r="35" ht="60" customHeight="1">
      <x:c r="A35" s="73"/>
      <x:c r="B35" s="73"/>
      <x:c r="C35" s="73"/>
      <x:c r="D35" s="73"/>
      <x:c r="E35" s="77"/>
      <x:c r="F35" s="73"/>
      <x:c r="G35" s="73"/>
      <x:c r="H35" s="73"/>
      <x:c r="I35" s="73"/>
    </x:row>
    <x:row r="36" ht="60" customHeight="1">
      <x:c r="A36" s="73"/>
      <x:c r="B36" s="73"/>
      <x:c r="C36" s="73"/>
      <x:c r="D36" s="73"/>
      <x:c r="E36" s="77"/>
      <x:c r="F36" s="73"/>
      <x:c r="G36" s="73"/>
      <x:c r="H36" s="73"/>
      <x:c r="I36" s="73"/>
    </x:row>
    <x:row r="37" ht="60" customHeight="1">
      <x:c r="A37" s="73"/>
      <x:c r="B37" s="73"/>
      <x:c r="C37" s="73"/>
      <x:c r="D37" s="73"/>
      <x:c r="E37" s="77"/>
      <x:c r="F37" s="73"/>
      <x:c r="G37" s="73"/>
      <x:c r="H37" s="73"/>
      <x:c r="I37" s="73"/>
    </x:row>
    <x:row r="38" ht="60" customHeight="1">
      <x:c r="A38" s="73"/>
      <x:c r="B38" s="73"/>
      <x:c r="C38" s="73"/>
      <x:c r="D38" s="73"/>
      <x:c r="E38" s="77"/>
      <x:c r="F38" s="73"/>
      <x:c r="G38" s="73"/>
      <x:c r="H38" s="73"/>
      <x:c r="I38" s="73"/>
    </x:row>
    <x:row r="39" ht="60" customHeight="1">
      <x:c r="A39" s="73"/>
      <x:c r="B39" s="73"/>
      <x:c r="C39" s="73"/>
      <x:c r="D39" s="73"/>
      <x:c r="E39" s="77"/>
      <x:c r="F39" s="73"/>
      <x:c r="G39" s="73"/>
      <x:c r="H39" s="73"/>
      <x:c r="I39" s="73"/>
    </x:row>
    <x:row r="40" ht="60" customHeight="1">
      <x:c r="A40" s="73"/>
      <x:c r="B40" s="73"/>
      <x:c r="C40" s="73"/>
      <x:c r="D40" s="73"/>
      <x:c r="E40" s="77"/>
      <x:c r="F40" s="73"/>
      <x:c r="G40" s="73"/>
      <x:c r="H40" s="73"/>
      <x:c r="I40" s="73"/>
    </x:row>
  </x:sheetData>
  <x:dataValidations count="1">
    <x:dataValidation type="list" sqref="G2:G40">
      <x:formula1>"Not assessed,Planned,In Progress,Blocked,Complete,Accepted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553cea2114476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54" hidden="0" customWidth="1"/>
    <x:col min="4" max="4" width="54" hidden="0" customWidth="1"/>
    <x:col min="5" max="5" width="54" hidden="0" customWidth="1"/>
    <x:col min="6" max="6" width="19" hidden="0" customWidth="1"/>
    <x:col min="7" max="7" width="19" hidden="0" customWidth="1"/>
    <x:col min="8" max="8" width="19" hidden="0" customWidth="1"/>
    <x:col min="9" max="9" width="36" hidden="0" customWidth="1"/>
    <x:col min="10" max="10" width="36" hidden="0" customWidth="1"/>
  </x:cols>
  <x:sheetData>
    <x:row r="1" ht="44" customHeight="1">
      <x:c r="A1" s="90" t="str">
        <x:v>Threat ID</x:v>
      </x:c>
      <x:c r="B1" s="90" t="str">
        <x:v>Threat / Failure Mode</x:v>
      </x:c>
      <x:c r="C1" s="90" t="str">
        <x:v>Affected Function / Scope</x:v>
      </x:c>
      <x:c r="D1" s="90" t="str">
        <x:v>Required Assessment / Evidence</x:v>
      </x:c>
      <x:c r="E1" s="90" t="str">
        <x:v>Suggested Treatment</x:v>
      </x:c>
      <x:c r="F1" s="90" t="str">
        <x:v>Owner</x:v>
      </x:c>
      <x:c r="G1" s="90" t="str">
        <x:v>Due / Review Date</x:v>
      </x:c>
      <x:c r="H1" s="90" t="str">
        <x:v>Status</x:v>
      </x:c>
      <x:c r="I1" s="90" t="str">
        <x:v>Source IDs</x:v>
      </x:c>
      <x:c r="J1" s="90" t="str">
        <x:v>Asset / Exception IDs</x:v>
      </x:c>
    </x:row>
    <x:row r="2" ht="64" customHeight="1">
      <x:c r="A2" s="73" t="str">
        <x:v>T01</x:v>
      </x:c>
      <x:c r="B2" s="73" t="str">
        <x:v>Harvest now, decrypt later</x:v>
      </x:c>
      <x:c r="C2" s="73" t="str">
        <x:v>Long-lived confidential traffic, envelope keys, backups and archives.</x:v>
      </x:c>
      <x:c r="D2" s="73" t="str">
        <x:v>Confidentiality lifetime, capture exposure, key-establishment/wrapping dependency and migration lead time.</x:v>
      </x:c>
      <x:c r="E2" s="73" t="str">
        <x:v>Prioritize supported protective migration and minimize exposure/retention.</x:v>
      </x:c>
      <x:c r="F2" s="73" t="str">
        <x:v>Unassigned</x:v>
      </x:c>
      <x:c r="G2" s="77"/>
      <x:c r="H2" s="73" t="str">
        <x:v>Not assessed</x:v>
      </x:c>
      <x:c r="I2" s="73" t="str">
        <x:v>N06 draft; N04/N09 final</x:v>
      </x:c>
      <x:c r="J2" s="73" t="str"/>
    </x:row>
    <x:row r="3" ht="64" customHeight="1">
      <x:c r="A3" s="73" t="str">
        <x:v>T02</x:v>
      </x:c>
      <x:c r="B3" s="73" t="str">
        <x:v>Signature forgery and impersonation</x:v>
      </x:c>
      <x:c r="C3" s="73" t="str">
        <x:v>PKI, tokens, software/firmware signing, boot roots and archived validation.</x:v>
      </x:c>
      <x:c r="D3" s="73" t="str">
        <x:v>Verification lifetime, trust anchors, validators and immutable hardware constraints.</x:v>
      </x:c>
      <x:c r="E3" s="73" t="str">
        <x:v>Plan compatible signing/trust rollover and preserve required verification evidence.</x:v>
      </x:c>
      <x:c r="F3" s="73" t="str">
        <x:v>Unassigned</x:v>
      </x:c>
      <x:c r="G3" s="77"/>
      <x:c r="H3" s="73" t="str">
        <x:v>Not assessed</x:v>
      </x:c>
      <x:c r="I3" s="73" t="str">
        <x:v>N02/N03/N09/N16 final; N06 draft</x:v>
      </x:c>
      <x:c r="J3" s="73" t="str"/>
    </x:row>
    <x:row r="4" ht="64" customHeight="1">
      <x:c r="A4" s="73" t="str">
        <x:v>T03</x:v>
      </x:c>
      <x:c r="B4" s="73" t="str">
        <x:v>Downgrade or unsafe fallback</x:v>
      </x:c>
      <x:c r="C4" s="73" t="str">
        <x:v>Negotiated/hybrid protocols and emergency rollback.</x:v>
      </x:c>
      <x:c r="D4" s="73" t="str">
        <x:v>Policy allowlists, full construction, authentication and negative negotiation tests.</x:v>
      </x:c>
      <x:c r="E4" s="73" t="str">
        <x:v>Use supported profiles, authenticated negotiation and approved time-bound rollback.</x:v>
      </x:c>
      <x:c r="F4" s="73" t="str">
        <x:v>Unassigned</x:v>
      </x:c>
      <x:c r="G4" s="77"/>
      <x:c r="H4" s="73" t="str">
        <x:v>Not assessed</x:v>
      </x:c>
      <x:c r="I4" s="73" t="str">
        <x:v>N04/N05 final</x:v>
      </x:c>
      <x:c r="J4" s="73" t="str"/>
    </x:row>
    <x:row r="5" ht="64" customHeight="1">
      <x:c r="A5" s="73" t="str">
        <x:v>T04</x:v>
      </x:c>
      <x:c r="B5" s="73" t="str">
        <x:v>Incomplete discovery or false readiness</x:v>
      </x:c>
      <x:c r="C5" s="73" t="str">
        <x:v>Libraries, certificates, hidden proxies, plaintext legs and dependencies.</x:v>
      </x:c>
      <x:c r="D5" s="73" t="str">
        <x:v>Observed/configured/vendor evidence, provenance, confidence and coverage gaps.</x:v>
      </x:c>
      <x:c r="E5" s="73" t="str">
        <x:v>Continuous reconciliation, owner assignment and explicit unknown states.</x:v>
      </x:c>
      <x:c r="F5" s="73" t="str">
        <x:v>Unassigned</x:v>
      </x:c>
      <x:c r="G5" s="77"/>
      <x:c r="H5" s="73" t="str">
        <x:v>Not assessed</x:v>
      </x:c>
      <x:c r="I5" s="73" t="str">
        <x:v>N05 final; N07 project; N08 preliminary draft</x:v>
      </x:c>
      <x:c r="J5" s="73" t="str"/>
    </x:row>
    <x:row r="6" ht="64" customHeight="1">
      <x:c r="A6" s="73" t="str">
        <x:v>T05</x:v>
      </x:c>
      <x:c r="B6" s="73" t="str">
        <x:v>Implementation flaws or key compromise</x:v>
      </x:c>
      <x:c r="C6" s="73" t="str">
        <x:v>Randomness, input validation, side channels, secret handling and recovery.</x:v>
      </x:c>
      <x:c r="D6" s="73" t="str">
        <x:v>Version/errata evidence, secure key lifecycle, test vectors and implementation review.</x:v>
      </x:c>
      <x:c r="E6" s="73" t="str">
        <x:v>Patch approved versions; validate inputs and protect/destroy keys per lifecycle.</x:v>
      </x:c>
      <x:c r="F6" s="73" t="str">
        <x:v>Unassigned</x:v>
      </x:c>
      <x:c r="G6" s="77"/>
      <x:c r="H6" s="73" t="str">
        <x:v>Not assessed</x:v>
      </x:c>
      <x:c r="I6" s="73" t="str">
        <x:v>N01-N04/N09 final</x:v>
      </x:c>
      <x:c r="J6" s="73" t="str"/>
    </x:row>
    <x:row r="7" ht="64" customHeight="1">
      <x:c r="A7" s="73" t="str">
        <x:v>T06</x:v>
      </x:c>
      <x:c r="B7" s="73" t="str">
        <x:v>Availability or interoperability failure</x:v>
      </x:c>
      <x:c r="C7" s="73" t="str">
        <x:v>Large handshakes, certificates, tokens, parsers, networks and constrained OT.</x:v>
      </x:c>
      <x:c r="D7" s="73" t="str">
        <x:v>Measured latency, jitter, memory/CPU, MTU, limits, retries, failover and restore.</x:v>
      </x:c>
      <x:c r="E7" s="73" t="str">
        <x:v>Representative end-to-end lab/canary validation with service/safety acceptance.</x:v>
      </x:c>
      <x:c r="F7" s="73" t="str">
        <x:v>Unassigned</x:v>
      </x:c>
      <x:c r="G7" s="77"/>
      <x:c r="H7" s="73" t="str">
        <x:v>Not assessed</x:v>
      </x:c>
      <x:c r="I7" s="73" t="str">
        <x:v>N04/N05/N13/N15/N16 final</x:v>
      </x:c>
      <x:c r="J7" s="73" t="str"/>
    </x:row>
    <x:row r="8" ht="64" customHeight="1">
      <x:c r="A8" s="73" t="str">
        <x:v>T07</x:v>
      </x:c>
      <x:c r="B8" s="73" t="str">
        <x:v>Supplier or lifecycle blockers</x:v>
      </x:c>
      <x:c r="C8" s="73" t="str">
        <x:v>EOL devices, unsupported firmware, HSM/KMS/CA and immutable verifiers.</x:v>
      </x:c>
      <x:c r="D8" s="73" t="str">
        <x:v>Dated version support, product EOL, replacement lead time and dependency map.</x:v>
      </x:c>
      <x:c r="E8" s="73" t="str">
        <x:v>Contractual commitments, funded replacement and expiring accepted risk.</x:v>
      </x:c>
      <x:c r="F8" s="73" t="str">
        <x:v>Unassigned</x:v>
      </x:c>
      <x:c r="G8" s="77"/>
      <x:c r="H8" s="73" t="str">
        <x:v>Not assessed</x:v>
      </x:c>
      <x:c r="I8" s="73" t="str">
        <x:v>N05/N13 final</x:v>
      </x:c>
      <x:c r="J8" s="73" t="str"/>
    </x:row>
    <x:row r="9" ht="64" customHeight="1">
      <x:c r="A9" s="73" t="str">
        <x:v>T08</x:v>
      </x:c>
      <x:c r="B9" s="73" t="str">
        <x:v>Misstated standards or validation status</x:v>
      </x:c>
      <x:c r="C9" s="73" t="str">
        <x:v>Drafts, candidates, marketing claims and FIPS module scope.</x:v>
      </x:c>
      <x:c r="D9" s="73" t="str">
        <x:v>Final/draft register, algorithm versus module certificate, exact version and environment.</x:v>
      </x:c>
      <x:c r="E9" s="73" t="str">
        <x:v>Recheck authoritative status; do not declare compliant from algorithm support alone.</x:v>
      </x:c>
      <x:c r="F9" s="73" t="str">
        <x:v>Unassigned</x:v>
      </x:c>
      <x:c r="G9" s="77"/>
      <x:c r="H9" s="73" t="str">
        <x:v>Not assessed</x:v>
      </x:c>
      <x:c r="I9" s="73" t="str">
        <x:v>N01-N05; N06/N10/N12/N14 drafts; N19-N21 watch</x:v>
      </x:c>
      <x:c r="J9" s="73" t="str"/>
    </x:row>
    <x:row r="10" ht="64" customHeight="1">
      <x:c r="A10" s="73" t="str">
        <x:v>T09</x:v>
      </x:c>
      <x:c r="B10" s="73" t="str">
        <x:v>Recovery failure or lingering legacy verification</x:v>
      </x:c>
      <x:c r="C10" s="73" t="str">
        <x:v>Backup keys/configuration, trust stores, archived signatures and rollback.</x:v>
      </x:c>
      <x:c r="D10" s="73" t="str">
        <x:v>Tested restore, retention/verification obligation and approved retirement plan.</x:v>
      </x:c>
      <x:c r="E10" s="73" t="str">
        <x:v>Protect recovery material, rehearse restore and decommission expired paths.</x:v>
      </x:c>
      <x:c r="F10" s="73" t="str">
        <x:v>Unassigned</x:v>
      </x:c>
      <x:c r="G10" s="77"/>
      <x:c r="H10" s="73" t="str">
        <x:v>Not assessed</x:v>
      </x:c>
      <x:c r="I10" s="73" t="str">
        <x:v>N09/N13/N15 final</x:v>
      </x:c>
      <x:c r="J10" s="73" t="str"/>
    </x:row>
    <x:row r="11" ht="60" customHeight="1">
      <x:c r="A11" s="73"/>
      <x:c r="B11" s="73"/>
      <x:c r="C11" s="73"/>
      <x:c r="D11" s="73"/>
      <x:c r="E11" s="73"/>
      <x:c r="F11" s="73"/>
      <x:c r="G11" s="77"/>
      <x:c r="H11" s="73"/>
      <x:c r="I11" s="73"/>
      <x:c r="J11" s="73"/>
    </x:row>
    <x:row r="12" ht="60" customHeight="1">
      <x:c r="A12" s="73"/>
      <x:c r="B12" s="73"/>
      <x:c r="C12" s="73"/>
      <x:c r="D12" s="73"/>
      <x:c r="E12" s="73"/>
      <x:c r="F12" s="73"/>
      <x:c r="G12" s="77"/>
      <x:c r="H12" s="73"/>
      <x:c r="I12" s="73"/>
      <x:c r="J12" s="73"/>
    </x:row>
    <x:row r="13" ht="60" customHeight="1">
      <x:c r="A13" s="73"/>
      <x:c r="B13" s="73"/>
      <x:c r="C13" s="73"/>
      <x:c r="D13" s="73"/>
      <x:c r="E13" s="73"/>
      <x:c r="F13" s="73"/>
      <x:c r="G13" s="77"/>
      <x:c r="H13" s="73"/>
      <x:c r="I13" s="73"/>
      <x:c r="J13" s="73"/>
    </x:row>
    <x:row r="14" ht="60" customHeight="1">
      <x:c r="A14" s="73"/>
      <x:c r="B14" s="73"/>
      <x:c r="C14" s="73"/>
      <x:c r="D14" s="73"/>
      <x:c r="E14" s="73"/>
      <x:c r="F14" s="73"/>
      <x:c r="G14" s="77"/>
      <x:c r="H14" s="73"/>
      <x:c r="I14" s="73"/>
      <x:c r="J14" s="73"/>
    </x:row>
    <x:row r="15" ht="60" customHeight="1">
      <x:c r="A15" s="73"/>
      <x:c r="B15" s="73"/>
      <x:c r="C15" s="73"/>
      <x:c r="D15" s="73"/>
      <x:c r="E15" s="73"/>
      <x:c r="F15" s="73"/>
      <x:c r="G15" s="77"/>
      <x:c r="H15" s="73"/>
      <x:c r="I15" s="73"/>
      <x:c r="J15" s="73"/>
    </x:row>
    <x:row r="16" ht="60" customHeight="1">
      <x:c r="A16" s="73"/>
      <x:c r="B16" s="73"/>
      <x:c r="C16" s="73"/>
      <x:c r="D16" s="73"/>
      <x:c r="E16" s="73"/>
      <x:c r="F16" s="73"/>
      <x:c r="G16" s="77"/>
      <x:c r="H16" s="73"/>
      <x:c r="I16" s="73"/>
      <x:c r="J16" s="73"/>
    </x:row>
    <x:row r="17" ht="60" customHeight="1">
      <x:c r="A17" s="73"/>
      <x:c r="B17" s="73"/>
      <x:c r="C17" s="73"/>
      <x:c r="D17" s="73"/>
      <x:c r="E17" s="73"/>
      <x:c r="F17" s="73"/>
      <x:c r="G17" s="77"/>
      <x:c r="H17" s="73"/>
      <x:c r="I17" s="73"/>
      <x:c r="J17" s="73"/>
    </x:row>
    <x:row r="18" ht="60" customHeight="1">
      <x:c r="A18" s="73"/>
      <x:c r="B18" s="73"/>
      <x:c r="C18" s="73"/>
      <x:c r="D18" s="73"/>
      <x:c r="E18" s="73"/>
      <x:c r="F18" s="73"/>
      <x:c r="G18" s="77"/>
      <x:c r="H18" s="73"/>
      <x:c r="I18" s="73"/>
      <x:c r="J18" s="73"/>
    </x:row>
    <x:row r="19" ht="60" customHeight="1">
      <x:c r="A19" s="73"/>
      <x:c r="B19" s="73"/>
      <x:c r="C19" s="73"/>
      <x:c r="D19" s="73"/>
      <x:c r="E19" s="73"/>
      <x:c r="F19" s="73"/>
      <x:c r="G19" s="77"/>
      <x:c r="H19" s="73"/>
      <x:c r="I19" s="73"/>
      <x:c r="J19" s="73"/>
    </x:row>
    <x:row r="20" ht="60" customHeight="1">
      <x:c r="A20" s="73"/>
      <x:c r="B20" s="73"/>
      <x:c r="C20" s="73"/>
      <x:c r="D20" s="73"/>
      <x:c r="E20" s="73"/>
      <x:c r="F20" s="73"/>
      <x:c r="G20" s="77"/>
      <x:c r="H20" s="73"/>
      <x:c r="I20" s="73"/>
      <x:c r="J20" s="73"/>
    </x:row>
    <x:row r="21" ht="60" customHeight="1">
      <x:c r="A21" s="73"/>
      <x:c r="B21" s="73"/>
      <x:c r="C21" s="73"/>
      <x:c r="D21" s="73"/>
      <x:c r="E21" s="73"/>
      <x:c r="F21" s="73"/>
      <x:c r="G21" s="77"/>
      <x:c r="H21" s="73"/>
      <x:c r="I21" s="73"/>
      <x:c r="J21" s="73"/>
    </x:row>
    <x:row r="22" ht="60" customHeight="1">
      <x:c r="A22" s="73"/>
      <x:c r="B22" s="73"/>
      <x:c r="C22" s="73"/>
      <x:c r="D22" s="73"/>
      <x:c r="E22" s="73"/>
      <x:c r="F22" s="73"/>
      <x:c r="G22" s="77"/>
      <x:c r="H22" s="73"/>
      <x:c r="I22" s="73"/>
      <x:c r="J22" s="73"/>
    </x:row>
    <x:row r="23" ht="60" customHeight="1">
      <x:c r="A23" s="73"/>
      <x:c r="B23" s="73"/>
      <x:c r="C23" s="73"/>
      <x:c r="D23" s="73"/>
      <x:c r="E23" s="73"/>
      <x:c r="F23" s="73"/>
      <x:c r="G23" s="77"/>
      <x:c r="H23" s="73"/>
      <x:c r="I23" s="73"/>
      <x:c r="J23" s="73"/>
    </x:row>
    <x:row r="24" ht="60" customHeight="1">
      <x:c r="A24" s="73"/>
      <x:c r="B24" s="73"/>
      <x:c r="C24" s="73"/>
      <x:c r="D24" s="73"/>
      <x:c r="E24" s="73"/>
      <x:c r="F24" s="73"/>
      <x:c r="G24" s="77"/>
      <x:c r="H24" s="73"/>
      <x:c r="I24" s="73"/>
      <x:c r="J24" s="73"/>
    </x:row>
    <x:row r="25" ht="60" customHeight="1">
      <x:c r="A25" s="73"/>
      <x:c r="B25" s="73"/>
      <x:c r="C25" s="73"/>
      <x:c r="D25" s="73"/>
      <x:c r="E25" s="73"/>
      <x:c r="F25" s="73"/>
      <x:c r="G25" s="77"/>
      <x:c r="H25" s="73"/>
      <x:c r="I25" s="73"/>
      <x:c r="J25" s="73"/>
    </x:row>
    <x:row r="26" ht="60" customHeight="1">
      <x:c r="A26" s="73"/>
      <x:c r="B26" s="73"/>
      <x:c r="C26" s="73"/>
      <x:c r="D26" s="73"/>
      <x:c r="E26" s="73"/>
      <x:c r="F26" s="73"/>
      <x:c r="G26" s="77"/>
      <x:c r="H26" s="73"/>
      <x:c r="I26" s="73"/>
      <x:c r="J26" s="73"/>
    </x:row>
    <x:row r="27" ht="60" customHeight="1">
      <x:c r="A27" s="73"/>
      <x:c r="B27" s="73"/>
      <x:c r="C27" s="73"/>
      <x:c r="D27" s="73"/>
      <x:c r="E27" s="73"/>
      <x:c r="F27" s="73"/>
      <x:c r="G27" s="77"/>
      <x:c r="H27" s="73"/>
      <x:c r="I27" s="73"/>
      <x:c r="J27" s="73"/>
    </x:row>
    <x:row r="28" ht="60" customHeight="1">
      <x:c r="A28" s="73"/>
      <x:c r="B28" s="73"/>
      <x:c r="C28" s="73"/>
      <x:c r="D28" s="73"/>
      <x:c r="E28" s="73"/>
      <x:c r="F28" s="73"/>
      <x:c r="G28" s="77"/>
      <x:c r="H28" s="73"/>
      <x:c r="I28" s="73"/>
      <x:c r="J28" s="73"/>
    </x:row>
    <x:row r="29" ht="60" customHeight="1">
      <x:c r="A29" s="73"/>
      <x:c r="B29" s="73"/>
      <x:c r="C29" s="73"/>
      <x:c r="D29" s="73"/>
      <x:c r="E29" s="73"/>
      <x:c r="F29" s="73"/>
      <x:c r="G29" s="77"/>
      <x:c r="H29" s="73"/>
      <x:c r="I29" s="73"/>
      <x:c r="J29" s="73"/>
    </x:row>
    <x:row r="30" ht="60" customHeight="1">
      <x:c r="A30" s="73"/>
      <x:c r="B30" s="73"/>
      <x:c r="C30" s="73"/>
      <x:c r="D30" s="73"/>
      <x:c r="E30" s="73"/>
      <x:c r="F30" s="73"/>
      <x:c r="G30" s="77"/>
      <x:c r="H30" s="73"/>
      <x:c r="I30" s="73"/>
      <x:c r="J30" s="73"/>
    </x:row>
    <x:row r="31" ht="60" customHeight="1">
      <x:c r="A31" s="73"/>
      <x:c r="B31" s="73"/>
      <x:c r="C31" s="73"/>
      <x:c r="D31" s="73"/>
      <x:c r="E31" s="73"/>
      <x:c r="F31" s="73"/>
      <x:c r="G31" s="77"/>
      <x:c r="H31" s="73"/>
      <x:c r="I31" s="73"/>
      <x:c r="J31" s="73"/>
    </x:row>
    <x:row r="32" ht="60" customHeight="1">
      <x:c r="A32" s="73"/>
      <x:c r="B32" s="73"/>
      <x:c r="C32" s="73"/>
      <x:c r="D32" s="73"/>
      <x:c r="E32" s="73"/>
      <x:c r="F32" s="73"/>
      <x:c r="G32" s="77"/>
      <x:c r="H32" s="73"/>
      <x:c r="I32" s="73"/>
      <x:c r="J32" s="73"/>
    </x:row>
    <x:row r="33" ht="60" customHeight="1">
      <x:c r="A33" s="73"/>
      <x:c r="B33" s="73"/>
      <x:c r="C33" s="73"/>
      <x:c r="D33" s="73"/>
      <x:c r="E33" s="73"/>
      <x:c r="F33" s="73"/>
      <x:c r="G33" s="77"/>
      <x:c r="H33" s="73"/>
      <x:c r="I33" s="73"/>
      <x:c r="J33" s="73"/>
    </x:row>
    <x:row r="34" ht="60" customHeight="1">
      <x:c r="A34" s="73"/>
      <x:c r="B34" s="73"/>
      <x:c r="C34" s="73"/>
      <x:c r="D34" s="73"/>
      <x:c r="E34" s="73"/>
      <x:c r="F34" s="73"/>
      <x:c r="G34" s="77"/>
      <x:c r="H34" s="73"/>
      <x:c r="I34" s="73"/>
      <x:c r="J34" s="73"/>
    </x:row>
    <x:row r="35" ht="60" customHeight="1">
      <x:c r="A35" s="73"/>
      <x:c r="B35" s="73"/>
      <x:c r="C35" s="73"/>
      <x:c r="D35" s="73"/>
      <x:c r="E35" s="73"/>
      <x:c r="F35" s="73"/>
      <x:c r="G35" s="77"/>
      <x:c r="H35" s="73"/>
      <x:c r="I35" s="73"/>
      <x:c r="J35" s="73"/>
    </x:row>
    <x:row r="36" ht="60" customHeight="1">
      <x:c r="A36" s="73"/>
      <x:c r="B36" s="73"/>
      <x:c r="C36" s="73"/>
      <x:c r="D36" s="73"/>
      <x:c r="E36" s="73"/>
      <x:c r="F36" s="73"/>
      <x:c r="G36" s="77"/>
      <x:c r="H36" s="73"/>
      <x:c r="I36" s="73"/>
      <x:c r="J36" s="73"/>
    </x:row>
    <x:row r="37" ht="60" customHeight="1">
      <x:c r="A37" s="73"/>
      <x:c r="B37" s="73"/>
      <x:c r="C37" s="73"/>
      <x:c r="D37" s="73"/>
      <x:c r="E37" s="73"/>
      <x:c r="F37" s="73"/>
      <x:c r="G37" s="77"/>
      <x:c r="H37" s="73"/>
      <x:c r="I37" s="73"/>
      <x:c r="J37" s="73"/>
    </x:row>
    <x:row r="38" ht="60" customHeight="1">
      <x:c r="A38" s="73"/>
      <x:c r="B38" s="73"/>
      <x:c r="C38" s="73"/>
      <x:c r="D38" s="73"/>
      <x:c r="E38" s="73"/>
      <x:c r="F38" s="73"/>
      <x:c r="G38" s="77"/>
      <x:c r="H38" s="73"/>
      <x:c r="I38" s="73"/>
      <x:c r="J38" s="73"/>
    </x:row>
    <x:row r="39" ht="60" customHeight="1">
      <x:c r="A39" s="73"/>
      <x:c r="B39" s="73"/>
      <x:c r="C39" s="73"/>
      <x:c r="D39" s="73"/>
      <x:c r="E39" s="73"/>
      <x:c r="F39" s="73"/>
      <x:c r="G39" s="77"/>
      <x:c r="H39" s="73"/>
      <x:c r="I39" s="73"/>
      <x:c r="J39" s="73"/>
    </x:row>
    <x:row r="40" ht="60" customHeight="1">
      <x:c r="A40" s="73"/>
      <x:c r="B40" s="73"/>
      <x:c r="C40" s="73"/>
      <x:c r="D40" s="73"/>
      <x:c r="E40" s="73"/>
      <x:c r="F40" s="73"/>
      <x:c r="G40" s="77"/>
      <x:c r="H40" s="73"/>
      <x:c r="I40" s="73"/>
      <x:c r="J40" s="73"/>
    </x:row>
    <x:row r="41" ht="60" customHeight="1">
      <x:c r="A41" s="73"/>
      <x:c r="B41" s="73"/>
      <x:c r="C41" s="73"/>
      <x:c r="D41" s="73"/>
      <x:c r="E41" s="73"/>
      <x:c r="F41" s="73"/>
      <x:c r="G41" s="77"/>
      <x:c r="H41" s="73"/>
      <x:c r="I41" s="73"/>
      <x:c r="J41" s="73"/>
    </x:row>
    <x:row r="42" ht="60" customHeight="1">
      <x:c r="A42" s="73"/>
      <x:c r="B42" s="73"/>
      <x:c r="C42" s="73"/>
      <x:c r="D42" s="73"/>
      <x:c r="E42" s="73"/>
      <x:c r="F42" s="73"/>
      <x:c r="G42" s="77"/>
      <x:c r="H42" s="73"/>
      <x:c r="I42" s="73"/>
      <x:c r="J42" s="73"/>
    </x:row>
    <x:row r="43" ht="60" customHeight="1">
      <x:c r="A43" s="73"/>
      <x:c r="B43" s="73"/>
      <x:c r="C43" s="73"/>
      <x:c r="D43" s="73"/>
      <x:c r="E43" s="73"/>
      <x:c r="F43" s="73"/>
      <x:c r="G43" s="77"/>
      <x:c r="H43" s="73"/>
      <x:c r="I43" s="73"/>
      <x:c r="J43" s="73"/>
    </x:row>
    <x:row r="44" ht="60" customHeight="1">
      <x:c r="A44" s="73"/>
      <x:c r="B44" s="73"/>
      <x:c r="C44" s="73"/>
      <x:c r="D44" s="73"/>
      <x:c r="E44" s="73"/>
      <x:c r="F44" s="73"/>
      <x:c r="G44" s="77"/>
      <x:c r="H44" s="73"/>
      <x:c r="I44" s="73"/>
      <x:c r="J44" s="73"/>
    </x:row>
    <x:row r="45" ht="60" customHeight="1">
      <x:c r="A45" s="73"/>
      <x:c r="B45" s="73"/>
      <x:c r="C45" s="73"/>
      <x:c r="D45" s="73"/>
      <x:c r="E45" s="73"/>
      <x:c r="F45" s="73"/>
      <x:c r="G45" s="77"/>
      <x:c r="H45" s="73"/>
      <x:c r="I45" s="73"/>
      <x:c r="J45" s="73"/>
    </x:row>
    <x:row r="46" ht="60" customHeight="1">
      <x:c r="A46" s="73"/>
      <x:c r="B46" s="73"/>
      <x:c r="C46" s="73"/>
      <x:c r="D46" s="73"/>
      <x:c r="E46" s="73"/>
      <x:c r="F46" s="73"/>
      <x:c r="G46" s="77"/>
      <x:c r="H46" s="73"/>
      <x:c r="I46" s="73"/>
      <x:c r="J46" s="73"/>
    </x:row>
    <x:row r="47" ht="60" customHeight="1">
      <x:c r="A47" s="73"/>
      <x:c r="B47" s="73"/>
      <x:c r="C47" s="73"/>
      <x:c r="D47" s="73"/>
      <x:c r="E47" s="73"/>
      <x:c r="F47" s="73"/>
      <x:c r="G47" s="77"/>
      <x:c r="H47" s="73"/>
      <x:c r="I47" s="73"/>
      <x:c r="J47" s="73"/>
    </x:row>
    <x:row r="48" ht="60" customHeight="1">
      <x:c r="A48" s="73"/>
      <x:c r="B48" s="73"/>
      <x:c r="C48" s="73"/>
      <x:c r="D48" s="73"/>
      <x:c r="E48" s="73"/>
      <x:c r="F48" s="73"/>
      <x:c r="G48" s="77"/>
      <x:c r="H48" s="73"/>
      <x:c r="I48" s="73"/>
      <x:c r="J48" s="73"/>
    </x:row>
    <x:row r="49" ht="60" customHeight="1">
      <x:c r="A49" s="73"/>
      <x:c r="B49" s="73"/>
      <x:c r="C49" s="73"/>
      <x:c r="D49" s="73"/>
      <x:c r="E49" s="73"/>
      <x:c r="F49" s="73"/>
      <x:c r="G49" s="77"/>
      <x:c r="H49" s="73"/>
      <x:c r="I49" s="73"/>
      <x:c r="J49" s="73"/>
    </x:row>
    <x:row r="50" ht="60" customHeight="1">
      <x:c r="A50" s="73"/>
      <x:c r="B50" s="73"/>
      <x:c r="C50" s="73"/>
      <x:c r="D50" s="73"/>
      <x:c r="E50" s="73"/>
      <x:c r="F50" s="73"/>
      <x:c r="G50" s="77"/>
      <x:c r="H50" s="73"/>
      <x:c r="I50" s="73"/>
      <x:c r="J50" s="73"/>
    </x:row>
    <x:row r="51" ht="60" customHeight="1">
      <x:c r="A51" s="73"/>
      <x:c r="B51" s="73"/>
      <x:c r="C51" s="73"/>
      <x:c r="D51" s="73"/>
      <x:c r="E51" s="73"/>
      <x:c r="F51" s="73"/>
      <x:c r="G51" s="77"/>
      <x:c r="H51" s="73"/>
      <x:c r="I51" s="73"/>
      <x:c r="J51" s="73"/>
    </x:row>
    <x:row r="52" ht="60" customHeight="1">
      <x:c r="A52" s="73"/>
      <x:c r="B52" s="73"/>
      <x:c r="C52" s="73"/>
      <x:c r="D52" s="73"/>
      <x:c r="E52" s="73"/>
      <x:c r="F52" s="73"/>
      <x:c r="G52" s="77"/>
      <x:c r="H52" s="73"/>
      <x:c r="I52" s="73"/>
      <x:c r="J52" s="73"/>
    </x:row>
    <x:row r="53" ht="60" customHeight="1">
      <x:c r="A53" s="73"/>
      <x:c r="B53" s="73"/>
      <x:c r="C53" s="73"/>
      <x:c r="D53" s="73"/>
      <x:c r="E53" s="73"/>
      <x:c r="F53" s="73"/>
      <x:c r="G53" s="77"/>
      <x:c r="H53" s="73"/>
      <x:c r="I53" s="73"/>
      <x:c r="J53" s="73"/>
    </x:row>
    <x:row r="54" ht="60" customHeight="1">
      <x:c r="A54" s="73"/>
      <x:c r="B54" s="73"/>
      <x:c r="C54" s="73"/>
      <x:c r="D54" s="73"/>
      <x:c r="E54" s="73"/>
      <x:c r="F54" s="73"/>
      <x:c r="G54" s="77"/>
      <x:c r="H54" s="73"/>
      <x:c r="I54" s="73"/>
      <x:c r="J54" s="73"/>
    </x:row>
    <x:row r="55" ht="60" customHeight="1">
      <x:c r="A55" s="73"/>
      <x:c r="B55" s="73"/>
      <x:c r="C55" s="73"/>
      <x:c r="D55" s="73"/>
      <x:c r="E55" s="73"/>
      <x:c r="F55" s="73"/>
      <x:c r="G55" s="77"/>
      <x:c r="H55" s="73"/>
      <x:c r="I55" s="73"/>
      <x:c r="J55" s="73"/>
    </x:row>
    <x:row r="56" ht="60" customHeight="1">
      <x:c r="A56" s="73"/>
      <x:c r="B56" s="73"/>
      <x:c r="C56" s="73"/>
      <x:c r="D56" s="73"/>
      <x:c r="E56" s="73"/>
      <x:c r="F56" s="73"/>
      <x:c r="G56" s="77"/>
      <x:c r="H56" s="73"/>
      <x:c r="I56" s="73"/>
      <x:c r="J56" s="73"/>
    </x:row>
    <x:row r="57" ht="60" customHeight="1">
      <x:c r="A57" s="73"/>
      <x:c r="B57" s="73"/>
      <x:c r="C57" s="73"/>
      <x:c r="D57" s="73"/>
      <x:c r="E57" s="73"/>
      <x:c r="F57" s="73"/>
      <x:c r="G57" s="77"/>
      <x:c r="H57" s="73"/>
      <x:c r="I57" s="73"/>
      <x:c r="J57" s="73"/>
    </x:row>
    <x:row r="58" ht="60" customHeight="1">
      <x:c r="A58" s="73"/>
      <x:c r="B58" s="73"/>
      <x:c r="C58" s="73"/>
      <x:c r="D58" s="73"/>
      <x:c r="E58" s="73"/>
      <x:c r="F58" s="73"/>
      <x:c r="G58" s="77"/>
      <x:c r="H58" s="73"/>
      <x:c r="I58" s="73"/>
      <x:c r="J58" s="73"/>
    </x:row>
    <x:row r="59" ht="60" customHeight="1">
      <x:c r="A59" s="73"/>
      <x:c r="B59" s="73"/>
      <x:c r="C59" s="73"/>
      <x:c r="D59" s="73"/>
      <x:c r="E59" s="73"/>
      <x:c r="F59" s="73"/>
      <x:c r="G59" s="77"/>
      <x:c r="H59" s="73"/>
      <x:c r="I59" s="73"/>
      <x:c r="J59" s="73"/>
    </x:row>
    <x:row r="60" ht="60" customHeight="1">
      <x:c r="A60" s="73"/>
      <x:c r="B60" s="73"/>
      <x:c r="C60" s="73"/>
      <x:c r="D60" s="73"/>
      <x:c r="E60" s="73"/>
      <x:c r="F60" s="73"/>
      <x:c r="G60" s="77"/>
      <x:c r="H60" s="73"/>
      <x:c r="I60" s="73"/>
      <x:c r="J60" s="73"/>
    </x:row>
    <x:row r="61" ht="60" customHeight="1">
      <x:c r="A61" s="73"/>
      <x:c r="B61" s="73"/>
      <x:c r="C61" s="73"/>
      <x:c r="D61" s="73"/>
      <x:c r="E61" s="73"/>
      <x:c r="F61" s="73"/>
      <x:c r="G61" s="77"/>
      <x:c r="H61" s="73"/>
      <x:c r="I61" s="73"/>
      <x:c r="J61" s="73"/>
    </x:row>
    <x:row r="62" ht="60" customHeight="1">
      <x:c r="A62" s="73"/>
      <x:c r="B62" s="73"/>
      <x:c r="C62" s="73"/>
      <x:c r="D62" s="73"/>
      <x:c r="E62" s="73"/>
      <x:c r="F62" s="73"/>
      <x:c r="G62" s="77"/>
      <x:c r="H62" s="73"/>
      <x:c r="I62" s="73"/>
      <x:c r="J62" s="73"/>
    </x:row>
    <x:row r="63" ht="60" customHeight="1">
      <x:c r="A63" s="73"/>
      <x:c r="B63" s="73"/>
      <x:c r="C63" s="73"/>
      <x:c r="D63" s="73"/>
      <x:c r="E63" s="73"/>
      <x:c r="F63" s="73"/>
      <x:c r="G63" s="77"/>
      <x:c r="H63" s="73"/>
      <x:c r="I63" s="73"/>
      <x:c r="J63" s="73"/>
    </x:row>
    <x:row r="64" ht="60" customHeight="1">
      <x:c r="A64" s="73"/>
      <x:c r="B64" s="73"/>
      <x:c r="C64" s="73"/>
      <x:c r="D64" s="73"/>
      <x:c r="E64" s="73"/>
      <x:c r="F64" s="73"/>
      <x:c r="G64" s="77"/>
      <x:c r="H64" s="73"/>
      <x:c r="I64" s="73"/>
      <x:c r="J64" s="73"/>
    </x:row>
    <x:row r="65" ht="60" customHeight="1">
      <x:c r="A65" s="73"/>
      <x:c r="B65" s="73"/>
      <x:c r="C65" s="73"/>
      <x:c r="D65" s="73"/>
      <x:c r="E65" s="73"/>
      <x:c r="F65" s="73"/>
      <x:c r="G65" s="77"/>
      <x:c r="H65" s="73"/>
      <x:c r="I65" s="73"/>
      <x:c r="J65" s="73"/>
    </x:row>
    <x:row r="66" ht="60" customHeight="1">
      <x:c r="A66" s="73"/>
      <x:c r="B66" s="73"/>
      <x:c r="C66" s="73"/>
      <x:c r="D66" s="73"/>
      <x:c r="E66" s="73"/>
      <x:c r="F66" s="73"/>
      <x:c r="G66" s="77"/>
      <x:c r="H66" s="73"/>
      <x:c r="I66" s="73"/>
      <x:c r="J66" s="73"/>
    </x:row>
    <x:row r="67" ht="60" customHeight="1">
      <x:c r="A67" s="73"/>
      <x:c r="B67" s="73"/>
      <x:c r="C67" s="73"/>
      <x:c r="D67" s="73"/>
      <x:c r="E67" s="73"/>
      <x:c r="F67" s="73"/>
      <x:c r="G67" s="77"/>
      <x:c r="H67" s="73"/>
      <x:c r="I67" s="73"/>
      <x:c r="J67" s="73"/>
    </x:row>
    <x:row r="68" ht="60" customHeight="1">
      <x:c r="A68" s="73"/>
      <x:c r="B68" s="73"/>
      <x:c r="C68" s="73"/>
      <x:c r="D68" s="73"/>
      <x:c r="E68" s="73"/>
      <x:c r="F68" s="73"/>
      <x:c r="G68" s="77"/>
      <x:c r="H68" s="73"/>
      <x:c r="I68" s="73"/>
      <x:c r="J68" s="73"/>
    </x:row>
    <x:row r="69" ht="60" customHeight="1">
      <x:c r="A69" s="73"/>
      <x:c r="B69" s="73"/>
      <x:c r="C69" s="73"/>
      <x:c r="D69" s="73"/>
      <x:c r="E69" s="73"/>
      <x:c r="F69" s="73"/>
      <x:c r="G69" s="77"/>
      <x:c r="H69" s="73"/>
      <x:c r="I69" s="73"/>
      <x:c r="J69" s="73"/>
    </x:row>
    <x:row r="70" ht="60" customHeight="1">
      <x:c r="A70" s="73"/>
      <x:c r="B70" s="73"/>
      <x:c r="C70" s="73"/>
      <x:c r="D70" s="73"/>
      <x:c r="E70" s="73"/>
      <x:c r="F70" s="73"/>
      <x:c r="G70" s="77"/>
      <x:c r="H70" s="73"/>
      <x:c r="I70" s="73"/>
      <x:c r="J70" s="73"/>
    </x:row>
    <x:row r="71" ht="60" customHeight="1">
      <x:c r="A71" s="73"/>
      <x:c r="B71" s="73"/>
      <x:c r="C71" s="73"/>
      <x:c r="D71" s="73"/>
      <x:c r="E71" s="73"/>
      <x:c r="F71" s="73"/>
      <x:c r="G71" s="77"/>
      <x:c r="H71" s="73"/>
      <x:c r="I71" s="73"/>
      <x:c r="J71" s="73"/>
    </x:row>
    <x:row r="72" ht="60" customHeight="1">
      <x:c r="A72" s="73"/>
      <x:c r="B72" s="73"/>
      <x:c r="C72" s="73"/>
      <x:c r="D72" s="73"/>
      <x:c r="E72" s="73"/>
      <x:c r="F72" s="73"/>
      <x:c r="G72" s="77"/>
      <x:c r="H72" s="73"/>
      <x:c r="I72" s="73"/>
      <x:c r="J72" s="73"/>
    </x:row>
    <x:row r="73" ht="60" customHeight="1">
      <x:c r="A73" s="73"/>
      <x:c r="B73" s="73"/>
      <x:c r="C73" s="73"/>
      <x:c r="D73" s="73"/>
      <x:c r="E73" s="73"/>
      <x:c r="F73" s="73"/>
      <x:c r="G73" s="77"/>
      <x:c r="H73" s="73"/>
      <x:c r="I73" s="73"/>
      <x:c r="J73" s="73"/>
    </x:row>
    <x:row r="74" ht="60" customHeight="1">
      <x:c r="A74" s="73"/>
      <x:c r="B74" s="73"/>
      <x:c r="C74" s="73"/>
      <x:c r="D74" s="73"/>
      <x:c r="E74" s="73"/>
      <x:c r="F74" s="73"/>
      <x:c r="G74" s="77"/>
      <x:c r="H74" s="73"/>
      <x:c r="I74" s="73"/>
      <x:c r="J74" s="73"/>
    </x:row>
    <x:row r="75" ht="60" customHeight="1">
      <x:c r="A75" s="73"/>
      <x:c r="B75" s="73"/>
      <x:c r="C75" s="73"/>
      <x:c r="D75" s="73"/>
      <x:c r="E75" s="73"/>
      <x:c r="F75" s="73"/>
      <x:c r="G75" s="77"/>
      <x:c r="H75" s="73"/>
      <x:c r="I75" s="73"/>
      <x:c r="J75" s="73"/>
    </x:row>
    <x:row r="76" ht="60" customHeight="1">
      <x:c r="A76" s="73"/>
      <x:c r="B76" s="73"/>
      <x:c r="C76" s="73"/>
      <x:c r="D76" s="73"/>
      <x:c r="E76" s="73"/>
      <x:c r="F76" s="73"/>
      <x:c r="G76" s="77"/>
      <x:c r="H76" s="73"/>
      <x:c r="I76" s="73"/>
      <x:c r="J76" s="73"/>
    </x:row>
    <x:row r="77" ht="60" customHeight="1">
      <x:c r="A77" s="73"/>
      <x:c r="B77" s="73"/>
      <x:c r="C77" s="73"/>
      <x:c r="D77" s="73"/>
      <x:c r="E77" s="73"/>
      <x:c r="F77" s="73"/>
      <x:c r="G77" s="77"/>
      <x:c r="H77" s="73"/>
      <x:c r="I77" s="73"/>
      <x:c r="J77" s="73"/>
    </x:row>
    <x:row r="78" ht="60" customHeight="1">
      <x:c r="A78" s="73"/>
      <x:c r="B78" s="73"/>
      <x:c r="C78" s="73"/>
      <x:c r="D78" s="73"/>
      <x:c r="E78" s="73"/>
      <x:c r="F78" s="73"/>
      <x:c r="G78" s="77"/>
      <x:c r="H78" s="73"/>
      <x:c r="I78" s="73"/>
      <x:c r="J78" s="73"/>
    </x:row>
    <x:row r="79" ht="60" customHeight="1">
      <x:c r="A79" s="73"/>
      <x:c r="B79" s="73"/>
      <x:c r="C79" s="73"/>
      <x:c r="D79" s="73"/>
      <x:c r="E79" s="73"/>
      <x:c r="F79" s="73"/>
      <x:c r="G79" s="77"/>
      <x:c r="H79" s="73"/>
      <x:c r="I79" s="73"/>
      <x:c r="J79" s="73"/>
    </x:row>
    <x:row r="80" ht="60" customHeight="1">
      <x:c r="A80" s="73"/>
      <x:c r="B80" s="73"/>
      <x:c r="C80" s="73"/>
      <x:c r="D80" s="73"/>
      <x:c r="E80" s="73"/>
      <x:c r="F80" s="73"/>
      <x:c r="G80" s="77"/>
      <x:c r="H80" s="73"/>
      <x:c r="I80" s="73"/>
      <x:c r="J80" s="73"/>
    </x:row>
    <x:row r="81" ht="60" customHeight="1">
      <x:c r="A81" s="73"/>
      <x:c r="B81" s="73"/>
      <x:c r="C81" s="73"/>
      <x:c r="D81" s="73"/>
      <x:c r="E81" s="73"/>
      <x:c r="F81" s="73"/>
      <x:c r="G81" s="77"/>
      <x:c r="H81" s="73"/>
      <x:c r="I81" s="73"/>
      <x:c r="J81" s="73"/>
    </x:row>
    <x:row r="82" ht="60" customHeight="1">
      <x:c r="A82" s="73"/>
      <x:c r="B82" s="73"/>
      <x:c r="C82" s="73"/>
      <x:c r="D82" s="73"/>
      <x:c r="E82" s="73"/>
      <x:c r="F82" s="73"/>
      <x:c r="G82" s="77"/>
      <x:c r="H82" s="73"/>
      <x:c r="I82" s="73"/>
      <x:c r="J82" s="73"/>
    </x:row>
    <x:row r="83" ht="60" customHeight="1">
      <x:c r="A83" s="73"/>
      <x:c r="B83" s="73"/>
      <x:c r="C83" s="73"/>
      <x:c r="D83" s="73"/>
      <x:c r="E83" s="73"/>
      <x:c r="F83" s="73"/>
      <x:c r="G83" s="77"/>
      <x:c r="H83" s="73"/>
      <x:c r="I83" s="73"/>
      <x:c r="J83" s="73"/>
    </x:row>
    <x:row r="84" ht="60" customHeight="1">
      <x:c r="A84" s="73"/>
      <x:c r="B84" s="73"/>
      <x:c r="C84" s="73"/>
      <x:c r="D84" s="73"/>
      <x:c r="E84" s="73"/>
      <x:c r="F84" s="73"/>
      <x:c r="G84" s="77"/>
      <x:c r="H84" s="73"/>
      <x:c r="I84" s="73"/>
      <x:c r="J84" s="73"/>
    </x:row>
    <x:row r="85" ht="60" customHeight="1">
      <x:c r="A85" s="73"/>
      <x:c r="B85" s="73"/>
      <x:c r="C85" s="73"/>
      <x:c r="D85" s="73"/>
      <x:c r="E85" s="73"/>
      <x:c r="F85" s="73"/>
      <x:c r="G85" s="77"/>
      <x:c r="H85" s="73"/>
      <x:c r="I85" s="73"/>
      <x:c r="J85" s="73"/>
    </x:row>
    <x:row r="86" ht="60" customHeight="1">
      <x:c r="A86" s="73"/>
      <x:c r="B86" s="73"/>
      <x:c r="C86" s="73"/>
      <x:c r="D86" s="73"/>
      <x:c r="E86" s="73"/>
      <x:c r="F86" s="73"/>
      <x:c r="G86" s="77"/>
      <x:c r="H86" s="73"/>
      <x:c r="I86" s="73"/>
      <x:c r="J86" s="73"/>
    </x:row>
    <x:row r="87" ht="60" customHeight="1">
      <x:c r="A87" s="73"/>
      <x:c r="B87" s="73"/>
      <x:c r="C87" s="73"/>
      <x:c r="D87" s="73"/>
      <x:c r="E87" s="73"/>
      <x:c r="F87" s="73"/>
      <x:c r="G87" s="77"/>
      <x:c r="H87" s="73"/>
      <x:c r="I87" s="73"/>
      <x:c r="J87" s="73"/>
    </x:row>
    <x:row r="88" ht="60" customHeight="1">
      <x:c r="A88" s="73"/>
      <x:c r="B88" s="73"/>
      <x:c r="C88" s="73"/>
      <x:c r="D88" s="73"/>
      <x:c r="E88" s="73"/>
      <x:c r="F88" s="73"/>
      <x:c r="G88" s="77"/>
      <x:c r="H88" s="73"/>
      <x:c r="I88" s="73"/>
      <x:c r="J88" s="73"/>
    </x:row>
    <x:row r="89" ht="60" customHeight="1">
      <x:c r="A89" s="73"/>
      <x:c r="B89" s="73"/>
      <x:c r="C89" s="73"/>
      <x:c r="D89" s="73"/>
      <x:c r="E89" s="73"/>
      <x:c r="F89" s="73"/>
      <x:c r="G89" s="77"/>
      <x:c r="H89" s="73"/>
      <x:c r="I89" s="73"/>
      <x:c r="J89" s="73"/>
    </x:row>
    <x:row r="90" ht="60" customHeight="1">
      <x:c r="A90" s="73"/>
      <x:c r="B90" s="73"/>
      <x:c r="C90" s="73"/>
      <x:c r="D90" s="73"/>
      <x:c r="E90" s="73"/>
      <x:c r="F90" s="73"/>
      <x:c r="G90" s="77"/>
      <x:c r="H90" s="73"/>
      <x:c r="I90" s="73"/>
      <x:c r="J90" s="73"/>
    </x:row>
    <x:row r="91" ht="60" customHeight="1">
      <x:c r="A91" s="73"/>
      <x:c r="B91" s="73"/>
      <x:c r="C91" s="73"/>
      <x:c r="D91" s="73"/>
      <x:c r="E91" s="73"/>
      <x:c r="F91" s="73"/>
      <x:c r="G91" s="77"/>
      <x:c r="H91" s="73"/>
      <x:c r="I91" s="73"/>
      <x:c r="J91" s="73"/>
    </x:row>
    <x:row r="92" ht="60" customHeight="1">
      <x:c r="A92" s="73"/>
      <x:c r="B92" s="73"/>
      <x:c r="C92" s="73"/>
      <x:c r="D92" s="73"/>
      <x:c r="E92" s="73"/>
      <x:c r="F92" s="73"/>
      <x:c r="G92" s="77"/>
      <x:c r="H92" s="73"/>
      <x:c r="I92" s="73"/>
      <x:c r="J92" s="73"/>
    </x:row>
    <x:row r="93" ht="60" customHeight="1">
      <x:c r="A93" s="73"/>
      <x:c r="B93" s="73"/>
      <x:c r="C93" s="73"/>
      <x:c r="D93" s="73"/>
      <x:c r="E93" s="73"/>
      <x:c r="F93" s="73"/>
      <x:c r="G93" s="77"/>
      <x:c r="H93" s="73"/>
      <x:c r="I93" s="73"/>
      <x:c r="J93" s="73"/>
    </x:row>
    <x:row r="94" ht="60" customHeight="1">
      <x:c r="A94" s="73"/>
      <x:c r="B94" s="73"/>
      <x:c r="C94" s="73"/>
      <x:c r="D94" s="73"/>
      <x:c r="E94" s="73"/>
      <x:c r="F94" s="73"/>
      <x:c r="G94" s="77"/>
      <x:c r="H94" s="73"/>
      <x:c r="I94" s="73"/>
      <x:c r="J94" s="73"/>
    </x:row>
    <x:row r="95" ht="60" customHeight="1">
      <x:c r="A95" s="73"/>
      <x:c r="B95" s="73"/>
      <x:c r="C95" s="73"/>
      <x:c r="D95" s="73"/>
      <x:c r="E95" s="73"/>
      <x:c r="F95" s="73"/>
      <x:c r="G95" s="77"/>
      <x:c r="H95" s="73"/>
      <x:c r="I95" s="73"/>
      <x:c r="J95" s="73"/>
    </x:row>
    <x:row r="96" ht="60" customHeight="1">
      <x:c r="A96" s="73"/>
      <x:c r="B96" s="73"/>
      <x:c r="C96" s="73"/>
      <x:c r="D96" s="73"/>
      <x:c r="E96" s="73"/>
      <x:c r="F96" s="73"/>
      <x:c r="G96" s="77"/>
      <x:c r="H96" s="73"/>
      <x:c r="I96" s="73"/>
      <x:c r="J96" s="73"/>
    </x:row>
    <x:row r="97" ht="60" customHeight="1">
      <x:c r="A97" s="73"/>
      <x:c r="B97" s="73"/>
      <x:c r="C97" s="73"/>
      <x:c r="D97" s="73"/>
      <x:c r="E97" s="73"/>
      <x:c r="F97" s="73"/>
      <x:c r="G97" s="77"/>
      <x:c r="H97" s="73"/>
      <x:c r="I97" s="73"/>
      <x:c r="J97" s="73"/>
    </x:row>
    <x:row r="98" ht="60" customHeight="1">
      <x:c r="A98" s="73"/>
      <x:c r="B98" s="73"/>
      <x:c r="C98" s="73"/>
      <x:c r="D98" s="73"/>
      <x:c r="E98" s="73"/>
      <x:c r="F98" s="73"/>
      <x:c r="G98" s="77"/>
      <x:c r="H98" s="73"/>
      <x:c r="I98" s="73"/>
      <x:c r="J98" s="73"/>
    </x:row>
    <x:row r="99" ht="60" customHeight="1">
      <x:c r="A99" s="73"/>
      <x:c r="B99" s="73"/>
      <x:c r="C99" s="73"/>
      <x:c r="D99" s="73"/>
      <x:c r="E99" s="73"/>
      <x:c r="F99" s="73"/>
      <x:c r="G99" s="77"/>
      <x:c r="H99" s="73"/>
      <x:c r="I99" s="73"/>
      <x:c r="J99" s="73"/>
    </x:row>
    <x:row r="100" ht="60" customHeight="1">
      <x:c r="A100" s="73"/>
      <x:c r="B100" s="73"/>
      <x:c r="C100" s="73"/>
      <x:c r="D100" s="73"/>
      <x:c r="E100" s="73"/>
      <x:c r="F100" s="73"/>
      <x:c r="G100" s="77"/>
      <x:c r="H100" s="73"/>
      <x:c r="I100" s="73"/>
      <x:c r="J100" s="73"/>
    </x:row>
  </x:sheetData>
  <x:pageMargins left="0.7" right="0.7" top="0.75" bottom="0.75" header="0.3" footer="0.3"/>
  <x:tableParts count="1">
    <x:tablePart xmlns:r="http://schemas.openxmlformats.org/officeDocument/2006/relationships" r:id="Rff8155c33b2e4cc1"/>
  </x:tableParts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