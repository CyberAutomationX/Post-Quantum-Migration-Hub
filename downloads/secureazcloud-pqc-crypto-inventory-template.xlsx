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ables/table1.xml" ContentType="application/vnd.openxmlformats-officedocument.spreadsheetml.table+xml"/>
  <ns0:Override PartName="/xl/worksheets/sheet4.xml" ContentType="application/vnd.openxmlformats-officedocument.spreadsheetml.worksheet+xml"/>
  <ns0:Override PartName="/xl/tables/table2.xml" ContentType="application/vnd.openxmlformats-officedocument.spreadsheetml.table+xml"/>
  <ns0:Override PartName="/xl/worksheets/sheet5.xml" ContentType="application/vnd.openxmlformats-officedocument.spreadsheetml.worksheet+xml"/>
  <ns0:Override PartName="/xl/tables/table3.xml" ContentType="application/vnd.openxmlformats-officedocument.spreadsheetml.table+xml"/>
  <ns0:Override PartName="/xl/worksheets/sheet6.xml" ContentType="application/vnd.openxmlformats-officedocument.spreadsheetml.worksheet+xml"/>
  <ns0:Override PartName="/xl/tables/table4.xml" ContentType="application/vnd.openxmlformats-officedocument.spreadsheetml.table+xml"/>
  <ns0:Override PartName="/xl/worksheets/sheet7.xml" ContentType="application/vnd.openxmlformats-officedocument.spreadsheetml.worksheet+xml"/>
  <ns0:Override PartName="/xl/tables/table5.xml" ContentType="application/vnd.openxmlformats-officedocument.spreadsheetml.table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62a2497917f54769" /><ns0:Relationship Id="rIdAuthor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c7321468f464d43"/>
    <x:sheet xmlns:r="http://schemas.openxmlformats.org/officeDocument/2006/relationships" name="Lists" sheetId="2" r:id="R1d85364d868d4156"/>
    <x:sheet xmlns:r="http://schemas.openxmlformats.org/officeDocument/2006/relationships" name="Crypto Inventory" sheetId="3" r:id="Rab485fa62f2e498e"/>
    <x:sheet xmlns:r="http://schemas.openxmlformats.org/officeDocument/2006/relationships" name="PQC Readiness Checklist" sheetId="4" r:id="Rfca7aa07a5354a84"/>
    <x:sheet xmlns:r="http://schemas.openxmlformats.org/officeDocument/2006/relationships" name="Cloud IAM Playbook" sheetId="5" r:id="R59aa83fd3de14969"/>
    <x:sheet xmlns:r="http://schemas.openxmlformats.org/officeDocument/2006/relationships" name="SCADA ICS Checklist" sheetId="6" r:id="R3543538baa1d4b2e"/>
    <x:sheet xmlns:r="http://schemas.openxmlformats.org/officeDocument/2006/relationships" name="References" sheetId="7" r:id="R0e34f2a9e1e2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8">
    <x:font>
      <x:sz val="11"/>
      <x:name val="Carlito"/>
    </x:font>
    <x:font>
      <x:b/>
      <x:sz val="18"/>
      <x:color rgb="FFFFFF"/>
      <x:name val="Carlito"/>
    </x:font>
    <x:font>
      <x:sz val="11"/>
      <x:color rgb="102A43"/>
      <x:name val="Carlito"/>
    </x:font>
    <x:font>
      <x:b/>
      <x:sz val="11"/>
      <x:color rgb="FFFFFF"/>
      <x:name val="Carlito"/>
    </x:font>
    <x:font>
      <x:sz val="10"/>
      <x:name val="Aptos"/>
    </x:font>
    <x:font>
      <x:b/>
      <x:sz val="10"/>
      <x:name val="Aptos"/>
    </x:font>
    <x:font>
      <x:i/>
      <x:sz val="10"/>
      <x:color rgb="627D98"/>
      <x:name val="Aptos"/>
    </x:font>
    <x:font>
      <x:b/>
      <x:sz val="10"/>
      <x:color rgb="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102A43"/>
      </x:patternFill>
    </x:fill>
    <x:fill>
      <x:patternFill patternType="solid">
        <x:fgColor rgb="F0F4F8"/>
      </x:patternFill>
    </x:fill>
    <x:fill>
      <x:patternFill patternType="solid">
        <x:fgColor rgb="243B53"/>
      </x:patternFill>
    </x:fill>
    <x:fill>
      <x:patternFill patternType="solid">
        <x:fgColor rgb="0B4F6C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7F1D1D"/>
      </x:font>
      <x:fill>
        <x:patternFill patternType="solid">
          <x:bgColor rgb="FEE2E2"/>
        </x:patternFill>
      </x:fill>
    </x:dxf>
    <x:dxf>
      <x:font>
        <x:b/>
        <x:color rgb="7C2D12"/>
      </x:font>
      <x:fill>
        <x:patternFill patternType="solid">
          <x:bgColor rgb="FFEDD5"/>
        </x:patternFill>
      </x:fill>
    </x:dxf>
    <x:dxf>
      <x:font>
        <x:color rgb="78350F"/>
      </x:font>
      <x:fill>
        <x:patternFill patternType="solid">
          <x:bgColor rgb="FEF3C7"/>
        </x:patternFill>
      </x:fill>
    </x:dxf>
    <x:dxf>
      <x:font>
        <x:b/>
        <x:color rgb="14532D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be121e9af480f" /><Relationship Type="http://schemas.openxmlformats.org/officeDocument/2006/relationships/theme" Target="/xl/theme/theme1.xml" Id="R1aa6950ca9804a36" /><Relationship Type="http://schemas.openxmlformats.org/officeDocument/2006/relationships/sharedStrings" Target="/xl/sharedStrings.xml" Id="R74640e4f203a4da1" /><Relationship Type="http://schemas.openxmlformats.org/officeDocument/2006/relationships/worksheet" Target="/xl/worksheets/sheet1.xml" Id="R1c7321468f464d43" /><Relationship Type="http://schemas.openxmlformats.org/officeDocument/2006/relationships/worksheet" Target="/xl/worksheets/sheet2.xml" Id="R1d85364d868d4156" /><Relationship Type="http://schemas.openxmlformats.org/officeDocument/2006/relationships/worksheet" Target="/xl/worksheets/sheet3.xml" Id="Rab485fa62f2e498e" /><Relationship Type="http://schemas.openxmlformats.org/officeDocument/2006/relationships/worksheet" Target="/xl/worksheets/sheet4.xml" Id="Rfca7aa07a5354a84" /><Relationship Type="http://schemas.openxmlformats.org/officeDocument/2006/relationships/worksheet" Target="/xl/worksheets/sheet5.xml" Id="R59aa83fd3de14969" /><Relationship Type="http://schemas.openxmlformats.org/officeDocument/2006/relationships/worksheet" Target="/xl/worksheets/sheet6.xml" Id="R3543538baa1d4b2e" /><Relationship Type="http://schemas.openxmlformats.org/officeDocument/2006/relationships/worksheet" Target="/xl/worksheets/sheet7.xml" Id="R0e34f2a9e1e243ae" /></Relationships>
</file>

<file path=xl/tables/table1.xml><?xml version="1.0" encoding="utf-8"?>
<x:table xmlns:x="http://schemas.openxmlformats.org/spreadsheetml/2006/main" id="1" name="CryptoInventoryTable" displayName="CryptoInventoryTable" ref="A1:AH1001" headerRowCount="1">
  <x:tableColumns count="34">
    <x:tableColumn id="1" name="Asset ID"/>
    <x:tableColumn id="2" name="Asset/System Name"/>
    <x:tableColumn id="3" name="Business Process"/>
    <x:tableColumn id="4" name="Business Owner"/>
    <x:tableColumn id="5" name="Technical Owner"/>
    <x:tableColumn id="6" name="Environment"/>
    <x:tableColumn id="7" name="Location/Zone"/>
    <x:tableColumn id="8" name="Data Classification"/>
    <x:tableColumn id="9" name="Data Shelf-Life (Years)"/>
    <x:tableColumn id="10" name="External Exposure"/>
    <x:tableColumn id="11" name="OT/ICS Safety Impact"/>
    <x:tableColumn id="12" name="Criticality (1-5)"/>
    <x:tableColumn id="13" name="Crypto Use Case"/>
    <x:tableColumn id="14" name="Protocol/Standard"/>
    <x:tableColumn id="15" name="Algorithm Family"/>
    <x:tableColumn id="16" name="Algorithm/Curve/Group"/>
    <x:tableColumn id="17" name="Key/Cert Size"/>
    <x:tableColumn id="18" name="Crypto Library / HSM / CA"/>
    <x:tableColumn id="19" name="Certificate/Key Location"/>
    <x:tableColumn id="20" name="Identity Type"/>
    <x:tableColumn id="21" name="Vendor/Supplier"/>
    <x:tableColumn id="22" name="Vendor PQC Roadmap"/>
    <x:tableColumn id="23" name="Crypto Agility"/>
    <x:tableColumn id="24" name="PQC Target Standard"/>
    <x:tableColumn id="25" name="Migration Pattern"/>
    <x:tableColumn id="26" name="Quantum Vulnerable"/>
    <x:tableColumn id="27" name="Harvest-Now Concern"/>
    <x:tableColumn id="28" name="Risk Score"/>
    <x:tableColumn id="29" name="Migration Priority"/>
    <x:tableColumn id="30" name="Status"/>
    <x:tableColumn id="31" name="Target Quarter"/>
    <x:tableColumn id="32" name="Evidence URL"/>
    <x:tableColumn id="33" name="Last Verified"/>
    <x:tableColumn id="3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QCReadinessTable" displayName="PQCReadinessTable" ref="A1:I100" headerRowCount="1">
  <x:tableColumns count="9">
    <x:tableColumn id="1" name="Domain"/>
    <x:tableColumn id="2" name="Checklist Item"/>
    <x:tableColumn id="3" name="Acceptance Criteria"/>
    <x:tableColumn id="4" name="Evidence / Artifact"/>
    <x:tableColumn id="5" name="Suggested Owner"/>
    <x:tableColumn id="6" name="NIST Alignment"/>
    <x:tableColumn id="7" name="Status"/>
    <x:tableColumn id="8" name="Target Date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loudIAMPlaybookTable" displayName="CloudIAMPlaybookTable" ref="A1:I100" headerRowCount="1">
  <x:tableColumns count="9">
    <x:tableColumn id="1" name="Phase"/>
    <x:tableColumn id="2" name="Activity"/>
    <x:tableColumn id="3" name="Detailed Action"/>
    <x:tableColumn id="4" name="Output / Decision"/>
    <x:tableColumn id="5" name="Owner"/>
    <x:tableColumn id="6" name="Dependencies"/>
    <x:tableColumn id="7" name="Status"/>
    <x:tableColumn id="8" name="Target Date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CADAICSChecklistTable" displayName="SCADAICSChecklistTable" ref="A1:I100" headerRowCount="1">
  <x:tableColumns count="9">
    <x:tableColumn id="1" name="Area"/>
    <x:tableColumn id="2" name="Checklist Item"/>
    <x:tableColumn id="3" name="Safety / Operational Consideration"/>
    <x:tableColumn id="4" name="Evidence / Artifact"/>
    <x:tableColumn id="5" name="Owner"/>
    <x:tableColumn id="6" name="NIST Alignment"/>
    <x:tableColumn id="7" name="Status"/>
    <x:tableColumn id="8" name="Target Date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sTable" displayName="ReferencesTable" ref="A1:C14" headerRowCount="1">
  <x:tableColumns count="3">
    <x:tableColumn id="1" name="Source"/>
    <x:tableColumn id="2" name="Why it matters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Ankit Gupta">
  <a:themeElements>
    <a:clrScheme name="Ankit Gupt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nkit Gupt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d64a7aba2b243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a4d910472a243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6eea2bcf7a546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0fa4f13c59c49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d311801e3cf437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50" hidden="0" customWidth="1"/>
    <x:col min="6" max="6" width="12" hidden="0" customWidth="1"/>
    <x:col min="7" max="7" width="38" hidden="0" customWidth="1"/>
    <x:col min="8" max="8" width="12" hidden="0" customWidth="1"/>
  </x:cols>
  <x:sheetData>
    <x:row r="1" ht="36" customHeight="1">
      <x:c r="A1" s="64" t="str">
        <x:v>SecureAzCloud PQC Migration Resource Hub — Workbook Pack v1.0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 ht="40" customHeight="1">
      <x:c r="A2" s="13" t="str">
        <x:v>Vendor-neutral, NIST-aligned templates for cryptographic inventory, readiness assessment, cloud/IAM planning, and OT/ICS/SCADA preparation. Release date: 2026-06-07.</x:v>
      </x:c>
    </x:row>
    <x:row r="4">
      <x:c r="A4" s="21" t="str">
        <x:v>Recommended workflow</x:v>
      </x:c>
    </x:row>
    <x:row r="5">
      <x:c r="A5" s="34" t="str">
        <x:v>1</x:v>
      </x:c>
      <x:c r="B5" s="32" t="str">
        <x:v>Inventory</x:v>
      </x:c>
      <x:c r="C5" s="28" t="str">
        <x:v>Document public-key cryptography in applications, services, identities, network paths, certificates, code signing, and OT/ICS assets.</x:v>
      </x:c>
    </x:row>
    <x:row r="6">
      <x:c r="A6" s="34" t="str">
        <x:v>2</x:v>
      </x:c>
      <x:c r="B6" s="32" t="str">
        <x:v>Classify risk</x:v>
      </x:c>
      <x:c r="C6" s="28" t="str">
        <x:v>Prioritize quantum-vulnerable algorithms by data shelf life, exposure, safety impact, business criticality, and crypto agility.</x:v>
      </x:c>
    </x:row>
    <x:row r="7">
      <x:c r="A7" s="34" t="str">
        <x:v>3</x:v>
      </x:c>
      <x:c r="B7" s="32" t="str">
        <x:v>Plan migration</x:v>
      </x:c>
      <x:c r="C7" s="28" t="str">
        <x:v>Define target standards, protocol/library dependencies, supplier commitments, test plans, rollback plans, and migration windows.</x:v>
      </x:c>
    </x:row>
    <x:row r="8">
      <x:c r="A8" s="34" t="str">
        <x:v>4</x:v>
      </x:c>
      <x:c r="B8" s="32" t="str">
        <x:v>Pilot and validate</x:v>
      </x:c>
      <x:c r="C8" s="28" t="str">
        <x:v>Test PQC-capable or hybrid-capable paths in non-production environments; verify interoperability, latency, certificate size, and logs.</x:v>
      </x:c>
    </x:row>
    <x:row r="9">
      <x:c r="A9" s="34" t="str">
        <x:v>5</x:v>
      </x:c>
      <x:c r="B9" s="32" t="str">
        <x:v>Operationalize</x:v>
      </x:c>
      <x:c r="C9" s="28" t="str">
        <x:v>Update policy, procurement, CI/CD, certificate lifecycle, identity governance, monitoring, and evidence retention.</x:v>
      </x:c>
    </x:row>
    <x:row r="11">
      <x:c r="A11" s="21" t="str">
        <x:v>Workbook sheets</x:v>
      </x:c>
    </x:row>
    <x:row r="12">
      <x:c r="A12" s="42" t="str">
        <x:v>Sheet</x:v>
      </x:c>
      <x:c r="B12" s="42" t="str">
        <x:v>Use</x:v>
      </x:c>
      <x:c r="D12" s="42" t="str">
        <x:v>Inventory summary</x:v>
      </x:c>
      <x:c r="E12" s="42" t="str">
        <x:v>Formula</x:v>
      </x:c>
      <x:c r="F12" s="42" t="str">
        <x:v>Result</x:v>
      </x:c>
      <x:c r="G12" s="42" t="str">
        <x:v>Notes</x:v>
      </x:c>
      <x:c r="H12" s="42" t="str"/>
    </x:row>
    <x:row r="13">
      <x:c r="A13" s="28" t="str">
        <x:v>Crypto Inventory</x:v>
      </x:c>
      <x:c r="B13" s="28" t="str">
        <x:v>Master asset-level crypto inventory with risk scoring and migration priority.</x:v>
      </x:c>
      <x:c r="D13" s="28" t="str">
        <x:v>Total inventory rows</x:v>
      </x:c>
      <x:c r="E13" s="48" t="n">
        <x:f>COUNTA('Crypto Inventory'!A2:A1001)</x:f>
        <x:v>3</x:v>
      </x:c>
      <x:c r="F13" s="34" t="n">
        <x:f>COUNTA('Crypto Inventory'!A2:A1001)</x:f>
        <x:v>3</x:v>
      </x:c>
      <x:c r="G13" s="28" t="str">
        <x:v>Uses Asset ID column.</x:v>
      </x:c>
    </x:row>
    <x:row r="14">
      <x:c r="A14" s="28" t="str">
        <x:v>PQC Readiness Checklist</x:v>
      </x:c>
      <x:c r="B14" s="28" t="str">
        <x:v>Program readiness checklist mapped to NIST CSF-style outcomes and NIST PQC migration concepts.</x:v>
      </x:c>
      <x:c r="D14" s="28" t="str">
        <x:v>Known quantum-vulnerable rows</x:v>
      </x:c>
      <x:c r="E14" s="48" t="n">
        <x:f>COUNTIF('Crypto Inventory'!Z2:Z1001,"Y")</x:f>
        <x:v>3</x:v>
      </x:c>
      <x:c r="F14" s="34" t="n">
        <x:f>COUNTIF('Crypto Inventory'!Z2:Z1001,"Y")</x:f>
        <x:v>3</x:v>
      </x:c>
      <x:c r="G14" s="28" t="str">
        <x:v>Prioritize confirmed public-key dependencies.</x:v>
      </x:c>
    </x:row>
    <x:row r="15">
      <x:c r="A15" s="28" t="str">
        <x:v>Cloud IAM Playbook</x:v>
      </x:c>
      <x:c r="B15" s="28" t="str">
        <x:v>Phase-based cloud/IAM migration planning checklist for identity, PKI, TLS, federation, workload identities, and cryptographic dependencies.</x:v>
      </x:c>
      <x:c r="D15" s="28" t="str">
        <x:v>Unknown quantum-vulnerable rows</x:v>
      </x:c>
      <x:c r="E15" s="48" t="n">
        <x:f>COUNTIF('Crypto Inventory'!Z2:Z1001,"Unknown")</x:f>
        <x:v>0</x:v>
      </x:c>
      <x:c r="F15" s="34" t="n">
        <x:f>COUNTIF('Crypto Inventory'!Z2:Z1001,"Unknown")</x:f>
        <x:v>0</x:v>
      </x:c>
      <x:c r="G15" s="28" t="str">
        <x:v>Treat unknowns as discovery debt.</x:v>
      </x:c>
    </x:row>
    <x:row r="16">
      <x:c r="A16" s="28" t="str">
        <x:v>SCADA ICS Checklist</x:v>
      </x:c>
      <x:c r="B16" s="28" t="str">
        <x:v>Safety-first OT/ICS/SCADA readiness checklist for cryptographic discovery, remote access, vendor roadmaps, and change control.</x:v>
      </x:c>
      <x:c r="D16" s="28" t="str">
        <x:v>P0/P1 rows</x:v>
      </x:c>
      <x:c r="E16" s="48" t="n">
        <x:f>COUNTIF('Crypto Inventory'!AC2:AC1001,"P0 - Immediate")+COUNTIF('Crypto Inventory'!AC2:AC1001,"P1 - High")</x:f>
        <x:v>3</x:v>
      </x:c>
      <x:c r="F16" s="34" t="n">
        <x:f>COUNTIF('Crypto Inventory'!AC2:AC1001,"P0 - Immediate")+COUNTIF('Crypto Inventory'!AC2:AC1001,"P1 - High")</x:f>
        <x:v>3</x:v>
      </x:c>
      <x:c r="G16" s="28" t="str">
        <x:v>Use for roadmap sizing.</x:v>
      </x:c>
    </x:row>
    <x:row r="17">
      <x:c r="A17" s="28" t="str">
        <x:v>References</x:v>
      </x:c>
      <x:c r="B17" s="28" t="str">
        <x:v>Public source links and alignment notes.</x:v>
      </x:c>
    </x:row>
    <x:row r="18">
      <x:c r="A18" s="28" t="str">
        <x:v>Lists</x:v>
      </x:c>
      <x:c r="B18" s="28" t="str">
        <x:v>Dropdown values used by the templates.</x:v>
      </x:c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</x:cols>
  <x:sheetData>
    <x:row r="1">
      <x:c r="A1" s="68" t="str">
        <x:v>Environment</x:v>
      </x:c>
      <x:c r="B1" s="68" t="str">
        <x:v>Data Classification</x:v>
      </x:c>
      <x:c r="C1" s="68" t="str">
        <x:v>Exposure</x:v>
      </x:c>
      <x:c r="D1" s="68" t="str">
        <x:v>Safety Impact</x:v>
      </x:c>
      <x:c r="E1" s="68" t="str">
        <x:v>Crypto Use Case</x:v>
      </x:c>
      <x:c r="F1" s="68" t="str">
        <x:v>Algorithm Family</x:v>
      </x:c>
      <x:c r="G1" s="68" t="str">
        <x:v>Quantum Vulnerable</x:v>
      </x:c>
      <x:c r="H1" s="68" t="str">
        <x:v>Harvest-Now Concern</x:v>
      </x:c>
      <x:c r="I1" s="68" t="str">
        <x:v>Vendor Roadmap</x:v>
      </x:c>
      <x:c r="J1" s="68" t="str">
        <x:v>Crypto Agility</x:v>
      </x:c>
      <x:c r="K1" s="68" t="str">
        <x:v>PQC Target</x:v>
      </x:c>
      <x:c r="L1" s="68" t="str">
        <x:v>Migration Pattern</x:v>
      </x:c>
      <x:c r="M1" s="68" t="str">
        <x:v>Priority</x:v>
      </x:c>
      <x:c r="N1" s="68" t="str">
        <x:v>Status</x:v>
      </x:c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>
      <x:c r="A2" s="50" t="str">
        <x:v>Production</x:v>
      </x:c>
      <x:c r="B2" s="50" t="str">
        <x:v>Public</x:v>
      </x:c>
      <x:c r="C2" s="50" t="str">
        <x:v>None</x:v>
      </x:c>
      <x:c r="D2" s="50" t="str">
        <x:v>None</x:v>
      </x:c>
      <x:c r="E2" s="50" t="str">
        <x:v>TLS</x:v>
      </x:c>
      <x:c r="F2" s="50" t="str">
        <x:v>RSA</x:v>
      </x:c>
      <x:c r="G2" s="50" t="str">
        <x:v>Y</x:v>
      </x:c>
      <x:c r="H2" s="50" t="str">
        <x:v>Y</x:v>
      </x:c>
      <x:c r="I2" s="50" t="str">
        <x:v>Unknown</x:v>
      </x:c>
      <x:c r="J2" s="50" t="str">
        <x:v>Unknown</x:v>
      </x:c>
      <x:c r="K2" s="50" t="str">
        <x:v>ML-KEM</x:v>
      </x:c>
      <x:c r="L2" s="50" t="str">
        <x:v>Replace crypto library</x:v>
      </x:c>
      <x:c r="M2" s="50" t="str">
        <x:v>P0 - Immediate</x:v>
      </x:c>
      <x:c r="N2" s="50" t="str">
        <x:v>Not Started</x:v>
      </x:c>
    </x:row>
    <x:row r="3">
      <x:c r="A3" s="50" t="str">
        <x:v>Pre-production</x:v>
      </x:c>
      <x:c r="B3" s="50" t="str">
        <x:v>Internal</x:v>
      </x:c>
      <x:c r="C3" s="50" t="str">
        <x:v>Internal</x:v>
      </x:c>
      <x:c r="D3" s="50" t="str">
        <x:v>Low</x:v>
      </x:c>
      <x:c r="E3" s="50" t="str">
        <x:v>VPN</x:v>
      </x:c>
      <x:c r="F3" s="50" t="str">
        <x:v>ECC</x:v>
      </x:c>
      <x:c r="G3" s="50" t="str">
        <x:v>N</x:v>
      </x:c>
      <x:c r="H3" s="50" t="str">
        <x:v>N</x:v>
      </x:c>
      <x:c r="I3" s="50" t="str">
        <x:v>Requested</x:v>
      </x:c>
      <x:c r="J3" s="50" t="str">
        <x:v>Hard-coded</x:v>
      </x:c>
      <x:c r="K3" s="50" t="str">
        <x:v>ML-DSA</x:v>
      </x:c>
      <x:c r="L3" s="50" t="str">
        <x:v>Renew certificate</x:v>
      </x:c>
      <x:c r="M3" s="50" t="str">
        <x:v>P1 - High</x:v>
      </x:c>
      <x:c r="N3" s="50" t="str">
        <x:v>In Progress</x:v>
      </x:c>
    </x:row>
    <x:row r="4">
      <x:c r="A4" s="50" t="str">
        <x:v>Development</x:v>
      </x:c>
      <x:c r="B4" s="50" t="str">
        <x:v>Confidential</x:v>
      </x:c>
      <x:c r="C4" s="50" t="str">
        <x:v>Partner</x:v>
      </x:c>
      <x:c r="D4" s="50" t="str">
        <x:v>Medium</x:v>
      </x:c>
      <x:c r="E4" s="50" t="str">
        <x:v>SSH</x:v>
      </x:c>
      <x:c r="F4" s="50" t="str">
        <x:v>DH</x:v>
      </x:c>
      <x:c r="G4" s="50" t="str">
        <x:v>Unknown</x:v>
      </x:c>
      <x:c r="H4" s="50" t="str">
        <x:v>Unknown</x:v>
      </x:c>
      <x:c r="I4" s="50" t="str">
        <x:v>Planned</x:v>
      </x:c>
      <x:c r="J4" s="50" t="str">
        <x:v>Configurable</x:v>
      </x:c>
      <x:c r="K4" s="50" t="str">
        <x:v>SLH-DSA</x:v>
      </x:c>
      <x:c r="L4" s="50" t="str">
        <x:v>Protocol upgrade</x:v>
      </x:c>
      <x:c r="M4" s="50" t="str">
        <x:v>P2 - Medium</x:v>
      </x:c>
      <x:c r="N4" s="50" t="str">
        <x:v>Blocked</x:v>
      </x:c>
    </x:row>
    <x:row r="5">
      <x:c r="A5" s="50" t="str">
        <x:v>Lab</x:v>
      </x:c>
      <x:c r="B5" s="50" t="str">
        <x:v>Restricted</x:v>
      </x:c>
      <x:c r="C5" s="50" t="str">
        <x:v>Public</x:v>
      </x:c>
      <x:c r="D5" s="50" t="str">
        <x:v>High</x:v>
      </x:c>
      <x:c r="E5" s="50" t="str">
        <x:v>PKI/Certificate</x:v>
      </x:c>
      <x:c r="F5" s="50" t="str">
        <x:v>DSA</x:v>
      </x:c>
      <x:c r="G5" s="50"/>
      <x:c r="H5" s="50"/>
      <x:c r="I5" s="50" t="str">
        <x:v>Available</x:v>
      </x:c>
      <x:c r="J5" s="50" t="str">
        <x:v>Policy-managed</x:v>
      </x:c>
      <x:c r="K5" s="50" t="str">
        <x:v>Hybrid classical+PQC</x:v>
      </x:c>
      <x:c r="L5" s="50" t="str">
        <x:v>Cloud/IAM configuration</x:v>
      </x:c>
      <x:c r="M5" s="50" t="str">
        <x:v>P3 - Low</x:v>
      </x:c>
      <x:c r="N5" s="50" t="str">
        <x:v>Pending Vendor</x:v>
      </x:c>
    </x:row>
    <x:row r="6">
      <x:c r="A6" s="50" t="str">
        <x:v>OT/ICS</x:v>
      </x:c>
      <x:c r="B6" s="50" t="str">
        <x:v>Regulated</x:v>
      </x:c>
      <x:c r="C6" s="50" t="str">
        <x:v>Unknown</x:v>
      </x:c>
      <x:c r="D6" s="50" t="str">
        <x:v>Unknown</x:v>
      </x:c>
      <x:c r="E6" s="50" t="str">
        <x:v>Code Signing</x:v>
      </x:c>
      <x:c r="F6" s="50" t="str">
        <x:v>Symmetric</x:v>
      </x:c>
      <x:c r="G6" s="50"/>
      <x:c r="H6" s="50"/>
      <x:c r="I6" s="50" t="str">
        <x:v>Deployed</x:v>
      </x:c>
      <x:c r="J6" s="50" t="str">
        <x:v>API/Library abstraction</x:v>
      </x:c>
      <x:c r="K6" s="50" t="str">
        <x:v>TBD</x:v>
      </x:c>
      <x:c r="L6" s="50" t="str">
        <x:v>Hardware/HSM refresh</x:v>
      </x:c>
      <x:c r="M6" s="50" t="str">
        <x:v>P4 - Monitor</x:v>
      </x:c>
      <x:c r="N6" s="50" t="str">
        <x:v>Ready for Pilot</x:v>
      </x:c>
    </x:row>
    <x:row r="7">
      <x:c r="A7" s="50" t="str">
        <x:v>Disaster Recovery</x:v>
      </x:c>
      <x:c r="B7" s="50" t="str">
        <x:v>Safety-critical</x:v>
      </x:c>
      <x:c r="C7" s="50"/>
      <x:c r="D7" s="50"/>
      <x:c r="E7" s="50" t="str">
        <x:v>S/MIME</x:v>
      </x:c>
      <x:c r="F7" s="50" t="str">
        <x:v>Hash</x:v>
      </x:c>
      <x:c r="G7" s="50"/>
      <x:c r="H7" s="50"/>
      <x:c r="I7" s="50" t="str">
        <x:v>Not applicable</x:v>
      </x:c>
      <x:c r="J7" s="50" t="str">
        <x:v>Automated</x:v>
      </x:c>
      <x:c r="K7" s="50" t="str">
        <x:v>Not applicable</x:v>
      </x:c>
      <x:c r="L7" s="50" t="str">
        <x:v>Vendor firmware/software update</x:v>
      </x:c>
      <x:c r="M7" s="50"/>
      <x:c r="N7" s="50" t="str">
        <x:v>Pilot Complete</x:v>
      </x:c>
    </x:row>
    <x:row r="8">
      <x:c r="A8" s="50" t="str">
        <x:v>Unknown</x:v>
      </x:c>
      <x:c r="B8" s="50" t="str">
        <x:v>Unknown</x:v>
      </x:c>
      <x:c r="C8" s="50"/>
      <x:c r="D8" s="50"/>
      <x:c r="E8" s="50" t="str">
        <x:v>OIDC/OAuth</x:v>
      </x:c>
      <x:c r="F8" s="50" t="str">
        <x:v>PQC</x:v>
      </x:c>
      <x:c r="G8" s="50"/>
      <x:c r="H8" s="50"/>
      <x:c r="I8" s="50"/>
      <x:c r="J8" s="50"/>
      <x:c r="K8" s="50"/>
      <x:c r="L8" s="50" t="str">
        <x:v>Compensating control</x:v>
      </x:c>
      <x:c r="M8" s="50"/>
      <x:c r="N8" s="50" t="str">
        <x:v>Scheduled</x:v>
      </x:c>
    </x:row>
    <x:row r="9">
      <x:c r="A9" s="50"/>
      <x:c r="B9" s="50"/>
      <x:c r="C9" s="50"/>
      <x:c r="D9" s="50"/>
      <x:c r="E9" s="50" t="str">
        <x:v>SAML</x:v>
      </x:c>
      <x:c r="F9" s="50" t="str">
        <x:v>Hybrid</x:v>
      </x:c>
      <x:c r="G9" s="50"/>
      <x:c r="H9" s="50"/>
      <x:c r="I9" s="50"/>
      <x:c r="J9" s="50"/>
      <x:c r="K9" s="50"/>
      <x:c r="L9" s="50" t="str">
        <x:v>Monitor only</x:v>
      </x:c>
      <x:c r="M9" s="50"/>
      <x:c r="N9" s="50" t="str">
        <x:v>Complete</x:v>
      </x:c>
    </x:row>
    <x:row r="10">
      <x:c r="A10" s="50"/>
      <x:c r="B10" s="50"/>
      <x:c r="C10" s="50"/>
      <x:c r="D10" s="50"/>
      <x:c r="E10" s="50" t="str">
        <x:v>Kerberos</x:v>
      </x:c>
      <x:c r="F10" s="50" t="str">
        <x:v>Unknown</x:v>
      </x:c>
      <x:c r="G10" s="50"/>
      <x:c r="H10" s="50"/>
      <x:c r="I10" s="50"/>
      <x:c r="J10" s="50"/>
      <x:c r="K10" s="50"/>
      <x:c r="L10" s="50" t="str">
        <x:v>Retire asset</x:v>
      </x:c>
      <x:c r="M10" s="50"/>
      <x:c r="N10" s="50" t="str">
        <x:v>Accepted Risk</x:v>
      </x:c>
    </x:row>
    <x:row r="11">
      <x:c r="A11" s="50"/>
      <x:c r="B11" s="50"/>
      <x:c r="C11" s="50"/>
      <x:c r="D11" s="50"/>
      <x:c r="E11" s="50" t="str">
        <x:v>Database Encryption</x:v>
      </x:c>
      <x:c r="F11" s="50"/>
      <x:c r="G11" s="50"/>
      <x:c r="H11" s="50"/>
      <x:c r="I11" s="50"/>
      <x:c r="J11" s="50"/>
      <x:c r="K11" s="50"/>
      <x:c r="L11" s="50" t="str">
        <x:v>Unknown</x:v>
      </x:c>
      <x:c r="M11" s="50"/>
      <x:c r="N11" s="50" t="str">
        <x:v>Not Applicable</x:v>
      </x:c>
    </x:row>
    <x:row r="12">
      <x:c r="A12" s="50"/>
      <x:c r="B12" s="50"/>
      <x:c r="C12" s="50"/>
      <x:c r="D12" s="50"/>
      <x:c r="E12" s="50" t="str">
        <x:v>Storage Encryption</x:v>
      </x:c>
      <x:c r="F12" s="50"/>
      <x:c r="G12" s="50"/>
      <x:c r="H12" s="50"/>
      <x:c r="I12" s="50"/>
      <x:c r="J12" s="50"/>
      <x:c r="K12" s="50"/>
      <x:c r="L12" s="50"/>
      <x:c r="M12" s="50"/>
      <x:c r="N12" s="50"/>
    </x:row>
    <x:row r="13">
      <x:c r="A13" s="50"/>
      <x:c r="B13" s="50"/>
      <x:c r="C13" s="50"/>
      <x:c r="D13" s="50"/>
      <x:c r="E13" s="50" t="str">
        <x:v>API Gateway</x:v>
      </x:c>
      <x:c r="F13" s="50"/>
      <x:c r="G13" s="50"/>
      <x:c r="H13" s="50"/>
      <x:c r="I13" s="50"/>
      <x:c r="J13" s="50"/>
      <x:c r="K13" s="50"/>
      <x:c r="L13" s="50"/>
      <x:c r="M13" s="50"/>
      <x:c r="N13" s="50"/>
    </x:row>
    <x:row r="14">
      <x:c r="A14" s="50"/>
      <x:c r="B14" s="50"/>
      <x:c r="C14" s="50"/>
      <x:c r="D14" s="50"/>
      <x:c r="E14" s="50" t="str">
        <x:v>Service Mesh</x:v>
      </x:c>
      <x:c r="F14" s="50"/>
      <x:c r="G14" s="50"/>
      <x:c r="H14" s="50"/>
      <x:c r="I14" s="50"/>
      <x:c r="J14" s="50"/>
      <x:c r="K14" s="50"/>
      <x:c r="L14" s="50"/>
      <x:c r="M14" s="50"/>
      <x:c r="N14" s="50"/>
    </x:row>
    <x:row r="15">
      <x:c r="A15" s="50"/>
      <x:c r="B15" s="50"/>
      <x:c r="C15" s="50"/>
      <x:c r="D15" s="50"/>
      <x:c r="E15" s="50" t="str">
        <x:v>Firmware Signing</x:v>
      </x:c>
      <x:c r="F15" s="50"/>
      <x:c r="G15" s="50"/>
      <x:c r="H15" s="50"/>
      <x:c r="I15" s="50"/>
      <x:c r="J15" s="50"/>
      <x:c r="K15" s="50"/>
      <x:c r="L15" s="50"/>
      <x:c r="M15" s="50"/>
      <x:c r="N15" s="50"/>
    </x:row>
    <x:row r="16">
      <x:c r="A16" s="50"/>
      <x:c r="B16" s="50"/>
      <x:c r="C16" s="50"/>
      <x:c r="D16" s="50"/>
      <x:c r="E16" s="50" t="str">
        <x:v>Secure Boot</x:v>
      </x:c>
      <x:c r="F16" s="50"/>
      <x:c r="G16" s="50"/>
      <x:c r="H16" s="50"/>
      <x:c r="I16" s="50"/>
      <x:c r="J16" s="50"/>
      <x:c r="K16" s="50"/>
      <x:c r="L16" s="50"/>
      <x:c r="M16" s="50"/>
      <x:c r="N16" s="50"/>
    </x:row>
    <x:row r="17">
      <x:c r="A17" s="50"/>
      <x:c r="B17" s="50"/>
      <x:c r="C17" s="50"/>
      <x:c r="D17" s="50"/>
      <x:c r="E17" s="50" t="str">
        <x:v>Remote Access</x:v>
      </x:c>
      <x:c r="F17" s="50"/>
      <x:c r="G17" s="50"/>
      <x:c r="H17" s="50"/>
      <x:c r="I17" s="50"/>
      <x:c r="J17" s="50"/>
      <x:c r="K17" s="50"/>
      <x:c r="L17" s="50"/>
      <x:c r="M17" s="50"/>
      <x:c r="N17" s="50"/>
    </x:row>
    <x:row r="18">
      <x:c r="A18" s="50"/>
      <x:c r="B18" s="50"/>
      <x:c r="C18" s="50"/>
      <x:c r="D18" s="50"/>
      <x:c r="E18" s="50" t="str">
        <x:v>Industrial Protocol</x:v>
      </x:c>
      <x:c r="F18" s="50"/>
      <x:c r="G18" s="50"/>
      <x:c r="H18" s="50"/>
      <x:c r="I18" s="50"/>
      <x:c r="J18" s="50"/>
      <x:c r="K18" s="50"/>
      <x:c r="L18" s="50"/>
      <x:c r="M18" s="50"/>
      <x:c r="N18" s="50"/>
    </x:row>
    <x:row r="19">
      <x:c r="A19" s="50"/>
      <x:c r="B19" s="50"/>
      <x:c r="C19" s="50"/>
      <x:c r="D19" s="50"/>
      <x:c r="E19" s="50" t="str">
        <x:v>Other</x:v>
      </x:c>
      <x:c r="F19" s="50"/>
      <x:c r="G19" s="50"/>
      <x:c r="H19" s="50"/>
      <x:c r="I19" s="50"/>
      <x:c r="J19" s="50"/>
      <x:c r="K19" s="50"/>
      <x:c r="L19" s="50"/>
      <x:c r="M19" s="50"/>
      <x:c r="N19" s="50"/>
    </x:row>
    <x:row r="20">
      <x:c r="A20" s="50"/>
      <x:c r="B20" s="50"/>
      <x:c r="C20" s="50"/>
      <x:c r="D20" s="50"/>
      <x:c r="E20" s="50" t="str">
        <x:v>Unknown</x:v>
      </x:c>
      <x:c r="F20" s="50"/>
      <x:c r="G20" s="50"/>
      <x:c r="H20" s="50"/>
      <x:c r="I20" s="50"/>
      <x:c r="J20" s="50"/>
      <x:c r="K20" s="50"/>
      <x:c r="L20" s="50"/>
      <x:c r="M20" s="50"/>
      <x:c r="N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6" hidden="0" customWidth="1"/>
    <x:col min="11" max="11" width="18" hidden="0" customWidth="1"/>
    <x:col min="12" max="12" width="12" hidden="0" customWidth="1"/>
    <x:col min="13" max="13" width="20" hidden="0" customWidth="1"/>
    <x:col min="14" max="14" width="18" hidden="0" customWidth="1"/>
    <x:col min="15" max="15" width="16" hidden="0" customWidth="1"/>
    <x:col min="16" max="16" width="24" hidden="0" customWidth="1"/>
    <x:col min="17" max="17" width="14" hidden="0" customWidth="1"/>
    <x:col min="18" max="18" width="28" hidden="0" customWidth="1"/>
    <x:col min="19" max="19" width="28" hidden="0" customWidth="1"/>
    <x:col min="20" max="20" width="18" hidden="0" customWidth="1"/>
    <x:col min="21" max="21" width="20" hidden="0" customWidth="1"/>
    <x:col min="22" max="22" width="18" hidden="0" customWidth="1"/>
    <x:col min="23" max="23" width="22" hidden="0" customWidth="1"/>
    <x:col min="24" max="24" width="22" hidden="0" customWidth="1"/>
    <x:col min="25" max="25" width="24" hidden="0" customWidth="1"/>
    <x:col min="26" max="26" width="14" hidden="0" customWidth="1"/>
    <x:col min="27" max="27" width="18" hidden="0" customWidth="1"/>
    <x:col min="28" max="28" width="12" hidden="0" customWidth="1"/>
    <x:col min="29" max="29" width="18" hidden="0" customWidth="1"/>
    <x:col min="30" max="30" width="18" hidden="0" customWidth="1"/>
    <x:col min="31" max="31" width="14" hidden="0" customWidth="1"/>
    <x:col min="32" max="32" width="30" hidden="0" customWidth="1"/>
    <x:col min="33" max="33" width="16" hidden="0" customWidth="1"/>
    <x:col min="34" max="34" width="42" hidden="0" customWidth="1"/>
  </x:cols>
  <x:sheetData>
    <x:row r="1">
      <x:c r="A1" s="53" t="str">
        <x:v>Asset ID</x:v>
      </x:c>
      <x:c r="B1" s="53" t="str">
        <x:v>Asset/System Name</x:v>
      </x:c>
      <x:c r="C1" s="53" t="str">
        <x:v>Business Process</x:v>
      </x:c>
      <x:c r="D1" s="53" t="str">
        <x:v>Business Owner</x:v>
      </x:c>
      <x:c r="E1" s="53" t="str">
        <x:v>Technical Owner</x:v>
      </x:c>
      <x:c r="F1" s="53" t="str">
        <x:v>Environment</x:v>
      </x:c>
      <x:c r="G1" s="53" t="str">
        <x:v>Location/Zone</x:v>
      </x:c>
      <x:c r="H1" s="53" t="str">
        <x:v>Data Classification</x:v>
      </x:c>
      <x:c r="I1" s="53" t="str">
        <x:v>Data Shelf-Life (Years)</x:v>
      </x:c>
      <x:c r="J1" s="53" t="str">
        <x:v>External Exposure</x:v>
      </x:c>
      <x:c r="K1" s="53" t="str">
        <x:v>OT/ICS Safety Impact</x:v>
      </x:c>
      <x:c r="L1" s="53" t="str">
        <x:v>Criticality (1-5)</x:v>
      </x:c>
      <x:c r="M1" s="53" t="str">
        <x:v>Crypto Use Case</x:v>
      </x:c>
      <x:c r="N1" s="53" t="str">
        <x:v>Protocol/Standard</x:v>
      </x:c>
      <x:c r="O1" s="53" t="str">
        <x:v>Algorithm Family</x:v>
      </x:c>
      <x:c r="P1" s="53" t="str">
        <x:v>Algorithm/Curve/Group</x:v>
      </x:c>
      <x:c r="Q1" s="53" t="str">
        <x:v>Key/Cert Size</x:v>
      </x:c>
      <x:c r="R1" s="53" t="str">
        <x:v>Crypto Library / HSM / CA</x:v>
      </x:c>
      <x:c r="S1" s="53" t="str">
        <x:v>Certificate/Key Location</x:v>
      </x:c>
      <x:c r="T1" s="53" t="str">
        <x:v>Identity Type</x:v>
      </x:c>
      <x:c r="U1" s="53" t="str">
        <x:v>Vendor/Supplier</x:v>
      </x:c>
      <x:c r="V1" s="53" t="str">
        <x:v>Vendor PQC Roadmap</x:v>
      </x:c>
      <x:c r="W1" s="53" t="str">
        <x:v>Crypto Agility</x:v>
      </x:c>
      <x:c r="X1" s="53" t="str">
        <x:v>PQC Target Standard</x:v>
      </x:c>
      <x:c r="Y1" s="53" t="str">
        <x:v>Migration Pattern</x:v>
      </x:c>
      <x:c r="Z1" s="53" t="str">
        <x:v>Quantum Vulnerable</x:v>
      </x:c>
      <x:c r="AA1" s="53" t="str">
        <x:v>Harvest-Now Concern</x:v>
      </x:c>
      <x:c r="AB1" s="53" t="str">
        <x:v>Risk Score</x:v>
      </x:c>
      <x:c r="AC1" s="53" t="str">
        <x:v>Migration Priority</x:v>
      </x:c>
      <x:c r="AD1" s="53" t="str">
        <x:v>Status</x:v>
      </x:c>
      <x:c r="AE1" s="53" t="str">
        <x:v>Target Quarter</x:v>
      </x:c>
      <x:c r="AF1" s="53" t="str">
        <x:v>Evidence URL</x:v>
      </x:c>
      <x:c r="AG1" s="53" t="str">
        <x:v>Last Verified</x:v>
      </x:c>
      <x:c r="AH1" s="53" t="str">
        <x:v>Notes</x:v>
      </x:c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>
      <x:c r="A2" s="28" t="str">
        <x:v>APP-001</x:v>
      </x:c>
      <x:c r="B2" s="28" t="str">
        <x:v>Customer-facing web portal</x:v>
      </x:c>
      <x:c r="C2" s="28" t="str">
        <x:v>Customer access</x:v>
      </x:c>
      <x:c r="D2" s="28" t="str">
        <x:v>Business Owner</x:v>
      </x:c>
      <x:c r="E2" s="28" t="str">
        <x:v>Platform Owner</x:v>
      </x:c>
      <x:c r="F2" s="28" t="str">
        <x:v>Production</x:v>
      </x:c>
      <x:c r="G2" s="28" t="str">
        <x:v>Internet DMZ</x:v>
      </x:c>
      <x:c r="H2" s="28" t="str">
        <x:v>Restricted</x:v>
      </x:c>
      <x:c r="I2" s="56" t="n">
        <x:v>10</x:v>
      </x:c>
      <x:c r="J2" s="28" t="str">
        <x:v>Public</x:v>
      </x:c>
      <x:c r="K2" s="28" t="str">
        <x:v>None</x:v>
      </x:c>
      <x:c r="L2" s="56" t="n">
        <x:v>5</x:v>
      </x:c>
      <x:c r="M2" s="28" t="str">
        <x:v>TLS</x:v>
      </x:c>
      <x:c r="N2" s="28" t="str">
        <x:v>TLS 1.2/1.3</x:v>
      </x:c>
      <x:c r="O2" s="28" t="str">
        <x:v>RSA</x:v>
      </x:c>
      <x:c r="P2" s="28" t="str">
        <x:v>RSA-2048 certificate</x:v>
      </x:c>
      <x:c r="Q2" s="28" t="str">
        <x:v>2048</x:v>
      </x:c>
      <x:c r="R2" s="28" t="str">
        <x:v>Open-source TLS library / enterprise CA</x:v>
      </x:c>
      <x:c r="S2" s="28" t="str">
        <x:v>Load balancer cert store</x:v>
      </x:c>
      <x:c r="T2" s="28" t="str">
        <x:v>Machine</x:v>
      </x:c>
      <x:c r="U2" s="28" t="str">
        <x:v>TBD</x:v>
      </x:c>
      <x:c r="V2" s="28" t="str">
        <x:v>Requested</x:v>
      </x:c>
      <x:c r="W2" s="28" t="str">
        <x:v>Configurable</x:v>
      </x:c>
      <x:c r="X2" s="28" t="str">
        <x:v>Hybrid classical+PQC</x:v>
      </x:c>
      <x:c r="Y2" s="28" t="str">
        <x:v>Renew certificate</x:v>
      </x:c>
      <x:c r="Z2" s="28" t="str">
        <x:v>Y</x:v>
      </x:c>
      <x:c r="AA2" s="28" t="str">
        <x:v>Y</x:v>
      </x:c>
      <x:c r="AB2" s="56" t="n">
        <x:f>IF($A2="","",IF(Z2="Y",20,IF(Z2="Unknown",10,0))+$L2*5+IF(AA2="Y",15,IF(AA2="Unknown",5,0))+IF($J2="Public",10,IF($J2="Partner",7,IF($J2="Internal",3,0)))+IF($W2="Hard-coded",10,IF($W2="Unknown",7,IF($W2="Configurable",3,0)))+IF($I2&gt;=10,10,IF($I2&gt;=5,7,IF($I2&gt;=2,3,0)))+IF($K2="High",10,IF($K2="Medium",5,0)))</x:f>
        <x:v>83</x:v>
      </x:c>
      <x:c r="AC2" s="28" t="str">
        <x:f>IF($A2="","",IF(AB2&gt;=70,"P0 - Immediate",IF(AB2&gt;=50,"P1 - High",IF(AB2&gt;=30,"P2 - Medium",IF(AB2&gt;=15,"P3 - Low","P4 - Monitor")))))</x:f>
        <x:v>P0 - Immediate</x:v>
      </x:c>
      <x:c r="AD2" s="28" t="str">
        <x:v>Not Started</x:v>
      </x:c>
      <x:c r="AE2" s="28" t="str">
        <x:v>2026-Q4</x:v>
      </x:c>
      <x:c r="AF2" s="28" t="str">
        <x:v>https://example.org/evidence/app-001</x:v>
      </x:c>
      <x:c r="AG2" s="58" t="n">
        <x:v>46180</x:v>
      </x:c>
      <x:c r="AH2" s="28" t="str">
        <x:v>Example row. Replace with actual evidence.</x:v>
      </x:c>
    </x:row>
    <x:row r="3">
      <x:c r="A3" s="28" t="str">
        <x:v>IAM-001</x:v>
      </x:c>
      <x:c r="B3" s="28" t="str">
        <x:v>Enterprise SSO signing certificate</x:v>
      </x:c>
      <x:c r="C3" s="28" t="str">
        <x:v>Workforce authentication</x:v>
      </x:c>
      <x:c r="D3" s="28" t="str">
        <x:v>Identity Owner</x:v>
      </x:c>
      <x:c r="E3" s="28" t="str">
        <x:v>IAM Owner</x:v>
      </x:c>
      <x:c r="F3" s="28" t="str">
        <x:v>Production</x:v>
      </x:c>
      <x:c r="G3" s="28" t="str">
        <x:v>Identity zone</x:v>
      </x:c>
      <x:c r="H3" s="28" t="str">
        <x:v>Confidential</x:v>
      </x:c>
      <x:c r="I3" s="56" t="n">
        <x:v>5</x:v>
      </x:c>
      <x:c r="J3" s="28" t="str">
        <x:v>Partner</x:v>
      </x:c>
      <x:c r="K3" s="28" t="str">
        <x:v>None</x:v>
      </x:c>
      <x:c r="L3" s="56" t="n">
        <x:v>5</x:v>
      </x:c>
      <x:c r="M3" s="28" t="str">
        <x:v>SAML</x:v>
      </x:c>
      <x:c r="N3" s="28" t="str">
        <x:v>SAML 2.0 signing</x:v>
      </x:c>
      <x:c r="O3" s="28" t="str">
        <x:v>RSA</x:v>
      </x:c>
      <x:c r="P3" s="28" t="str">
        <x:v>RSA-3072 signing cert</x:v>
      </x:c>
      <x:c r="Q3" s="28" t="str">
        <x:v>3072</x:v>
      </x:c>
      <x:c r="R3" s="28" t="str">
        <x:v>Enterprise IdP / enterprise CA</x:v>
      </x:c>
      <x:c r="S3" s="28" t="str">
        <x:v>IdP signing key store</x:v>
      </x:c>
      <x:c r="T3" s="28" t="str">
        <x:v>Machine</x:v>
      </x:c>
      <x:c r="U3" s="28" t="str">
        <x:v>TBD</x:v>
      </x:c>
      <x:c r="V3" s="28" t="str">
        <x:v>Planned</x:v>
      </x:c>
      <x:c r="W3" s="28" t="str">
        <x:v>Policy-managed</x:v>
      </x:c>
      <x:c r="X3" s="28" t="str">
        <x:v>ML-DSA</x:v>
      </x:c>
      <x:c r="Y3" s="28" t="str">
        <x:v>Renew certificate</x:v>
      </x:c>
      <x:c r="Z3" s="28" t="str">
        <x:v>Y</x:v>
      </x:c>
      <x:c r="AA3" s="28" t="str">
        <x:v>N</x:v>
      </x:c>
      <x:c r="AB3" s="56" t="n">
        <x:f>IF($A3="","",IF(Z3="Y",20,IF(Z3="Unknown",10,0))+$L3*5+IF(AA3="Y",15,IF(AA3="Unknown",5,0))+IF($J3="Public",10,IF($J3="Partner",7,IF($J3="Internal",3,0)))+IF($W3="Hard-coded",10,IF($W3="Unknown",7,IF($W3="Configurable",3,0)))+IF($I3&gt;=10,10,IF($I3&gt;=5,7,IF($I3&gt;=2,3,0)))+IF($K3="High",10,IF($K3="Medium",5,0)))</x:f>
        <x:v>59</x:v>
      </x:c>
      <x:c r="AC3" s="28" t="str">
        <x:f>IF($A3="","",IF(AB3&gt;=70,"P0 - Immediate",IF(AB3&gt;=50,"P1 - High",IF(AB3&gt;=30,"P2 - Medium",IF(AB3&gt;=15,"P3 - Low","P4 - Monitor")))))</x:f>
        <x:v>P1 - High</x:v>
      </x:c>
      <x:c r="AD3" s="28" t="str">
        <x:v>In Progress</x:v>
      </x:c>
      <x:c r="AE3" s="28" t="str">
        <x:v>2026-Q3</x:v>
      </x:c>
      <x:c r="AF3" s="28" t="str"/>
      <x:c r="AG3" s="58" t="n">
        <x:v>46180</x:v>
      </x:c>
      <x:c r="AH3" s="28" t="str">
        <x:v>Assess federation partner compatibility before signing algorithm change.</x:v>
      </x:c>
    </x:row>
    <x:row r="4">
      <x:c r="A4" s="28" t="str">
        <x:v>OT-001</x:v>
      </x:c>
      <x:c r="B4" s="28" t="str">
        <x:v>Plant historian remote access path</x:v>
      </x:c>
      <x:c r="C4" s="28" t="str">
        <x:v>Operations monitoring</x:v>
      </x:c>
      <x:c r="D4" s="28" t="str">
        <x:v>Operations Owner</x:v>
      </x:c>
      <x:c r="E4" s="28" t="str">
        <x:v>OT Security Owner</x:v>
      </x:c>
      <x:c r="F4" s="28" t="str">
        <x:v>OT/ICS</x:v>
      </x:c>
      <x:c r="G4" s="28" t="str">
        <x:v>Level 3.5 DMZ</x:v>
      </x:c>
      <x:c r="H4" s="28" t="str">
        <x:v>Safety-critical</x:v>
      </x:c>
      <x:c r="I4" s="56" t="n">
        <x:v>15</x:v>
      </x:c>
      <x:c r="J4" s="28" t="str">
        <x:v>Partner</x:v>
      </x:c>
      <x:c r="K4" s="28" t="str">
        <x:v>High</x:v>
      </x:c>
      <x:c r="L4" s="56" t="n">
        <x:v>5</x:v>
      </x:c>
      <x:c r="M4" s="28" t="str">
        <x:v>VPN</x:v>
      </x:c>
      <x:c r="N4" s="28" t="str">
        <x:v>IPsec/IKE</x:v>
      </x:c>
      <x:c r="O4" s="28" t="str">
        <x:v>ECC</x:v>
      </x:c>
      <x:c r="P4" s="28" t="str">
        <x:v>ECDHE P-256 / ECDSA P-256</x:v>
      </x:c>
      <x:c r="Q4" s="28" t="str">
        <x:v>256</x:v>
      </x:c>
      <x:c r="R4" s="28" t="str">
        <x:v>VPN gateway / certificate authority</x:v>
      </x:c>
      <x:c r="S4" s="28" t="str">
        <x:v>OT DMZ VPN cert store</x:v>
      </x:c>
      <x:c r="T4" s="28" t="str">
        <x:v>Human/Machine</x:v>
      </x:c>
      <x:c r="U4" s="28" t="str">
        <x:v>TBD</x:v>
      </x:c>
      <x:c r="V4" s="28" t="str">
        <x:v>Unknown</x:v>
      </x:c>
      <x:c r="W4" s="28" t="str">
        <x:v>Unknown</x:v>
      </x:c>
      <x:c r="X4" s="28" t="str">
        <x:v>TBD</x:v>
      </x:c>
      <x:c r="Y4" s="28" t="str">
        <x:v>Protocol upgrade</x:v>
      </x:c>
      <x:c r="Z4" s="28" t="str">
        <x:v>Y</x:v>
      </x:c>
      <x:c r="AA4" s="28" t="str">
        <x:v>Y</x:v>
      </x:c>
      <x:c r="AB4" s="56" t="n">
        <x:f>IF($A4="","",IF(Z4="Y",20,IF(Z4="Unknown",10,0))+$L4*5+IF(AA4="Y",15,IF(AA4="Unknown",5,0))+IF($J4="Public",10,IF($J4="Partner",7,IF($J4="Internal",3,0)))+IF($W4="Hard-coded",10,IF($W4="Unknown",7,IF($W4="Configurable",3,0)))+IF($I4&gt;=10,10,IF($I4&gt;=5,7,IF($I4&gt;=2,3,0)))+IF($K4="High",10,IF($K4="Medium",5,0)))</x:f>
        <x:v>94</x:v>
      </x:c>
      <x:c r="AC4" s="28" t="str">
        <x:f>IF($A4="","",IF(AB4&gt;=70,"P0 - Immediate",IF(AB4&gt;=50,"P1 - High",IF(AB4&gt;=30,"P2 - Medium",IF(AB4&gt;=15,"P3 - Low","P4 - Monitor")))))</x:f>
        <x:v>P0 - Immediate</x:v>
      </x:c>
      <x:c r="AD4" s="28" t="str">
        <x:v>Pending Vendor</x:v>
      </x:c>
      <x:c r="AE4" s="28" t="str">
        <x:v>2027-Q2</x:v>
      </x:c>
      <x:c r="AF4" s="28" t="str"/>
      <x:c r="AG4" s="58" t="n">
        <x:v>46180</x:v>
      </x:c>
      <x:c r="AH4" s="28" t="str">
        <x:v>Example OT row. Test only in lab or approved maintenance window.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56"/>
      <x:c r="J5" s="28"/>
      <x:c r="K5" s="28"/>
      <x:c r="L5" s="56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  <x:c r="AA5" s="28"/>
      <x:c r="AB5" s="56" t="str">
        <x:f>IF($A5="","",IF(Z5="Y",20,IF(Z5="Unknown",10,0))+$L5*5+IF(AA5="Y",15,IF(AA5="Unknown",5,0))+IF($J5="Public",10,IF($J5="Partner",7,IF($J5="Internal",3,0)))+IF($W5="Hard-coded",10,IF($W5="Unknown",7,IF($W5="Configurable",3,0)))+IF($I5&gt;=10,10,IF($I5&gt;=5,7,IF($I5&gt;=2,3,0)))+IF($K5="High",10,IF($K5="Medium",5,0)))</x:f>
      </x:c>
      <x:c r="AC5" s="28" t="str">
        <x:f>IF($A5="","",IF(AB5&gt;=70,"P0 - Immediate",IF(AB5&gt;=50,"P1 - High",IF(AB5&gt;=30,"P2 - Medium",IF(AB5&gt;=15,"P3 - Low","P4 - Monitor")))))</x:f>
      </x:c>
      <x:c r="AD5" s="28"/>
      <x:c r="AE5" s="28"/>
      <x:c r="AF5" s="28"/>
      <x:c r="AG5" s="58"/>
      <x:c r="AH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56"/>
      <x:c r="J6" s="28"/>
      <x:c r="K6" s="28"/>
      <x:c r="L6" s="56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56" t="str">
        <x:f>IF($A6="","",IF(Z6="Y",20,IF(Z6="Unknown",10,0))+$L6*5+IF(AA6="Y",15,IF(AA6="Unknown",5,0))+IF($J6="Public",10,IF($J6="Partner",7,IF($J6="Internal",3,0)))+IF($W6="Hard-coded",10,IF($W6="Unknown",7,IF($W6="Configurable",3,0)))+IF($I6&gt;=10,10,IF($I6&gt;=5,7,IF($I6&gt;=2,3,0)))+IF($K6="High",10,IF($K6="Medium",5,0)))</x:f>
      </x:c>
      <x:c r="AC6" s="28" t="str">
        <x:f>IF($A6="","",IF(AB6&gt;=70,"P0 - Immediate",IF(AB6&gt;=50,"P1 - High",IF(AB6&gt;=30,"P2 - Medium",IF(AB6&gt;=15,"P3 - Low","P4 - Monitor")))))</x:f>
      </x:c>
      <x:c r="AD6" s="28"/>
      <x:c r="AE6" s="28"/>
      <x:c r="AF6" s="28"/>
      <x:c r="AG6" s="58"/>
      <x:c r="AH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56"/>
      <x:c r="J7" s="28"/>
      <x:c r="K7" s="28"/>
      <x:c r="L7" s="56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  <x:c r="AA7" s="28"/>
      <x:c r="AB7" s="56" t="str">
        <x:f>IF($A7="","",IF(Z7="Y",20,IF(Z7="Unknown",10,0))+$L7*5+IF(AA7="Y",15,IF(AA7="Unknown",5,0))+IF($J7="Public",10,IF($J7="Partner",7,IF($J7="Internal",3,0)))+IF($W7="Hard-coded",10,IF($W7="Unknown",7,IF($W7="Configurable",3,0)))+IF($I7&gt;=10,10,IF($I7&gt;=5,7,IF($I7&gt;=2,3,0)))+IF($K7="High",10,IF($K7="Medium",5,0)))</x:f>
      </x:c>
      <x:c r="AC7" s="28" t="str">
        <x:f>IF($A7="","",IF(AB7&gt;=70,"P0 - Immediate",IF(AB7&gt;=50,"P1 - High",IF(AB7&gt;=30,"P2 - Medium",IF(AB7&gt;=15,"P3 - Low","P4 - Monitor")))))</x:f>
      </x:c>
      <x:c r="AD7" s="28"/>
      <x:c r="AE7" s="28"/>
      <x:c r="AF7" s="28"/>
      <x:c r="AG7" s="58"/>
      <x:c r="AH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56"/>
      <x:c r="J8" s="28"/>
      <x:c r="K8" s="28"/>
      <x:c r="L8" s="56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  <x:c r="AA8" s="28"/>
      <x:c r="AB8" s="56" t="str">
        <x:f>IF($A8="","",IF(Z8="Y",20,IF(Z8="Unknown",10,0))+$L8*5+IF(AA8="Y",15,IF(AA8="Unknown",5,0))+IF($J8="Public",10,IF($J8="Partner",7,IF($J8="Internal",3,0)))+IF($W8="Hard-coded",10,IF($W8="Unknown",7,IF($W8="Configurable",3,0)))+IF($I8&gt;=10,10,IF($I8&gt;=5,7,IF($I8&gt;=2,3,0)))+IF($K8="High",10,IF($K8="Medium",5,0)))</x:f>
      </x:c>
      <x:c r="AC8" s="28" t="str">
        <x:f>IF($A8="","",IF(AB8&gt;=70,"P0 - Immediate",IF(AB8&gt;=50,"P1 - High",IF(AB8&gt;=30,"P2 - Medium",IF(AB8&gt;=15,"P3 - Low","P4 - Monitor")))))</x:f>
      </x:c>
      <x:c r="AD8" s="28"/>
      <x:c r="AE8" s="28"/>
      <x:c r="AF8" s="28"/>
      <x:c r="AG8" s="58"/>
      <x:c r="AH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56"/>
      <x:c r="J9" s="28"/>
      <x:c r="K9" s="28"/>
      <x:c r="L9" s="56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  <x:c r="AA9" s="28"/>
      <x:c r="AB9" s="56" t="str">
        <x:f>IF($A9="","",IF(Z9="Y",20,IF(Z9="Unknown",10,0))+$L9*5+IF(AA9="Y",15,IF(AA9="Unknown",5,0))+IF($J9="Public",10,IF($J9="Partner",7,IF($J9="Internal",3,0)))+IF($W9="Hard-coded",10,IF($W9="Unknown",7,IF($W9="Configurable",3,0)))+IF($I9&gt;=10,10,IF($I9&gt;=5,7,IF($I9&gt;=2,3,0)))+IF($K9="High",10,IF($K9="Medium",5,0)))</x:f>
      </x:c>
      <x:c r="AC9" s="28" t="str">
        <x:f>IF($A9="","",IF(AB9&gt;=70,"P0 - Immediate",IF(AB9&gt;=50,"P1 - High",IF(AB9&gt;=30,"P2 - Medium",IF(AB9&gt;=15,"P3 - Low","P4 - Monitor")))))</x:f>
      </x:c>
      <x:c r="AD9" s="28"/>
      <x:c r="AE9" s="28"/>
      <x:c r="AF9" s="28"/>
      <x:c r="AG9" s="58"/>
      <x:c r="AH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56"/>
      <x:c r="J10" s="28"/>
      <x:c r="K10" s="28"/>
      <x:c r="L10" s="56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  <x:c r="AB10" s="56" t="str">
        <x:f>IF($A10="","",IF(Z10="Y",20,IF(Z10="Unknown",10,0))+$L10*5+IF(AA10="Y",15,IF(AA10="Unknown",5,0))+IF($J10="Public",10,IF($J10="Partner",7,IF($J10="Internal",3,0)))+IF($W10="Hard-coded",10,IF($W10="Unknown",7,IF($W10="Configurable",3,0)))+IF($I10&gt;=10,10,IF($I10&gt;=5,7,IF($I10&gt;=2,3,0)))+IF($K10="High",10,IF($K10="Medium",5,0)))</x:f>
      </x:c>
      <x:c r="AC10" s="28" t="str">
        <x:f>IF($A10="","",IF(AB10&gt;=70,"P0 - Immediate",IF(AB10&gt;=50,"P1 - High",IF(AB10&gt;=30,"P2 - Medium",IF(AB10&gt;=15,"P3 - Low","P4 - Monitor")))))</x:f>
      </x:c>
      <x:c r="AD10" s="28"/>
      <x:c r="AE10" s="28"/>
      <x:c r="AF10" s="28"/>
      <x:c r="AG10" s="58"/>
      <x:c r="AH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56"/>
      <x:c r="J11" s="28"/>
      <x:c r="K11" s="28"/>
      <x:c r="L11" s="56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  <x:c r="AA11" s="28"/>
      <x:c r="AB11" s="56" t="str">
        <x:f>IF($A11="","",IF(Z11="Y",20,IF(Z11="Unknown",10,0))+$L11*5+IF(AA11="Y",15,IF(AA11="Unknown",5,0))+IF($J11="Public",10,IF($J11="Partner",7,IF($J11="Internal",3,0)))+IF($W11="Hard-coded",10,IF($W11="Unknown",7,IF($W11="Configurable",3,0)))+IF($I11&gt;=10,10,IF($I11&gt;=5,7,IF($I11&gt;=2,3,0)))+IF($K11="High",10,IF($K11="Medium",5,0)))</x:f>
      </x:c>
      <x:c r="AC11" s="28" t="str">
        <x:f>IF($A11="","",IF(AB11&gt;=70,"P0 - Immediate",IF(AB11&gt;=50,"P1 - High",IF(AB11&gt;=30,"P2 - Medium",IF(AB11&gt;=15,"P3 - Low","P4 - Monitor")))))</x:f>
      </x:c>
      <x:c r="AD11" s="28"/>
      <x:c r="AE11" s="28"/>
      <x:c r="AF11" s="28"/>
      <x:c r="AG11" s="58"/>
      <x:c r="AH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56"/>
      <x:c r="J12" s="28"/>
      <x:c r="K12" s="28"/>
      <x:c r="L12" s="56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  <x:c r="AA12" s="28"/>
      <x:c r="AB12" s="56" t="str">
        <x:f>IF($A12="","",IF(Z12="Y",20,IF(Z12="Unknown",10,0))+$L12*5+IF(AA12="Y",15,IF(AA12="Unknown",5,0))+IF($J12="Public",10,IF($J12="Partner",7,IF($J12="Internal",3,0)))+IF($W12="Hard-coded",10,IF($W12="Unknown",7,IF($W12="Configurable",3,0)))+IF($I12&gt;=10,10,IF($I12&gt;=5,7,IF($I12&gt;=2,3,0)))+IF($K12="High",10,IF($K12="Medium",5,0)))</x:f>
      </x:c>
      <x:c r="AC12" s="28" t="str">
        <x:f>IF($A12="","",IF(AB12&gt;=70,"P0 - Immediate",IF(AB12&gt;=50,"P1 - High",IF(AB12&gt;=30,"P2 - Medium",IF(AB12&gt;=15,"P3 - Low","P4 - Monitor")))))</x:f>
      </x:c>
      <x:c r="AD12" s="28"/>
      <x:c r="AE12" s="28"/>
      <x:c r="AF12" s="28"/>
      <x:c r="AG12" s="58"/>
      <x:c r="AH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56"/>
      <x:c r="J13" s="28"/>
      <x:c r="K13" s="28"/>
      <x:c r="L13" s="56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56" t="str">
        <x:f>IF($A13="","",IF(Z13="Y",20,IF(Z13="Unknown",10,0))+$L13*5+IF(AA13="Y",15,IF(AA13="Unknown",5,0))+IF($J13="Public",10,IF($J13="Partner",7,IF($J13="Internal",3,0)))+IF($W13="Hard-coded",10,IF($W13="Unknown",7,IF($W13="Configurable",3,0)))+IF($I13&gt;=10,10,IF($I13&gt;=5,7,IF($I13&gt;=2,3,0)))+IF($K13="High",10,IF($K13="Medium",5,0)))</x:f>
      </x:c>
      <x:c r="AC13" s="28" t="str">
        <x:f>IF($A13="","",IF(AB13&gt;=70,"P0 - Immediate",IF(AB13&gt;=50,"P1 - High",IF(AB13&gt;=30,"P2 - Medium",IF(AB13&gt;=15,"P3 - Low","P4 - Monitor")))))</x:f>
      </x:c>
      <x:c r="AD13" s="28"/>
      <x:c r="AE13" s="28"/>
      <x:c r="AF13" s="28"/>
      <x:c r="AG13" s="58"/>
      <x:c r="AH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56"/>
      <x:c r="J14" s="28"/>
      <x:c r="K14" s="28"/>
      <x:c r="L14" s="56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56" t="str">
        <x:f>IF($A14="","",IF(Z14="Y",20,IF(Z14="Unknown",10,0))+$L14*5+IF(AA14="Y",15,IF(AA14="Unknown",5,0))+IF($J14="Public",10,IF($J14="Partner",7,IF($J14="Internal",3,0)))+IF($W14="Hard-coded",10,IF($W14="Unknown",7,IF($W14="Configurable",3,0)))+IF($I14&gt;=10,10,IF($I14&gt;=5,7,IF($I14&gt;=2,3,0)))+IF($K14="High",10,IF($K14="Medium",5,0)))</x:f>
      </x:c>
      <x:c r="AC14" s="28" t="str">
        <x:f>IF($A14="","",IF(AB14&gt;=70,"P0 - Immediate",IF(AB14&gt;=50,"P1 - High",IF(AB14&gt;=30,"P2 - Medium",IF(AB14&gt;=15,"P3 - Low","P4 - Monitor")))))</x:f>
      </x:c>
      <x:c r="AD14" s="28"/>
      <x:c r="AE14" s="28"/>
      <x:c r="AF14" s="28"/>
      <x:c r="AG14" s="58"/>
      <x:c r="AH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56"/>
      <x:c r="J15" s="28"/>
      <x:c r="K15" s="28"/>
      <x:c r="L15" s="56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  <x:c r="AA15" s="28"/>
      <x:c r="AB15" s="56" t="str">
        <x:f>IF($A15="","",IF(Z15="Y",20,IF(Z15="Unknown",10,0))+$L15*5+IF(AA15="Y",15,IF(AA15="Unknown",5,0))+IF($J15="Public",10,IF($J15="Partner",7,IF($J15="Internal",3,0)))+IF($W15="Hard-coded",10,IF($W15="Unknown",7,IF($W15="Configurable",3,0)))+IF($I15&gt;=10,10,IF($I15&gt;=5,7,IF($I15&gt;=2,3,0)))+IF($K15="High",10,IF($K15="Medium",5,0)))</x:f>
      </x:c>
      <x:c r="AC15" s="28" t="str">
        <x:f>IF($A15="","",IF(AB15&gt;=70,"P0 - Immediate",IF(AB15&gt;=50,"P1 - High",IF(AB15&gt;=30,"P2 - Medium",IF(AB15&gt;=15,"P3 - Low","P4 - Monitor")))))</x:f>
      </x:c>
      <x:c r="AD15" s="28"/>
      <x:c r="AE15" s="28"/>
      <x:c r="AF15" s="28"/>
      <x:c r="AG15" s="58"/>
      <x:c r="AH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56"/>
      <x:c r="J16" s="28"/>
      <x:c r="K16" s="28"/>
      <x:c r="L16" s="56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56" t="str">
        <x:f>IF($A16="","",IF(Z16="Y",20,IF(Z16="Unknown",10,0))+$L16*5+IF(AA16="Y",15,IF(AA16="Unknown",5,0))+IF($J16="Public",10,IF($J16="Partner",7,IF($J16="Internal",3,0)))+IF($W16="Hard-coded",10,IF($W16="Unknown",7,IF($W16="Configurable",3,0)))+IF($I16&gt;=10,10,IF($I16&gt;=5,7,IF($I16&gt;=2,3,0)))+IF($K16="High",10,IF($K16="Medium",5,0)))</x:f>
      </x:c>
      <x:c r="AC16" s="28" t="str">
        <x:f>IF($A16="","",IF(AB16&gt;=70,"P0 - Immediate",IF(AB16&gt;=50,"P1 - High",IF(AB16&gt;=30,"P2 - Medium",IF(AB16&gt;=15,"P3 - Low","P4 - Monitor")))))</x:f>
      </x:c>
      <x:c r="AD16" s="28"/>
      <x:c r="AE16" s="28"/>
      <x:c r="AF16" s="28"/>
      <x:c r="AG16" s="58"/>
      <x:c r="AH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56"/>
      <x:c r="J17" s="28"/>
      <x:c r="K17" s="28"/>
      <x:c r="L17" s="56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56" t="str">
        <x:f>IF($A17="","",IF(Z17="Y",20,IF(Z17="Unknown",10,0))+$L17*5+IF(AA17="Y",15,IF(AA17="Unknown",5,0))+IF($J17="Public",10,IF($J17="Partner",7,IF($J17="Internal",3,0)))+IF($W17="Hard-coded",10,IF($W17="Unknown",7,IF($W17="Configurable",3,0)))+IF($I17&gt;=10,10,IF($I17&gt;=5,7,IF($I17&gt;=2,3,0)))+IF($K17="High",10,IF($K17="Medium",5,0)))</x:f>
      </x:c>
      <x:c r="AC17" s="28" t="str">
        <x:f>IF($A17="","",IF(AB17&gt;=70,"P0 - Immediate",IF(AB17&gt;=50,"P1 - High",IF(AB17&gt;=30,"P2 - Medium",IF(AB17&gt;=15,"P3 - Low","P4 - Monitor")))))</x:f>
      </x:c>
      <x:c r="AD17" s="28"/>
      <x:c r="AE17" s="28"/>
      <x:c r="AF17" s="28"/>
      <x:c r="AG17" s="58"/>
      <x:c r="AH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56"/>
      <x:c r="J18" s="28"/>
      <x:c r="K18" s="28"/>
      <x:c r="L18" s="56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  <x:c r="AA18" s="28"/>
      <x:c r="AB18" s="56" t="str">
        <x:f>IF($A18="","",IF(Z18="Y",20,IF(Z18="Unknown",10,0))+$L18*5+IF(AA18="Y",15,IF(AA18="Unknown",5,0))+IF($J18="Public",10,IF($J18="Partner",7,IF($J18="Internal",3,0)))+IF($W18="Hard-coded",10,IF($W18="Unknown",7,IF($W18="Configurable",3,0)))+IF($I18&gt;=10,10,IF($I18&gt;=5,7,IF($I18&gt;=2,3,0)))+IF($K18="High",10,IF($K18="Medium",5,0)))</x:f>
      </x:c>
      <x:c r="AC18" s="28" t="str">
        <x:f>IF($A18="","",IF(AB18&gt;=70,"P0 - Immediate",IF(AB18&gt;=50,"P1 - High",IF(AB18&gt;=30,"P2 - Medium",IF(AB18&gt;=15,"P3 - Low","P4 - Monitor")))))</x:f>
      </x:c>
      <x:c r="AD18" s="28"/>
      <x:c r="AE18" s="28"/>
      <x:c r="AF18" s="28"/>
      <x:c r="AG18" s="58"/>
      <x:c r="AH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56"/>
      <x:c r="J19" s="28"/>
      <x:c r="K19" s="28"/>
      <x:c r="L19" s="56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  <x:c r="AA19" s="28"/>
      <x:c r="AB19" s="56" t="str">
        <x:f>IF($A19="","",IF(Z19="Y",20,IF(Z19="Unknown",10,0))+$L19*5+IF(AA19="Y",15,IF(AA19="Unknown",5,0))+IF($J19="Public",10,IF($J19="Partner",7,IF($J19="Internal",3,0)))+IF($W19="Hard-coded",10,IF($W19="Unknown",7,IF($W19="Configurable",3,0)))+IF($I19&gt;=10,10,IF($I19&gt;=5,7,IF($I19&gt;=2,3,0)))+IF($K19="High",10,IF($K19="Medium",5,0)))</x:f>
      </x:c>
      <x:c r="AC19" s="28" t="str">
        <x:f>IF($A19="","",IF(AB19&gt;=70,"P0 - Immediate",IF(AB19&gt;=50,"P1 - High",IF(AB19&gt;=30,"P2 - Medium",IF(AB19&gt;=15,"P3 - Low","P4 - Monitor")))))</x:f>
      </x:c>
      <x:c r="AD19" s="28"/>
      <x:c r="AE19" s="28"/>
      <x:c r="AF19" s="28"/>
      <x:c r="AG19" s="58"/>
      <x:c r="AH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56"/>
      <x:c r="J20" s="28"/>
      <x:c r="K20" s="28"/>
      <x:c r="L20" s="56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  <x:c r="AA20" s="28"/>
      <x:c r="AB20" s="56" t="str">
        <x:f>IF($A20="","",IF(Z20="Y",20,IF(Z20="Unknown",10,0))+$L20*5+IF(AA20="Y",15,IF(AA20="Unknown",5,0))+IF($J20="Public",10,IF($J20="Partner",7,IF($J20="Internal",3,0)))+IF($W20="Hard-coded",10,IF($W20="Unknown",7,IF($W20="Configurable",3,0)))+IF($I20&gt;=10,10,IF($I20&gt;=5,7,IF($I20&gt;=2,3,0)))+IF($K20="High",10,IF($K20="Medium",5,0)))</x:f>
      </x:c>
      <x:c r="AC20" s="28" t="str">
        <x:f>IF($A20="","",IF(AB20&gt;=70,"P0 - Immediate",IF(AB20&gt;=50,"P1 - High",IF(AB20&gt;=30,"P2 - Medium",IF(AB20&gt;=15,"P3 - Low","P4 - Monitor")))))</x:f>
      </x:c>
      <x:c r="AD20" s="28"/>
      <x:c r="AE20" s="28"/>
      <x:c r="AF20" s="28"/>
      <x:c r="AG20" s="58"/>
      <x:c r="AH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56"/>
      <x:c r="J21" s="28"/>
      <x:c r="K21" s="28"/>
      <x:c r="L21" s="56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  <x:c r="AA21" s="28"/>
      <x:c r="AB21" s="56" t="str">
        <x:f>IF($A21="","",IF(Z21="Y",20,IF(Z21="Unknown",10,0))+$L21*5+IF(AA21="Y",15,IF(AA21="Unknown",5,0))+IF($J21="Public",10,IF($J21="Partner",7,IF($J21="Internal",3,0)))+IF($W21="Hard-coded",10,IF($W21="Unknown",7,IF($W21="Configurable",3,0)))+IF($I21&gt;=10,10,IF($I21&gt;=5,7,IF($I21&gt;=2,3,0)))+IF($K21="High",10,IF($K21="Medium",5,0)))</x:f>
      </x:c>
      <x:c r="AC21" s="28" t="str">
        <x:f>IF($A21="","",IF(AB21&gt;=70,"P0 - Immediate",IF(AB21&gt;=50,"P1 - High",IF(AB21&gt;=30,"P2 - Medium",IF(AB21&gt;=15,"P3 - Low","P4 - Monitor")))))</x:f>
      </x:c>
      <x:c r="AD21" s="28"/>
      <x:c r="AE21" s="28"/>
      <x:c r="AF21" s="28"/>
      <x:c r="AG21" s="58"/>
      <x:c r="AH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56"/>
      <x:c r="J22" s="28"/>
      <x:c r="K22" s="28"/>
      <x:c r="L22" s="56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  <x:c r="AA22" s="28"/>
      <x:c r="AB22" s="56" t="str">
        <x:f>IF($A22="","",IF(Z22="Y",20,IF(Z22="Unknown",10,0))+$L22*5+IF(AA22="Y",15,IF(AA22="Unknown",5,0))+IF($J22="Public",10,IF($J22="Partner",7,IF($J22="Internal",3,0)))+IF($W22="Hard-coded",10,IF($W22="Unknown",7,IF($W22="Configurable",3,0)))+IF($I22&gt;=10,10,IF($I22&gt;=5,7,IF($I22&gt;=2,3,0)))+IF($K22="High",10,IF($K22="Medium",5,0)))</x:f>
      </x:c>
      <x:c r="AC22" s="28" t="str">
        <x:f>IF($A22="","",IF(AB22&gt;=70,"P0 - Immediate",IF(AB22&gt;=50,"P1 - High",IF(AB22&gt;=30,"P2 - Medium",IF(AB22&gt;=15,"P3 - Low","P4 - Monitor")))))</x:f>
      </x:c>
      <x:c r="AD22" s="28"/>
      <x:c r="AE22" s="28"/>
      <x:c r="AF22" s="28"/>
      <x:c r="AG22" s="58"/>
      <x:c r="AH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56"/>
      <x:c r="J23" s="28"/>
      <x:c r="K23" s="28"/>
      <x:c r="L23" s="56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  <x:c r="AA23" s="28"/>
      <x:c r="AB23" s="56" t="str">
        <x:f>IF($A23="","",IF(Z23="Y",20,IF(Z23="Unknown",10,0))+$L23*5+IF(AA23="Y",15,IF(AA23="Unknown",5,0))+IF($J23="Public",10,IF($J23="Partner",7,IF($J23="Internal",3,0)))+IF($W23="Hard-coded",10,IF($W23="Unknown",7,IF($W23="Configurable",3,0)))+IF($I23&gt;=10,10,IF($I23&gt;=5,7,IF($I23&gt;=2,3,0)))+IF($K23="High",10,IF($K23="Medium",5,0)))</x:f>
      </x:c>
      <x:c r="AC23" s="28" t="str">
        <x:f>IF($A23="","",IF(AB23&gt;=70,"P0 - Immediate",IF(AB23&gt;=50,"P1 - High",IF(AB23&gt;=30,"P2 - Medium",IF(AB23&gt;=15,"P3 - Low","P4 - Monitor")))))</x:f>
      </x:c>
      <x:c r="AD23" s="28"/>
      <x:c r="AE23" s="28"/>
      <x:c r="AF23" s="28"/>
      <x:c r="AG23" s="58"/>
      <x:c r="AH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56"/>
      <x:c r="J24" s="28"/>
      <x:c r="K24" s="28"/>
      <x:c r="L24" s="56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  <x:c r="AA24" s="28"/>
      <x:c r="AB24" s="56" t="str">
        <x:f>IF($A24="","",IF(Z24="Y",20,IF(Z24="Unknown",10,0))+$L24*5+IF(AA24="Y",15,IF(AA24="Unknown",5,0))+IF($J24="Public",10,IF($J24="Partner",7,IF($J24="Internal",3,0)))+IF($W24="Hard-coded",10,IF($W24="Unknown",7,IF($W24="Configurable",3,0)))+IF($I24&gt;=10,10,IF($I24&gt;=5,7,IF($I24&gt;=2,3,0)))+IF($K24="High",10,IF($K24="Medium",5,0)))</x:f>
      </x:c>
      <x:c r="AC24" s="28" t="str">
        <x:f>IF($A24="","",IF(AB24&gt;=70,"P0 - Immediate",IF(AB24&gt;=50,"P1 - High",IF(AB24&gt;=30,"P2 - Medium",IF(AB24&gt;=15,"P3 - Low","P4 - Monitor")))))</x:f>
      </x:c>
      <x:c r="AD24" s="28"/>
      <x:c r="AE24" s="28"/>
      <x:c r="AF24" s="28"/>
      <x:c r="AG24" s="58"/>
      <x:c r="AH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56"/>
      <x:c r="J25" s="28"/>
      <x:c r="K25" s="28"/>
      <x:c r="L25" s="56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  <x:c r="AA25" s="28"/>
      <x:c r="AB25" s="56" t="str">
        <x:f>IF($A25="","",IF(Z25="Y",20,IF(Z25="Unknown",10,0))+$L25*5+IF(AA25="Y",15,IF(AA25="Unknown",5,0))+IF($J25="Public",10,IF($J25="Partner",7,IF($J25="Internal",3,0)))+IF($W25="Hard-coded",10,IF($W25="Unknown",7,IF($W25="Configurable",3,0)))+IF($I25&gt;=10,10,IF($I25&gt;=5,7,IF($I25&gt;=2,3,0)))+IF($K25="High",10,IF($K25="Medium",5,0)))</x:f>
      </x:c>
      <x:c r="AC25" s="28" t="str">
        <x:f>IF($A25="","",IF(AB25&gt;=70,"P0 - Immediate",IF(AB25&gt;=50,"P1 - High",IF(AB25&gt;=30,"P2 - Medium",IF(AB25&gt;=15,"P3 - Low","P4 - Monitor")))))</x:f>
      </x:c>
      <x:c r="AD25" s="28"/>
      <x:c r="AE25" s="28"/>
      <x:c r="AF25" s="28"/>
      <x:c r="AG25" s="58"/>
      <x:c r="AH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56"/>
      <x:c r="J26" s="28"/>
      <x:c r="K26" s="28"/>
      <x:c r="L26" s="56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  <x:c r="AA26" s="28"/>
      <x:c r="AB26" s="56" t="str">
        <x:f>IF($A26="","",IF(Z26="Y",20,IF(Z26="Unknown",10,0))+$L26*5+IF(AA26="Y",15,IF(AA26="Unknown",5,0))+IF($J26="Public",10,IF($J26="Partner",7,IF($J26="Internal",3,0)))+IF($W26="Hard-coded",10,IF($W26="Unknown",7,IF($W26="Configurable",3,0)))+IF($I26&gt;=10,10,IF($I26&gt;=5,7,IF($I26&gt;=2,3,0)))+IF($K26="High",10,IF($K26="Medium",5,0)))</x:f>
      </x:c>
      <x:c r="AC26" s="28" t="str">
        <x:f>IF($A26="","",IF(AB26&gt;=70,"P0 - Immediate",IF(AB26&gt;=50,"P1 - High",IF(AB26&gt;=30,"P2 - Medium",IF(AB26&gt;=15,"P3 - Low","P4 - Monitor")))))</x:f>
      </x:c>
      <x:c r="AD26" s="28"/>
      <x:c r="AE26" s="28"/>
      <x:c r="AF26" s="28"/>
      <x:c r="AG26" s="58"/>
      <x:c r="AH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56"/>
      <x:c r="J27" s="28"/>
      <x:c r="K27" s="28"/>
      <x:c r="L27" s="56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  <x:c r="AA27" s="28"/>
      <x:c r="AB27" s="56" t="str">
        <x:f>IF($A27="","",IF(Z27="Y",20,IF(Z27="Unknown",10,0))+$L27*5+IF(AA27="Y",15,IF(AA27="Unknown",5,0))+IF($J27="Public",10,IF($J27="Partner",7,IF($J27="Internal",3,0)))+IF($W27="Hard-coded",10,IF($W27="Unknown",7,IF($W27="Configurable",3,0)))+IF($I27&gt;=10,10,IF($I27&gt;=5,7,IF($I27&gt;=2,3,0)))+IF($K27="High",10,IF($K27="Medium",5,0)))</x:f>
      </x:c>
      <x:c r="AC27" s="28" t="str">
        <x:f>IF($A27="","",IF(AB27&gt;=70,"P0 - Immediate",IF(AB27&gt;=50,"P1 - High",IF(AB27&gt;=30,"P2 - Medium",IF(AB27&gt;=15,"P3 - Low","P4 - Monitor")))))</x:f>
      </x:c>
      <x:c r="AD27" s="28"/>
      <x:c r="AE27" s="28"/>
      <x:c r="AF27" s="28"/>
      <x:c r="AG27" s="58"/>
      <x:c r="AH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56"/>
      <x:c r="J28" s="28"/>
      <x:c r="K28" s="28"/>
      <x:c r="L28" s="56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  <x:c r="AA28" s="28"/>
      <x:c r="AB28" s="56" t="str">
        <x:f>IF($A28="","",IF(Z28="Y",20,IF(Z28="Unknown",10,0))+$L28*5+IF(AA28="Y",15,IF(AA28="Unknown",5,0))+IF($J28="Public",10,IF($J28="Partner",7,IF($J28="Internal",3,0)))+IF($W28="Hard-coded",10,IF($W28="Unknown",7,IF($W28="Configurable",3,0)))+IF($I28&gt;=10,10,IF($I28&gt;=5,7,IF($I28&gt;=2,3,0)))+IF($K28="High",10,IF($K28="Medium",5,0)))</x:f>
      </x:c>
      <x:c r="AC28" s="28" t="str">
        <x:f>IF($A28="","",IF(AB28&gt;=70,"P0 - Immediate",IF(AB28&gt;=50,"P1 - High",IF(AB28&gt;=30,"P2 - Medium",IF(AB28&gt;=15,"P3 - Low","P4 - Monitor")))))</x:f>
      </x:c>
      <x:c r="AD28" s="28"/>
      <x:c r="AE28" s="28"/>
      <x:c r="AF28" s="28"/>
      <x:c r="AG28" s="58"/>
      <x:c r="AH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56"/>
      <x:c r="J29" s="28"/>
      <x:c r="K29" s="28"/>
      <x:c r="L29" s="56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  <x:c r="AA29" s="28"/>
      <x:c r="AB29" s="56" t="str">
        <x:f>IF($A29="","",IF(Z29="Y",20,IF(Z29="Unknown",10,0))+$L29*5+IF(AA29="Y",15,IF(AA29="Unknown",5,0))+IF($J29="Public",10,IF($J29="Partner",7,IF($J29="Internal",3,0)))+IF($W29="Hard-coded",10,IF($W29="Unknown",7,IF($W29="Configurable",3,0)))+IF($I29&gt;=10,10,IF($I29&gt;=5,7,IF($I29&gt;=2,3,0)))+IF($K29="High",10,IF($K29="Medium",5,0)))</x:f>
      </x:c>
      <x:c r="AC29" s="28" t="str">
        <x:f>IF($A29="","",IF(AB29&gt;=70,"P0 - Immediate",IF(AB29&gt;=50,"P1 - High",IF(AB29&gt;=30,"P2 - Medium",IF(AB29&gt;=15,"P3 - Low","P4 - Monitor")))))</x:f>
      </x:c>
      <x:c r="AD29" s="28"/>
      <x:c r="AE29" s="28"/>
      <x:c r="AF29" s="28"/>
      <x:c r="AG29" s="58"/>
      <x:c r="AH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56"/>
      <x:c r="J30" s="28"/>
      <x:c r="K30" s="28"/>
      <x:c r="L30" s="56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  <x:c r="AA30" s="28"/>
      <x:c r="AB30" s="56" t="str">
        <x:f>IF($A30="","",IF(Z30="Y",20,IF(Z30="Unknown",10,0))+$L30*5+IF(AA30="Y",15,IF(AA30="Unknown",5,0))+IF($J30="Public",10,IF($J30="Partner",7,IF($J30="Internal",3,0)))+IF($W30="Hard-coded",10,IF($W30="Unknown",7,IF($W30="Configurable",3,0)))+IF($I30&gt;=10,10,IF($I30&gt;=5,7,IF($I30&gt;=2,3,0)))+IF($K30="High",10,IF($K30="Medium",5,0)))</x:f>
      </x:c>
      <x:c r="AC30" s="28" t="str">
        <x:f>IF($A30="","",IF(AB30&gt;=70,"P0 - Immediate",IF(AB30&gt;=50,"P1 - High",IF(AB30&gt;=30,"P2 - Medium",IF(AB30&gt;=15,"P3 - Low","P4 - Monitor")))))</x:f>
      </x:c>
      <x:c r="AD30" s="28"/>
      <x:c r="AE30" s="28"/>
      <x:c r="AF30" s="28"/>
      <x:c r="AG30" s="58"/>
      <x:c r="AH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56"/>
      <x:c r="J31" s="28"/>
      <x:c r="K31" s="28"/>
      <x:c r="L31" s="56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  <x:c r="AA31" s="28"/>
      <x:c r="AB31" s="56" t="str">
        <x:f>IF($A31="","",IF(Z31="Y",20,IF(Z31="Unknown",10,0))+$L31*5+IF(AA31="Y",15,IF(AA31="Unknown",5,0))+IF($J31="Public",10,IF($J31="Partner",7,IF($J31="Internal",3,0)))+IF($W31="Hard-coded",10,IF($W31="Unknown",7,IF($W31="Configurable",3,0)))+IF($I31&gt;=10,10,IF($I31&gt;=5,7,IF($I31&gt;=2,3,0)))+IF($K31="High",10,IF($K31="Medium",5,0)))</x:f>
      </x:c>
      <x:c r="AC31" s="28" t="str">
        <x:f>IF($A31="","",IF(AB31&gt;=70,"P0 - Immediate",IF(AB31&gt;=50,"P1 - High",IF(AB31&gt;=30,"P2 - Medium",IF(AB31&gt;=15,"P3 - Low","P4 - Monitor")))))</x:f>
      </x:c>
      <x:c r="AD31" s="28"/>
      <x:c r="AE31" s="28"/>
      <x:c r="AF31" s="28"/>
      <x:c r="AG31" s="58"/>
      <x:c r="AH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56"/>
      <x:c r="J32" s="28"/>
      <x:c r="K32" s="28"/>
      <x:c r="L32" s="56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  <x:c r="AA32" s="28"/>
      <x:c r="AB32" s="56" t="str">
        <x:f>IF($A32="","",IF(Z32="Y",20,IF(Z32="Unknown",10,0))+$L32*5+IF(AA32="Y",15,IF(AA32="Unknown",5,0))+IF($J32="Public",10,IF($J32="Partner",7,IF($J32="Internal",3,0)))+IF($W32="Hard-coded",10,IF($W32="Unknown",7,IF($W32="Configurable",3,0)))+IF($I32&gt;=10,10,IF($I32&gt;=5,7,IF($I32&gt;=2,3,0)))+IF($K32="High",10,IF($K32="Medium",5,0)))</x:f>
      </x:c>
      <x:c r="AC32" s="28" t="str">
        <x:f>IF($A32="","",IF(AB32&gt;=70,"P0 - Immediate",IF(AB32&gt;=50,"P1 - High",IF(AB32&gt;=30,"P2 - Medium",IF(AB32&gt;=15,"P3 - Low","P4 - Monitor")))))</x:f>
      </x:c>
      <x:c r="AD32" s="28"/>
      <x:c r="AE32" s="28"/>
      <x:c r="AF32" s="28"/>
      <x:c r="AG32" s="58"/>
      <x:c r="AH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56"/>
      <x:c r="J33" s="28"/>
      <x:c r="K33" s="28"/>
      <x:c r="L33" s="56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  <x:c r="AA33" s="28"/>
      <x:c r="AB33" s="56" t="str">
        <x:f>IF($A33="","",IF(Z33="Y",20,IF(Z33="Unknown",10,0))+$L33*5+IF(AA33="Y",15,IF(AA33="Unknown",5,0))+IF($J33="Public",10,IF($J33="Partner",7,IF($J33="Internal",3,0)))+IF($W33="Hard-coded",10,IF($W33="Unknown",7,IF($W33="Configurable",3,0)))+IF($I33&gt;=10,10,IF($I33&gt;=5,7,IF($I33&gt;=2,3,0)))+IF($K33="High",10,IF($K33="Medium",5,0)))</x:f>
      </x:c>
      <x:c r="AC33" s="28" t="str">
        <x:f>IF($A33="","",IF(AB33&gt;=70,"P0 - Immediate",IF(AB33&gt;=50,"P1 - High",IF(AB33&gt;=30,"P2 - Medium",IF(AB33&gt;=15,"P3 - Low","P4 - Monitor")))))</x:f>
      </x:c>
      <x:c r="AD33" s="28"/>
      <x:c r="AE33" s="28"/>
      <x:c r="AF33" s="28"/>
      <x:c r="AG33" s="58"/>
      <x:c r="AH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56"/>
      <x:c r="J34" s="28"/>
      <x:c r="K34" s="28"/>
      <x:c r="L34" s="56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  <x:c r="AA34" s="28"/>
      <x:c r="AB34" s="56" t="str">
        <x:f>IF($A34="","",IF(Z34="Y",20,IF(Z34="Unknown",10,0))+$L34*5+IF(AA34="Y",15,IF(AA34="Unknown",5,0))+IF($J34="Public",10,IF($J34="Partner",7,IF($J34="Internal",3,0)))+IF($W34="Hard-coded",10,IF($W34="Unknown",7,IF($W34="Configurable",3,0)))+IF($I34&gt;=10,10,IF($I34&gt;=5,7,IF($I34&gt;=2,3,0)))+IF($K34="High",10,IF($K34="Medium",5,0)))</x:f>
      </x:c>
      <x:c r="AC34" s="28" t="str">
        <x:f>IF($A34="","",IF(AB34&gt;=70,"P0 - Immediate",IF(AB34&gt;=50,"P1 - High",IF(AB34&gt;=30,"P2 - Medium",IF(AB34&gt;=15,"P3 - Low","P4 - Monitor")))))</x:f>
      </x:c>
      <x:c r="AD34" s="28"/>
      <x:c r="AE34" s="28"/>
      <x:c r="AF34" s="28"/>
      <x:c r="AG34" s="58"/>
      <x:c r="AH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56"/>
      <x:c r="J35" s="28"/>
      <x:c r="K35" s="28"/>
      <x:c r="L35" s="56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  <x:c r="AA35" s="28"/>
      <x:c r="AB35" s="56" t="str">
        <x:f>IF($A35="","",IF(Z35="Y",20,IF(Z35="Unknown",10,0))+$L35*5+IF(AA35="Y",15,IF(AA35="Unknown",5,0))+IF($J35="Public",10,IF($J35="Partner",7,IF($J35="Internal",3,0)))+IF($W35="Hard-coded",10,IF($W35="Unknown",7,IF($W35="Configurable",3,0)))+IF($I35&gt;=10,10,IF($I35&gt;=5,7,IF($I35&gt;=2,3,0)))+IF($K35="High",10,IF($K35="Medium",5,0)))</x:f>
      </x:c>
      <x:c r="AC35" s="28" t="str">
        <x:f>IF($A35="","",IF(AB35&gt;=70,"P0 - Immediate",IF(AB35&gt;=50,"P1 - High",IF(AB35&gt;=30,"P2 - Medium",IF(AB35&gt;=15,"P3 - Low","P4 - Monitor")))))</x:f>
      </x:c>
      <x:c r="AD35" s="28"/>
      <x:c r="AE35" s="28"/>
      <x:c r="AF35" s="28"/>
      <x:c r="AG35" s="58"/>
      <x:c r="AH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56"/>
      <x:c r="J36" s="28"/>
      <x:c r="K36" s="28"/>
      <x:c r="L36" s="56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  <x:c r="AA36" s="28"/>
      <x:c r="AB36" s="56" t="str">
        <x:f>IF($A36="","",IF(Z36="Y",20,IF(Z36="Unknown",10,0))+$L36*5+IF(AA36="Y",15,IF(AA36="Unknown",5,0))+IF($J36="Public",10,IF($J36="Partner",7,IF($J36="Internal",3,0)))+IF($W36="Hard-coded",10,IF($W36="Unknown",7,IF($W36="Configurable",3,0)))+IF($I36&gt;=10,10,IF($I36&gt;=5,7,IF($I36&gt;=2,3,0)))+IF($K36="High",10,IF($K36="Medium",5,0)))</x:f>
      </x:c>
      <x:c r="AC36" s="28" t="str">
        <x:f>IF($A36="","",IF(AB36&gt;=70,"P0 - Immediate",IF(AB36&gt;=50,"P1 - High",IF(AB36&gt;=30,"P2 - Medium",IF(AB36&gt;=15,"P3 - Low","P4 - Monitor")))))</x:f>
      </x:c>
      <x:c r="AD36" s="28"/>
      <x:c r="AE36" s="28"/>
      <x:c r="AF36" s="28"/>
      <x:c r="AG36" s="58"/>
      <x:c r="AH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56"/>
      <x:c r="J37" s="28"/>
      <x:c r="K37" s="28"/>
      <x:c r="L37" s="56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  <x:c r="AA37" s="28"/>
      <x:c r="AB37" s="56" t="str">
        <x:f>IF($A37="","",IF(Z37="Y",20,IF(Z37="Unknown",10,0))+$L37*5+IF(AA37="Y",15,IF(AA37="Unknown",5,0))+IF($J37="Public",10,IF($J37="Partner",7,IF($J37="Internal",3,0)))+IF($W37="Hard-coded",10,IF($W37="Unknown",7,IF($W37="Configurable",3,0)))+IF($I37&gt;=10,10,IF($I37&gt;=5,7,IF($I37&gt;=2,3,0)))+IF($K37="High",10,IF($K37="Medium",5,0)))</x:f>
      </x:c>
      <x:c r="AC37" s="28" t="str">
        <x:f>IF($A37="","",IF(AB37&gt;=70,"P0 - Immediate",IF(AB37&gt;=50,"P1 - High",IF(AB37&gt;=30,"P2 - Medium",IF(AB37&gt;=15,"P3 - Low","P4 - Monitor")))))</x:f>
      </x:c>
      <x:c r="AD37" s="28"/>
      <x:c r="AE37" s="28"/>
      <x:c r="AF37" s="28"/>
      <x:c r="AG37" s="58"/>
      <x:c r="AH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56"/>
      <x:c r="J38" s="28"/>
      <x:c r="K38" s="28"/>
      <x:c r="L38" s="56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  <x:c r="AA38" s="28"/>
      <x:c r="AB38" s="56" t="str">
        <x:f>IF($A38="","",IF(Z38="Y",20,IF(Z38="Unknown",10,0))+$L38*5+IF(AA38="Y",15,IF(AA38="Unknown",5,0))+IF($J38="Public",10,IF($J38="Partner",7,IF($J38="Internal",3,0)))+IF($W38="Hard-coded",10,IF($W38="Unknown",7,IF($W38="Configurable",3,0)))+IF($I38&gt;=10,10,IF($I38&gt;=5,7,IF($I38&gt;=2,3,0)))+IF($K38="High",10,IF($K38="Medium",5,0)))</x:f>
      </x:c>
      <x:c r="AC38" s="28" t="str">
        <x:f>IF($A38="","",IF(AB38&gt;=70,"P0 - Immediate",IF(AB38&gt;=50,"P1 - High",IF(AB38&gt;=30,"P2 - Medium",IF(AB38&gt;=15,"P3 - Low","P4 - Monitor")))))</x:f>
      </x:c>
      <x:c r="AD38" s="28"/>
      <x:c r="AE38" s="28"/>
      <x:c r="AF38" s="28"/>
      <x:c r="AG38" s="58"/>
      <x:c r="AH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56"/>
      <x:c r="J39" s="28"/>
      <x:c r="K39" s="28"/>
      <x:c r="L39" s="56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  <x:c r="AA39" s="28"/>
      <x:c r="AB39" s="56" t="str">
        <x:f>IF($A39="","",IF(Z39="Y",20,IF(Z39="Unknown",10,0))+$L39*5+IF(AA39="Y",15,IF(AA39="Unknown",5,0))+IF($J39="Public",10,IF($J39="Partner",7,IF($J39="Internal",3,0)))+IF($W39="Hard-coded",10,IF($W39="Unknown",7,IF($W39="Configurable",3,0)))+IF($I39&gt;=10,10,IF($I39&gt;=5,7,IF($I39&gt;=2,3,0)))+IF($K39="High",10,IF($K39="Medium",5,0)))</x:f>
      </x:c>
      <x:c r="AC39" s="28" t="str">
        <x:f>IF($A39="","",IF(AB39&gt;=70,"P0 - Immediate",IF(AB39&gt;=50,"P1 - High",IF(AB39&gt;=30,"P2 - Medium",IF(AB39&gt;=15,"P3 - Low","P4 - Monitor")))))</x:f>
      </x:c>
      <x:c r="AD39" s="28"/>
      <x:c r="AE39" s="28"/>
      <x:c r="AF39" s="28"/>
      <x:c r="AG39" s="58"/>
      <x:c r="AH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56"/>
      <x:c r="J40" s="28"/>
      <x:c r="K40" s="28"/>
      <x:c r="L40" s="56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  <x:c r="AA40" s="28"/>
      <x:c r="AB40" s="56" t="str">
        <x:f>IF($A40="","",IF(Z40="Y",20,IF(Z40="Unknown",10,0))+$L40*5+IF(AA40="Y",15,IF(AA40="Unknown",5,0))+IF($J40="Public",10,IF($J40="Partner",7,IF($J40="Internal",3,0)))+IF($W40="Hard-coded",10,IF($W40="Unknown",7,IF($W40="Configurable",3,0)))+IF($I40&gt;=10,10,IF($I40&gt;=5,7,IF($I40&gt;=2,3,0)))+IF($K40="High",10,IF($K40="Medium",5,0)))</x:f>
      </x:c>
      <x:c r="AC40" s="28" t="str">
        <x:f>IF($A40="","",IF(AB40&gt;=70,"P0 - Immediate",IF(AB40&gt;=50,"P1 - High",IF(AB40&gt;=30,"P2 - Medium",IF(AB40&gt;=15,"P3 - Low","P4 - Monitor")))))</x:f>
      </x:c>
      <x:c r="AD40" s="28"/>
      <x:c r="AE40" s="28"/>
      <x:c r="AF40" s="28"/>
      <x:c r="AG40" s="58"/>
      <x:c r="AH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56"/>
      <x:c r="J41" s="28"/>
      <x:c r="K41" s="28"/>
      <x:c r="L41" s="56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  <x:c r="AA41" s="28"/>
      <x:c r="AB41" s="56" t="str">
        <x:f>IF($A41="","",IF(Z41="Y",20,IF(Z41="Unknown",10,0))+$L41*5+IF(AA41="Y",15,IF(AA41="Unknown",5,0))+IF($J41="Public",10,IF($J41="Partner",7,IF($J41="Internal",3,0)))+IF($W41="Hard-coded",10,IF($W41="Unknown",7,IF($W41="Configurable",3,0)))+IF($I41&gt;=10,10,IF($I41&gt;=5,7,IF($I41&gt;=2,3,0)))+IF($K41="High",10,IF($K41="Medium",5,0)))</x:f>
      </x:c>
      <x:c r="AC41" s="28" t="str">
        <x:f>IF($A41="","",IF(AB41&gt;=70,"P0 - Immediate",IF(AB41&gt;=50,"P1 - High",IF(AB41&gt;=30,"P2 - Medium",IF(AB41&gt;=15,"P3 - Low","P4 - Monitor")))))</x:f>
      </x:c>
      <x:c r="AD41" s="28"/>
      <x:c r="AE41" s="28"/>
      <x:c r="AF41" s="28"/>
      <x:c r="AG41" s="58"/>
      <x:c r="AH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56"/>
      <x:c r="J42" s="28"/>
      <x:c r="K42" s="28"/>
      <x:c r="L42" s="56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  <x:c r="AA42" s="28"/>
      <x:c r="AB42" s="56" t="str">
        <x:f>IF($A42="","",IF(Z42="Y",20,IF(Z42="Unknown",10,0))+$L42*5+IF(AA42="Y",15,IF(AA42="Unknown",5,0))+IF($J42="Public",10,IF($J42="Partner",7,IF($J42="Internal",3,0)))+IF($W42="Hard-coded",10,IF($W42="Unknown",7,IF($W42="Configurable",3,0)))+IF($I42&gt;=10,10,IF($I42&gt;=5,7,IF($I42&gt;=2,3,0)))+IF($K42="High",10,IF($K42="Medium",5,0)))</x:f>
      </x:c>
      <x:c r="AC42" s="28" t="str">
        <x:f>IF($A42="","",IF(AB42&gt;=70,"P0 - Immediate",IF(AB42&gt;=50,"P1 - High",IF(AB42&gt;=30,"P2 - Medium",IF(AB42&gt;=15,"P3 - Low","P4 - Monitor")))))</x:f>
      </x:c>
      <x:c r="AD42" s="28"/>
      <x:c r="AE42" s="28"/>
      <x:c r="AF42" s="28"/>
      <x:c r="AG42" s="58"/>
      <x:c r="AH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56"/>
      <x:c r="J43" s="28"/>
      <x:c r="K43" s="28"/>
      <x:c r="L43" s="56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  <x:c r="AA43" s="28"/>
      <x:c r="AB43" s="56" t="str">
        <x:f>IF($A43="","",IF(Z43="Y",20,IF(Z43="Unknown",10,0))+$L43*5+IF(AA43="Y",15,IF(AA43="Unknown",5,0))+IF($J43="Public",10,IF($J43="Partner",7,IF($J43="Internal",3,0)))+IF($W43="Hard-coded",10,IF($W43="Unknown",7,IF($W43="Configurable",3,0)))+IF($I43&gt;=10,10,IF($I43&gt;=5,7,IF($I43&gt;=2,3,0)))+IF($K43="High",10,IF($K43="Medium",5,0)))</x:f>
      </x:c>
      <x:c r="AC43" s="28" t="str">
        <x:f>IF($A43="","",IF(AB43&gt;=70,"P0 - Immediate",IF(AB43&gt;=50,"P1 - High",IF(AB43&gt;=30,"P2 - Medium",IF(AB43&gt;=15,"P3 - Low","P4 - Monitor")))))</x:f>
      </x:c>
      <x:c r="AD43" s="28"/>
      <x:c r="AE43" s="28"/>
      <x:c r="AF43" s="28"/>
      <x:c r="AG43" s="58"/>
      <x:c r="AH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56"/>
      <x:c r="J44" s="28"/>
      <x:c r="K44" s="28"/>
      <x:c r="L44" s="56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  <x:c r="AA44" s="28"/>
      <x:c r="AB44" s="56" t="str">
        <x:f>IF($A44="","",IF(Z44="Y",20,IF(Z44="Unknown",10,0))+$L44*5+IF(AA44="Y",15,IF(AA44="Unknown",5,0))+IF($J44="Public",10,IF($J44="Partner",7,IF($J44="Internal",3,0)))+IF($W44="Hard-coded",10,IF($W44="Unknown",7,IF($W44="Configurable",3,0)))+IF($I44&gt;=10,10,IF($I44&gt;=5,7,IF($I44&gt;=2,3,0)))+IF($K44="High",10,IF($K44="Medium",5,0)))</x:f>
      </x:c>
      <x:c r="AC44" s="28" t="str">
        <x:f>IF($A44="","",IF(AB44&gt;=70,"P0 - Immediate",IF(AB44&gt;=50,"P1 - High",IF(AB44&gt;=30,"P2 - Medium",IF(AB44&gt;=15,"P3 - Low","P4 - Monitor")))))</x:f>
      </x:c>
      <x:c r="AD44" s="28"/>
      <x:c r="AE44" s="28"/>
      <x:c r="AF44" s="28"/>
      <x:c r="AG44" s="58"/>
      <x:c r="AH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56"/>
      <x:c r="J45" s="28"/>
      <x:c r="K45" s="28"/>
      <x:c r="L45" s="56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  <x:c r="AA45" s="28"/>
      <x:c r="AB45" s="56" t="str">
        <x:f>IF($A45="","",IF(Z45="Y",20,IF(Z45="Unknown",10,0))+$L45*5+IF(AA45="Y",15,IF(AA45="Unknown",5,0))+IF($J45="Public",10,IF($J45="Partner",7,IF($J45="Internal",3,0)))+IF($W45="Hard-coded",10,IF($W45="Unknown",7,IF($W45="Configurable",3,0)))+IF($I45&gt;=10,10,IF($I45&gt;=5,7,IF($I45&gt;=2,3,0)))+IF($K45="High",10,IF($K45="Medium",5,0)))</x:f>
      </x:c>
      <x:c r="AC45" s="28" t="str">
        <x:f>IF($A45="","",IF(AB45&gt;=70,"P0 - Immediate",IF(AB45&gt;=50,"P1 - High",IF(AB45&gt;=30,"P2 - Medium",IF(AB45&gt;=15,"P3 - Low","P4 - Monitor")))))</x:f>
      </x:c>
      <x:c r="AD45" s="28"/>
      <x:c r="AE45" s="28"/>
      <x:c r="AF45" s="28"/>
      <x:c r="AG45" s="58"/>
      <x:c r="AH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56"/>
      <x:c r="J46" s="28"/>
      <x:c r="K46" s="28"/>
      <x:c r="L46" s="56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  <x:c r="AA46" s="28"/>
      <x:c r="AB46" s="56" t="str">
        <x:f>IF($A46="","",IF(Z46="Y",20,IF(Z46="Unknown",10,0))+$L46*5+IF(AA46="Y",15,IF(AA46="Unknown",5,0))+IF($J46="Public",10,IF($J46="Partner",7,IF($J46="Internal",3,0)))+IF($W46="Hard-coded",10,IF($W46="Unknown",7,IF($W46="Configurable",3,0)))+IF($I46&gt;=10,10,IF($I46&gt;=5,7,IF($I46&gt;=2,3,0)))+IF($K46="High",10,IF($K46="Medium",5,0)))</x:f>
      </x:c>
      <x:c r="AC46" s="28" t="str">
        <x:f>IF($A46="","",IF(AB46&gt;=70,"P0 - Immediate",IF(AB46&gt;=50,"P1 - High",IF(AB46&gt;=30,"P2 - Medium",IF(AB46&gt;=15,"P3 - Low","P4 - Monitor")))))</x:f>
      </x:c>
      <x:c r="AD46" s="28"/>
      <x:c r="AE46" s="28"/>
      <x:c r="AF46" s="28"/>
      <x:c r="AG46" s="58"/>
      <x:c r="AH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56"/>
      <x:c r="J47" s="28"/>
      <x:c r="K47" s="28"/>
      <x:c r="L47" s="56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  <x:c r="AA47" s="28"/>
      <x:c r="AB47" s="56" t="str">
        <x:f>IF($A47="","",IF(Z47="Y",20,IF(Z47="Unknown",10,0))+$L47*5+IF(AA47="Y",15,IF(AA47="Unknown",5,0))+IF($J47="Public",10,IF($J47="Partner",7,IF($J47="Internal",3,0)))+IF($W47="Hard-coded",10,IF($W47="Unknown",7,IF($W47="Configurable",3,0)))+IF($I47&gt;=10,10,IF($I47&gt;=5,7,IF($I47&gt;=2,3,0)))+IF($K47="High",10,IF($K47="Medium",5,0)))</x:f>
      </x:c>
      <x:c r="AC47" s="28" t="str">
        <x:f>IF($A47="","",IF(AB47&gt;=70,"P0 - Immediate",IF(AB47&gt;=50,"P1 - High",IF(AB47&gt;=30,"P2 - Medium",IF(AB47&gt;=15,"P3 - Low","P4 - Monitor")))))</x:f>
      </x:c>
      <x:c r="AD47" s="28"/>
      <x:c r="AE47" s="28"/>
      <x:c r="AF47" s="28"/>
      <x:c r="AG47" s="58"/>
      <x:c r="AH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56"/>
      <x:c r="J48" s="28"/>
      <x:c r="K48" s="28"/>
      <x:c r="L48" s="56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  <x:c r="AA48" s="28"/>
      <x:c r="AB48" s="56" t="str">
        <x:f>IF($A48="","",IF(Z48="Y",20,IF(Z48="Unknown",10,0))+$L48*5+IF(AA48="Y",15,IF(AA48="Unknown",5,0))+IF($J48="Public",10,IF($J48="Partner",7,IF($J48="Internal",3,0)))+IF($W48="Hard-coded",10,IF($W48="Unknown",7,IF($W48="Configurable",3,0)))+IF($I48&gt;=10,10,IF($I48&gt;=5,7,IF($I48&gt;=2,3,0)))+IF($K48="High",10,IF($K48="Medium",5,0)))</x:f>
      </x:c>
      <x:c r="AC48" s="28" t="str">
        <x:f>IF($A48="","",IF(AB48&gt;=70,"P0 - Immediate",IF(AB48&gt;=50,"P1 - High",IF(AB48&gt;=30,"P2 - Medium",IF(AB48&gt;=15,"P3 - Low","P4 - Monitor")))))</x:f>
      </x:c>
      <x:c r="AD48" s="28"/>
      <x:c r="AE48" s="28"/>
      <x:c r="AF48" s="28"/>
      <x:c r="AG48" s="58"/>
      <x:c r="AH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56"/>
      <x:c r="J49" s="28"/>
      <x:c r="K49" s="28"/>
      <x:c r="L49" s="56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  <x:c r="AA49" s="28"/>
      <x:c r="AB49" s="56" t="str">
        <x:f>IF($A49="","",IF(Z49="Y",20,IF(Z49="Unknown",10,0))+$L49*5+IF(AA49="Y",15,IF(AA49="Unknown",5,0))+IF($J49="Public",10,IF($J49="Partner",7,IF($J49="Internal",3,0)))+IF($W49="Hard-coded",10,IF($W49="Unknown",7,IF($W49="Configurable",3,0)))+IF($I49&gt;=10,10,IF($I49&gt;=5,7,IF($I49&gt;=2,3,0)))+IF($K49="High",10,IF($K49="Medium",5,0)))</x:f>
      </x:c>
      <x:c r="AC49" s="28" t="str">
        <x:f>IF($A49="","",IF(AB49&gt;=70,"P0 - Immediate",IF(AB49&gt;=50,"P1 - High",IF(AB49&gt;=30,"P2 - Medium",IF(AB49&gt;=15,"P3 - Low","P4 - Monitor")))))</x:f>
      </x:c>
      <x:c r="AD49" s="28"/>
      <x:c r="AE49" s="28"/>
      <x:c r="AF49" s="28"/>
      <x:c r="AG49" s="58"/>
      <x:c r="AH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56"/>
      <x:c r="J50" s="28"/>
      <x:c r="K50" s="28"/>
      <x:c r="L50" s="56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  <x:c r="AA50" s="28"/>
      <x:c r="AB50" s="56" t="str">
        <x:f>IF($A50="","",IF(Z50="Y",20,IF(Z50="Unknown",10,0))+$L50*5+IF(AA50="Y",15,IF(AA50="Unknown",5,0))+IF($J50="Public",10,IF($J50="Partner",7,IF($J50="Internal",3,0)))+IF($W50="Hard-coded",10,IF($W50="Unknown",7,IF($W50="Configurable",3,0)))+IF($I50&gt;=10,10,IF($I50&gt;=5,7,IF($I50&gt;=2,3,0)))+IF($K50="High",10,IF($K50="Medium",5,0)))</x:f>
      </x:c>
      <x:c r="AC50" s="28" t="str">
        <x:f>IF($A50="","",IF(AB50&gt;=70,"P0 - Immediate",IF(AB50&gt;=50,"P1 - High",IF(AB50&gt;=30,"P2 - Medium",IF(AB50&gt;=15,"P3 - Low","P4 - Monitor")))))</x:f>
      </x:c>
      <x:c r="AD50" s="28"/>
      <x:c r="AE50" s="28"/>
      <x:c r="AF50" s="28"/>
      <x:c r="AG50" s="58"/>
      <x:c r="AH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56"/>
      <x:c r="J51" s="28"/>
      <x:c r="K51" s="28"/>
      <x:c r="L51" s="56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  <x:c r="AA51" s="28"/>
      <x:c r="AB51" s="56" t="str">
        <x:f>IF($A51="","",IF(Z51="Y",20,IF(Z51="Unknown",10,0))+$L51*5+IF(AA51="Y",15,IF(AA51="Unknown",5,0))+IF($J51="Public",10,IF($J51="Partner",7,IF($J51="Internal",3,0)))+IF($W51="Hard-coded",10,IF($W51="Unknown",7,IF($W51="Configurable",3,0)))+IF($I51&gt;=10,10,IF($I51&gt;=5,7,IF($I51&gt;=2,3,0)))+IF($K51="High",10,IF($K51="Medium",5,0)))</x:f>
      </x:c>
      <x:c r="AC51" s="28" t="str">
        <x:f>IF($A51="","",IF(AB51&gt;=70,"P0 - Immediate",IF(AB51&gt;=50,"P1 - High",IF(AB51&gt;=30,"P2 - Medium",IF(AB51&gt;=15,"P3 - Low","P4 - Monitor")))))</x:f>
      </x:c>
      <x:c r="AD51" s="28"/>
      <x:c r="AE51" s="28"/>
      <x:c r="AF51" s="28"/>
      <x:c r="AG51" s="58"/>
      <x:c r="AH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56"/>
      <x:c r="J52" s="28"/>
      <x:c r="K52" s="28"/>
      <x:c r="L52" s="56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  <x:c r="AA52" s="28"/>
      <x:c r="AB52" s="56" t="str">
        <x:f>IF($A52="","",IF(Z52="Y",20,IF(Z52="Unknown",10,0))+$L52*5+IF(AA52="Y",15,IF(AA52="Unknown",5,0))+IF($J52="Public",10,IF($J52="Partner",7,IF($J52="Internal",3,0)))+IF($W52="Hard-coded",10,IF($W52="Unknown",7,IF($W52="Configurable",3,0)))+IF($I52&gt;=10,10,IF($I52&gt;=5,7,IF($I52&gt;=2,3,0)))+IF($K52="High",10,IF($K52="Medium",5,0)))</x:f>
      </x:c>
      <x:c r="AC52" s="28" t="str">
        <x:f>IF($A52="","",IF(AB52&gt;=70,"P0 - Immediate",IF(AB52&gt;=50,"P1 - High",IF(AB52&gt;=30,"P2 - Medium",IF(AB52&gt;=15,"P3 - Low","P4 - Monitor")))))</x:f>
      </x:c>
      <x:c r="AD52" s="28"/>
      <x:c r="AE52" s="28"/>
      <x:c r="AF52" s="28"/>
      <x:c r="AG52" s="58"/>
      <x:c r="AH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56"/>
      <x:c r="J53" s="28"/>
      <x:c r="K53" s="28"/>
      <x:c r="L53" s="56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  <x:c r="AA53" s="28"/>
      <x:c r="AB53" s="56" t="str">
        <x:f>IF($A53="","",IF(Z53="Y",20,IF(Z53="Unknown",10,0))+$L53*5+IF(AA53="Y",15,IF(AA53="Unknown",5,0))+IF($J53="Public",10,IF($J53="Partner",7,IF($J53="Internal",3,0)))+IF($W53="Hard-coded",10,IF($W53="Unknown",7,IF($W53="Configurable",3,0)))+IF($I53&gt;=10,10,IF($I53&gt;=5,7,IF($I53&gt;=2,3,0)))+IF($K53="High",10,IF($K53="Medium",5,0)))</x:f>
      </x:c>
      <x:c r="AC53" s="28" t="str">
        <x:f>IF($A53="","",IF(AB53&gt;=70,"P0 - Immediate",IF(AB53&gt;=50,"P1 - High",IF(AB53&gt;=30,"P2 - Medium",IF(AB53&gt;=15,"P3 - Low","P4 - Monitor")))))</x:f>
      </x:c>
      <x:c r="AD53" s="28"/>
      <x:c r="AE53" s="28"/>
      <x:c r="AF53" s="28"/>
      <x:c r="AG53" s="58"/>
      <x:c r="AH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56"/>
      <x:c r="J54" s="28"/>
      <x:c r="K54" s="28"/>
      <x:c r="L54" s="56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  <x:c r="AA54" s="28"/>
      <x:c r="AB54" s="56" t="str">
        <x:f>IF($A54="","",IF(Z54="Y",20,IF(Z54="Unknown",10,0))+$L54*5+IF(AA54="Y",15,IF(AA54="Unknown",5,0))+IF($J54="Public",10,IF($J54="Partner",7,IF($J54="Internal",3,0)))+IF($W54="Hard-coded",10,IF($W54="Unknown",7,IF($W54="Configurable",3,0)))+IF($I54&gt;=10,10,IF($I54&gt;=5,7,IF($I54&gt;=2,3,0)))+IF($K54="High",10,IF($K54="Medium",5,0)))</x:f>
      </x:c>
      <x:c r="AC54" s="28" t="str">
        <x:f>IF($A54="","",IF(AB54&gt;=70,"P0 - Immediate",IF(AB54&gt;=50,"P1 - High",IF(AB54&gt;=30,"P2 - Medium",IF(AB54&gt;=15,"P3 - Low","P4 - Monitor")))))</x:f>
      </x:c>
      <x:c r="AD54" s="28"/>
      <x:c r="AE54" s="28"/>
      <x:c r="AF54" s="28"/>
      <x:c r="AG54" s="58"/>
      <x:c r="AH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56"/>
      <x:c r="J55" s="28"/>
      <x:c r="K55" s="28"/>
      <x:c r="L55" s="56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  <x:c r="AA55" s="28"/>
      <x:c r="AB55" s="56" t="str">
        <x:f>IF($A55="","",IF(Z55="Y",20,IF(Z55="Unknown",10,0))+$L55*5+IF(AA55="Y",15,IF(AA55="Unknown",5,0))+IF($J55="Public",10,IF($J55="Partner",7,IF($J55="Internal",3,0)))+IF($W55="Hard-coded",10,IF($W55="Unknown",7,IF($W55="Configurable",3,0)))+IF($I55&gt;=10,10,IF($I55&gt;=5,7,IF($I55&gt;=2,3,0)))+IF($K55="High",10,IF($K55="Medium",5,0)))</x:f>
      </x:c>
      <x:c r="AC55" s="28" t="str">
        <x:f>IF($A55="","",IF(AB55&gt;=70,"P0 - Immediate",IF(AB55&gt;=50,"P1 - High",IF(AB55&gt;=30,"P2 - Medium",IF(AB55&gt;=15,"P3 - Low","P4 - Monitor")))))</x:f>
      </x:c>
      <x:c r="AD55" s="28"/>
      <x:c r="AE55" s="28"/>
      <x:c r="AF55" s="28"/>
      <x:c r="AG55" s="58"/>
      <x:c r="AH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56"/>
      <x:c r="J56" s="28"/>
      <x:c r="K56" s="28"/>
      <x:c r="L56" s="56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  <x:c r="AA56" s="28"/>
      <x:c r="AB56" s="56" t="str">
        <x:f>IF($A56="","",IF(Z56="Y",20,IF(Z56="Unknown",10,0))+$L56*5+IF(AA56="Y",15,IF(AA56="Unknown",5,0))+IF($J56="Public",10,IF($J56="Partner",7,IF($J56="Internal",3,0)))+IF($W56="Hard-coded",10,IF($W56="Unknown",7,IF($W56="Configurable",3,0)))+IF($I56&gt;=10,10,IF($I56&gt;=5,7,IF($I56&gt;=2,3,0)))+IF($K56="High",10,IF($K56="Medium",5,0)))</x:f>
      </x:c>
      <x:c r="AC56" s="28" t="str">
        <x:f>IF($A56="","",IF(AB56&gt;=70,"P0 - Immediate",IF(AB56&gt;=50,"P1 - High",IF(AB56&gt;=30,"P2 - Medium",IF(AB56&gt;=15,"P3 - Low","P4 - Monitor")))))</x:f>
      </x:c>
      <x:c r="AD56" s="28"/>
      <x:c r="AE56" s="28"/>
      <x:c r="AF56" s="28"/>
      <x:c r="AG56" s="58"/>
      <x:c r="AH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56"/>
      <x:c r="J57" s="28"/>
      <x:c r="K57" s="28"/>
      <x:c r="L57" s="56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  <x:c r="AA57" s="28"/>
      <x:c r="AB57" s="56" t="str">
        <x:f>IF($A57="","",IF(Z57="Y",20,IF(Z57="Unknown",10,0))+$L57*5+IF(AA57="Y",15,IF(AA57="Unknown",5,0))+IF($J57="Public",10,IF($J57="Partner",7,IF($J57="Internal",3,0)))+IF($W57="Hard-coded",10,IF($W57="Unknown",7,IF($W57="Configurable",3,0)))+IF($I57&gt;=10,10,IF($I57&gt;=5,7,IF($I57&gt;=2,3,0)))+IF($K57="High",10,IF($K57="Medium",5,0)))</x:f>
      </x:c>
      <x:c r="AC57" s="28" t="str">
        <x:f>IF($A57="","",IF(AB57&gt;=70,"P0 - Immediate",IF(AB57&gt;=50,"P1 - High",IF(AB57&gt;=30,"P2 - Medium",IF(AB57&gt;=15,"P3 - Low","P4 - Monitor")))))</x:f>
      </x:c>
      <x:c r="AD57" s="28"/>
      <x:c r="AE57" s="28"/>
      <x:c r="AF57" s="28"/>
      <x:c r="AG57" s="58"/>
      <x:c r="AH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56"/>
      <x:c r="J58" s="28"/>
      <x:c r="K58" s="28"/>
      <x:c r="L58" s="56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  <x:c r="AA58" s="28"/>
      <x:c r="AB58" s="56" t="str">
        <x:f>IF($A58="","",IF(Z58="Y",20,IF(Z58="Unknown",10,0))+$L58*5+IF(AA58="Y",15,IF(AA58="Unknown",5,0))+IF($J58="Public",10,IF($J58="Partner",7,IF($J58="Internal",3,0)))+IF($W58="Hard-coded",10,IF($W58="Unknown",7,IF($W58="Configurable",3,0)))+IF($I58&gt;=10,10,IF($I58&gt;=5,7,IF($I58&gt;=2,3,0)))+IF($K58="High",10,IF($K58="Medium",5,0)))</x:f>
      </x:c>
      <x:c r="AC58" s="28" t="str">
        <x:f>IF($A58="","",IF(AB58&gt;=70,"P0 - Immediate",IF(AB58&gt;=50,"P1 - High",IF(AB58&gt;=30,"P2 - Medium",IF(AB58&gt;=15,"P3 - Low","P4 - Monitor")))))</x:f>
      </x:c>
      <x:c r="AD58" s="28"/>
      <x:c r="AE58" s="28"/>
      <x:c r="AF58" s="28"/>
      <x:c r="AG58" s="58"/>
      <x:c r="AH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56"/>
      <x:c r="J59" s="28"/>
      <x:c r="K59" s="28"/>
      <x:c r="L59" s="56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  <x:c r="AA59" s="28"/>
      <x:c r="AB59" s="56" t="str">
        <x:f>IF($A59="","",IF(Z59="Y",20,IF(Z59="Unknown",10,0))+$L59*5+IF(AA59="Y",15,IF(AA59="Unknown",5,0))+IF($J59="Public",10,IF($J59="Partner",7,IF($J59="Internal",3,0)))+IF($W59="Hard-coded",10,IF($W59="Unknown",7,IF($W59="Configurable",3,0)))+IF($I59&gt;=10,10,IF($I59&gt;=5,7,IF($I59&gt;=2,3,0)))+IF($K59="High",10,IF($K59="Medium",5,0)))</x:f>
      </x:c>
      <x:c r="AC59" s="28" t="str">
        <x:f>IF($A59="","",IF(AB59&gt;=70,"P0 - Immediate",IF(AB59&gt;=50,"P1 - High",IF(AB59&gt;=30,"P2 - Medium",IF(AB59&gt;=15,"P3 - Low","P4 - Monitor")))))</x:f>
      </x:c>
      <x:c r="AD59" s="28"/>
      <x:c r="AE59" s="28"/>
      <x:c r="AF59" s="28"/>
      <x:c r="AG59" s="58"/>
      <x:c r="AH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56"/>
      <x:c r="J60" s="28"/>
      <x:c r="K60" s="28"/>
      <x:c r="L60" s="56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  <x:c r="AA60" s="28"/>
      <x:c r="AB60" s="56" t="str">
        <x:f>IF($A60="","",IF(Z60="Y",20,IF(Z60="Unknown",10,0))+$L60*5+IF(AA60="Y",15,IF(AA60="Unknown",5,0))+IF($J60="Public",10,IF($J60="Partner",7,IF($J60="Internal",3,0)))+IF($W60="Hard-coded",10,IF($W60="Unknown",7,IF($W60="Configurable",3,0)))+IF($I60&gt;=10,10,IF($I60&gt;=5,7,IF($I60&gt;=2,3,0)))+IF($K60="High",10,IF($K60="Medium",5,0)))</x:f>
      </x:c>
      <x:c r="AC60" s="28" t="str">
        <x:f>IF($A60="","",IF(AB60&gt;=70,"P0 - Immediate",IF(AB60&gt;=50,"P1 - High",IF(AB60&gt;=30,"P2 - Medium",IF(AB60&gt;=15,"P3 - Low","P4 - Monitor")))))</x:f>
      </x:c>
      <x:c r="AD60" s="28"/>
      <x:c r="AE60" s="28"/>
      <x:c r="AF60" s="28"/>
      <x:c r="AG60" s="58"/>
      <x:c r="AH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56"/>
      <x:c r="J61" s="28"/>
      <x:c r="K61" s="28"/>
      <x:c r="L61" s="56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  <x:c r="AA61" s="28"/>
      <x:c r="AB61" s="56" t="str">
        <x:f>IF($A61="","",IF(Z61="Y",20,IF(Z61="Unknown",10,0))+$L61*5+IF(AA61="Y",15,IF(AA61="Unknown",5,0))+IF($J61="Public",10,IF($J61="Partner",7,IF($J61="Internal",3,0)))+IF($W61="Hard-coded",10,IF($W61="Unknown",7,IF($W61="Configurable",3,0)))+IF($I61&gt;=10,10,IF($I61&gt;=5,7,IF($I61&gt;=2,3,0)))+IF($K61="High",10,IF($K61="Medium",5,0)))</x:f>
      </x:c>
      <x:c r="AC61" s="28" t="str">
        <x:f>IF($A61="","",IF(AB61&gt;=70,"P0 - Immediate",IF(AB61&gt;=50,"P1 - High",IF(AB61&gt;=30,"P2 - Medium",IF(AB61&gt;=15,"P3 - Low","P4 - Monitor")))))</x:f>
      </x:c>
      <x:c r="AD61" s="28"/>
      <x:c r="AE61" s="28"/>
      <x:c r="AF61" s="28"/>
      <x:c r="AG61" s="58"/>
      <x:c r="AH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56"/>
      <x:c r="J62" s="28"/>
      <x:c r="K62" s="28"/>
      <x:c r="L62" s="56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  <x:c r="AA62" s="28"/>
      <x:c r="AB62" s="56" t="str">
        <x:f>IF($A62="","",IF(Z62="Y",20,IF(Z62="Unknown",10,0))+$L62*5+IF(AA62="Y",15,IF(AA62="Unknown",5,0))+IF($J62="Public",10,IF($J62="Partner",7,IF($J62="Internal",3,0)))+IF($W62="Hard-coded",10,IF($W62="Unknown",7,IF($W62="Configurable",3,0)))+IF($I62&gt;=10,10,IF($I62&gt;=5,7,IF($I62&gt;=2,3,0)))+IF($K62="High",10,IF($K62="Medium",5,0)))</x:f>
      </x:c>
      <x:c r="AC62" s="28" t="str">
        <x:f>IF($A62="","",IF(AB62&gt;=70,"P0 - Immediate",IF(AB62&gt;=50,"P1 - High",IF(AB62&gt;=30,"P2 - Medium",IF(AB62&gt;=15,"P3 - Low","P4 - Monitor")))))</x:f>
      </x:c>
      <x:c r="AD62" s="28"/>
      <x:c r="AE62" s="28"/>
      <x:c r="AF62" s="28"/>
      <x:c r="AG62" s="58"/>
      <x:c r="AH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56"/>
      <x:c r="J63" s="28"/>
      <x:c r="K63" s="28"/>
      <x:c r="L63" s="56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  <x:c r="AA63" s="28"/>
      <x:c r="AB63" s="56" t="str">
        <x:f>IF($A63="","",IF(Z63="Y",20,IF(Z63="Unknown",10,0))+$L63*5+IF(AA63="Y",15,IF(AA63="Unknown",5,0))+IF($J63="Public",10,IF($J63="Partner",7,IF($J63="Internal",3,0)))+IF($W63="Hard-coded",10,IF($W63="Unknown",7,IF($W63="Configurable",3,0)))+IF($I63&gt;=10,10,IF($I63&gt;=5,7,IF($I63&gt;=2,3,0)))+IF($K63="High",10,IF($K63="Medium",5,0)))</x:f>
      </x:c>
      <x:c r="AC63" s="28" t="str">
        <x:f>IF($A63="","",IF(AB63&gt;=70,"P0 - Immediate",IF(AB63&gt;=50,"P1 - High",IF(AB63&gt;=30,"P2 - Medium",IF(AB63&gt;=15,"P3 - Low","P4 - Monitor")))))</x:f>
      </x:c>
      <x:c r="AD63" s="28"/>
      <x:c r="AE63" s="28"/>
      <x:c r="AF63" s="28"/>
      <x:c r="AG63" s="58"/>
      <x:c r="AH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56"/>
      <x:c r="J64" s="28"/>
      <x:c r="K64" s="28"/>
      <x:c r="L64" s="56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  <x:c r="AA64" s="28"/>
      <x:c r="AB64" s="56" t="str">
        <x:f>IF($A64="","",IF(Z64="Y",20,IF(Z64="Unknown",10,0))+$L64*5+IF(AA64="Y",15,IF(AA64="Unknown",5,0))+IF($J64="Public",10,IF($J64="Partner",7,IF($J64="Internal",3,0)))+IF($W64="Hard-coded",10,IF($W64="Unknown",7,IF($W64="Configurable",3,0)))+IF($I64&gt;=10,10,IF($I64&gt;=5,7,IF($I64&gt;=2,3,0)))+IF($K64="High",10,IF($K64="Medium",5,0)))</x:f>
      </x:c>
      <x:c r="AC64" s="28" t="str">
        <x:f>IF($A64="","",IF(AB64&gt;=70,"P0 - Immediate",IF(AB64&gt;=50,"P1 - High",IF(AB64&gt;=30,"P2 - Medium",IF(AB64&gt;=15,"P3 - Low","P4 - Monitor")))))</x:f>
      </x:c>
      <x:c r="AD64" s="28"/>
      <x:c r="AE64" s="28"/>
      <x:c r="AF64" s="28"/>
      <x:c r="AG64" s="58"/>
      <x:c r="AH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56"/>
      <x:c r="J65" s="28"/>
      <x:c r="K65" s="28"/>
      <x:c r="L65" s="56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  <x:c r="AA65" s="28"/>
      <x:c r="AB65" s="56" t="str">
        <x:f>IF($A65="","",IF(Z65="Y",20,IF(Z65="Unknown",10,0))+$L65*5+IF(AA65="Y",15,IF(AA65="Unknown",5,0))+IF($J65="Public",10,IF($J65="Partner",7,IF($J65="Internal",3,0)))+IF($W65="Hard-coded",10,IF($W65="Unknown",7,IF($W65="Configurable",3,0)))+IF($I65&gt;=10,10,IF($I65&gt;=5,7,IF($I65&gt;=2,3,0)))+IF($K65="High",10,IF($K65="Medium",5,0)))</x:f>
      </x:c>
      <x:c r="AC65" s="28" t="str">
        <x:f>IF($A65="","",IF(AB65&gt;=70,"P0 - Immediate",IF(AB65&gt;=50,"P1 - High",IF(AB65&gt;=30,"P2 - Medium",IF(AB65&gt;=15,"P3 - Low","P4 - Monitor")))))</x:f>
      </x:c>
      <x:c r="AD65" s="28"/>
      <x:c r="AE65" s="28"/>
      <x:c r="AF65" s="28"/>
      <x:c r="AG65" s="58"/>
      <x:c r="AH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56"/>
      <x:c r="J66" s="28"/>
      <x:c r="K66" s="28"/>
      <x:c r="L66" s="56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  <x:c r="AA66" s="28"/>
      <x:c r="AB66" s="56" t="str">
        <x:f>IF($A66="","",IF(Z66="Y",20,IF(Z66="Unknown",10,0))+$L66*5+IF(AA66="Y",15,IF(AA66="Unknown",5,0))+IF($J66="Public",10,IF($J66="Partner",7,IF($J66="Internal",3,0)))+IF($W66="Hard-coded",10,IF($W66="Unknown",7,IF($W66="Configurable",3,0)))+IF($I66&gt;=10,10,IF($I66&gt;=5,7,IF($I66&gt;=2,3,0)))+IF($K66="High",10,IF($K66="Medium",5,0)))</x:f>
      </x:c>
      <x:c r="AC66" s="28" t="str">
        <x:f>IF($A66="","",IF(AB66&gt;=70,"P0 - Immediate",IF(AB66&gt;=50,"P1 - High",IF(AB66&gt;=30,"P2 - Medium",IF(AB66&gt;=15,"P3 - Low","P4 - Monitor")))))</x:f>
      </x:c>
      <x:c r="AD66" s="28"/>
      <x:c r="AE66" s="28"/>
      <x:c r="AF66" s="28"/>
      <x:c r="AG66" s="58"/>
      <x:c r="AH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56"/>
      <x:c r="J67" s="28"/>
      <x:c r="K67" s="28"/>
      <x:c r="L67" s="56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  <x:c r="AA67" s="28"/>
      <x:c r="AB67" s="56" t="str">
        <x:f>IF($A67="","",IF(Z67="Y",20,IF(Z67="Unknown",10,0))+$L67*5+IF(AA67="Y",15,IF(AA67="Unknown",5,0))+IF($J67="Public",10,IF($J67="Partner",7,IF($J67="Internal",3,0)))+IF($W67="Hard-coded",10,IF($W67="Unknown",7,IF($W67="Configurable",3,0)))+IF($I67&gt;=10,10,IF($I67&gt;=5,7,IF($I67&gt;=2,3,0)))+IF($K67="High",10,IF($K67="Medium",5,0)))</x:f>
      </x:c>
      <x:c r="AC67" s="28" t="str">
        <x:f>IF($A67="","",IF(AB67&gt;=70,"P0 - Immediate",IF(AB67&gt;=50,"P1 - High",IF(AB67&gt;=30,"P2 - Medium",IF(AB67&gt;=15,"P3 - Low","P4 - Monitor")))))</x:f>
      </x:c>
      <x:c r="AD67" s="28"/>
      <x:c r="AE67" s="28"/>
      <x:c r="AF67" s="28"/>
      <x:c r="AG67" s="58"/>
      <x:c r="AH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56"/>
      <x:c r="J68" s="28"/>
      <x:c r="K68" s="28"/>
      <x:c r="L68" s="56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  <x:c r="AA68" s="28"/>
      <x:c r="AB68" s="56" t="str">
        <x:f>IF($A68="","",IF(Z68="Y",20,IF(Z68="Unknown",10,0))+$L68*5+IF(AA68="Y",15,IF(AA68="Unknown",5,0))+IF($J68="Public",10,IF($J68="Partner",7,IF($J68="Internal",3,0)))+IF($W68="Hard-coded",10,IF($W68="Unknown",7,IF($W68="Configurable",3,0)))+IF($I68&gt;=10,10,IF($I68&gt;=5,7,IF($I68&gt;=2,3,0)))+IF($K68="High",10,IF($K68="Medium",5,0)))</x:f>
      </x:c>
      <x:c r="AC68" s="28" t="str">
        <x:f>IF($A68="","",IF(AB68&gt;=70,"P0 - Immediate",IF(AB68&gt;=50,"P1 - High",IF(AB68&gt;=30,"P2 - Medium",IF(AB68&gt;=15,"P3 - Low","P4 - Monitor")))))</x:f>
      </x:c>
      <x:c r="AD68" s="28"/>
      <x:c r="AE68" s="28"/>
      <x:c r="AF68" s="28"/>
      <x:c r="AG68" s="58"/>
      <x:c r="AH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56"/>
      <x:c r="J69" s="28"/>
      <x:c r="K69" s="28"/>
      <x:c r="L69" s="56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  <x:c r="AA69" s="28"/>
      <x:c r="AB69" s="56" t="str">
        <x:f>IF($A69="","",IF(Z69="Y",20,IF(Z69="Unknown",10,0))+$L69*5+IF(AA69="Y",15,IF(AA69="Unknown",5,0))+IF($J69="Public",10,IF($J69="Partner",7,IF($J69="Internal",3,0)))+IF($W69="Hard-coded",10,IF($W69="Unknown",7,IF($W69="Configurable",3,0)))+IF($I69&gt;=10,10,IF($I69&gt;=5,7,IF($I69&gt;=2,3,0)))+IF($K69="High",10,IF($K69="Medium",5,0)))</x:f>
      </x:c>
      <x:c r="AC69" s="28" t="str">
        <x:f>IF($A69="","",IF(AB69&gt;=70,"P0 - Immediate",IF(AB69&gt;=50,"P1 - High",IF(AB69&gt;=30,"P2 - Medium",IF(AB69&gt;=15,"P3 - Low","P4 - Monitor")))))</x:f>
      </x:c>
      <x:c r="AD69" s="28"/>
      <x:c r="AE69" s="28"/>
      <x:c r="AF69" s="28"/>
      <x:c r="AG69" s="58"/>
      <x:c r="AH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56"/>
      <x:c r="J70" s="28"/>
      <x:c r="K70" s="28"/>
      <x:c r="L70" s="56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  <x:c r="AA70" s="28"/>
      <x:c r="AB70" s="56" t="str">
        <x:f>IF($A70="","",IF(Z70="Y",20,IF(Z70="Unknown",10,0))+$L70*5+IF(AA70="Y",15,IF(AA70="Unknown",5,0))+IF($J70="Public",10,IF($J70="Partner",7,IF($J70="Internal",3,0)))+IF($W70="Hard-coded",10,IF($W70="Unknown",7,IF($W70="Configurable",3,0)))+IF($I70&gt;=10,10,IF($I70&gt;=5,7,IF($I70&gt;=2,3,0)))+IF($K70="High",10,IF($K70="Medium",5,0)))</x:f>
      </x:c>
      <x:c r="AC70" s="28" t="str">
        <x:f>IF($A70="","",IF(AB70&gt;=70,"P0 - Immediate",IF(AB70&gt;=50,"P1 - High",IF(AB70&gt;=30,"P2 - Medium",IF(AB70&gt;=15,"P3 - Low","P4 - Monitor")))))</x:f>
      </x:c>
      <x:c r="AD70" s="28"/>
      <x:c r="AE70" s="28"/>
      <x:c r="AF70" s="28"/>
      <x:c r="AG70" s="58"/>
      <x:c r="AH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56"/>
      <x:c r="J71" s="28"/>
      <x:c r="K71" s="28"/>
      <x:c r="L71" s="56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  <x:c r="AA71" s="28"/>
      <x:c r="AB71" s="56" t="str">
        <x:f>IF($A71="","",IF(Z71="Y",20,IF(Z71="Unknown",10,0))+$L71*5+IF(AA71="Y",15,IF(AA71="Unknown",5,0))+IF($J71="Public",10,IF($J71="Partner",7,IF($J71="Internal",3,0)))+IF($W71="Hard-coded",10,IF($W71="Unknown",7,IF($W71="Configurable",3,0)))+IF($I71&gt;=10,10,IF($I71&gt;=5,7,IF($I71&gt;=2,3,0)))+IF($K71="High",10,IF($K71="Medium",5,0)))</x:f>
      </x:c>
      <x:c r="AC71" s="28" t="str">
        <x:f>IF($A71="","",IF(AB71&gt;=70,"P0 - Immediate",IF(AB71&gt;=50,"P1 - High",IF(AB71&gt;=30,"P2 - Medium",IF(AB71&gt;=15,"P3 - Low","P4 - Monitor")))))</x:f>
      </x:c>
      <x:c r="AD71" s="28"/>
      <x:c r="AE71" s="28"/>
      <x:c r="AF71" s="28"/>
      <x:c r="AG71" s="58"/>
      <x:c r="AH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56"/>
      <x:c r="J72" s="28"/>
      <x:c r="K72" s="28"/>
      <x:c r="L72" s="56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  <x:c r="AA72" s="28"/>
      <x:c r="AB72" s="56" t="str">
        <x:f>IF($A72="","",IF(Z72="Y",20,IF(Z72="Unknown",10,0))+$L72*5+IF(AA72="Y",15,IF(AA72="Unknown",5,0))+IF($J72="Public",10,IF($J72="Partner",7,IF($J72="Internal",3,0)))+IF($W72="Hard-coded",10,IF($W72="Unknown",7,IF($W72="Configurable",3,0)))+IF($I72&gt;=10,10,IF($I72&gt;=5,7,IF($I72&gt;=2,3,0)))+IF($K72="High",10,IF($K72="Medium",5,0)))</x:f>
      </x:c>
      <x:c r="AC72" s="28" t="str">
        <x:f>IF($A72="","",IF(AB72&gt;=70,"P0 - Immediate",IF(AB72&gt;=50,"P1 - High",IF(AB72&gt;=30,"P2 - Medium",IF(AB72&gt;=15,"P3 - Low","P4 - Monitor")))))</x:f>
      </x:c>
      <x:c r="AD72" s="28"/>
      <x:c r="AE72" s="28"/>
      <x:c r="AF72" s="28"/>
      <x:c r="AG72" s="58"/>
      <x:c r="AH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56"/>
      <x:c r="J73" s="28"/>
      <x:c r="K73" s="28"/>
      <x:c r="L73" s="56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  <x:c r="AA73" s="28"/>
      <x:c r="AB73" s="56" t="str">
        <x:f>IF($A73="","",IF(Z73="Y",20,IF(Z73="Unknown",10,0))+$L73*5+IF(AA73="Y",15,IF(AA73="Unknown",5,0))+IF($J73="Public",10,IF($J73="Partner",7,IF($J73="Internal",3,0)))+IF($W73="Hard-coded",10,IF($W73="Unknown",7,IF($W73="Configurable",3,0)))+IF($I73&gt;=10,10,IF($I73&gt;=5,7,IF($I73&gt;=2,3,0)))+IF($K73="High",10,IF($K73="Medium",5,0)))</x:f>
      </x:c>
      <x:c r="AC73" s="28" t="str">
        <x:f>IF($A73="","",IF(AB73&gt;=70,"P0 - Immediate",IF(AB73&gt;=50,"P1 - High",IF(AB73&gt;=30,"P2 - Medium",IF(AB73&gt;=15,"P3 - Low","P4 - Monitor")))))</x:f>
      </x:c>
      <x:c r="AD73" s="28"/>
      <x:c r="AE73" s="28"/>
      <x:c r="AF73" s="28"/>
      <x:c r="AG73" s="58"/>
      <x:c r="AH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56"/>
      <x:c r="J74" s="28"/>
      <x:c r="K74" s="28"/>
      <x:c r="L74" s="56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  <x:c r="AA74" s="28"/>
      <x:c r="AB74" s="56" t="str">
        <x:f>IF($A74="","",IF(Z74="Y",20,IF(Z74="Unknown",10,0))+$L74*5+IF(AA74="Y",15,IF(AA74="Unknown",5,0))+IF($J74="Public",10,IF($J74="Partner",7,IF($J74="Internal",3,0)))+IF($W74="Hard-coded",10,IF($W74="Unknown",7,IF($W74="Configurable",3,0)))+IF($I74&gt;=10,10,IF($I74&gt;=5,7,IF($I74&gt;=2,3,0)))+IF($K74="High",10,IF($K74="Medium",5,0)))</x:f>
      </x:c>
      <x:c r="AC74" s="28" t="str">
        <x:f>IF($A74="","",IF(AB74&gt;=70,"P0 - Immediate",IF(AB74&gt;=50,"P1 - High",IF(AB74&gt;=30,"P2 - Medium",IF(AB74&gt;=15,"P3 - Low","P4 - Monitor")))))</x:f>
      </x:c>
      <x:c r="AD74" s="28"/>
      <x:c r="AE74" s="28"/>
      <x:c r="AF74" s="28"/>
      <x:c r="AG74" s="58"/>
      <x:c r="AH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56"/>
      <x:c r="J75" s="28"/>
      <x:c r="K75" s="28"/>
      <x:c r="L75" s="56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  <x:c r="AA75" s="28"/>
      <x:c r="AB75" s="56" t="str">
        <x:f>IF($A75="","",IF(Z75="Y",20,IF(Z75="Unknown",10,0))+$L75*5+IF(AA75="Y",15,IF(AA75="Unknown",5,0))+IF($J75="Public",10,IF($J75="Partner",7,IF($J75="Internal",3,0)))+IF($W75="Hard-coded",10,IF($W75="Unknown",7,IF($W75="Configurable",3,0)))+IF($I75&gt;=10,10,IF($I75&gt;=5,7,IF($I75&gt;=2,3,0)))+IF($K75="High",10,IF($K75="Medium",5,0)))</x:f>
      </x:c>
      <x:c r="AC75" s="28" t="str">
        <x:f>IF($A75="","",IF(AB75&gt;=70,"P0 - Immediate",IF(AB75&gt;=50,"P1 - High",IF(AB75&gt;=30,"P2 - Medium",IF(AB75&gt;=15,"P3 - Low","P4 - Monitor")))))</x:f>
      </x:c>
      <x:c r="AD75" s="28"/>
      <x:c r="AE75" s="28"/>
      <x:c r="AF75" s="28"/>
      <x:c r="AG75" s="58"/>
      <x:c r="AH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56"/>
      <x:c r="J76" s="28"/>
      <x:c r="K76" s="28"/>
      <x:c r="L76" s="56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  <x:c r="AA76" s="28"/>
      <x:c r="AB76" s="56" t="str">
        <x:f>IF($A76="","",IF(Z76="Y",20,IF(Z76="Unknown",10,0))+$L76*5+IF(AA76="Y",15,IF(AA76="Unknown",5,0))+IF($J76="Public",10,IF($J76="Partner",7,IF($J76="Internal",3,0)))+IF($W76="Hard-coded",10,IF($W76="Unknown",7,IF($W76="Configurable",3,0)))+IF($I76&gt;=10,10,IF($I76&gt;=5,7,IF($I76&gt;=2,3,0)))+IF($K76="High",10,IF($K76="Medium",5,0)))</x:f>
      </x:c>
      <x:c r="AC76" s="28" t="str">
        <x:f>IF($A76="","",IF(AB76&gt;=70,"P0 - Immediate",IF(AB76&gt;=50,"P1 - High",IF(AB76&gt;=30,"P2 - Medium",IF(AB76&gt;=15,"P3 - Low","P4 - Monitor")))))</x:f>
      </x:c>
      <x:c r="AD76" s="28"/>
      <x:c r="AE76" s="28"/>
      <x:c r="AF76" s="28"/>
      <x:c r="AG76" s="58"/>
      <x:c r="AH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56"/>
      <x:c r="J77" s="28"/>
      <x:c r="K77" s="28"/>
      <x:c r="L77" s="56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  <x:c r="AA77" s="28"/>
      <x:c r="AB77" s="56" t="str">
        <x:f>IF($A77="","",IF(Z77="Y",20,IF(Z77="Unknown",10,0))+$L77*5+IF(AA77="Y",15,IF(AA77="Unknown",5,0))+IF($J77="Public",10,IF($J77="Partner",7,IF($J77="Internal",3,0)))+IF($W77="Hard-coded",10,IF($W77="Unknown",7,IF($W77="Configurable",3,0)))+IF($I77&gt;=10,10,IF($I77&gt;=5,7,IF($I77&gt;=2,3,0)))+IF($K77="High",10,IF($K77="Medium",5,0)))</x:f>
      </x:c>
      <x:c r="AC77" s="28" t="str">
        <x:f>IF($A77="","",IF(AB77&gt;=70,"P0 - Immediate",IF(AB77&gt;=50,"P1 - High",IF(AB77&gt;=30,"P2 - Medium",IF(AB77&gt;=15,"P3 - Low","P4 - Monitor")))))</x:f>
      </x:c>
      <x:c r="AD77" s="28"/>
      <x:c r="AE77" s="28"/>
      <x:c r="AF77" s="28"/>
      <x:c r="AG77" s="58"/>
      <x:c r="AH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56"/>
      <x:c r="J78" s="28"/>
      <x:c r="K78" s="28"/>
      <x:c r="L78" s="56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  <x:c r="AA78" s="28"/>
      <x:c r="AB78" s="56" t="str">
        <x:f>IF($A78="","",IF(Z78="Y",20,IF(Z78="Unknown",10,0))+$L78*5+IF(AA78="Y",15,IF(AA78="Unknown",5,0))+IF($J78="Public",10,IF($J78="Partner",7,IF($J78="Internal",3,0)))+IF($W78="Hard-coded",10,IF($W78="Unknown",7,IF($W78="Configurable",3,0)))+IF($I78&gt;=10,10,IF($I78&gt;=5,7,IF($I78&gt;=2,3,0)))+IF($K78="High",10,IF($K78="Medium",5,0)))</x:f>
      </x:c>
      <x:c r="AC78" s="28" t="str">
        <x:f>IF($A78="","",IF(AB78&gt;=70,"P0 - Immediate",IF(AB78&gt;=50,"P1 - High",IF(AB78&gt;=30,"P2 - Medium",IF(AB78&gt;=15,"P3 - Low","P4 - Monitor")))))</x:f>
      </x:c>
      <x:c r="AD78" s="28"/>
      <x:c r="AE78" s="28"/>
      <x:c r="AF78" s="28"/>
      <x:c r="AG78" s="58"/>
      <x:c r="AH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56"/>
      <x:c r="J79" s="28"/>
      <x:c r="K79" s="28"/>
      <x:c r="L79" s="56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  <x:c r="AA79" s="28"/>
      <x:c r="AB79" s="56" t="str">
        <x:f>IF($A79="","",IF(Z79="Y",20,IF(Z79="Unknown",10,0))+$L79*5+IF(AA79="Y",15,IF(AA79="Unknown",5,0))+IF($J79="Public",10,IF($J79="Partner",7,IF($J79="Internal",3,0)))+IF($W79="Hard-coded",10,IF($W79="Unknown",7,IF($W79="Configurable",3,0)))+IF($I79&gt;=10,10,IF($I79&gt;=5,7,IF($I79&gt;=2,3,0)))+IF($K79="High",10,IF($K79="Medium",5,0)))</x:f>
      </x:c>
      <x:c r="AC79" s="28" t="str">
        <x:f>IF($A79="","",IF(AB79&gt;=70,"P0 - Immediate",IF(AB79&gt;=50,"P1 - High",IF(AB79&gt;=30,"P2 - Medium",IF(AB79&gt;=15,"P3 - Low","P4 - Monitor")))))</x:f>
      </x:c>
      <x:c r="AD79" s="28"/>
      <x:c r="AE79" s="28"/>
      <x:c r="AF79" s="28"/>
      <x:c r="AG79" s="58"/>
      <x:c r="AH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56"/>
      <x:c r="J80" s="28"/>
      <x:c r="K80" s="28"/>
      <x:c r="L80" s="56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  <x:c r="AA80" s="28"/>
      <x:c r="AB80" s="56" t="str">
        <x:f>IF($A80="","",IF(Z80="Y",20,IF(Z80="Unknown",10,0))+$L80*5+IF(AA80="Y",15,IF(AA80="Unknown",5,0))+IF($J80="Public",10,IF($J80="Partner",7,IF($J80="Internal",3,0)))+IF($W80="Hard-coded",10,IF($W80="Unknown",7,IF($W80="Configurable",3,0)))+IF($I80&gt;=10,10,IF($I80&gt;=5,7,IF($I80&gt;=2,3,0)))+IF($K80="High",10,IF($K80="Medium",5,0)))</x:f>
      </x:c>
      <x:c r="AC80" s="28" t="str">
        <x:f>IF($A80="","",IF(AB80&gt;=70,"P0 - Immediate",IF(AB80&gt;=50,"P1 - High",IF(AB80&gt;=30,"P2 - Medium",IF(AB80&gt;=15,"P3 - Low","P4 - Monitor")))))</x:f>
      </x:c>
      <x:c r="AD80" s="28"/>
      <x:c r="AE80" s="28"/>
      <x:c r="AF80" s="28"/>
      <x:c r="AG80" s="58"/>
      <x:c r="AH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56"/>
      <x:c r="J81" s="28"/>
      <x:c r="K81" s="28"/>
      <x:c r="L81" s="56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  <x:c r="AA81" s="28"/>
      <x:c r="AB81" s="56" t="str">
        <x:f>IF($A81="","",IF(Z81="Y",20,IF(Z81="Unknown",10,0))+$L81*5+IF(AA81="Y",15,IF(AA81="Unknown",5,0))+IF($J81="Public",10,IF($J81="Partner",7,IF($J81="Internal",3,0)))+IF($W81="Hard-coded",10,IF($W81="Unknown",7,IF($W81="Configurable",3,0)))+IF($I81&gt;=10,10,IF($I81&gt;=5,7,IF($I81&gt;=2,3,0)))+IF($K81="High",10,IF($K81="Medium",5,0)))</x:f>
      </x:c>
      <x:c r="AC81" s="28" t="str">
        <x:f>IF($A81="","",IF(AB81&gt;=70,"P0 - Immediate",IF(AB81&gt;=50,"P1 - High",IF(AB81&gt;=30,"P2 - Medium",IF(AB81&gt;=15,"P3 - Low","P4 - Monitor")))))</x:f>
      </x:c>
      <x:c r="AD81" s="28"/>
      <x:c r="AE81" s="28"/>
      <x:c r="AF81" s="28"/>
      <x:c r="AG81" s="58"/>
      <x:c r="AH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56"/>
      <x:c r="J82" s="28"/>
      <x:c r="K82" s="28"/>
      <x:c r="L82" s="56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  <x:c r="AA82" s="28"/>
      <x:c r="AB82" s="56" t="str">
        <x:f>IF($A82="","",IF(Z82="Y",20,IF(Z82="Unknown",10,0))+$L82*5+IF(AA82="Y",15,IF(AA82="Unknown",5,0))+IF($J82="Public",10,IF($J82="Partner",7,IF($J82="Internal",3,0)))+IF($W82="Hard-coded",10,IF($W82="Unknown",7,IF($W82="Configurable",3,0)))+IF($I82&gt;=10,10,IF($I82&gt;=5,7,IF($I82&gt;=2,3,0)))+IF($K82="High",10,IF($K82="Medium",5,0)))</x:f>
      </x:c>
      <x:c r="AC82" s="28" t="str">
        <x:f>IF($A82="","",IF(AB82&gt;=70,"P0 - Immediate",IF(AB82&gt;=50,"P1 - High",IF(AB82&gt;=30,"P2 - Medium",IF(AB82&gt;=15,"P3 - Low","P4 - Monitor")))))</x:f>
      </x:c>
      <x:c r="AD82" s="28"/>
      <x:c r="AE82" s="28"/>
      <x:c r="AF82" s="28"/>
      <x:c r="AG82" s="58"/>
      <x:c r="AH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56"/>
      <x:c r="J83" s="28"/>
      <x:c r="K83" s="28"/>
      <x:c r="L83" s="56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  <x:c r="AA83" s="28"/>
      <x:c r="AB83" s="56" t="str">
        <x:f>IF($A83="","",IF(Z83="Y",20,IF(Z83="Unknown",10,0))+$L83*5+IF(AA83="Y",15,IF(AA83="Unknown",5,0))+IF($J83="Public",10,IF($J83="Partner",7,IF($J83="Internal",3,0)))+IF($W83="Hard-coded",10,IF($W83="Unknown",7,IF($W83="Configurable",3,0)))+IF($I83&gt;=10,10,IF($I83&gt;=5,7,IF($I83&gt;=2,3,0)))+IF($K83="High",10,IF($K83="Medium",5,0)))</x:f>
      </x:c>
      <x:c r="AC83" s="28" t="str">
        <x:f>IF($A83="","",IF(AB83&gt;=70,"P0 - Immediate",IF(AB83&gt;=50,"P1 - High",IF(AB83&gt;=30,"P2 - Medium",IF(AB83&gt;=15,"P3 - Low","P4 - Monitor")))))</x:f>
      </x:c>
      <x:c r="AD83" s="28"/>
      <x:c r="AE83" s="28"/>
      <x:c r="AF83" s="28"/>
      <x:c r="AG83" s="58"/>
      <x:c r="AH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56"/>
      <x:c r="J84" s="28"/>
      <x:c r="K84" s="28"/>
      <x:c r="L84" s="56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  <x:c r="AA84" s="28"/>
      <x:c r="AB84" s="56" t="str">
        <x:f>IF($A84="","",IF(Z84="Y",20,IF(Z84="Unknown",10,0))+$L84*5+IF(AA84="Y",15,IF(AA84="Unknown",5,0))+IF($J84="Public",10,IF($J84="Partner",7,IF($J84="Internal",3,0)))+IF($W84="Hard-coded",10,IF($W84="Unknown",7,IF($W84="Configurable",3,0)))+IF($I84&gt;=10,10,IF($I84&gt;=5,7,IF($I84&gt;=2,3,0)))+IF($K84="High",10,IF($K84="Medium",5,0)))</x:f>
      </x:c>
      <x:c r="AC84" s="28" t="str">
        <x:f>IF($A84="","",IF(AB84&gt;=70,"P0 - Immediate",IF(AB84&gt;=50,"P1 - High",IF(AB84&gt;=30,"P2 - Medium",IF(AB84&gt;=15,"P3 - Low","P4 - Monitor")))))</x:f>
      </x:c>
      <x:c r="AD84" s="28"/>
      <x:c r="AE84" s="28"/>
      <x:c r="AF84" s="28"/>
      <x:c r="AG84" s="58"/>
      <x:c r="AH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56"/>
      <x:c r="J85" s="28"/>
      <x:c r="K85" s="28"/>
      <x:c r="L85" s="56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  <x:c r="AA85" s="28"/>
      <x:c r="AB85" s="56" t="str">
        <x:f>IF($A85="","",IF(Z85="Y",20,IF(Z85="Unknown",10,0))+$L85*5+IF(AA85="Y",15,IF(AA85="Unknown",5,0))+IF($J85="Public",10,IF($J85="Partner",7,IF($J85="Internal",3,0)))+IF($W85="Hard-coded",10,IF($W85="Unknown",7,IF($W85="Configurable",3,0)))+IF($I85&gt;=10,10,IF($I85&gt;=5,7,IF($I85&gt;=2,3,0)))+IF($K85="High",10,IF($K85="Medium",5,0)))</x:f>
      </x:c>
      <x:c r="AC85" s="28" t="str">
        <x:f>IF($A85="","",IF(AB85&gt;=70,"P0 - Immediate",IF(AB85&gt;=50,"P1 - High",IF(AB85&gt;=30,"P2 - Medium",IF(AB85&gt;=15,"P3 - Low","P4 - Monitor")))))</x:f>
      </x:c>
      <x:c r="AD85" s="28"/>
      <x:c r="AE85" s="28"/>
      <x:c r="AF85" s="28"/>
      <x:c r="AG85" s="58"/>
      <x:c r="AH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56"/>
      <x:c r="J86" s="28"/>
      <x:c r="K86" s="28"/>
      <x:c r="L86" s="56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  <x:c r="AA86" s="28"/>
      <x:c r="AB86" s="56" t="str">
        <x:f>IF($A86="","",IF(Z86="Y",20,IF(Z86="Unknown",10,0))+$L86*5+IF(AA86="Y",15,IF(AA86="Unknown",5,0))+IF($J86="Public",10,IF($J86="Partner",7,IF($J86="Internal",3,0)))+IF($W86="Hard-coded",10,IF($W86="Unknown",7,IF($W86="Configurable",3,0)))+IF($I86&gt;=10,10,IF($I86&gt;=5,7,IF($I86&gt;=2,3,0)))+IF($K86="High",10,IF($K86="Medium",5,0)))</x:f>
      </x:c>
      <x:c r="AC86" s="28" t="str">
        <x:f>IF($A86="","",IF(AB86&gt;=70,"P0 - Immediate",IF(AB86&gt;=50,"P1 - High",IF(AB86&gt;=30,"P2 - Medium",IF(AB86&gt;=15,"P3 - Low","P4 - Monitor")))))</x:f>
      </x:c>
      <x:c r="AD86" s="28"/>
      <x:c r="AE86" s="28"/>
      <x:c r="AF86" s="28"/>
      <x:c r="AG86" s="58"/>
      <x:c r="AH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56"/>
      <x:c r="J87" s="28"/>
      <x:c r="K87" s="28"/>
      <x:c r="L87" s="56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  <x:c r="AA87" s="28"/>
      <x:c r="AB87" s="56" t="str">
        <x:f>IF($A87="","",IF(Z87="Y",20,IF(Z87="Unknown",10,0))+$L87*5+IF(AA87="Y",15,IF(AA87="Unknown",5,0))+IF($J87="Public",10,IF($J87="Partner",7,IF($J87="Internal",3,0)))+IF($W87="Hard-coded",10,IF($W87="Unknown",7,IF($W87="Configurable",3,0)))+IF($I87&gt;=10,10,IF($I87&gt;=5,7,IF($I87&gt;=2,3,0)))+IF($K87="High",10,IF($K87="Medium",5,0)))</x:f>
      </x:c>
      <x:c r="AC87" s="28" t="str">
        <x:f>IF($A87="","",IF(AB87&gt;=70,"P0 - Immediate",IF(AB87&gt;=50,"P1 - High",IF(AB87&gt;=30,"P2 - Medium",IF(AB87&gt;=15,"P3 - Low","P4 - Monitor")))))</x:f>
      </x:c>
      <x:c r="AD87" s="28"/>
      <x:c r="AE87" s="28"/>
      <x:c r="AF87" s="28"/>
      <x:c r="AG87" s="58"/>
      <x:c r="AH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56"/>
      <x:c r="J88" s="28"/>
      <x:c r="K88" s="28"/>
      <x:c r="L88" s="56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  <x:c r="AA88" s="28"/>
      <x:c r="AB88" s="56" t="str">
        <x:f>IF($A88="","",IF(Z88="Y",20,IF(Z88="Unknown",10,0))+$L88*5+IF(AA88="Y",15,IF(AA88="Unknown",5,0))+IF($J88="Public",10,IF($J88="Partner",7,IF($J88="Internal",3,0)))+IF($W88="Hard-coded",10,IF($W88="Unknown",7,IF($W88="Configurable",3,0)))+IF($I88&gt;=10,10,IF($I88&gt;=5,7,IF($I88&gt;=2,3,0)))+IF($K88="High",10,IF($K88="Medium",5,0)))</x:f>
      </x:c>
      <x:c r="AC88" s="28" t="str">
        <x:f>IF($A88="","",IF(AB88&gt;=70,"P0 - Immediate",IF(AB88&gt;=50,"P1 - High",IF(AB88&gt;=30,"P2 - Medium",IF(AB88&gt;=15,"P3 - Low","P4 - Monitor")))))</x:f>
      </x:c>
      <x:c r="AD88" s="28"/>
      <x:c r="AE88" s="28"/>
      <x:c r="AF88" s="28"/>
      <x:c r="AG88" s="58"/>
      <x:c r="AH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56"/>
      <x:c r="J89" s="28"/>
      <x:c r="K89" s="28"/>
      <x:c r="L89" s="56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  <x:c r="AA89" s="28"/>
      <x:c r="AB89" s="56" t="str">
        <x:f>IF($A89="","",IF(Z89="Y",20,IF(Z89="Unknown",10,0))+$L89*5+IF(AA89="Y",15,IF(AA89="Unknown",5,0))+IF($J89="Public",10,IF($J89="Partner",7,IF($J89="Internal",3,0)))+IF($W89="Hard-coded",10,IF($W89="Unknown",7,IF($W89="Configurable",3,0)))+IF($I89&gt;=10,10,IF($I89&gt;=5,7,IF($I89&gt;=2,3,0)))+IF($K89="High",10,IF($K89="Medium",5,0)))</x:f>
      </x:c>
      <x:c r="AC89" s="28" t="str">
        <x:f>IF($A89="","",IF(AB89&gt;=70,"P0 - Immediate",IF(AB89&gt;=50,"P1 - High",IF(AB89&gt;=30,"P2 - Medium",IF(AB89&gt;=15,"P3 - Low","P4 - Monitor")))))</x:f>
      </x:c>
      <x:c r="AD89" s="28"/>
      <x:c r="AE89" s="28"/>
      <x:c r="AF89" s="28"/>
      <x:c r="AG89" s="58"/>
      <x:c r="AH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56"/>
      <x:c r="J90" s="28"/>
      <x:c r="K90" s="28"/>
      <x:c r="L90" s="56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  <x:c r="AA90" s="28"/>
      <x:c r="AB90" s="56" t="str">
        <x:f>IF($A90="","",IF(Z90="Y",20,IF(Z90="Unknown",10,0))+$L90*5+IF(AA90="Y",15,IF(AA90="Unknown",5,0))+IF($J90="Public",10,IF($J90="Partner",7,IF($J90="Internal",3,0)))+IF($W90="Hard-coded",10,IF($W90="Unknown",7,IF($W90="Configurable",3,0)))+IF($I90&gt;=10,10,IF($I90&gt;=5,7,IF($I90&gt;=2,3,0)))+IF($K90="High",10,IF($K90="Medium",5,0)))</x:f>
      </x:c>
      <x:c r="AC90" s="28" t="str">
        <x:f>IF($A90="","",IF(AB90&gt;=70,"P0 - Immediate",IF(AB90&gt;=50,"P1 - High",IF(AB90&gt;=30,"P2 - Medium",IF(AB90&gt;=15,"P3 - Low","P4 - Monitor")))))</x:f>
      </x:c>
      <x:c r="AD90" s="28"/>
      <x:c r="AE90" s="28"/>
      <x:c r="AF90" s="28"/>
      <x:c r="AG90" s="58"/>
      <x:c r="AH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56"/>
      <x:c r="J91" s="28"/>
      <x:c r="K91" s="28"/>
      <x:c r="L91" s="56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  <x:c r="AA91" s="28"/>
      <x:c r="AB91" s="56" t="str">
        <x:f>IF($A91="","",IF(Z91="Y",20,IF(Z91="Unknown",10,0))+$L91*5+IF(AA91="Y",15,IF(AA91="Unknown",5,0))+IF($J91="Public",10,IF($J91="Partner",7,IF($J91="Internal",3,0)))+IF($W91="Hard-coded",10,IF($W91="Unknown",7,IF($W91="Configurable",3,0)))+IF($I91&gt;=10,10,IF($I91&gt;=5,7,IF($I91&gt;=2,3,0)))+IF($K91="High",10,IF($K91="Medium",5,0)))</x:f>
      </x:c>
      <x:c r="AC91" s="28" t="str">
        <x:f>IF($A91="","",IF(AB91&gt;=70,"P0 - Immediate",IF(AB91&gt;=50,"P1 - High",IF(AB91&gt;=30,"P2 - Medium",IF(AB91&gt;=15,"P3 - Low","P4 - Monitor")))))</x:f>
      </x:c>
      <x:c r="AD91" s="28"/>
      <x:c r="AE91" s="28"/>
      <x:c r="AF91" s="28"/>
      <x:c r="AG91" s="58"/>
      <x:c r="AH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56"/>
      <x:c r="J92" s="28"/>
      <x:c r="K92" s="28"/>
      <x:c r="L92" s="56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  <x:c r="AA92" s="28"/>
      <x:c r="AB92" s="56" t="str">
        <x:f>IF($A92="","",IF(Z92="Y",20,IF(Z92="Unknown",10,0))+$L92*5+IF(AA92="Y",15,IF(AA92="Unknown",5,0))+IF($J92="Public",10,IF($J92="Partner",7,IF($J92="Internal",3,0)))+IF($W92="Hard-coded",10,IF($W92="Unknown",7,IF($W92="Configurable",3,0)))+IF($I92&gt;=10,10,IF($I92&gt;=5,7,IF($I92&gt;=2,3,0)))+IF($K92="High",10,IF($K92="Medium",5,0)))</x:f>
      </x:c>
      <x:c r="AC92" s="28" t="str">
        <x:f>IF($A92="","",IF(AB92&gt;=70,"P0 - Immediate",IF(AB92&gt;=50,"P1 - High",IF(AB92&gt;=30,"P2 - Medium",IF(AB92&gt;=15,"P3 - Low","P4 - Monitor")))))</x:f>
      </x:c>
      <x:c r="AD92" s="28"/>
      <x:c r="AE92" s="28"/>
      <x:c r="AF92" s="28"/>
      <x:c r="AG92" s="58"/>
      <x:c r="AH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56"/>
      <x:c r="J93" s="28"/>
      <x:c r="K93" s="28"/>
      <x:c r="L93" s="56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  <x:c r="AA93" s="28"/>
      <x:c r="AB93" s="56" t="str">
        <x:f>IF($A93="","",IF(Z93="Y",20,IF(Z93="Unknown",10,0))+$L93*5+IF(AA93="Y",15,IF(AA93="Unknown",5,0))+IF($J93="Public",10,IF($J93="Partner",7,IF($J93="Internal",3,0)))+IF($W93="Hard-coded",10,IF($W93="Unknown",7,IF($W93="Configurable",3,0)))+IF($I93&gt;=10,10,IF($I93&gt;=5,7,IF($I93&gt;=2,3,0)))+IF($K93="High",10,IF($K93="Medium",5,0)))</x:f>
      </x:c>
      <x:c r="AC93" s="28" t="str">
        <x:f>IF($A93="","",IF(AB93&gt;=70,"P0 - Immediate",IF(AB93&gt;=50,"P1 - High",IF(AB93&gt;=30,"P2 - Medium",IF(AB93&gt;=15,"P3 - Low","P4 - Monitor")))))</x:f>
      </x:c>
      <x:c r="AD93" s="28"/>
      <x:c r="AE93" s="28"/>
      <x:c r="AF93" s="28"/>
      <x:c r="AG93" s="58"/>
      <x:c r="AH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56"/>
      <x:c r="J94" s="28"/>
      <x:c r="K94" s="28"/>
      <x:c r="L94" s="56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  <x:c r="AA94" s="28"/>
      <x:c r="AB94" s="56" t="str">
        <x:f>IF($A94="","",IF(Z94="Y",20,IF(Z94="Unknown",10,0))+$L94*5+IF(AA94="Y",15,IF(AA94="Unknown",5,0))+IF($J94="Public",10,IF($J94="Partner",7,IF($J94="Internal",3,0)))+IF($W94="Hard-coded",10,IF($W94="Unknown",7,IF($W94="Configurable",3,0)))+IF($I94&gt;=10,10,IF($I94&gt;=5,7,IF($I94&gt;=2,3,0)))+IF($K94="High",10,IF($K94="Medium",5,0)))</x:f>
      </x:c>
      <x:c r="AC94" s="28" t="str">
        <x:f>IF($A94="","",IF(AB94&gt;=70,"P0 - Immediate",IF(AB94&gt;=50,"P1 - High",IF(AB94&gt;=30,"P2 - Medium",IF(AB94&gt;=15,"P3 - Low","P4 - Monitor")))))</x:f>
      </x:c>
      <x:c r="AD94" s="28"/>
      <x:c r="AE94" s="28"/>
      <x:c r="AF94" s="28"/>
      <x:c r="AG94" s="58"/>
      <x:c r="AH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56"/>
      <x:c r="J95" s="28"/>
      <x:c r="K95" s="28"/>
      <x:c r="L95" s="56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  <x:c r="AA95" s="28"/>
      <x:c r="AB95" s="56" t="str">
        <x:f>IF($A95="","",IF(Z95="Y",20,IF(Z95="Unknown",10,0))+$L95*5+IF(AA95="Y",15,IF(AA95="Unknown",5,0))+IF($J95="Public",10,IF($J95="Partner",7,IF($J95="Internal",3,0)))+IF($W95="Hard-coded",10,IF($W95="Unknown",7,IF($W95="Configurable",3,0)))+IF($I95&gt;=10,10,IF($I95&gt;=5,7,IF($I95&gt;=2,3,0)))+IF($K95="High",10,IF($K95="Medium",5,0)))</x:f>
      </x:c>
      <x:c r="AC95" s="28" t="str">
        <x:f>IF($A95="","",IF(AB95&gt;=70,"P0 - Immediate",IF(AB95&gt;=50,"P1 - High",IF(AB95&gt;=30,"P2 - Medium",IF(AB95&gt;=15,"P3 - Low","P4 - Monitor")))))</x:f>
      </x:c>
      <x:c r="AD95" s="28"/>
      <x:c r="AE95" s="28"/>
      <x:c r="AF95" s="28"/>
      <x:c r="AG95" s="58"/>
      <x:c r="AH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56"/>
      <x:c r="J96" s="28"/>
      <x:c r="K96" s="28"/>
      <x:c r="L96" s="56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  <x:c r="AA96" s="28"/>
      <x:c r="AB96" s="56" t="str">
        <x:f>IF($A96="","",IF(Z96="Y",20,IF(Z96="Unknown",10,0))+$L96*5+IF(AA96="Y",15,IF(AA96="Unknown",5,0))+IF($J96="Public",10,IF($J96="Partner",7,IF($J96="Internal",3,0)))+IF($W96="Hard-coded",10,IF($W96="Unknown",7,IF($W96="Configurable",3,0)))+IF($I96&gt;=10,10,IF($I96&gt;=5,7,IF($I96&gt;=2,3,0)))+IF($K96="High",10,IF($K96="Medium",5,0)))</x:f>
      </x:c>
      <x:c r="AC96" s="28" t="str">
        <x:f>IF($A96="","",IF(AB96&gt;=70,"P0 - Immediate",IF(AB96&gt;=50,"P1 - High",IF(AB96&gt;=30,"P2 - Medium",IF(AB96&gt;=15,"P3 - Low","P4 - Monitor")))))</x:f>
      </x:c>
      <x:c r="AD96" s="28"/>
      <x:c r="AE96" s="28"/>
      <x:c r="AF96" s="28"/>
      <x:c r="AG96" s="58"/>
      <x:c r="AH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56"/>
      <x:c r="J97" s="28"/>
      <x:c r="K97" s="28"/>
      <x:c r="L97" s="56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  <x:c r="AA97" s="28"/>
      <x:c r="AB97" s="56" t="str">
        <x:f>IF($A97="","",IF(Z97="Y",20,IF(Z97="Unknown",10,0))+$L97*5+IF(AA97="Y",15,IF(AA97="Unknown",5,0))+IF($J97="Public",10,IF($J97="Partner",7,IF($J97="Internal",3,0)))+IF($W97="Hard-coded",10,IF($W97="Unknown",7,IF($W97="Configurable",3,0)))+IF($I97&gt;=10,10,IF($I97&gt;=5,7,IF($I97&gt;=2,3,0)))+IF($K97="High",10,IF($K97="Medium",5,0)))</x:f>
      </x:c>
      <x:c r="AC97" s="28" t="str">
        <x:f>IF($A97="","",IF(AB97&gt;=70,"P0 - Immediate",IF(AB97&gt;=50,"P1 - High",IF(AB97&gt;=30,"P2 - Medium",IF(AB97&gt;=15,"P3 - Low","P4 - Monitor")))))</x:f>
      </x:c>
      <x:c r="AD97" s="28"/>
      <x:c r="AE97" s="28"/>
      <x:c r="AF97" s="28"/>
      <x:c r="AG97" s="58"/>
      <x:c r="AH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56"/>
      <x:c r="J98" s="28"/>
      <x:c r="K98" s="28"/>
      <x:c r="L98" s="56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  <x:c r="AA98" s="28"/>
      <x:c r="AB98" s="56" t="str">
        <x:f>IF($A98="","",IF(Z98="Y",20,IF(Z98="Unknown",10,0))+$L98*5+IF(AA98="Y",15,IF(AA98="Unknown",5,0))+IF($J98="Public",10,IF($J98="Partner",7,IF($J98="Internal",3,0)))+IF($W98="Hard-coded",10,IF($W98="Unknown",7,IF($W98="Configurable",3,0)))+IF($I98&gt;=10,10,IF($I98&gt;=5,7,IF($I98&gt;=2,3,0)))+IF($K98="High",10,IF($K98="Medium",5,0)))</x:f>
      </x:c>
      <x:c r="AC98" s="28" t="str">
        <x:f>IF($A98="","",IF(AB98&gt;=70,"P0 - Immediate",IF(AB98&gt;=50,"P1 - High",IF(AB98&gt;=30,"P2 - Medium",IF(AB98&gt;=15,"P3 - Low","P4 - Monitor")))))</x:f>
      </x:c>
      <x:c r="AD98" s="28"/>
      <x:c r="AE98" s="28"/>
      <x:c r="AF98" s="28"/>
      <x:c r="AG98" s="58"/>
      <x:c r="AH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56"/>
      <x:c r="J99" s="28"/>
      <x:c r="K99" s="28"/>
      <x:c r="L99" s="56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  <x:c r="AA99" s="28"/>
      <x:c r="AB99" s="56" t="str">
        <x:f>IF($A99="","",IF(Z99="Y",20,IF(Z99="Unknown",10,0))+$L99*5+IF(AA99="Y",15,IF(AA99="Unknown",5,0))+IF($J99="Public",10,IF($J99="Partner",7,IF($J99="Internal",3,0)))+IF($W99="Hard-coded",10,IF($W99="Unknown",7,IF($W99="Configurable",3,0)))+IF($I99&gt;=10,10,IF($I99&gt;=5,7,IF($I99&gt;=2,3,0)))+IF($K99="High",10,IF($K99="Medium",5,0)))</x:f>
      </x:c>
      <x:c r="AC99" s="28" t="str">
        <x:f>IF($A99="","",IF(AB99&gt;=70,"P0 - Immediate",IF(AB99&gt;=50,"P1 - High",IF(AB99&gt;=30,"P2 - Medium",IF(AB99&gt;=15,"P3 - Low","P4 - Monitor")))))</x:f>
      </x:c>
      <x:c r="AD99" s="28"/>
      <x:c r="AE99" s="28"/>
      <x:c r="AF99" s="28"/>
      <x:c r="AG99" s="58"/>
      <x:c r="AH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56"/>
      <x:c r="J100" s="28"/>
      <x:c r="K100" s="28"/>
      <x:c r="L100" s="56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  <x:c r="AA100" s="28"/>
      <x:c r="AB100" s="56" t="str">
        <x:f>IF($A100="","",IF(Z100="Y",20,IF(Z100="Unknown",10,0))+$L100*5+IF(AA100="Y",15,IF(AA100="Unknown",5,0))+IF($J100="Public",10,IF($J100="Partner",7,IF($J100="Internal",3,0)))+IF($W100="Hard-coded",10,IF($W100="Unknown",7,IF($W100="Configurable",3,0)))+IF($I100&gt;=10,10,IF($I100&gt;=5,7,IF($I100&gt;=2,3,0)))+IF($K100="High",10,IF($K100="Medium",5,0)))</x:f>
      </x:c>
      <x:c r="AC100" s="28" t="str">
        <x:f>IF($A100="","",IF(AB100&gt;=70,"P0 - Immediate",IF(AB100&gt;=50,"P1 - High",IF(AB100&gt;=30,"P2 - Medium",IF(AB100&gt;=15,"P3 - Low","P4 - Monitor")))))</x:f>
      </x:c>
      <x:c r="AD100" s="28"/>
      <x:c r="AE100" s="28"/>
      <x:c r="AF100" s="28"/>
      <x:c r="AG100" s="58"/>
      <x:c r="AH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56"/>
      <x:c r="J101" s="28"/>
      <x:c r="K101" s="28"/>
      <x:c r="L101" s="56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  <x:c r="AA101" s="28"/>
      <x:c r="AB101" s="56" t="str">
        <x:f>IF($A101="","",IF(Z101="Y",20,IF(Z101="Unknown",10,0))+$L101*5+IF(AA101="Y",15,IF(AA101="Unknown",5,0))+IF($J101="Public",10,IF($J101="Partner",7,IF($J101="Internal",3,0)))+IF($W101="Hard-coded",10,IF($W101="Unknown",7,IF($W101="Configurable",3,0)))+IF($I101&gt;=10,10,IF($I101&gt;=5,7,IF($I101&gt;=2,3,0)))+IF($K101="High",10,IF($K101="Medium",5,0)))</x:f>
      </x:c>
      <x:c r="AC101" s="28" t="str">
        <x:f>IF($A101="","",IF(AB101&gt;=70,"P0 - Immediate",IF(AB101&gt;=50,"P1 - High",IF(AB101&gt;=30,"P2 - Medium",IF(AB101&gt;=15,"P3 - Low","P4 - Monitor")))))</x:f>
      </x:c>
      <x:c r="AD101" s="28"/>
      <x:c r="AE101" s="28"/>
      <x:c r="AF101" s="28"/>
      <x:c r="AG101" s="58"/>
      <x:c r="AH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56"/>
      <x:c r="J102" s="28"/>
      <x:c r="K102" s="28"/>
      <x:c r="L102" s="56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  <x:c r="AA102" s="28"/>
      <x:c r="AB102" s="56" t="str">
        <x:f>IF($A102="","",IF(Z102="Y",20,IF(Z102="Unknown",10,0))+$L102*5+IF(AA102="Y",15,IF(AA102="Unknown",5,0))+IF($J102="Public",10,IF($J102="Partner",7,IF($J102="Internal",3,0)))+IF($W102="Hard-coded",10,IF($W102="Unknown",7,IF($W102="Configurable",3,0)))+IF($I102&gt;=10,10,IF($I102&gt;=5,7,IF($I102&gt;=2,3,0)))+IF($K102="High",10,IF($K102="Medium",5,0)))</x:f>
      </x:c>
      <x:c r="AC102" s="28" t="str">
        <x:f>IF($A102="","",IF(AB102&gt;=70,"P0 - Immediate",IF(AB102&gt;=50,"P1 - High",IF(AB102&gt;=30,"P2 - Medium",IF(AB102&gt;=15,"P3 - Low","P4 - Monitor")))))</x:f>
      </x:c>
      <x:c r="AD102" s="28"/>
      <x:c r="AE102" s="28"/>
      <x:c r="AF102" s="28"/>
      <x:c r="AG102" s="58"/>
      <x:c r="AH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56"/>
      <x:c r="J103" s="28"/>
      <x:c r="K103" s="28"/>
      <x:c r="L103" s="56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  <x:c r="AA103" s="28"/>
      <x:c r="AB103" s="56" t="str">
        <x:f>IF($A103="","",IF(Z103="Y",20,IF(Z103="Unknown",10,0))+$L103*5+IF(AA103="Y",15,IF(AA103="Unknown",5,0))+IF($J103="Public",10,IF($J103="Partner",7,IF($J103="Internal",3,0)))+IF($W103="Hard-coded",10,IF($W103="Unknown",7,IF($W103="Configurable",3,0)))+IF($I103&gt;=10,10,IF($I103&gt;=5,7,IF($I103&gt;=2,3,0)))+IF($K103="High",10,IF($K103="Medium",5,0)))</x:f>
      </x:c>
      <x:c r="AC103" s="28" t="str">
        <x:f>IF($A103="","",IF(AB103&gt;=70,"P0 - Immediate",IF(AB103&gt;=50,"P1 - High",IF(AB103&gt;=30,"P2 - Medium",IF(AB103&gt;=15,"P3 - Low","P4 - Monitor")))))</x:f>
      </x:c>
      <x:c r="AD103" s="28"/>
      <x:c r="AE103" s="28"/>
      <x:c r="AF103" s="28"/>
      <x:c r="AG103" s="58"/>
      <x:c r="AH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56"/>
      <x:c r="J104" s="28"/>
      <x:c r="K104" s="28"/>
      <x:c r="L104" s="56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  <x:c r="AA104" s="28"/>
      <x:c r="AB104" s="56" t="str">
        <x:f>IF($A104="","",IF(Z104="Y",20,IF(Z104="Unknown",10,0))+$L104*5+IF(AA104="Y",15,IF(AA104="Unknown",5,0))+IF($J104="Public",10,IF($J104="Partner",7,IF($J104="Internal",3,0)))+IF($W104="Hard-coded",10,IF($W104="Unknown",7,IF($W104="Configurable",3,0)))+IF($I104&gt;=10,10,IF($I104&gt;=5,7,IF($I104&gt;=2,3,0)))+IF($K104="High",10,IF($K104="Medium",5,0)))</x:f>
      </x:c>
      <x:c r="AC104" s="28" t="str">
        <x:f>IF($A104="","",IF(AB104&gt;=70,"P0 - Immediate",IF(AB104&gt;=50,"P1 - High",IF(AB104&gt;=30,"P2 - Medium",IF(AB104&gt;=15,"P3 - Low","P4 - Monitor")))))</x:f>
      </x:c>
      <x:c r="AD104" s="28"/>
      <x:c r="AE104" s="28"/>
      <x:c r="AF104" s="28"/>
      <x:c r="AG104" s="58"/>
      <x:c r="AH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56"/>
      <x:c r="J105" s="28"/>
      <x:c r="K105" s="28"/>
      <x:c r="L105" s="56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  <x:c r="AA105" s="28"/>
      <x:c r="AB105" s="56" t="str">
        <x:f>IF($A105="","",IF(Z105="Y",20,IF(Z105="Unknown",10,0))+$L105*5+IF(AA105="Y",15,IF(AA105="Unknown",5,0))+IF($J105="Public",10,IF($J105="Partner",7,IF($J105="Internal",3,0)))+IF($W105="Hard-coded",10,IF($W105="Unknown",7,IF($W105="Configurable",3,0)))+IF($I105&gt;=10,10,IF($I105&gt;=5,7,IF($I105&gt;=2,3,0)))+IF($K105="High",10,IF($K105="Medium",5,0)))</x:f>
      </x:c>
      <x:c r="AC105" s="28" t="str">
        <x:f>IF($A105="","",IF(AB105&gt;=70,"P0 - Immediate",IF(AB105&gt;=50,"P1 - High",IF(AB105&gt;=30,"P2 - Medium",IF(AB105&gt;=15,"P3 - Low","P4 - Monitor")))))</x:f>
      </x:c>
      <x:c r="AD105" s="28"/>
      <x:c r="AE105" s="28"/>
      <x:c r="AF105" s="28"/>
      <x:c r="AG105" s="58"/>
      <x:c r="AH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56"/>
      <x:c r="J106" s="28"/>
      <x:c r="K106" s="28"/>
      <x:c r="L106" s="56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  <x:c r="AA106" s="28"/>
      <x:c r="AB106" s="56" t="str">
        <x:f>IF($A106="","",IF(Z106="Y",20,IF(Z106="Unknown",10,0))+$L106*5+IF(AA106="Y",15,IF(AA106="Unknown",5,0))+IF($J106="Public",10,IF($J106="Partner",7,IF($J106="Internal",3,0)))+IF($W106="Hard-coded",10,IF($W106="Unknown",7,IF($W106="Configurable",3,0)))+IF($I106&gt;=10,10,IF($I106&gt;=5,7,IF($I106&gt;=2,3,0)))+IF($K106="High",10,IF($K106="Medium",5,0)))</x:f>
      </x:c>
      <x:c r="AC106" s="28" t="str">
        <x:f>IF($A106="","",IF(AB106&gt;=70,"P0 - Immediate",IF(AB106&gt;=50,"P1 - High",IF(AB106&gt;=30,"P2 - Medium",IF(AB106&gt;=15,"P3 - Low","P4 - Monitor")))))</x:f>
      </x:c>
      <x:c r="AD106" s="28"/>
      <x:c r="AE106" s="28"/>
      <x:c r="AF106" s="28"/>
      <x:c r="AG106" s="58"/>
      <x:c r="AH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56"/>
      <x:c r="J107" s="28"/>
      <x:c r="K107" s="28"/>
      <x:c r="L107" s="56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  <x:c r="AA107" s="28"/>
      <x:c r="AB107" s="56" t="str">
        <x:f>IF($A107="","",IF(Z107="Y",20,IF(Z107="Unknown",10,0))+$L107*5+IF(AA107="Y",15,IF(AA107="Unknown",5,0))+IF($J107="Public",10,IF($J107="Partner",7,IF($J107="Internal",3,0)))+IF($W107="Hard-coded",10,IF($W107="Unknown",7,IF($W107="Configurable",3,0)))+IF($I107&gt;=10,10,IF($I107&gt;=5,7,IF($I107&gt;=2,3,0)))+IF($K107="High",10,IF($K107="Medium",5,0)))</x:f>
      </x:c>
      <x:c r="AC107" s="28" t="str">
        <x:f>IF($A107="","",IF(AB107&gt;=70,"P0 - Immediate",IF(AB107&gt;=50,"P1 - High",IF(AB107&gt;=30,"P2 - Medium",IF(AB107&gt;=15,"P3 - Low","P4 - Monitor")))))</x:f>
      </x:c>
      <x:c r="AD107" s="28"/>
      <x:c r="AE107" s="28"/>
      <x:c r="AF107" s="28"/>
      <x:c r="AG107" s="58"/>
      <x:c r="AH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56"/>
      <x:c r="J108" s="28"/>
      <x:c r="K108" s="28"/>
      <x:c r="L108" s="56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  <x:c r="AA108" s="28"/>
      <x:c r="AB108" s="56" t="str">
        <x:f>IF($A108="","",IF(Z108="Y",20,IF(Z108="Unknown",10,0))+$L108*5+IF(AA108="Y",15,IF(AA108="Unknown",5,0))+IF($J108="Public",10,IF($J108="Partner",7,IF($J108="Internal",3,0)))+IF($W108="Hard-coded",10,IF($W108="Unknown",7,IF($W108="Configurable",3,0)))+IF($I108&gt;=10,10,IF($I108&gt;=5,7,IF($I108&gt;=2,3,0)))+IF($K108="High",10,IF($K108="Medium",5,0)))</x:f>
      </x:c>
      <x:c r="AC108" s="28" t="str">
        <x:f>IF($A108="","",IF(AB108&gt;=70,"P0 - Immediate",IF(AB108&gt;=50,"P1 - High",IF(AB108&gt;=30,"P2 - Medium",IF(AB108&gt;=15,"P3 - Low","P4 - Monitor")))))</x:f>
      </x:c>
      <x:c r="AD108" s="28"/>
      <x:c r="AE108" s="28"/>
      <x:c r="AF108" s="28"/>
      <x:c r="AG108" s="58"/>
      <x:c r="AH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56"/>
      <x:c r="J109" s="28"/>
      <x:c r="K109" s="28"/>
      <x:c r="L109" s="56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  <x:c r="AA109" s="28"/>
      <x:c r="AB109" s="56" t="str">
        <x:f>IF($A109="","",IF(Z109="Y",20,IF(Z109="Unknown",10,0))+$L109*5+IF(AA109="Y",15,IF(AA109="Unknown",5,0))+IF($J109="Public",10,IF($J109="Partner",7,IF($J109="Internal",3,0)))+IF($W109="Hard-coded",10,IF($W109="Unknown",7,IF($W109="Configurable",3,0)))+IF($I109&gt;=10,10,IF($I109&gt;=5,7,IF($I109&gt;=2,3,0)))+IF($K109="High",10,IF($K109="Medium",5,0)))</x:f>
      </x:c>
      <x:c r="AC109" s="28" t="str">
        <x:f>IF($A109="","",IF(AB109&gt;=70,"P0 - Immediate",IF(AB109&gt;=50,"P1 - High",IF(AB109&gt;=30,"P2 - Medium",IF(AB109&gt;=15,"P3 - Low","P4 - Monitor")))))</x:f>
      </x:c>
      <x:c r="AD109" s="28"/>
      <x:c r="AE109" s="28"/>
      <x:c r="AF109" s="28"/>
      <x:c r="AG109" s="58"/>
      <x:c r="AH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56"/>
      <x:c r="J110" s="28"/>
      <x:c r="K110" s="28"/>
      <x:c r="L110" s="56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  <x:c r="AA110" s="28"/>
      <x:c r="AB110" s="56" t="str">
        <x:f>IF($A110="","",IF(Z110="Y",20,IF(Z110="Unknown",10,0))+$L110*5+IF(AA110="Y",15,IF(AA110="Unknown",5,0))+IF($J110="Public",10,IF($J110="Partner",7,IF($J110="Internal",3,0)))+IF($W110="Hard-coded",10,IF($W110="Unknown",7,IF($W110="Configurable",3,0)))+IF($I110&gt;=10,10,IF($I110&gt;=5,7,IF($I110&gt;=2,3,0)))+IF($K110="High",10,IF($K110="Medium",5,0)))</x:f>
      </x:c>
      <x:c r="AC110" s="28" t="str">
        <x:f>IF($A110="","",IF(AB110&gt;=70,"P0 - Immediate",IF(AB110&gt;=50,"P1 - High",IF(AB110&gt;=30,"P2 - Medium",IF(AB110&gt;=15,"P3 - Low","P4 - Monitor")))))</x:f>
      </x:c>
      <x:c r="AD110" s="28"/>
      <x:c r="AE110" s="28"/>
      <x:c r="AF110" s="28"/>
      <x:c r="AG110" s="58"/>
      <x:c r="AH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56"/>
      <x:c r="J111" s="28"/>
      <x:c r="K111" s="28"/>
      <x:c r="L111" s="56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  <x:c r="AA111" s="28"/>
      <x:c r="AB111" s="56" t="str">
        <x:f>IF($A111="","",IF(Z111="Y",20,IF(Z111="Unknown",10,0))+$L111*5+IF(AA111="Y",15,IF(AA111="Unknown",5,0))+IF($J111="Public",10,IF($J111="Partner",7,IF($J111="Internal",3,0)))+IF($W111="Hard-coded",10,IF($W111="Unknown",7,IF($W111="Configurable",3,0)))+IF($I111&gt;=10,10,IF($I111&gt;=5,7,IF($I111&gt;=2,3,0)))+IF($K111="High",10,IF($K111="Medium",5,0)))</x:f>
      </x:c>
      <x:c r="AC111" s="28" t="str">
        <x:f>IF($A111="","",IF(AB111&gt;=70,"P0 - Immediate",IF(AB111&gt;=50,"P1 - High",IF(AB111&gt;=30,"P2 - Medium",IF(AB111&gt;=15,"P3 - Low","P4 - Monitor")))))</x:f>
      </x:c>
      <x:c r="AD111" s="28"/>
      <x:c r="AE111" s="28"/>
      <x:c r="AF111" s="28"/>
      <x:c r="AG111" s="58"/>
      <x:c r="AH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56"/>
      <x:c r="J112" s="28"/>
      <x:c r="K112" s="28"/>
      <x:c r="L112" s="56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  <x:c r="AA112" s="28"/>
      <x:c r="AB112" s="56" t="str">
        <x:f>IF($A112="","",IF(Z112="Y",20,IF(Z112="Unknown",10,0))+$L112*5+IF(AA112="Y",15,IF(AA112="Unknown",5,0))+IF($J112="Public",10,IF($J112="Partner",7,IF($J112="Internal",3,0)))+IF($W112="Hard-coded",10,IF($W112="Unknown",7,IF($W112="Configurable",3,0)))+IF($I112&gt;=10,10,IF($I112&gt;=5,7,IF($I112&gt;=2,3,0)))+IF($K112="High",10,IF($K112="Medium",5,0)))</x:f>
      </x:c>
      <x:c r="AC112" s="28" t="str">
        <x:f>IF($A112="","",IF(AB112&gt;=70,"P0 - Immediate",IF(AB112&gt;=50,"P1 - High",IF(AB112&gt;=30,"P2 - Medium",IF(AB112&gt;=15,"P3 - Low","P4 - Monitor")))))</x:f>
      </x:c>
      <x:c r="AD112" s="28"/>
      <x:c r="AE112" s="28"/>
      <x:c r="AF112" s="28"/>
      <x:c r="AG112" s="58"/>
      <x:c r="AH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56"/>
      <x:c r="J113" s="28"/>
      <x:c r="K113" s="28"/>
      <x:c r="L113" s="56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  <x:c r="AA113" s="28"/>
      <x:c r="AB113" s="56" t="str">
        <x:f>IF($A113="","",IF(Z113="Y",20,IF(Z113="Unknown",10,0))+$L113*5+IF(AA113="Y",15,IF(AA113="Unknown",5,0))+IF($J113="Public",10,IF($J113="Partner",7,IF($J113="Internal",3,0)))+IF($W113="Hard-coded",10,IF($W113="Unknown",7,IF($W113="Configurable",3,0)))+IF($I113&gt;=10,10,IF($I113&gt;=5,7,IF($I113&gt;=2,3,0)))+IF($K113="High",10,IF($K113="Medium",5,0)))</x:f>
      </x:c>
      <x:c r="AC113" s="28" t="str">
        <x:f>IF($A113="","",IF(AB113&gt;=70,"P0 - Immediate",IF(AB113&gt;=50,"P1 - High",IF(AB113&gt;=30,"P2 - Medium",IF(AB113&gt;=15,"P3 - Low","P4 - Monitor")))))</x:f>
      </x:c>
      <x:c r="AD113" s="28"/>
      <x:c r="AE113" s="28"/>
      <x:c r="AF113" s="28"/>
      <x:c r="AG113" s="58"/>
      <x:c r="AH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56"/>
      <x:c r="J114" s="28"/>
      <x:c r="K114" s="28"/>
      <x:c r="L114" s="56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  <x:c r="AA114" s="28"/>
      <x:c r="AB114" s="56" t="str">
        <x:f>IF($A114="","",IF(Z114="Y",20,IF(Z114="Unknown",10,0))+$L114*5+IF(AA114="Y",15,IF(AA114="Unknown",5,0))+IF($J114="Public",10,IF($J114="Partner",7,IF($J114="Internal",3,0)))+IF($W114="Hard-coded",10,IF($W114="Unknown",7,IF($W114="Configurable",3,0)))+IF($I114&gt;=10,10,IF($I114&gt;=5,7,IF($I114&gt;=2,3,0)))+IF($K114="High",10,IF($K114="Medium",5,0)))</x:f>
      </x:c>
      <x:c r="AC114" s="28" t="str">
        <x:f>IF($A114="","",IF(AB114&gt;=70,"P0 - Immediate",IF(AB114&gt;=50,"P1 - High",IF(AB114&gt;=30,"P2 - Medium",IF(AB114&gt;=15,"P3 - Low","P4 - Monitor")))))</x:f>
      </x:c>
      <x:c r="AD114" s="28"/>
      <x:c r="AE114" s="28"/>
      <x:c r="AF114" s="28"/>
      <x:c r="AG114" s="58"/>
      <x:c r="AH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56"/>
      <x:c r="J115" s="28"/>
      <x:c r="K115" s="28"/>
      <x:c r="L115" s="56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  <x:c r="AA115" s="28"/>
      <x:c r="AB115" s="56" t="str">
        <x:f>IF($A115="","",IF(Z115="Y",20,IF(Z115="Unknown",10,0))+$L115*5+IF(AA115="Y",15,IF(AA115="Unknown",5,0))+IF($J115="Public",10,IF($J115="Partner",7,IF($J115="Internal",3,0)))+IF($W115="Hard-coded",10,IF($W115="Unknown",7,IF($W115="Configurable",3,0)))+IF($I115&gt;=10,10,IF($I115&gt;=5,7,IF($I115&gt;=2,3,0)))+IF($K115="High",10,IF($K115="Medium",5,0)))</x:f>
      </x:c>
      <x:c r="AC115" s="28" t="str">
        <x:f>IF($A115="","",IF(AB115&gt;=70,"P0 - Immediate",IF(AB115&gt;=50,"P1 - High",IF(AB115&gt;=30,"P2 - Medium",IF(AB115&gt;=15,"P3 - Low","P4 - Monitor")))))</x:f>
      </x:c>
      <x:c r="AD115" s="28"/>
      <x:c r="AE115" s="28"/>
      <x:c r="AF115" s="28"/>
      <x:c r="AG115" s="58"/>
      <x:c r="AH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56"/>
      <x:c r="J116" s="28"/>
      <x:c r="K116" s="28"/>
      <x:c r="L116" s="56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  <x:c r="AA116" s="28"/>
      <x:c r="AB116" s="56" t="str">
        <x:f>IF($A116="","",IF(Z116="Y",20,IF(Z116="Unknown",10,0))+$L116*5+IF(AA116="Y",15,IF(AA116="Unknown",5,0))+IF($J116="Public",10,IF($J116="Partner",7,IF($J116="Internal",3,0)))+IF($W116="Hard-coded",10,IF($W116="Unknown",7,IF($W116="Configurable",3,0)))+IF($I116&gt;=10,10,IF($I116&gt;=5,7,IF($I116&gt;=2,3,0)))+IF($K116="High",10,IF($K116="Medium",5,0)))</x:f>
      </x:c>
      <x:c r="AC116" s="28" t="str">
        <x:f>IF($A116="","",IF(AB116&gt;=70,"P0 - Immediate",IF(AB116&gt;=50,"P1 - High",IF(AB116&gt;=30,"P2 - Medium",IF(AB116&gt;=15,"P3 - Low","P4 - Monitor")))))</x:f>
      </x:c>
      <x:c r="AD116" s="28"/>
      <x:c r="AE116" s="28"/>
      <x:c r="AF116" s="28"/>
      <x:c r="AG116" s="58"/>
      <x:c r="AH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56"/>
      <x:c r="J117" s="28"/>
      <x:c r="K117" s="28"/>
      <x:c r="L117" s="56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  <x:c r="AA117" s="28"/>
      <x:c r="AB117" s="56" t="str">
        <x:f>IF($A117="","",IF(Z117="Y",20,IF(Z117="Unknown",10,0))+$L117*5+IF(AA117="Y",15,IF(AA117="Unknown",5,0))+IF($J117="Public",10,IF($J117="Partner",7,IF($J117="Internal",3,0)))+IF($W117="Hard-coded",10,IF($W117="Unknown",7,IF($W117="Configurable",3,0)))+IF($I117&gt;=10,10,IF($I117&gt;=5,7,IF($I117&gt;=2,3,0)))+IF($K117="High",10,IF($K117="Medium",5,0)))</x:f>
      </x:c>
      <x:c r="AC117" s="28" t="str">
        <x:f>IF($A117="","",IF(AB117&gt;=70,"P0 - Immediate",IF(AB117&gt;=50,"P1 - High",IF(AB117&gt;=30,"P2 - Medium",IF(AB117&gt;=15,"P3 - Low","P4 - Monitor")))))</x:f>
      </x:c>
      <x:c r="AD117" s="28"/>
      <x:c r="AE117" s="28"/>
      <x:c r="AF117" s="28"/>
      <x:c r="AG117" s="58"/>
      <x:c r="AH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56"/>
      <x:c r="J118" s="28"/>
      <x:c r="K118" s="28"/>
      <x:c r="L118" s="56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  <x:c r="AA118" s="28"/>
      <x:c r="AB118" s="56" t="str">
        <x:f>IF($A118="","",IF(Z118="Y",20,IF(Z118="Unknown",10,0))+$L118*5+IF(AA118="Y",15,IF(AA118="Unknown",5,0))+IF($J118="Public",10,IF($J118="Partner",7,IF($J118="Internal",3,0)))+IF($W118="Hard-coded",10,IF($W118="Unknown",7,IF($W118="Configurable",3,0)))+IF($I118&gt;=10,10,IF($I118&gt;=5,7,IF($I118&gt;=2,3,0)))+IF($K118="High",10,IF($K118="Medium",5,0)))</x:f>
      </x:c>
      <x:c r="AC118" s="28" t="str">
        <x:f>IF($A118="","",IF(AB118&gt;=70,"P0 - Immediate",IF(AB118&gt;=50,"P1 - High",IF(AB118&gt;=30,"P2 - Medium",IF(AB118&gt;=15,"P3 - Low","P4 - Monitor")))))</x:f>
      </x:c>
      <x:c r="AD118" s="28"/>
      <x:c r="AE118" s="28"/>
      <x:c r="AF118" s="28"/>
      <x:c r="AG118" s="58"/>
      <x:c r="AH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56"/>
      <x:c r="J119" s="28"/>
      <x:c r="K119" s="28"/>
      <x:c r="L119" s="56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  <x:c r="AA119" s="28"/>
      <x:c r="AB119" s="56" t="str">
        <x:f>IF($A119="","",IF(Z119="Y",20,IF(Z119="Unknown",10,0))+$L119*5+IF(AA119="Y",15,IF(AA119="Unknown",5,0))+IF($J119="Public",10,IF($J119="Partner",7,IF($J119="Internal",3,0)))+IF($W119="Hard-coded",10,IF($W119="Unknown",7,IF($W119="Configurable",3,0)))+IF($I119&gt;=10,10,IF($I119&gt;=5,7,IF($I119&gt;=2,3,0)))+IF($K119="High",10,IF($K119="Medium",5,0)))</x:f>
      </x:c>
      <x:c r="AC119" s="28" t="str">
        <x:f>IF($A119="","",IF(AB119&gt;=70,"P0 - Immediate",IF(AB119&gt;=50,"P1 - High",IF(AB119&gt;=30,"P2 - Medium",IF(AB119&gt;=15,"P3 - Low","P4 - Monitor")))))</x:f>
      </x:c>
      <x:c r="AD119" s="28"/>
      <x:c r="AE119" s="28"/>
      <x:c r="AF119" s="28"/>
      <x:c r="AG119" s="58"/>
      <x:c r="AH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56"/>
      <x:c r="J120" s="28"/>
      <x:c r="K120" s="28"/>
      <x:c r="L120" s="56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  <x:c r="AA120" s="28"/>
      <x:c r="AB120" s="56" t="str">
        <x:f>IF($A120="","",IF(Z120="Y",20,IF(Z120="Unknown",10,0))+$L120*5+IF(AA120="Y",15,IF(AA120="Unknown",5,0))+IF($J120="Public",10,IF($J120="Partner",7,IF($J120="Internal",3,0)))+IF($W120="Hard-coded",10,IF($W120="Unknown",7,IF($W120="Configurable",3,0)))+IF($I120&gt;=10,10,IF($I120&gt;=5,7,IF($I120&gt;=2,3,0)))+IF($K120="High",10,IF($K120="Medium",5,0)))</x:f>
      </x:c>
      <x:c r="AC120" s="28" t="str">
        <x:f>IF($A120="","",IF(AB120&gt;=70,"P0 - Immediate",IF(AB120&gt;=50,"P1 - High",IF(AB120&gt;=30,"P2 - Medium",IF(AB120&gt;=15,"P3 - Low","P4 - Monitor")))))</x:f>
      </x:c>
      <x:c r="AD120" s="28"/>
      <x:c r="AE120" s="28"/>
      <x:c r="AF120" s="28"/>
      <x:c r="AG120" s="58"/>
      <x:c r="AH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56"/>
      <x:c r="J121" s="28"/>
      <x:c r="K121" s="28"/>
      <x:c r="L121" s="56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  <x:c r="AA121" s="28"/>
      <x:c r="AB121" s="56" t="str">
        <x:f>IF($A121="","",IF(Z121="Y",20,IF(Z121="Unknown",10,0))+$L121*5+IF(AA121="Y",15,IF(AA121="Unknown",5,0))+IF($J121="Public",10,IF($J121="Partner",7,IF($J121="Internal",3,0)))+IF($W121="Hard-coded",10,IF($W121="Unknown",7,IF($W121="Configurable",3,0)))+IF($I121&gt;=10,10,IF($I121&gt;=5,7,IF($I121&gt;=2,3,0)))+IF($K121="High",10,IF($K121="Medium",5,0)))</x:f>
      </x:c>
      <x:c r="AC121" s="28" t="str">
        <x:f>IF($A121="","",IF(AB121&gt;=70,"P0 - Immediate",IF(AB121&gt;=50,"P1 - High",IF(AB121&gt;=30,"P2 - Medium",IF(AB121&gt;=15,"P3 - Low","P4 - Monitor")))))</x:f>
      </x:c>
      <x:c r="AD121" s="28"/>
      <x:c r="AE121" s="28"/>
      <x:c r="AF121" s="28"/>
      <x:c r="AG121" s="58"/>
      <x:c r="AH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56"/>
      <x:c r="J122" s="28"/>
      <x:c r="K122" s="28"/>
      <x:c r="L122" s="56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  <x:c r="AA122" s="28"/>
      <x:c r="AB122" s="56" t="str">
        <x:f>IF($A122="","",IF(Z122="Y",20,IF(Z122="Unknown",10,0))+$L122*5+IF(AA122="Y",15,IF(AA122="Unknown",5,0))+IF($J122="Public",10,IF($J122="Partner",7,IF($J122="Internal",3,0)))+IF($W122="Hard-coded",10,IF($W122="Unknown",7,IF($W122="Configurable",3,0)))+IF($I122&gt;=10,10,IF($I122&gt;=5,7,IF($I122&gt;=2,3,0)))+IF($K122="High",10,IF($K122="Medium",5,0)))</x:f>
      </x:c>
      <x:c r="AC122" s="28" t="str">
        <x:f>IF($A122="","",IF(AB122&gt;=70,"P0 - Immediate",IF(AB122&gt;=50,"P1 - High",IF(AB122&gt;=30,"P2 - Medium",IF(AB122&gt;=15,"P3 - Low","P4 - Monitor")))))</x:f>
      </x:c>
      <x:c r="AD122" s="28"/>
      <x:c r="AE122" s="28"/>
      <x:c r="AF122" s="28"/>
      <x:c r="AG122" s="58"/>
      <x:c r="AH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56"/>
      <x:c r="J123" s="28"/>
      <x:c r="K123" s="28"/>
      <x:c r="L123" s="56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  <x:c r="AA123" s="28"/>
      <x:c r="AB123" s="56" t="str">
        <x:f>IF($A123="","",IF(Z123="Y",20,IF(Z123="Unknown",10,0))+$L123*5+IF(AA123="Y",15,IF(AA123="Unknown",5,0))+IF($J123="Public",10,IF($J123="Partner",7,IF($J123="Internal",3,0)))+IF($W123="Hard-coded",10,IF($W123="Unknown",7,IF($W123="Configurable",3,0)))+IF($I123&gt;=10,10,IF($I123&gt;=5,7,IF($I123&gt;=2,3,0)))+IF($K123="High",10,IF($K123="Medium",5,0)))</x:f>
      </x:c>
      <x:c r="AC123" s="28" t="str">
        <x:f>IF($A123="","",IF(AB123&gt;=70,"P0 - Immediate",IF(AB123&gt;=50,"P1 - High",IF(AB123&gt;=30,"P2 - Medium",IF(AB123&gt;=15,"P3 - Low","P4 - Monitor")))))</x:f>
      </x:c>
      <x:c r="AD123" s="28"/>
      <x:c r="AE123" s="28"/>
      <x:c r="AF123" s="28"/>
      <x:c r="AG123" s="58"/>
      <x:c r="AH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56"/>
      <x:c r="J124" s="28"/>
      <x:c r="K124" s="28"/>
      <x:c r="L124" s="56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  <x:c r="AA124" s="28"/>
      <x:c r="AB124" s="56" t="str">
        <x:f>IF($A124="","",IF(Z124="Y",20,IF(Z124="Unknown",10,0))+$L124*5+IF(AA124="Y",15,IF(AA124="Unknown",5,0))+IF($J124="Public",10,IF($J124="Partner",7,IF($J124="Internal",3,0)))+IF($W124="Hard-coded",10,IF($W124="Unknown",7,IF($W124="Configurable",3,0)))+IF($I124&gt;=10,10,IF($I124&gt;=5,7,IF($I124&gt;=2,3,0)))+IF($K124="High",10,IF($K124="Medium",5,0)))</x:f>
      </x:c>
      <x:c r="AC124" s="28" t="str">
        <x:f>IF($A124="","",IF(AB124&gt;=70,"P0 - Immediate",IF(AB124&gt;=50,"P1 - High",IF(AB124&gt;=30,"P2 - Medium",IF(AB124&gt;=15,"P3 - Low","P4 - Monitor")))))</x:f>
      </x:c>
      <x:c r="AD124" s="28"/>
      <x:c r="AE124" s="28"/>
      <x:c r="AF124" s="28"/>
      <x:c r="AG124" s="58"/>
      <x:c r="AH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56"/>
      <x:c r="J125" s="28"/>
      <x:c r="K125" s="28"/>
      <x:c r="L125" s="56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  <x:c r="AA125" s="28"/>
      <x:c r="AB125" s="56" t="str">
        <x:f>IF($A125="","",IF(Z125="Y",20,IF(Z125="Unknown",10,0))+$L125*5+IF(AA125="Y",15,IF(AA125="Unknown",5,0))+IF($J125="Public",10,IF($J125="Partner",7,IF($J125="Internal",3,0)))+IF($W125="Hard-coded",10,IF($W125="Unknown",7,IF($W125="Configurable",3,0)))+IF($I125&gt;=10,10,IF($I125&gt;=5,7,IF($I125&gt;=2,3,0)))+IF($K125="High",10,IF($K125="Medium",5,0)))</x:f>
      </x:c>
      <x:c r="AC125" s="28" t="str">
        <x:f>IF($A125="","",IF(AB125&gt;=70,"P0 - Immediate",IF(AB125&gt;=50,"P1 - High",IF(AB125&gt;=30,"P2 - Medium",IF(AB125&gt;=15,"P3 - Low","P4 - Monitor")))))</x:f>
      </x:c>
      <x:c r="AD125" s="28"/>
      <x:c r="AE125" s="28"/>
      <x:c r="AF125" s="28"/>
      <x:c r="AG125" s="58"/>
      <x:c r="AH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56"/>
      <x:c r="J126" s="28"/>
      <x:c r="K126" s="28"/>
      <x:c r="L126" s="56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  <x:c r="AA126" s="28"/>
      <x:c r="AB126" s="56" t="str">
        <x:f>IF($A126="","",IF(Z126="Y",20,IF(Z126="Unknown",10,0))+$L126*5+IF(AA126="Y",15,IF(AA126="Unknown",5,0))+IF($J126="Public",10,IF($J126="Partner",7,IF($J126="Internal",3,0)))+IF($W126="Hard-coded",10,IF($W126="Unknown",7,IF($W126="Configurable",3,0)))+IF($I126&gt;=10,10,IF($I126&gt;=5,7,IF($I126&gt;=2,3,0)))+IF($K126="High",10,IF($K126="Medium",5,0)))</x:f>
      </x:c>
      <x:c r="AC126" s="28" t="str">
        <x:f>IF($A126="","",IF(AB126&gt;=70,"P0 - Immediate",IF(AB126&gt;=50,"P1 - High",IF(AB126&gt;=30,"P2 - Medium",IF(AB126&gt;=15,"P3 - Low","P4 - Monitor")))))</x:f>
      </x:c>
      <x:c r="AD126" s="28"/>
      <x:c r="AE126" s="28"/>
      <x:c r="AF126" s="28"/>
      <x:c r="AG126" s="58"/>
      <x:c r="AH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56"/>
      <x:c r="J127" s="28"/>
      <x:c r="K127" s="28"/>
      <x:c r="L127" s="56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  <x:c r="AA127" s="28"/>
      <x:c r="AB127" s="56" t="str">
        <x:f>IF($A127="","",IF(Z127="Y",20,IF(Z127="Unknown",10,0))+$L127*5+IF(AA127="Y",15,IF(AA127="Unknown",5,0))+IF($J127="Public",10,IF($J127="Partner",7,IF($J127="Internal",3,0)))+IF($W127="Hard-coded",10,IF($W127="Unknown",7,IF($W127="Configurable",3,0)))+IF($I127&gt;=10,10,IF($I127&gt;=5,7,IF($I127&gt;=2,3,0)))+IF($K127="High",10,IF($K127="Medium",5,0)))</x:f>
      </x:c>
      <x:c r="AC127" s="28" t="str">
        <x:f>IF($A127="","",IF(AB127&gt;=70,"P0 - Immediate",IF(AB127&gt;=50,"P1 - High",IF(AB127&gt;=30,"P2 - Medium",IF(AB127&gt;=15,"P3 - Low","P4 - Monitor")))))</x:f>
      </x:c>
      <x:c r="AD127" s="28"/>
      <x:c r="AE127" s="28"/>
      <x:c r="AF127" s="28"/>
      <x:c r="AG127" s="58"/>
      <x:c r="AH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56"/>
      <x:c r="J128" s="28"/>
      <x:c r="K128" s="28"/>
      <x:c r="L128" s="56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  <x:c r="AA128" s="28"/>
      <x:c r="AB128" s="56" t="str">
        <x:f>IF($A128="","",IF(Z128="Y",20,IF(Z128="Unknown",10,0))+$L128*5+IF(AA128="Y",15,IF(AA128="Unknown",5,0))+IF($J128="Public",10,IF($J128="Partner",7,IF($J128="Internal",3,0)))+IF($W128="Hard-coded",10,IF($W128="Unknown",7,IF($W128="Configurable",3,0)))+IF($I128&gt;=10,10,IF($I128&gt;=5,7,IF($I128&gt;=2,3,0)))+IF($K128="High",10,IF($K128="Medium",5,0)))</x:f>
      </x:c>
      <x:c r="AC128" s="28" t="str">
        <x:f>IF($A128="","",IF(AB128&gt;=70,"P0 - Immediate",IF(AB128&gt;=50,"P1 - High",IF(AB128&gt;=30,"P2 - Medium",IF(AB128&gt;=15,"P3 - Low","P4 - Monitor")))))</x:f>
      </x:c>
      <x:c r="AD128" s="28"/>
      <x:c r="AE128" s="28"/>
      <x:c r="AF128" s="28"/>
      <x:c r="AG128" s="58"/>
      <x:c r="AH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56"/>
      <x:c r="J129" s="28"/>
      <x:c r="K129" s="28"/>
      <x:c r="L129" s="56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  <x:c r="AA129" s="28"/>
      <x:c r="AB129" s="56" t="str">
        <x:f>IF($A129="","",IF(Z129="Y",20,IF(Z129="Unknown",10,0))+$L129*5+IF(AA129="Y",15,IF(AA129="Unknown",5,0))+IF($J129="Public",10,IF($J129="Partner",7,IF($J129="Internal",3,0)))+IF($W129="Hard-coded",10,IF($W129="Unknown",7,IF($W129="Configurable",3,0)))+IF($I129&gt;=10,10,IF($I129&gt;=5,7,IF($I129&gt;=2,3,0)))+IF($K129="High",10,IF($K129="Medium",5,0)))</x:f>
      </x:c>
      <x:c r="AC129" s="28" t="str">
        <x:f>IF($A129="","",IF(AB129&gt;=70,"P0 - Immediate",IF(AB129&gt;=50,"P1 - High",IF(AB129&gt;=30,"P2 - Medium",IF(AB129&gt;=15,"P3 - Low","P4 - Monitor")))))</x:f>
      </x:c>
      <x:c r="AD129" s="28"/>
      <x:c r="AE129" s="28"/>
      <x:c r="AF129" s="28"/>
      <x:c r="AG129" s="58"/>
      <x:c r="AH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56"/>
      <x:c r="J130" s="28"/>
      <x:c r="K130" s="28"/>
      <x:c r="L130" s="56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  <x:c r="AA130" s="28"/>
      <x:c r="AB130" s="56" t="str">
        <x:f>IF($A130="","",IF(Z130="Y",20,IF(Z130="Unknown",10,0))+$L130*5+IF(AA130="Y",15,IF(AA130="Unknown",5,0))+IF($J130="Public",10,IF($J130="Partner",7,IF($J130="Internal",3,0)))+IF($W130="Hard-coded",10,IF($W130="Unknown",7,IF($W130="Configurable",3,0)))+IF($I130&gt;=10,10,IF($I130&gt;=5,7,IF($I130&gt;=2,3,0)))+IF($K130="High",10,IF($K130="Medium",5,0)))</x:f>
      </x:c>
      <x:c r="AC130" s="28" t="str">
        <x:f>IF($A130="","",IF(AB130&gt;=70,"P0 - Immediate",IF(AB130&gt;=50,"P1 - High",IF(AB130&gt;=30,"P2 - Medium",IF(AB130&gt;=15,"P3 - Low","P4 - Monitor")))))</x:f>
      </x:c>
      <x:c r="AD130" s="28"/>
      <x:c r="AE130" s="28"/>
      <x:c r="AF130" s="28"/>
      <x:c r="AG130" s="58"/>
      <x:c r="AH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56"/>
      <x:c r="J131" s="28"/>
      <x:c r="K131" s="28"/>
      <x:c r="L131" s="56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  <x:c r="AA131" s="28"/>
      <x:c r="AB131" s="56" t="str">
        <x:f>IF($A131="","",IF(Z131="Y",20,IF(Z131="Unknown",10,0))+$L131*5+IF(AA131="Y",15,IF(AA131="Unknown",5,0))+IF($J131="Public",10,IF($J131="Partner",7,IF($J131="Internal",3,0)))+IF($W131="Hard-coded",10,IF($W131="Unknown",7,IF($W131="Configurable",3,0)))+IF($I131&gt;=10,10,IF($I131&gt;=5,7,IF($I131&gt;=2,3,0)))+IF($K131="High",10,IF($K131="Medium",5,0)))</x:f>
      </x:c>
      <x:c r="AC131" s="28" t="str">
        <x:f>IF($A131="","",IF(AB131&gt;=70,"P0 - Immediate",IF(AB131&gt;=50,"P1 - High",IF(AB131&gt;=30,"P2 - Medium",IF(AB131&gt;=15,"P3 - Low","P4 - Monitor")))))</x:f>
      </x:c>
      <x:c r="AD131" s="28"/>
      <x:c r="AE131" s="28"/>
      <x:c r="AF131" s="28"/>
      <x:c r="AG131" s="58"/>
      <x:c r="AH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56"/>
      <x:c r="J132" s="28"/>
      <x:c r="K132" s="28"/>
      <x:c r="L132" s="56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  <x:c r="AA132" s="28"/>
      <x:c r="AB132" s="56" t="str">
        <x:f>IF($A132="","",IF(Z132="Y",20,IF(Z132="Unknown",10,0))+$L132*5+IF(AA132="Y",15,IF(AA132="Unknown",5,0))+IF($J132="Public",10,IF($J132="Partner",7,IF($J132="Internal",3,0)))+IF($W132="Hard-coded",10,IF($W132="Unknown",7,IF($W132="Configurable",3,0)))+IF($I132&gt;=10,10,IF($I132&gt;=5,7,IF($I132&gt;=2,3,0)))+IF($K132="High",10,IF($K132="Medium",5,0)))</x:f>
      </x:c>
      <x:c r="AC132" s="28" t="str">
        <x:f>IF($A132="","",IF(AB132&gt;=70,"P0 - Immediate",IF(AB132&gt;=50,"P1 - High",IF(AB132&gt;=30,"P2 - Medium",IF(AB132&gt;=15,"P3 - Low","P4 - Monitor")))))</x:f>
      </x:c>
      <x:c r="AD132" s="28"/>
      <x:c r="AE132" s="28"/>
      <x:c r="AF132" s="28"/>
      <x:c r="AG132" s="58"/>
      <x:c r="AH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56"/>
      <x:c r="J133" s="28"/>
      <x:c r="K133" s="28"/>
      <x:c r="L133" s="56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  <x:c r="AA133" s="28"/>
      <x:c r="AB133" s="56" t="str">
        <x:f>IF($A133="","",IF(Z133="Y",20,IF(Z133="Unknown",10,0))+$L133*5+IF(AA133="Y",15,IF(AA133="Unknown",5,0))+IF($J133="Public",10,IF($J133="Partner",7,IF($J133="Internal",3,0)))+IF($W133="Hard-coded",10,IF($W133="Unknown",7,IF($W133="Configurable",3,0)))+IF($I133&gt;=10,10,IF($I133&gt;=5,7,IF($I133&gt;=2,3,0)))+IF($K133="High",10,IF($K133="Medium",5,0)))</x:f>
      </x:c>
      <x:c r="AC133" s="28" t="str">
        <x:f>IF($A133="","",IF(AB133&gt;=70,"P0 - Immediate",IF(AB133&gt;=50,"P1 - High",IF(AB133&gt;=30,"P2 - Medium",IF(AB133&gt;=15,"P3 - Low","P4 - Monitor")))))</x:f>
      </x:c>
      <x:c r="AD133" s="28"/>
      <x:c r="AE133" s="28"/>
      <x:c r="AF133" s="28"/>
      <x:c r="AG133" s="58"/>
      <x:c r="AH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56"/>
      <x:c r="J134" s="28"/>
      <x:c r="K134" s="28"/>
      <x:c r="L134" s="56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  <x:c r="AA134" s="28"/>
      <x:c r="AB134" s="56" t="str">
        <x:f>IF($A134="","",IF(Z134="Y",20,IF(Z134="Unknown",10,0))+$L134*5+IF(AA134="Y",15,IF(AA134="Unknown",5,0))+IF($J134="Public",10,IF($J134="Partner",7,IF($J134="Internal",3,0)))+IF($W134="Hard-coded",10,IF($W134="Unknown",7,IF($W134="Configurable",3,0)))+IF($I134&gt;=10,10,IF($I134&gt;=5,7,IF($I134&gt;=2,3,0)))+IF($K134="High",10,IF($K134="Medium",5,0)))</x:f>
      </x:c>
      <x:c r="AC134" s="28" t="str">
        <x:f>IF($A134="","",IF(AB134&gt;=70,"P0 - Immediate",IF(AB134&gt;=50,"P1 - High",IF(AB134&gt;=30,"P2 - Medium",IF(AB134&gt;=15,"P3 - Low","P4 - Monitor")))))</x:f>
      </x:c>
      <x:c r="AD134" s="28"/>
      <x:c r="AE134" s="28"/>
      <x:c r="AF134" s="28"/>
      <x:c r="AG134" s="58"/>
      <x:c r="AH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56"/>
      <x:c r="J135" s="28"/>
      <x:c r="K135" s="28"/>
      <x:c r="L135" s="56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  <x:c r="AA135" s="28"/>
      <x:c r="AB135" s="56" t="str">
        <x:f>IF($A135="","",IF(Z135="Y",20,IF(Z135="Unknown",10,0))+$L135*5+IF(AA135="Y",15,IF(AA135="Unknown",5,0))+IF($J135="Public",10,IF($J135="Partner",7,IF($J135="Internal",3,0)))+IF($W135="Hard-coded",10,IF($W135="Unknown",7,IF($W135="Configurable",3,0)))+IF($I135&gt;=10,10,IF($I135&gt;=5,7,IF($I135&gt;=2,3,0)))+IF($K135="High",10,IF($K135="Medium",5,0)))</x:f>
      </x:c>
      <x:c r="AC135" s="28" t="str">
        <x:f>IF($A135="","",IF(AB135&gt;=70,"P0 - Immediate",IF(AB135&gt;=50,"P1 - High",IF(AB135&gt;=30,"P2 - Medium",IF(AB135&gt;=15,"P3 - Low","P4 - Monitor")))))</x:f>
      </x:c>
      <x:c r="AD135" s="28"/>
      <x:c r="AE135" s="28"/>
      <x:c r="AF135" s="28"/>
      <x:c r="AG135" s="58"/>
      <x:c r="AH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56"/>
      <x:c r="J136" s="28"/>
      <x:c r="K136" s="28"/>
      <x:c r="L136" s="56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  <x:c r="AA136" s="28"/>
      <x:c r="AB136" s="56" t="str">
        <x:f>IF($A136="","",IF(Z136="Y",20,IF(Z136="Unknown",10,0))+$L136*5+IF(AA136="Y",15,IF(AA136="Unknown",5,0))+IF($J136="Public",10,IF($J136="Partner",7,IF($J136="Internal",3,0)))+IF($W136="Hard-coded",10,IF($W136="Unknown",7,IF($W136="Configurable",3,0)))+IF($I136&gt;=10,10,IF($I136&gt;=5,7,IF($I136&gt;=2,3,0)))+IF($K136="High",10,IF($K136="Medium",5,0)))</x:f>
      </x:c>
      <x:c r="AC136" s="28" t="str">
        <x:f>IF($A136="","",IF(AB136&gt;=70,"P0 - Immediate",IF(AB136&gt;=50,"P1 - High",IF(AB136&gt;=30,"P2 - Medium",IF(AB136&gt;=15,"P3 - Low","P4 - Monitor")))))</x:f>
      </x:c>
      <x:c r="AD136" s="28"/>
      <x:c r="AE136" s="28"/>
      <x:c r="AF136" s="28"/>
      <x:c r="AG136" s="58"/>
      <x:c r="AH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56"/>
      <x:c r="J137" s="28"/>
      <x:c r="K137" s="28"/>
      <x:c r="L137" s="56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  <x:c r="AA137" s="28"/>
      <x:c r="AB137" s="56" t="str">
        <x:f>IF($A137="","",IF(Z137="Y",20,IF(Z137="Unknown",10,0))+$L137*5+IF(AA137="Y",15,IF(AA137="Unknown",5,0))+IF($J137="Public",10,IF($J137="Partner",7,IF($J137="Internal",3,0)))+IF($W137="Hard-coded",10,IF($W137="Unknown",7,IF($W137="Configurable",3,0)))+IF($I137&gt;=10,10,IF($I137&gt;=5,7,IF($I137&gt;=2,3,0)))+IF($K137="High",10,IF($K137="Medium",5,0)))</x:f>
      </x:c>
      <x:c r="AC137" s="28" t="str">
        <x:f>IF($A137="","",IF(AB137&gt;=70,"P0 - Immediate",IF(AB137&gt;=50,"P1 - High",IF(AB137&gt;=30,"P2 - Medium",IF(AB137&gt;=15,"P3 - Low","P4 - Monitor")))))</x:f>
      </x:c>
      <x:c r="AD137" s="28"/>
      <x:c r="AE137" s="28"/>
      <x:c r="AF137" s="28"/>
      <x:c r="AG137" s="58"/>
      <x:c r="AH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56"/>
      <x:c r="J138" s="28"/>
      <x:c r="K138" s="28"/>
      <x:c r="L138" s="56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  <x:c r="AA138" s="28"/>
      <x:c r="AB138" s="56" t="str">
        <x:f>IF($A138="","",IF(Z138="Y",20,IF(Z138="Unknown",10,0))+$L138*5+IF(AA138="Y",15,IF(AA138="Unknown",5,0))+IF($J138="Public",10,IF($J138="Partner",7,IF($J138="Internal",3,0)))+IF($W138="Hard-coded",10,IF($W138="Unknown",7,IF($W138="Configurable",3,0)))+IF($I138&gt;=10,10,IF($I138&gt;=5,7,IF($I138&gt;=2,3,0)))+IF($K138="High",10,IF($K138="Medium",5,0)))</x:f>
      </x:c>
      <x:c r="AC138" s="28" t="str">
        <x:f>IF($A138="","",IF(AB138&gt;=70,"P0 - Immediate",IF(AB138&gt;=50,"P1 - High",IF(AB138&gt;=30,"P2 - Medium",IF(AB138&gt;=15,"P3 - Low","P4 - Monitor")))))</x:f>
      </x:c>
      <x:c r="AD138" s="28"/>
      <x:c r="AE138" s="28"/>
      <x:c r="AF138" s="28"/>
      <x:c r="AG138" s="58"/>
      <x:c r="AH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56"/>
      <x:c r="J139" s="28"/>
      <x:c r="K139" s="28"/>
      <x:c r="L139" s="56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  <x:c r="AA139" s="28"/>
      <x:c r="AB139" s="56" t="str">
        <x:f>IF($A139="","",IF(Z139="Y",20,IF(Z139="Unknown",10,0))+$L139*5+IF(AA139="Y",15,IF(AA139="Unknown",5,0))+IF($J139="Public",10,IF($J139="Partner",7,IF($J139="Internal",3,0)))+IF($W139="Hard-coded",10,IF($W139="Unknown",7,IF($W139="Configurable",3,0)))+IF($I139&gt;=10,10,IF($I139&gt;=5,7,IF($I139&gt;=2,3,0)))+IF($K139="High",10,IF($K139="Medium",5,0)))</x:f>
      </x:c>
      <x:c r="AC139" s="28" t="str">
        <x:f>IF($A139="","",IF(AB139&gt;=70,"P0 - Immediate",IF(AB139&gt;=50,"P1 - High",IF(AB139&gt;=30,"P2 - Medium",IF(AB139&gt;=15,"P3 - Low","P4 - Monitor")))))</x:f>
      </x:c>
      <x:c r="AD139" s="28"/>
      <x:c r="AE139" s="28"/>
      <x:c r="AF139" s="28"/>
      <x:c r="AG139" s="58"/>
      <x:c r="AH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56"/>
      <x:c r="J140" s="28"/>
      <x:c r="K140" s="28"/>
      <x:c r="L140" s="56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  <x:c r="AA140" s="28"/>
      <x:c r="AB140" s="56" t="str">
        <x:f>IF($A140="","",IF(Z140="Y",20,IF(Z140="Unknown",10,0))+$L140*5+IF(AA140="Y",15,IF(AA140="Unknown",5,0))+IF($J140="Public",10,IF($J140="Partner",7,IF($J140="Internal",3,0)))+IF($W140="Hard-coded",10,IF($W140="Unknown",7,IF($W140="Configurable",3,0)))+IF($I140&gt;=10,10,IF($I140&gt;=5,7,IF($I140&gt;=2,3,0)))+IF($K140="High",10,IF($K140="Medium",5,0)))</x:f>
      </x:c>
      <x:c r="AC140" s="28" t="str">
        <x:f>IF($A140="","",IF(AB140&gt;=70,"P0 - Immediate",IF(AB140&gt;=50,"P1 - High",IF(AB140&gt;=30,"P2 - Medium",IF(AB140&gt;=15,"P3 - Low","P4 - Monitor")))))</x:f>
      </x:c>
      <x:c r="AD140" s="28"/>
      <x:c r="AE140" s="28"/>
      <x:c r="AF140" s="28"/>
      <x:c r="AG140" s="58"/>
      <x:c r="AH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56"/>
      <x:c r="J141" s="28"/>
      <x:c r="K141" s="28"/>
      <x:c r="L141" s="56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  <x:c r="AA141" s="28"/>
      <x:c r="AB141" s="56" t="str">
        <x:f>IF($A141="","",IF(Z141="Y",20,IF(Z141="Unknown",10,0))+$L141*5+IF(AA141="Y",15,IF(AA141="Unknown",5,0))+IF($J141="Public",10,IF($J141="Partner",7,IF($J141="Internal",3,0)))+IF($W141="Hard-coded",10,IF($W141="Unknown",7,IF($W141="Configurable",3,0)))+IF($I141&gt;=10,10,IF($I141&gt;=5,7,IF($I141&gt;=2,3,0)))+IF($K141="High",10,IF($K141="Medium",5,0)))</x:f>
      </x:c>
      <x:c r="AC141" s="28" t="str">
        <x:f>IF($A141="","",IF(AB141&gt;=70,"P0 - Immediate",IF(AB141&gt;=50,"P1 - High",IF(AB141&gt;=30,"P2 - Medium",IF(AB141&gt;=15,"P3 - Low","P4 - Monitor")))))</x:f>
      </x:c>
      <x:c r="AD141" s="28"/>
      <x:c r="AE141" s="28"/>
      <x:c r="AF141" s="28"/>
      <x:c r="AG141" s="58"/>
      <x:c r="AH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56"/>
      <x:c r="J142" s="28"/>
      <x:c r="K142" s="28"/>
      <x:c r="L142" s="56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  <x:c r="AA142" s="28"/>
      <x:c r="AB142" s="56" t="str">
        <x:f>IF($A142="","",IF(Z142="Y",20,IF(Z142="Unknown",10,0))+$L142*5+IF(AA142="Y",15,IF(AA142="Unknown",5,0))+IF($J142="Public",10,IF($J142="Partner",7,IF($J142="Internal",3,0)))+IF($W142="Hard-coded",10,IF($W142="Unknown",7,IF($W142="Configurable",3,0)))+IF($I142&gt;=10,10,IF($I142&gt;=5,7,IF($I142&gt;=2,3,0)))+IF($K142="High",10,IF($K142="Medium",5,0)))</x:f>
      </x:c>
      <x:c r="AC142" s="28" t="str">
        <x:f>IF($A142="","",IF(AB142&gt;=70,"P0 - Immediate",IF(AB142&gt;=50,"P1 - High",IF(AB142&gt;=30,"P2 - Medium",IF(AB142&gt;=15,"P3 - Low","P4 - Monitor")))))</x:f>
      </x:c>
      <x:c r="AD142" s="28"/>
      <x:c r="AE142" s="28"/>
      <x:c r="AF142" s="28"/>
      <x:c r="AG142" s="58"/>
      <x:c r="AH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56"/>
      <x:c r="J143" s="28"/>
      <x:c r="K143" s="28"/>
      <x:c r="L143" s="56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  <x:c r="AA143" s="28"/>
      <x:c r="AB143" s="56" t="str">
        <x:f>IF($A143="","",IF(Z143="Y",20,IF(Z143="Unknown",10,0))+$L143*5+IF(AA143="Y",15,IF(AA143="Unknown",5,0))+IF($J143="Public",10,IF($J143="Partner",7,IF($J143="Internal",3,0)))+IF($W143="Hard-coded",10,IF($W143="Unknown",7,IF($W143="Configurable",3,0)))+IF($I143&gt;=10,10,IF($I143&gt;=5,7,IF($I143&gt;=2,3,0)))+IF($K143="High",10,IF($K143="Medium",5,0)))</x:f>
      </x:c>
      <x:c r="AC143" s="28" t="str">
        <x:f>IF($A143="","",IF(AB143&gt;=70,"P0 - Immediate",IF(AB143&gt;=50,"P1 - High",IF(AB143&gt;=30,"P2 - Medium",IF(AB143&gt;=15,"P3 - Low","P4 - Monitor")))))</x:f>
      </x:c>
      <x:c r="AD143" s="28"/>
      <x:c r="AE143" s="28"/>
      <x:c r="AF143" s="28"/>
      <x:c r="AG143" s="58"/>
      <x:c r="AH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56"/>
      <x:c r="J144" s="28"/>
      <x:c r="K144" s="28"/>
      <x:c r="L144" s="56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  <x:c r="AA144" s="28"/>
      <x:c r="AB144" s="56" t="str">
        <x:f>IF($A144="","",IF(Z144="Y",20,IF(Z144="Unknown",10,0))+$L144*5+IF(AA144="Y",15,IF(AA144="Unknown",5,0))+IF($J144="Public",10,IF($J144="Partner",7,IF($J144="Internal",3,0)))+IF($W144="Hard-coded",10,IF($W144="Unknown",7,IF($W144="Configurable",3,0)))+IF($I144&gt;=10,10,IF($I144&gt;=5,7,IF($I144&gt;=2,3,0)))+IF($K144="High",10,IF($K144="Medium",5,0)))</x:f>
      </x:c>
      <x:c r="AC144" s="28" t="str">
        <x:f>IF($A144="","",IF(AB144&gt;=70,"P0 - Immediate",IF(AB144&gt;=50,"P1 - High",IF(AB144&gt;=30,"P2 - Medium",IF(AB144&gt;=15,"P3 - Low","P4 - Monitor")))))</x:f>
      </x:c>
      <x:c r="AD144" s="28"/>
      <x:c r="AE144" s="28"/>
      <x:c r="AF144" s="28"/>
      <x:c r="AG144" s="58"/>
      <x:c r="AH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56"/>
      <x:c r="J145" s="28"/>
      <x:c r="K145" s="28"/>
      <x:c r="L145" s="56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  <x:c r="AA145" s="28"/>
      <x:c r="AB145" s="56" t="str">
        <x:f>IF($A145="","",IF(Z145="Y",20,IF(Z145="Unknown",10,0))+$L145*5+IF(AA145="Y",15,IF(AA145="Unknown",5,0))+IF($J145="Public",10,IF($J145="Partner",7,IF($J145="Internal",3,0)))+IF($W145="Hard-coded",10,IF($W145="Unknown",7,IF($W145="Configurable",3,0)))+IF($I145&gt;=10,10,IF($I145&gt;=5,7,IF($I145&gt;=2,3,0)))+IF($K145="High",10,IF($K145="Medium",5,0)))</x:f>
      </x:c>
      <x:c r="AC145" s="28" t="str">
        <x:f>IF($A145="","",IF(AB145&gt;=70,"P0 - Immediate",IF(AB145&gt;=50,"P1 - High",IF(AB145&gt;=30,"P2 - Medium",IF(AB145&gt;=15,"P3 - Low","P4 - Monitor")))))</x:f>
      </x:c>
      <x:c r="AD145" s="28"/>
      <x:c r="AE145" s="28"/>
      <x:c r="AF145" s="28"/>
      <x:c r="AG145" s="58"/>
      <x:c r="AH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56"/>
      <x:c r="J146" s="28"/>
      <x:c r="K146" s="28"/>
      <x:c r="L146" s="56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  <x:c r="AA146" s="28"/>
      <x:c r="AB146" s="56" t="str">
        <x:f>IF($A146="","",IF(Z146="Y",20,IF(Z146="Unknown",10,0))+$L146*5+IF(AA146="Y",15,IF(AA146="Unknown",5,0))+IF($J146="Public",10,IF($J146="Partner",7,IF($J146="Internal",3,0)))+IF($W146="Hard-coded",10,IF($W146="Unknown",7,IF($W146="Configurable",3,0)))+IF($I146&gt;=10,10,IF($I146&gt;=5,7,IF($I146&gt;=2,3,0)))+IF($K146="High",10,IF($K146="Medium",5,0)))</x:f>
      </x:c>
      <x:c r="AC146" s="28" t="str">
        <x:f>IF($A146="","",IF(AB146&gt;=70,"P0 - Immediate",IF(AB146&gt;=50,"P1 - High",IF(AB146&gt;=30,"P2 - Medium",IF(AB146&gt;=15,"P3 - Low","P4 - Monitor")))))</x:f>
      </x:c>
      <x:c r="AD146" s="28"/>
      <x:c r="AE146" s="28"/>
      <x:c r="AF146" s="28"/>
      <x:c r="AG146" s="58"/>
      <x:c r="AH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56"/>
      <x:c r="J147" s="28"/>
      <x:c r="K147" s="28"/>
      <x:c r="L147" s="56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  <x:c r="AA147" s="28"/>
      <x:c r="AB147" s="56" t="str">
        <x:f>IF($A147="","",IF(Z147="Y",20,IF(Z147="Unknown",10,0))+$L147*5+IF(AA147="Y",15,IF(AA147="Unknown",5,0))+IF($J147="Public",10,IF($J147="Partner",7,IF($J147="Internal",3,0)))+IF($W147="Hard-coded",10,IF($W147="Unknown",7,IF($W147="Configurable",3,0)))+IF($I147&gt;=10,10,IF($I147&gt;=5,7,IF($I147&gt;=2,3,0)))+IF($K147="High",10,IF($K147="Medium",5,0)))</x:f>
      </x:c>
      <x:c r="AC147" s="28" t="str">
        <x:f>IF($A147="","",IF(AB147&gt;=70,"P0 - Immediate",IF(AB147&gt;=50,"P1 - High",IF(AB147&gt;=30,"P2 - Medium",IF(AB147&gt;=15,"P3 - Low","P4 - Monitor")))))</x:f>
      </x:c>
      <x:c r="AD147" s="28"/>
      <x:c r="AE147" s="28"/>
      <x:c r="AF147" s="28"/>
      <x:c r="AG147" s="58"/>
      <x:c r="AH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56"/>
      <x:c r="J148" s="28"/>
      <x:c r="K148" s="28"/>
      <x:c r="L148" s="56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  <x:c r="AA148" s="28"/>
      <x:c r="AB148" s="56" t="str">
        <x:f>IF($A148="","",IF(Z148="Y",20,IF(Z148="Unknown",10,0))+$L148*5+IF(AA148="Y",15,IF(AA148="Unknown",5,0))+IF($J148="Public",10,IF($J148="Partner",7,IF($J148="Internal",3,0)))+IF($W148="Hard-coded",10,IF($W148="Unknown",7,IF($W148="Configurable",3,0)))+IF($I148&gt;=10,10,IF($I148&gt;=5,7,IF($I148&gt;=2,3,0)))+IF($K148="High",10,IF($K148="Medium",5,0)))</x:f>
      </x:c>
      <x:c r="AC148" s="28" t="str">
        <x:f>IF($A148="","",IF(AB148&gt;=70,"P0 - Immediate",IF(AB148&gt;=50,"P1 - High",IF(AB148&gt;=30,"P2 - Medium",IF(AB148&gt;=15,"P3 - Low","P4 - Monitor")))))</x:f>
      </x:c>
      <x:c r="AD148" s="28"/>
      <x:c r="AE148" s="28"/>
      <x:c r="AF148" s="28"/>
      <x:c r="AG148" s="58"/>
      <x:c r="AH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56"/>
      <x:c r="J149" s="28"/>
      <x:c r="K149" s="28"/>
      <x:c r="L149" s="56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  <x:c r="AA149" s="28"/>
      <x:c r="AB149" s="56" t="str">
        <x:f>IF($A149="","",IF(Z149="Y",20,IF(Z149="Unknown",10,0))+$L149*5+IF(AA149="Y",15,IF(AA149="Unknown",5,0))+IF($J149="Public",10,IF($J149="Partner",7,IF($J149="Internal",3,0)))+IF($W149="Hard-coded",10,IF($W149="Unknown",7,IF($W149="Configurable",3,0)))+IF($I149&gt;=10,10,IF($I149&gt;=5,7,IF($I149&gt;=2,3,0)))+IF($K149="High",10,IF($K149="Medium",5,0)))</x:f>
      </x:c>
      <x:c r="AC149" s="28" t="str">
        <x:f>IF($A149="","",IF(AB149&gt;=70,"P0 - Immediate",IF(AB149&gt;=50,"P1 - High",IF(AB149&gt;=30,"P2 - Medium",IF(AB149&gt;=15,"P3 - Low","P4 - Monitor")))))</x:f>
      </x:c>
      <x:c r="AD149" s="28"/>
      <x:c r="AE149" s="28"/>
      <x:c r="AF149" s="28"/>
      <x:c r="AG149" s="58"/>
      <x:c r="AH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56"/>
      <x:c r="J150" s="28"/>
      <x:c r="K150" s="28"/>
      <x:c r="L150" s="56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  <x:c r="AA150" s="28"/>
      <x:c r="AB150" s="56" t="str">
        <x:f>IF($A150="","",IF(Z150="Y",20,IF(Z150="Unknown",10,0))+$L150*5+IF(AA150="Y",15,IF(AA150="Unknown",5,0))+IF($J150="Public",10,IF($J150="Partner",7,IF($J150="Internal",3,0)))+IF($W150="Hard-coded",10,IF($W150="Unknown",7,IF($W150="Configurable",3,0)))+IF($I150&gt;=10,10,IF($I150&gt;=5,7,IF($I150&gt;=2,3,0)))+IF($K150="High",10,IF($K150="Medium",5,0)))</x:f>
      </x:c>
      <x:c r="AC150" s="28" t="str">
        <x:f>IF($A150="","",IF(AB150&gt;=70,"P0 - Immediate",IF(AB150&gt;=50,"P1 - High",IF(AB150&gt;=30,"P2 - Medium",IF(AB150&gt;=15,"P3 - Low","P4 - Monitor")))))</x:f>
      </x:c>
      <x:c r="AD150" s="28"/>
      <x:c r="AE150" s="28"/>
      <x:c r="AF150" s="28"/>
      <x:c r="AG150" s="58"/>
      <x:c r="AH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56"/>
      <x:c r="J151" s="28"/>
      <x:c r="K151" s="28"/>
      <x:c r="L151" s="56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  <x:c r="AA151" s="28"/>
      <x:c r="AB151" s="56" t="str">
        <x:f>IF($A151="","",IF(Z151="Y",20,IF(Z151="Unknown",10,0))+$L151*5+IF(AA151="Y",15,IF(AA151="Unknown",5,0))+IF($J151="Public",10,IF($J151="Partner",7,IF($J151="Internal",3,0)))+IF($W151="Hard-coded",10,IF($W151="Unknown",7,IF($W151="Configurable",3,0)))+IF($I151&gt;=10,10,IF($I151&gt;=5,7,IF($I151&gt;=2,3,0)))+IF($K151="High",10,IF($K151="Medium",5,0)))</x:f>
      </x:c>
      <x:c r="AC151" s="28" t="str">
        <x:f>IF($A151="","",IF(AB151&gt;=70,"P0 - Immediate",IF(AB151&gt;=50,"P1 - High",IF(AB151&gt;=30,"P2 - Medium",IF(AB151&gt;=15,"P3 - Low","P4 - Monitor")))))</x:f>
      </x:c>
      <x:c r="AD151" s="28"/>
      <x:c r="AE151" s="28"/>
      <x:c r="AF151" s="28"/>
      <x:c r="AG151" s="58"/>
      <x:c r="AH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56"/>
      <x:c r="J152" s="28"/>
      <x:c r="K152" s="28"/>
      <x:c r="L152" s="56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  <x:c r="AA152" s="28"/>
      <x:c r="AB152" s="56" t="str">
        <x:f>IF($A152="","",IF(Z152="Y",20,IF(Z152="Unknown",10,0))+$L152*5+IF(AA152="Y",15,IF(AA152="Unknown",5,0))+IF($J152="Public",10,IF($J152="Partner",7,IF($J152="Internal",3,0)))+IF($W152="Hard-coded",10,IF($W152="Unknown",7,IF($W152="Configurable",3,0)))+IF($I152&gt;=10,10,IF($I152&gt;=5,7,IF($I152&gt;=2,3,0)))+IF($K152="High",10,IF($K152="Medium",5,0)))</x:f>
      </x:c>
      <x:c r="AC152" s="28" t="str">
        <x:f>IF($A152="","",IF(AB152&gt;=70,"P0 - Immediate",IF(AB152&gt;=50,"P1 - High",IF(AB152&gt;=30,"P2 - Medium",IF(AB152&gt;=15,"P3 - Low","P4 - Monitor")))))</x:f>
      </x:c>
      <x:c r="AD152" s="28"/>
      <x:c r="AE152" s="28"/>
      <x:c r="AF152" s="28"/>
      <x:c r="AG152" s="58"/>
      <x:c r="AH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56"/>
      <x:c r="J153" s="28"/>
      <x:c r="K153" s="28"/>
      <x:c r="L153" s="56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  <x:c r="AA153" s="28"/>
      <x:c r="AB153" s="56" t="str">
        <x:f>IF($A153="","",IF(Z153="Y",20,IF(Z153="Unknown",10,0))+$L153*5+IF(AA153="Y",15,IF(AA153="Unknown",5,0))+IF($J153="Public",10,IF($J153="Partner",7,IF($J153="Internal",3,0)))+IF($W153="Hard-coded",10,IF($W153="Unknown",7,IF($W153="Configurable",3,0)))+IF($I153&gt;=10,10,IF($I153&gt;=5,7,IF($I153&gt;=2,3,0)))+IF($K153="High",10,IF($K153="Medium",5,0)))</x:f>
      </x:c>
      <x:c r="AC153" s="28" t="str">
        <x:f>IF($A153="","",IF(AB153&gt;=70,"P0 - Immediate",IF(AB153&gt;=50,"P1 - High",IF(AB153&gt;=30,"P2 - Medium",IF(AB153&gt;=15,"P3 - Low","P4 - Monitor")))))</x:f>
      </x:c>
      <x:c r="AD153" s="28"/>
      <x:c r="AE153" s="28"/>
      <x:c r="AF153" s="28"/>
      <x:c r="AG153" s="58"/>
      <x:c r="AH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56"/>
      <x:c r="J154" s="28"/>
      <x:c r="K154" s="28"/>
      <x:c r="L154" s="56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  <x:c r="AA154" s="28"/>
      <x:c r="AB154" s="56" t="str">
        <x:f>IF($A154="","",IF(Z154="Y",20,IF(Z154="Unknown",10,0))+$L154*5+IF(AA154="Y",15,IF(AA154="Unknown",5,0))+IF($J154="Public",10,IF($J154="Partner",7,IF($J154="Internal",3,0)))+IF($W154="Hard-coded",10,IF($W154="Unknown",7,IF($W154="Configurable",3,0)))+IF($I154&gt;=10,10,IF($I154&gt;=5,7,IF($I154&gt;=2,3,0)))+IF($K154="High",10,IF($K154="Medium",5,0)))</x:f>
      </x:c>
      <x:c r="AC154" s="28" t="str">
        <x:f>IF($A154="","",IF(AB154&gt;=70,"P0 - Immediate",IF(AB154&gt;=50,"P1 - High",IF(AB154&gt;=30,"P2 - Medium",IF(AB154&gt;=15,"P3 - Low","P4 - Monitor")))))</x:f>
      </x:c>
      <x:c r="AD154" s="28"/>
      <x:c r="AE154" s="28"/>
      <x:c r="AF154" s="28"/>
      <x:c r="AG154" s="58"/>
      <x:c r="AH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56"/>
      <x:c r="J155" s="28"/>
      <x:c r="K155" s="28"/>
      <x:c r="L155" s="56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  <x:c r="AA155" s="28"/>
      <x:c r="AB155" s="56" t="str">
        <x:f>IF($A155="","",IF(Z155="Y",20,IF(Z155="Unknown",10,0))+$L155*5+IF(AA155="Y",15,IF(AA155="Unknown",5,0))+IF($J155="Public",10,IF($J155="Partner",7,IF($J155="Internal",3,0)))+IF($W155="Hard-coded",10,IF($W155="Unknown",7,IF($W155="Configurable",3,0)))+IF($I155&gt;=10,10,IF($I155&gt;=5,7,IF($I155&gt;=2,3,0)))+IF($K155="High",10,IF($K155="Medium",5,0)))</x:f>
      </x:c>
      <x:c r="AC155" s="28" t="str">
        <x:f>IF($A155="","",IF(AB155&gt;=70,"P0 - Immediate",IF(AB155&gt;=50,"P1 - High",IF(AB155&gt;=30,"P2 - Medium",IF(AB155&gt;=15,"P3 - Low","P4 - Monitor")))))</x:f>
      </x:c>
      <x:c r="AD155" s="28"/>
      <x:c r="AE155" s="28"/>
      <x:c r="AF155" s="28"/>
      <x:c r="AG155" s="58"/>
      <x:c r="AH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56"/>
      <x:c r="J156" s="28"/>
      <x:c r="K156" s="28"/>
      <x:c r="L156" s="56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  <x:c r="AA156" s="28"/>
      <x:c r="AB156" s="56" t="str">
        <x:f>IF($A156="","",IF(Z156="Y",20,IF(Z156="Unknown",10,0))+$L156*5+IF(AA156="Y",15,IF(AA156="Unknown",5,0))+IF($J156="Public",10,IF($J156="Partner",7,IF($J156="Internal",3,0)))+IF($W156="Hard-coded",10,IF($W156="Unknown",7,IF($W156="Configurable",3,0)))+IF($I156&gt;=10,10,IF($I156&gt;=5,7,IF($I156&gt;=2,3,0)))+IF($K156="High",10,IF($K156="Medium",5,0)))</x:f>
      </x:c>
      <x:c r="AC156" s="28" t="str">
        <x:f>IF($A156="","",IF(AB156&gt;=70,"P0 - Immediate",IF(AB156&gt;=50,"P1 - High",IF(AB156&gt;=30,"P2 - Medium",IF(AB156&gt;=15,"P3 - Low","P4 - Monitor")))))</x:f>
      </x:c>
      <x:c r="AD156" s="28"/>
      <x:c r="AE156" s="28"/>
      <x:c r="AF156" s="28"/>
      <x:c r="AG156" s="58"/>
      <x:c r="AH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56"/>
      <x:c r="J157" s="28"/>
      <x:c r="K157" s="28"/>
      <x:c r="L157" s="56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  <x:c r="AA157" s="28"/>
      <x:c r="AB157" s="56" t="str">
        <x:f>IF($A157="","",IF(Z157="Y",20,IF(Z157="Unknown",10,0))+$L157*5+IF(AA157="Y",15,IF(AA157="Unknown",5,0))+IF($J157="Public",10,IF($J157="Partner",7,IF($J157="Internal",3,0)))+IF($W157="Hard-coded",10,IF($W157="Unknown",7,IF($W157="Configurable",3,0)))+IF($I157&gt;=10,10,IF($I157&gt;=5,7,IF($I157&gt;=2,3,0)))+IF($K157="High",10,IF($K157="Medium",5,0)))</x:f>
      </x:c>
      <x:c r="AC157" s="28" t="str">
        <x:f>IF($A157="","",IF(AB157&gt;=70,"P0 - Immediate",IF(AB157&gt;=50,"P1 - High",IF(AB157&gt;=30,"P2 - Medium",IF(AB157&gt;=15,"P3 - Low","P4 - Monitor")))))</x:f>
      </x:c>
      <x:c r="AD157" s="28"/>
      <x:c r="AE157" s="28"/>
      <x:c r="AF157" s="28"/>
      <x:c r="AG157" s="58"/>
      <x:c r="AH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56"/>
      <x:c r="J158" s="28"/>
      <x:c r="K158" s="28"/>
      <x:c r="L158" s="56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  <x:c r="AA158" s="28"/>
      <x:c r="AB158" s="56" t="str">
        <x:f>IF($A158="","",IF(Z158="Y",20,IF(Z158="Unknown",10,0))+$L158*5+IF(AA158="Y",15,IF(AA158="Unknown",5,0))+IF($J158="Public",10,IF($J158="Partner",7,IF($J158="Internal",3,0)))+IF($W158="Hard-coded",10,IF($W158="Unknown",7,IF($W158="Configurable",3,0)))+IF($I158&gt;=10,10,IF($I158&gt;=5,7,IF($I158&gt;=2,3,0)))+IF($K158="High",10,IF($K158="Medium",5,0)))</x:f>
      </x:c>
      <x:c r="AC158" s="28" t="str">
        <x:f>IF($A158="","",IF(AB158&gt;=70,"P0 - Immediate",IF(AB158&gt;=50,"P1 - High",IF(AB158&gt;=30,"P2 - Medium",IF(AB158&gt;=15,"P3 - Low","P4 - Monitor")))))</x:f>
      </x:c>
      <x:c r="AD158" s="28"/>
      <x:c r="AE158" s="28"/>
      <x:c r="AF158" s="28"/>
      <x:c r="AG158" s="58"/>
      <x:c r="AH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56"/>
      <x:c r="J159" s="28"/>
      <x:c r="K159" s="28"/>
      <x:c r="L159" s="56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  <x:c r="AA159" s="28"/>
      <x:c r="AB159" s="56" t="str">
        <x:f>IF($A159="","",IF(Z159="Y",20,IF(Z159="Unknown",10,0))+$L159*5+IF(AA159="Y",15,IF(AA159="Unknown",5,0))+IF($J159="Public",10,IF($J159="Partner",7,IF($J159="Internal",3,0)))+IF($W159="Hard-coded",10,IF($W159="Unknown",7,IF($W159="Configurable",3,0)))+IF($I159&gt;=10,10,IF($I159&gt;=5,7,IF($I159&gt;=2,3,0)))+IF($K159="High",10,IF($K159="Medium",5,0)))</x:f>
      </x:c>
      <x:c r="AC159" s="28" t="str">
        <x:f>IF($A159="","",IF(AB159&gt;=70,"P0 - Immediate",IF(AB159&gt;=50,"P1 - High",IF(AB159&gt;=30,"P2 - Medium",IF(AB159&gt;=15,"P3 - Low","P4 - Monitor")))))</x:f>
      </x:c>
      <x:c r="AD159" s="28"/>
      <x:c r="AE159" s="28"/>
      <x:c r="AF159" s="28"/>
      <x:c r="AG159" s="58"/>
      <x:c r="AH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56"/>
      <x:c r="J160" s="28"/>
      <x:c r="K160" s="28"/>
      <x:c r="L160" s="56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  <x:c r="AA160" s="28"/>
      <x:c r="AB160" s="56" t="str">
        <x:f>IF($A160="","",IF(Z160="Y",20,IF(Z160="Unknown",10,0))+$L160*5+IF(AA160="Y",15,IF(AA160="Unknown",5,0))+IF($J160="Public",10,IF($J160="Partner",7,IF($J160="Internal",3,0)))+IF($W160="Hard-coded",10,IF($W160="Unknown",7,IF($W160="Configurable",3,0)))+IF($I160&gt;=10,10,IF($I160&gt;=5,7,IF($I160&gt;=2,3,0)))+IF($K160="High",10,IF($K160="Medium",5,0)))</x:f>
      </x:c>
      <x:c r="AC160" s="28" t="str">
        <x:f>IF($A160="","",IF(AB160&gt;=70,"P0 - Immediate",IF(AB160&gt;=50,"P1 - High",IF(AB160&gt;=30,"P2 - Medium",IF(AB160&gt;=15,"P3 - Low","P4 - Monitor")))))</x:f>
      </x:c>
      <x:c r="AD160" s="28"/>
      <x:c r="AE160" s="28"/>
      <x:c r="AF160" s="28"/>
      <x:c r="AG160" s="58"/>
      <x:c r="AH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56"/>
      <x:c r="J161" s="28"/>
      <x:c r="K161" s="28"/>
      <x:c r="L161" s="56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  <x:c r="AA161" s="28"/>
      <x:c r="AB161" s="56" t="str">
        <x:f>IF($A161="","",IF(Z161="Y",20,IF(Z161="Unknown",10,0))+$L161*5+IF(AA161="Y",15,IF(AA161="Unknown",5,0))+IF($J161="Public",10,IF($J161="Partner",7,IF($J161="Internal",3,0)))+IF($W161="Hard-coded",10,IF($W161="Unknown",7,IF($W161="Configurable",3,0)))+IF($I161&gt;=10,10,IF($I161&gt;=5,7,IF($I161&gt;=2,3,0)))+IF($K161="High",10,IF($K161="Medium",5,0)))</x:f>
      </x:c>
      <x:c r="AC161" s="28" t="str">
        <x:f>IF($A161="","",IF(AB161&gt;=70,"P0 - Immediate",IF(AB161&gt;=50,"P1 - High",IF(AB161&gt;=30,"P2 - Medium",IF(AB161&gt;=15,"P3 - Low","P4 - Monitor")))))</x:f>
      </x:c>
      <x:c r="AD161" s="28"/>
      <x:c r="AE161" s="28"/>
      <x:c r="AF161" s="28"/>
      <x:c r="AG161" s="58"/>
      <x:c r="AH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56"/>
      <x:c r="J162" s="28"/>
      <x:c r="K162" s="28"/>
      <x:c r="L162" s="56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  <x:c r="AA162" s="28"/>
      <x:c r="AB162" s="56" t="str">
        <x:f>IF($A162="","",IF(Z162="Y",20,IF(Z162="Unknown",10,0))+$L162*5+IF(AA162="Y",15,IF(AA162="Unknown",5,0))+IF($J162="Public",10,IF($J162="Partner",7,IF($J162="Internal",3,0)))+IF($W162="Hard-coded",10,IF($W162="Unknown",7,IF($W162="Configurable",3,0)))+IF($I162&gt;=10,10,IF($I162&gt;=5,7,IF($I162&gt;=2,3,0)))+IF($K162="High",10,IF($K162="Medium",5,0)))</x:f>
      </x:c>
      <x:c r="AC162" s="28" t="str">
        <x:f>IF($A162="","",IF(AB162&gt;=70,"P0 - Immediate",IF(AB162&gt;=50,"P1 - High",IF(AB162&gt;=30,"P2 - Medium",IF(AB162&gt;=15,"P3 - Low","P4 - Monitor")))))</x:f>
      </x:c>
      <x:c r="AD162" s="28"/>
      <x:c r="AE162" s="28"/>
      <x:c r="AF162" s="28"/>
      <x:c r="AG162" s="58"/>
      <x:c r="AH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56"/>
      <x:c r="J163" s="28"/>
      <x:c r="K163" s="28"/>
      <x:c r="L163" s="56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  <x:c r="AA163" s="28"/>
      <x:c r="AB163" s="56" t="str">
        <x:f>IF($A163="","",IF(Z163="Y",20,IF(Z163="Unknown",10,0))+$L163*5+IF(AA163="Y",15,IF(AA163="Unknown",5,0))+IF($J163="Public",10,IF($J163="Partner",7,IF($J163="Internal",3,0)))+IF($W163="Hard-coded",10,IF($W163="Unknown",7,IF($W163="Configurable",3,0)))+IF($I163&gt;=10,10,IF($I163&gt;=5,7,IF($I163&gt;=2,3,0)))+IF($K163="High",10,IF($K163="Medium",5,0)))</x:f>
      </x:c>
      <x:c r="AC163" s="28" t="str">
        <x:f>IF($A163="","",IF(AB163&gt;=70,"P0 - Immediate",IF(AB163&gt;=50,"P1 - High",IF(AB163&gt;=30,"P2 - Medium",IF(AB163&gt;=15,"P3 - Low","P4 - Monitor")))))</x:f>
      </x:c>
      <x:c r="AD163" s="28"/>
      <x:c r="AE163" s="28"/>
      <x:c r="AF163" s="28"/>
      <x:c r="AG163" s="58"/>
      <x:c r="AH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56"/>
      <x:c r="J164" s="28"/>
      <x:c r="K164" s="28"/>
      <x:c r="L164" s="56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  <x:c r="AA164" s="28"/>
      <x:c r="AB164" s="56" t="str">
        <x:f>IF($A164="","",IF(Z164="Y",20,IF(Z164="Unknown",10,0))+$L164*5+IF(AA164="Y",15,IF(AA164="Unknown",5,0))+IF($J164="Public",10,IF($J164="Partner",7,IF($J164="Internal",3,0)))+IF($W164="Hard-coded",10,IF($W164="Unknown",7,IF($W164="Configurable",3,0)))+IF($I164&gt;=10,10,IF($I164&gt;=5,7,IF($I164&gt;=2,3,0)))+IF($K164="High",10,IF($K164="Medium",5,0)))</x:f>
      </x:c>
      <x:c r="AC164" s="28" t="str">
        <x:f>IF($A164="","",IF(AB164&gt;=70,"P0 - Immediate",IF(AB164&gt;=50,"P1 - High",IF(AB164&gt;=30,"P2 - Medium",IF(AB164&gt;=15,"P3 - Low","P4 - Monitor")))))</x:f>
      </x:c>
      <x:c r="AD164" s="28"/>
      <x:c r="AE164" s="28"/>
      <x:c r="AF164" s="28"/>
      <x:c r="AG164" s="58"/>
      <x:c r="AH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56"/>
      <x:c r="J165" s="28"/>
      <x:c r="K165" s="28"/>
      <x:c r="L165" s="56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  <x:c r="AA165" s="28"/>
      <x:c r="AB165" s="56" t="str">
        <x:f>IF($A165="","",IF(Z165="Y",20,IF(Z165="Unknown",10,0))+$L165*5+IF(AA165="Y",15,IF(AA165="Unknown",5,0))+IF($J165="Public",10,IF($J165="Partner",7,IF($J165="Internal",3,0)))+IF($W165="Hard-coded",10,IF($W165="Unknown",7,IF($W165="Configurable",3,0)))+IF($I165&gt;=10,10,IF($I165&gt;=5,7,IF($I165&gt;=2,3,0)))+IF($K165="High",10,IF($K165="Medium",5,0)))</x:f>
      </x:c>
      <x:c r="AC165" s="28" t="str">
        <x:f>IF($A165="","",IF(AB165&gt;=70,"P0 - Immediate",IF(AB165&gt;=50,"P1 - High",IF(AB165&gt;=30,"P2 - Medium",IF(AB165&gt;=15,"P3 - Low","P4 - Monitor")))))</x:f>
      </x:c>
      <x:c r="AD165" s="28"/>
      <x:c r="AE165" s="28"/>
      <x:c r="AF165" s="28"/>
      <x:c r="AG165" s="58"/>
      <x:c r="AH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56"/>
      <x:c r="J166" s="28"/>
      <x:c r="K166" s="28"/>
      <x:c r="L166" s="56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  <x:c r="AA166" s="28"/>
      <x:c r="AB166" s="56" t="str">
        <x:f>IF($A166="","",IF(Z166="Y",20,IF(Z166="Unknown",10,0))+$L166*5+IF(AA166="Y",15,IF(AA166="Unknown",5,0))+IF($J166="Public",10,IF($J166="Partner",7,IF($J166="Internal",3,0)))+IF($W166="Hard-coded",10,IF($W166="Unknown",7,IF($W166="Configurable",3,0)))+IF($I166&gt;=10,10,IF($I166&gt;=5,7,IF($I166&gt;=2,3,0)))+IF($K166="High",10,IF($K166="Medium",5,0)))</x:f>
      </x:c>
      <x:c r="AC166" s="28" t="str">
        <x:f>IF($A166="","",IF(AB166&gt;=70,"P0 - Immediate",IF(AB166&gt;=50,"P1 - High",IF(AB166&gt;=30,"P2 - Medium",IF(AB166&gt;=15,"P3 - Low","P4 - Monitor")))))</x:f>
      </x:c>
      <x:c r="AD166" s="28"/>
      <x:c r="AE166" s="28"/>
      <x:c r="AF166" s="28"/>
      <x:c r="AG166" s="58"/>
      <x:c r="AH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56"/>
      <x:c r="J167" s="28"/>
      <x:c r="K167" s="28"/>
      <x:c r="L167" s="56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  <x:c r="AA167" s="28"/>
      <x:c r="AB167" s="56" t="str">
        <x:f>IF($A167="","",IF(Z167="Y",20,IF(Z167="Unknown",10,0))+$L167*5+IF(AA167="Y",15,IF(AA167="Unknown",5,0))+IF($J167="Public",10,IF($J167="Partner",7,IF($J167="Internal",3,0)))+IF($W167="Hard-coded",10,IF($W167="Unknown",7,IF($W167="Configurable",3,0)))+IF($I167&gt;=10,10,IF($I167&gt;=5,7,IF($I167&gt;=2,3,0)))+IF($K167="High",10,IF($K167="Medium",5,0)))</x:f>
      </x:c>
      <x:c r="AC167" s="28" t="str">
        <x:f>IF($A167="","",IF(AB167&gt;=70,"P0 - Immediate",IF(AB167&gt;=50,"P1 - High",IF(AB167&gt;=30,"P2 - Medium",IF(AB167&gt;=15,"P3 - Low","P4 - Monitor")))))</x:f>
      </x:c>
      <x:c r="AD167" s="28"/>
      <x:c r="AE167" s="28"/>
      <x:c r="AF167" s="28"/>
      <x:c r="AG167" s="58"/>
      <x:c r="AH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56"/>
      <x:c r="J168" s="28"/>
      <x:c r="K168" s="28"/>
      <x:c r="L168" s="56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  <x:c r="AA168" s="28"/>
      <x:c r="AB168" s="56" t="str">
        <x:f>IF($A168="","",IF(Z168="Y",20,IF(Z168="Unknown",10,0))+$L168*5+IF(AA168="Y",15,IF(AA168="Unknown",5,0))+IF($J168="Public",10,IF($J168="Partner",7,IF($J168="Internal",3,0)))+IF($W168="Hard-coded",10,IF($W168="Unknown",7,IF($W168="Configurable",3,0)))+IF($I168&gt;=10,10,IF($I168&gt;=5,7,IF($I168&gt;=2,3,0)))+IF($K168="High",10,IF($K168="Medium",5,0)))</x:f>
      </x:c>
      <x:c r="AC168" s="28" t="str">
        <x:f>IF($A168="","",IF(AB168&gt;=70,"P0 - Immediate",IF(AB168&gt;=50,"P1 - High",IF(AB168&gt;=30,"P2 - Medium",IF(AB168&gt;=15,"P3 - Low","P4 - Monitor")))))</x:f>
      </x:c>
      <x:c r="AD168" s="28"/>
      <x:c r="AE168" s="28"/>
      <x:c r="AF168" s="28"/>
      <x:c r="AG168" s="58"/>
      <x:c r="AH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56"/>
      <x:c r="J169" s="28"/>
      <x:c r="K169" s="28"/>
      <x:c r="L169" s="56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  <x:c r="AA169" s="28"/>
      <x:c r="AB169" s="56" t="str">
        <x:f>IF($A169="","",IF(Z169="Y",20,IF(Z169="Unknown",10,0))+$L169*5+IF(AA169="Y",15,IF(AA169="Unknown",5,0))+IF($J169="Public",10,IF($J169="Partner",7,IF($J169="Internal",3,0)))+IF($W169="Hard-coded",10,IF($W169="Unknown",7,IF($W169="Configurable",3,0)))+IF($I169&gt;=10,10,IF($I169&gt;=5,7,IF($I169&gt;=2,3,0)))+IF($K169="High",10,IF($K169="Medium",5,0)))</x:f>
      </x:c>
      <x:c r="AC169" s="28" t="str">
        <x:f>IF($A169="","",IF(AB169&gt;=70,"P0 - Immediate",IF(AB169&gt;=50,"P1 - High",IF(AB169&gt;=30,"P2 - Medium",IF(AB169&gt;=15,"P3 - Low","P4 - Monitor")))))</x:f>
      </x:c>
      <x:c r="AD169" s="28"/>
      <x:c r="AE169" s="28"/>
      <x:c r="AF169" s="28"/>
      <x:c r="AG169" s="58"/>
      <x:c r="AH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56"/>
      <x:c r="J170" s="28"/>
      <x:c r="K170" s="28"/>
      <x:c r="L170" s="56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  <x:c r="AA170" s="28"/>
      <x:c r="AB170" s="56" t="str">
        <x:f>IF($A170="","",IF(Z170="Y",20,IF(Z170="Unknown",10,0))+$L170*5+IF(AA170="Y",15,IF(AA170="Unknown",5,0))+IF($J170="Public",10,IF($J170="Partner",7,IF($J170="Internal",3,0)))+IF($W170="Hard-coded",10,IF($W170="Unknown",7,IF($W170="Configurable",3,0)))+IF($I170&gt;=10,10,IF($I170&gt;=5,7,IF($I170&gt;=2,3,0)))+IF($K170="High",10,IF($K170="Medium",5,0)))</x:f>
      </x:c>
      <x:c r="AC170" s="28" t="str">
        <x:f>IF($A170="","",IF(AB170&gt;=70,"P0 - Immediate",IF(AB170&gt;=50,"P1 - High",IF(AB170&gt;=30,"P2 - Medium",IF(AB170&gt;=15,"P3 - Low","P4 - Monitor")))))</x:f>
      </x:c>
      <x:c r="AD170" s="28"/>
      <x:c r="AE170" s="28"/>
      <x:c r="AF170" s="28"/>
      <x:c r="AG170" s="58"/>
      <x:c r="AH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56"/>
      <x:c r="J171" s="28"/>
      <x:c r="K171" s="28"/>
      <x:c r="L171" s="56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  <x:c r="AA171" s="28"/>
      <x:c r="AB171" s="56" t="str">
        <x:f>IF($A171="","",IF(Z171="Y",20,IF(Z171="Unknown",10,0))+$L171*5+IF(AA171="Y",15,IF(AA171="Unknown",5,0))+IF($J171="Public",10,IF($J171="Partner",7,IF($J171="Internal",3,0)))+IF($W171="Hard-coded",10,IF($W171="Unknown",7,IF($W171="Configurable",3,0)))+IF($I171&gt;=10,10,IF($I171&gt;=5,7,IF($I171&gt;=2,3,0)))+IF($K171="High",10,IF($K171="Medium",5,0)))</x:f>
      </x:c>
      <x:c r="AC171" s="28" t="str">
        <x:f>IF($A171="","",IF(AB171&gt;=70,"P0 - Immediate",IF(AB171&gt;=50,"P1 - High",IF(AB171&gt;=30,"P2 - Medium",IF(AB171&gt;=15,"P3 - Low","P4 - Monitor")))))</x:f>
      </x:c>
      <x:c r="AD171" s="28"/>
      <x:c r="AE171" s="28"/>
      <x:c r="AF171" s="28"/>
      <x:c r="AG171" s="58"/>
      <x:c r="AH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56"/>
      <x:c r="J172" s="28"/>
      <x:c r="K172" s="28"/>
      <x:c r="L172" s="56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  <x:c r="AA172" s="28"/>
      <x:c r="AB172" s="56" t="str">
        <x:f>IF($A172="","",IF(Z172="Y",20,IF(Z172="Unknown",10,0))+$L172*5+IF(AA172="Y",15,IF(AA172="Unknown",5,0))+IF($J172="Public",10,IF($J172="Partner",7,IF($J172="Internal",3,0)))+IF($W172="Hard-coded",10,IF($W172="Unknown",7,IF($W172="Configurable",3,0)))+IF($I172&gt;=10,10,IF($I172&gt;=5,7,IF($I172&gt;=2,3,0)))+IF($K172="High",10,IF($K172="Medium",5,0)))</x:f>
      </x:c>
      <x:c r="AC172" s="28" t="str">
        <x:f>IF($A172="","",IF(AB172&gt;=70,"P0 - Immediate",IF(AB172&gt;=50,"P1 - High",IF(AB172&gt;=30,"P2 - Medium",IF(AB172&gt;=15,"P3 - Low","P4 - Monitor")))))</x:f>
      </x:c>
      <x:c r="AD172" s="28"/>
      <x:c r="AE172" s="28"/>
      <x:c r="AF172" s="28"/>
      <x:c r="AG172" s="58"/>
      <x:c r="AH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56"/>
      <x:c r="J173" s="28"/>
      <x:c r="K173" s="28"/>
      <x:c r="L173" s="56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  <x:c r="AA173" s="28"/>
      <x:c r="AB173" s="56" t="str">
        <x:f>IF($A173="","",IF(Z173="Y",20,IF(Z173="Unknown",10,0))+$L173*5+IF(AA173="Y",15,IF(AA173="Unknown",5,0))+IF($J173="Public",10,IF($J173="Partner",7,IF($J173="Internal",3,0)))+IF($W173="Hard-coded",10,IF($W173="Unknown",7,IF($W173="Configurable",3,0)))+IF($I173&gt;=10,10,IF($I173&gt;=5,7,IF($I173&gt;=2,3,0)))+IF($K173="High",10,IF($K173="Medium",5,0)))</x:f>
      </x:c>
      <x:c r="AC173" s="28" t="str">
        <x:f>IF($A173="","",IF(AB173&gt;=70,"P0 - Immediate",IF(AB173&gt;=50,"P1 - High",IF(AB173&gt;=30,"P2 - Medium",IF(AB173&gt;=15,"P3 - Low","P4 - Monitor")))))</x:f>
      </x:c>
      <x:c r="AD173" s="28"/>
      <x:c r="AE173" s="28"/>
      <x:c r="AF173" s="28"/>
      <x:c r="AG173" s="58"/>
      <x:c r="AH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56"/>
      <x:c r="J174" s="28"/>
      <x:c r="K174" s="28"/>
      <x:c r="L174" s="56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  <x:c r="AA174" s="28"/>
      <x:c r="AB174" s="56" t="str">
        <x:f>IF($A174="","",IF(Z174="Y",20,IF(Z174="Unknown",10,0))+$L174*5+IF(AA174="Y",15,IF(AA174="Unknown",5,0))+IF($J174="Public",10,IF($J174="Partner",7,IF($J174="Internal",3,0)))+IF($W174="Hard-coded",10,IF($W174="Unknown",7,IF($W174="Configurable",3,0)))+IF($I174&gt;=10,10,IF($I174&gt;=5,7,IF($I174&gt;=2,3,0)))+IF($K174="High",10,IF($K174="Medium",5,0)))</x:f>
      </x:c>
      <x:c r="AC174" s="28" t="str">
        <x:f>IF($A174="","",IF(AB174&gt;=70,"P0 - Immediate",IF(AB174&gt;=50,"P1 - High",IF(AB174&gt;=30,"P2 - Medium",IF(AB174&gt;=15,"P3 - Low","P4 - Monitor")))))</x:f>
      </x:c>
      <x:c r="AD174" s="28"/>
      <x:c r="AE174" s="28"/>
      <x:c r="AF174" s="28"/>
      <x:c r="AG174" s="58"/>
      <x:c r="AH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56"/>
      <x:c r="J175" s="28"/>
      <x:c r="K175" s="28"/>
      <x:c r="L175" s="56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  <x:c r="AA175" s="28"/>
      <x:c r="AB175" s="56" t="str">
        <x:f>IF($A175="","",IF(Z175="Y",20,IF(Z175="Unknown",10,0))+$L175*5+IF(AA175="Y",15,IF(AA175="Unknown",5,0))+IF($J175="Public",10,IF($J175="Partner",7,IF($J175="Internal",3,0)))+IF($W175="Hard-coded",10,IF($W175="Unknown",7,IF($W175="Configurable",3,0)))+IF($I175&gt;=10,10,IF($I175&gt;=5,7,IF($I175&gt;=2,3,0)))+IF($K175="High",10,IF($K175="Medium",5,0)))</x:f>
      </x:c>
      <x:c r="AC175" s="28" t="str">
        <x:f>IF($A175="","",IF(AB175&gt;=70,"P0 - Immediate",IF(AB175&gt;=50,"P1 - High",IF(AB175&gt;=30,"P2 - Medium",IF(AB175&gt;=15,"P3 - Low","P4 - Monitor")))))</x:f>
      </x:c>
      <x:c r="AD175" s="28"/>
      <x:c r="AE175" s="28"/>
      <x:c r="AF175" s="28"/>
      <x:c r="AG175" s="58"/>
      <x:c r="AH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56"/>
      <x:c r="J176" s="28"/>
      <x:c r="K176" s="28"/>
      <x:c r="L176" s="56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  <x:c r="AA176" s="28"/>
      <x:c r="AB176" s="56" t="str">
        <x:f>IF($A176="","",IF(Z176="Y",20,IF(Z176="Unknown",10,0))+$L176*5+IF(AA176="Y",15,IF(AA176="Unknown",5,0))+IF($J176="Public",10,IF($J176="Partner",7,IF($J176="Internal",3,0)))+IF($W176="Hard-coded",10,IF($W176="Unknown",7,IF($W176="Configurable",3,0)))+IF($I176&gt;=10,10,IF($I176&gt;=5,7,IF($I176&gt;=2,3,0)))+IF($K176="High",10,IF($K176="Medium",5,0)))</x:f>
      </x:c>
      <x:c r="AC176" s="28" t="str">
        <x:f>IF($A176="","",IF(AB176&gt;=70,"P0 - Immediate",IF(AB176&gt;=50,"P1 - High",IF(AB176&gt;=30,"P2 - Medium",IF(AB176&gt;=15,"P3 - Low","P4 - Monitor")))))</x:f>
      </x:c>
      <x:c r="AD176" s="28"/>
      <x:c r="AE176" s="28"/>
      <x:c r="AF176" s="28"/>
      <x:c r="AG176" s="58"/>
      <x:c r="AH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56"/>
      <x:c r="J177" s="28"/>
      <x:c r="K177" s="28"/>
      <x:c r="L177" s="56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  <x:c r="AA177" s="28"/>
      <x:c r="AB177" s="56" t="str">
        <x:f>IF($A177="","",IF(Z177="Y",20,IF(Z177="Unknown",10,0))+$L177*5+IF(AA177="Y",15,IF(AA177="Unknown",5,0))+IF($J177="Public",10,IF($J177="Partner",7,IF($J177="Internal",3,0)))+IF($W177="Hard-coded",10,IF($W177="Unknown",7,IF($W177="Configurable",3,0)))+IF($I177&gt;=10,10,IF($I177&gt;=5,7,IF($I177&gt;=2,3,0)))+IF($K177="High",10,IF($K177="Medium",5,0)))</x:f>
      </x:c>
      <x:c r="AC177" s="28" t="str">
        <x:f>IF($A177="","",IF(AB177&gt;=70,"P0 - Immediate",IF(AB177&gt;=50,"P1 - High",IF(AB177&gt;=30,"P2 - Medium",IF(AB177&gt;=15,"P3 - Low","P4 - Monitor")))))</x:f>
      </x:c>
      <x:c r="AD177" s="28"/>
      <x:c r="AE177" s="28"/>
      <x:c r="AF177" s="28"/>
      <x:c r="AG177" s="58"/>
      <x:c r="AH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56"/>
      <x:c r="J178" s="28"/>
      <x:c r="K178" s="28"/>
      <x:c r="L178" s="56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  <x:c r="AA178" s="28"/>
      <x:c r="AB178" s="56" t="str">
        <x:f>IF($A178="","",IF(Z178="Y",20,IF(Z178="Unknown",10,0))+$L178*5+IF(AA178="Y",15,IF(AA178="Unknown",5,0))+IF($J178="Public",10,IF($J178="Partner",7,IF($J178="Internal",3,0)))+IF($W178="Hard-coded",10,IF($W178="Unknown",7,IF($W178="Configurable",3,0)))+IF($I178&gt;=10,10,IF($I178&gt;=5,7,IF($I178&gt;=2,3,0)))+IF($K178="High",10,IF($K178="Medium",5,0)))</x:f>
      </x:c>
      <x:c r="AC178" s="28" t="str">
        <x:f>IF($A178="","",IF(AB178&gt;=70,"P0 - Immediate",IF(AB178&gt;=50,"P1 - High",IF(AB178&gt;=30,"P2 - Medium",IF(AB178&gt;=15,"P3 - Low","P4 - Monitor")))))</x:f>
      </x:c>
      <x:c r="AD178" s="28"/>
      <x:c r="AE178" s="28"/>
      <x:c r="AF178" s="28"/>
      <x:c r="AG178" s="58"/>
      <x:c r="AH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56"/>
      <x:c r="J179" s="28"/>
      <x:c r="K179" s="28"/>
      <x:c r="L179" s="56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  <x:c r="AA179" s="28"/>
      <x:c r="AB179" s="56" t="str">
        <x:f>IF($A179="","",IF(Z179="Y",20,IF(Z179="Unknown",10,0))+$L179*5+IF(AA179="Y",15,IF(AA179="Unknown",5,0))+IF($J179="Public",10,IF($J179="Partner",7,IF($J179="Internal",3,0)))+IF($W179="Hard-coded",10,IF($W179="Unknown",7,IF($W179="Configurable",3,0)))+IF($I179&gt;=10,10,IF($I179&gt;=5,7,IF($I179&gt;=2,3,0)))+IF($K179="High",10,IF($K179="Medium",5,0)))</x:f>
      </x:c>
      <x:c r="AC179" s="28" t="str">
        <x:f>IF($A179="","",IF(AB179&gt;=70,"P0 - Immediate",IF(AB179&gt;=50,"P1 - High",IF(AB179&gt;=30,"P2 - Medium",IF(AB179&gt;=15,"P3 - Low","P4 - Monitor")))))</x:f>
      </x:c>
      <x:c r="AD179" s="28"/>
      <x:c r="AE179" s="28"/>
      <x:c r="AF179" s="28"/>
      <x:c r="AG179" s="58"/>
      <x:c r="AH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56"/>
      <x:c r="J180" s="28"/>
      <x:c r="K180" s="28"/>
      <x:c r="L180" s="56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  <x:c r="AA180" s="28"/>
      <x:c r="AB180" s="56" t="str">
        <x:f>IF($A180="","",IF(Z180="Y",20,IF(Z180="Unknown",10,0))+$L180*5+IF(AA180="Y",15,IF(AA180="Unknown",5,0))+IF($J180="Public",10,IF($J180="Partner",7,IF($J180="Internal",3,0)))+IF($W180="Hard-coded",10,IF($W180="Unknown",7,IF($W180="Configurable",3,0)))+IF($I180&gt;=10,10,IF($I180&gt;=5,7,IF($I180&gt;=2,3,0)))+IF($K180="High",10,IF($K180="Medium",5,0)))</x:f>
      </x:c>
      <x:c r="AC180" s="28" t="str">
        <x:f>IF($A180="","",IF(AB180&gt;=70,"P0 - Immediate",IF(AB180&gt;=50,"P1 - High",IF(AB180&gt;=30,"P2 - Medium",IF(AB180&gt;=15,"P3 - Low","P4 - Monitor")))))</x:f>
      </x:c>
      <x:c r="AD180" s="28"/>
      <x:c r="AE180" s="28"/>
      <x:c r="AF180" s="28"/>
      <x:c r="AG180" s="58"/>
      <x:c r="AH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56"/>
      <x:c r="J181" s="28"/>
      <x:c r="K181" s="28"/>
      <x:c r="L181" s="56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  <x:c r="AA181" s="28"/>
      <x:c r="AB181" s="56" t="str">
        <x:f>IF($A181="","",IF(Z181="Y",20,IF(Z181="Unknown",10,0))+$L181*5+IF(AA181="Y",15,IF(AA181="Unknown",5,0))+IF($J181="Public",10,IF($J181="Partner",7,IF($J181="Internal",3,0)))+IF($W181="Hard-coded",10,IF($W181="Unknown",7,IF($W181="Configurable",3,0)))+IF($I181&gt;=10,10,IF($I181&gt;=5,7,IF($I181&gt;=2,3,0)))+IF($K181="High",10,IF($K181="Medium",5,0)))</x:f>
      </x:c>
      <x:c r="AC181" s="28" t="str">
        <x:f>IF($A181="","",IF(AB181&gt;=70,"P0 - Immediate",IF(AB181&gt;=50,"P1 - High",IF(AB181&gt;=30,"P2 - Medium",IF(AB181&gt;=15,"P3 - Low","P4 - Monitor")))))</x:f>
      </x:c>
      <x:c r="AD181" s="28"/>
      <x:c r="AE181" s="28"/>
      <x:c r="AF181" s="28"/>
      <x:c r="AG181" s="58"/>
      <x:c r="AH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56"/>
      <x:c r="J182" s="28"/>
      <x:c r="K182" s="28"/>
      <x:c r="L182" s="56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  <x:c r="AA182" s="28"/>
      <x:c r="AB182" s="56" t="str">
        <x:f>IF($A182="","",IF(Z182="Y",20,IF(Z182="Unknown",10,0))+$L182*5+IF(AA182="Y",15,IF(AA182="Unknown",5,0))+IF($J182="Public",10,IF($J182="Partner",7,IF($J182="Internal",3,0)))+IF($W182="Hard-coded",10,IF($W182="Unknown",7,IF($W182="Configurable",3,0)))+IF($I182&gt;=10,10,IF($I182&gt;=5,7,IF($I182&gt;=2,3,0)))+IF($K182="High",10,IF($K182="Medium",5,0)))</x:f>
      </x:c>
      <x:c r="AC182" s="28" t="str">
        <x:f>IF($A182="","",IF(AB182&gt;=70,"P0 - Immediate",IF(AB182&gt;=50,"P1 - High",IF(AB182&gt;=30,"P2 - Medium",IF(AB182&gt;=15,"P3 - Low","P4 - Monitor")))))</x:f>
      </x:c>
      <x:c r="AD182" s="28"/>
      <x:c r="AE182" s="28"/>
      <x:c r="AF182" s="28"/>
      <x:c r="AG182" s="58"/>
      <x:c r="AH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56"/>
      <x:c r="J183" s="28"/>
      <x:c r="K183" s="28"/>
      <x:c r="L183" s="56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  <x:c r="AA183" s="28"/>
      <x:c r="AB183" s="56" t="str">
        <x:f>IF($A183="","",IF(Z183="Y",20,IF(Z183="Unknown",10,0))+$L183*5+IF(AA183="Y",15,IF(AA183="Unknown",5,0))+IF($J183="Public",10,IF($J183="Partner",7,IF($J183="Internal",3,0)))+IF($W183="Hard-coded",10,IF($W183="Unknown",7,IF($W183="Configurable",3,0)))+IF($I183&gt;=10,10,IF($I183&gt;=5,7,IF($I183&gt;=2,3,0)))+IF($K183="High",10,IF($K183="Medium",5,0)))</x:f>
      </x:c>
      <x:c r="AC183" s="28" t="str">
        <x:f>IF($A183="","",IF(AB183&gt;=70,"P0 - Immediate",IF(AB183&gt;=50,"P1 - High",IF(AB183&gt;=30,"P2 - Medium",IF(AB183&gt;=15,"P3 - Low","P4 - Monitor")))))</x:f>
      </x:c>
      <x:c r="AD183" s="28"/>
      <x:c r="AE183" s="28"/>
      <x:c r="AF183" s="28"/>
      <x:c r="AG183" s="58"/>
      <x:c r="AH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56"/>
      <x:c r="J184" s="28"/>
      <x:c r="K184" s="28"/>
      <x:c r="L184" s="56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  <x:c r="AA184" s="28"/>
      <x:c r="AB184" s="56" t="str">
        <x:f>IF($A184="","",IF(Z184="Y",20,IF(Z184="Unknown",10,0))+$L184*5+IF(AA184="Y",15,IF(AA184="Unknown",5,0))+IF($J184="Public",10,IF($J184="Partner",7,IF($J184="Internal",3,0)))+IF($W184="Hard-coded",10,IF($W184="Unknown",7,IF($W184="Configurable",3,0)))+IF($I184&gt;=10,10,IF($I184&gt;=5,7,IF($I184&gt;=2,3,0)))+IF($K184="High",10,IF($K184="Medium",5,0)))</x:f>
      </x:c>
      <x:c r="AC184" s="28" t="str">
        <x:f>IF($A184="","",IF(AB184&gt;=70,"P0 - Immediate",IF(AB184&gt;=50,"P1 - High",IF(AB184&gt;=30,"P2 - Medium",IF(AB184&gt;=15,"P3 - Low","P4 - Monitor")))))</x:f>
      </x:c>
      <x:c r="AD184" s="28"/>
      <x:c r="AE184" s="28"/>
      <x:c r="AF184" s="28"/>
      <x:c r="AG184" s="58"/>
      <x:c r="AH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56"/>
      <x:c r="J185" s="28"/>
      <x:c r="K185" s="28"/>
      <x:c r="L185" s="56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  <x:c r="AA185" s="28"/>
      <x:c r="AB185" s="56" t="str">
        <x:f>IF($A185="","",IF(Z185="Y",20,IF(Z185="Unknown",10,0))+$L185*5+IF(AA185="Y",15,IF(AA185="Unknown",5,0))+IF($J185="Public",10,IF($J185="Partner",7,IF($J185="Internal",3,0)))+IF($W185="Hard-coded",10,IF($W185="Unknown",7,IF($W185="Configurable",3,0)))+IF($I185&gt;=10,10,IF($I185&gt;=5,7,IF($I185&gt;=2,3,0)))+IF($K185="High",10,IF($K185="Medium",5,0)))</x:f>
      </x:c>
      <x:c r="AC185" s="28" t="str">
        <x:f>IF($A185="","",IF(AB185&gt;=70,"P0 - Immediate",IF(AB185&gt;=50,"P1 - High",IF(AB185&gt;=30,"P2 - Medium",IF(AB185&gt;=15,"P3 - Low","P4 - Monitor")))))</x:f>
      </x:c>
      <x:c r="AD185" s="28"/>
      <x:c r="AE185" s="28"/>
      <x:c r="AF185" s="28"/>
      <x:c r="AG185" s="58"/>
      <x:c r="AH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56"/>
      <x:c r="J186" s="28"/>
      <x:c r="K186" s="28"/>
      <x:c r="L186" s="56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  <x:c r="AA186" s="28"/>
      <x:c r="AB186" s="56" t="str">
        <x:f>IF($A186="","",IF(Z186="Y",20,IF(Z186="Unknown",10,0))+$L186*5+IF(AA186="Y",15,IF(AA186="Unknown",5,0))+IF($J186="Public",10,IF($J186="Partner",7,IF($J186="Internal",3,0)))+IF($W186="Hard-coded",10,IF($W186="Unknown",7,IF($W186="Configurable",3,0)))+IF($I186&gt;=10,10,IF($I186&gt;=5,7,IF($I186&gt;=2,3,0)))+IF($K186="High",10,IF($K186="Medium",5,0)))</x:f>
      </x:c>
      <x:c r="AC186" s="28" t="str">
        <x:f>IF($A186="","",IF(AB186&gt;=70,"P0 - Immediate",IF(AB186&gt;=50,"P1 - High",IF(AB186&gt;=30,"P2 - Medium",IF(AB186&gt;=15,"P3 - Low","P4 - Monitor")))))</x:f>
      </x:c>
      <x:c r="AD186" s="28"/>
      <x:c r="AE186" s="28"/>
      <x:c r="AF186" s="28"/>
      <x:c r="AG186" s="58"/>
      <x:c r="AH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56"/>
      <x:c r="J187" s="28"/>
      <x:c r="K187" s="28"/>
      <x:c r="L187" s="56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  <x:c r="AA187" s="28"/>
      <x:c r="AB187" s="56" t="str">
        <x:f>IF($A187="","",IF(Z187="Y",20,IF(Z187="Unknown",10,0))+$L187*5+IF(AA187="Y",15,IF(AA187="Unknown",5,0))+IF($J187="Public",10,IF($J187="Partner",7,IF($J187="Internal",3,0)))+IF($W187="Hard-coded",10,IF($W187="Unknown",7,IF($W187="Configurable",3,0)))+IF($I187&gt;=10,10,IF($I187&gt;=5,7,IF($I187&gt;=2,3,0)))+IF($K187="High",10,IF($K187="Medium",5,0)))</x:f>
      </x:c>
      <x:c r="AC187" s="28" t="str">
        <x:f>IF($A187="","",IF(AB187&gt;=70,"P0 - Immediate",IF(AB187&gt;=50,"P1 - High",IF(AB187&gt;=30,"P2 - Medium",IF(AB187&gt;=15,"P3 - Low","P4 - Monitor")))))</x:f>
      </x:c>
      <x:c r="AD187" s="28"/>
      <x:c r="AE187" s="28"/>
      <x:c r="AF187" s="28"/>
      <x:c r="AG187" s="58"/>
      <x:c r="AH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56"/>
      <x:c r="J188" s="28"/>
      <x:c r="K188" s="28"/>
      <x:c r="L188" s="56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  <x:c r="AA188" s="28"/>
      <x:c r="AB188" s="56" t="str">
        <x:f>IF($A188="","",IF(Z188="Y",20,IF(Z188="Unknown",10,0))+$L188*5+IF(AA188="Y",15,IF(AA188="Unknown",5,0))+IF($J188="Public",10,IF($J188="Partner",7,IF($J188="Internal",3,0)))+IF($W188="Hard-coded",10,IF($W188="Unknown",7,IF($W188="Configurable",3,0)))+IF($I188&gt;=10,10,IF($I188&gt;=5,7,IF($I188&gt;=2,3,0)))+IF($K188="High",10,IF($K188="Medium",5,0)))</x:f>
      </x:c>
      <x:c r="AC188" s="28" t="str">
        <x:f>IF($A188="","",IF(AB188&gt;=70,"P0 - Immediate",IF(AB188&gt;=50,"P1 - High",IF(AB188&gt;=30,"P2 - Medium",IF(AB188&gt;=15,"P3 - Low","P4 - Monitor")))))</x:f>
      </x:c>
      <x:c r="AD188" s="28"/>
      <x:c r="AE188" s="28"/>
      <x:c r="AF188" s="28"/>
      <x:c r="AG188" s="58"/>
      <x:c r="AH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56"/>
      <x:c r="J189" s="28"/>
      <x:c r="K189" s="28"/>
      <x:c r="L189" s="56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  <x:c r="AA189" s="28"/>
      <x:c r="AB189" s="56" t="str">
        <x:f>IF($A189="","",IF(Z189="Y",20,IF(Z189="Unknown",10,0))+$L189*5+IF(AA189="Y",15,IF(AA189="Unknown",5,0))+IF($J189="Public",10,IF($J189="Partner",7,IF($J189="Internal",3,0)))+IF($W189="Hard-coded",10,IF($W189="Unknown",7,IF($W189="Configurable",3,0)))+IF($I189&gt;=10,10,IF($I189&gt;=5,7,IF($I189&gt;=2,3,0)))+IF($K189="High",10,IF($K189="Medium",5,0)))</x:f>
      </x:c>
      <x:c r="AC189" s="28" t="str">
        <x:f>IF($A189="","",IF(AB189&gt;=70,"P0 - Immediate",IF(AB189&gt;=50,"P1 - High",IF(AB189&gt;=30,"P2 - Medium",IF(AB189&gt;=15,"P3 - Low","P4 - Monitor")))))</x:f>
      </x:c>
      <x:c r="AD189" s="28"/>
      <x:c r="AE189" s="28"/>
      <x:c r="AF189" s="28"/>
      <x:c r="AG189" s="58"/>
      <x:c r="AH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56"/>
      <x:c r="J190" s="28"/>
      <x:c r="K190" s="28"/>
      <x:c r="L190" s="56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  <x:c r="AA190" s="28"/>
      <x:c r="AB190" s="56" t="str">
        <x:f>IF($A190="","",IF(Z190="Y",20,IF(Z190="Unknown",10,0))+$L190*5+IF(AA190="Y",15,IF(AA190="Unknown",5,0))+IF($J190="Public",10,IF($J190="Partner",7,IF($J190="Internal",3,0)))+IF($W190="Hard-coded",10,IF($W190="Unknown",7,IF($W190="Configurable",3,0)))+IF($I190&gt;=10,10,IF($I190&gt;=5,7,IF($I190&gt;=2,3,0)))+IF($K190="High",10,IF($K190="Medium",5,0)))</x:f>
      </x:c>
      <x:c r="AC190" s="28" t="str">
        <x:f>IF($A190="","",IF(AB190&gt;=70,"P0 - Immediate",IF(AB190&gt;=50,"P1 - High",IF(AB190&gt;=30,"P2 - Medium",IF(AB190&gt;=15,"P3 - Low","P4 - Monitor")))))</x:f>
      </x:c>
      <x:c r="AD190" s="28"/>
      <x:c r="AE190" s="28"/>
      <x:c r="AF190" s="28"/>
      <x:c r="AG190" s="58"/>
      <x:c r="AH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56"/>
      <x:c r="J191" s="28"/>
      <x:c r="K191" s="28"/>
      <x:c r="L191" s="56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  <x:c r="AA191" s="28"/>
      <x:c r="AB191" s="56" t="str">
        <x:f>IF($A191="","",IF(Z191="Y",20,IF(Z191="Unknown",10,0))+$L191*5+IF(AA191="Y",15,IF(AA191="Unknown",5,0))+IF($J191="Public",10,IF($J191="Partner",7,IF($J191="Internal",3,0)))+IF($W191="Hard-coded",10,IF($W191="Unknown",7,IF($W191="Configurable",3,0)))+IF($I191&gt;=10,10,IF($I191&gt;=5,7,IF($I191&gt;=2,3,0)))+IF($K191="High",10,IF($K191="Medium",5,0)))</x:f>
      </x:c>
      <x:c r="AC191" s="28" t="str">
        <x:f>IF($A191="","",IF(AB191&gt;=70,"P0 - Immediate",IF(AB191&gt;=50,"P1 - High",IF(AB191&gt;=30,"P2 - Medium",IF(AB191&gt;=15,"P3 - Low","P4 - Monitor")))))</x:f>
      </x:c>
      <x:c r="AD191" s="28"/>
      <x:c r="AE191" s="28"/>
      <x:c r="AF191" s="28"/>
      <x:c r="AG191" s="58"/>
      <x:c r="AH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56"/>
      <x:c r="J192" s="28"/>
      <x:c r="K192" s="28"/>
      <x:c r="L192" s="56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  <x:c r="AA192" s="28"/>
      <x:c r="AB192" s="56" t="str">
        <x:f>IF($A192="","",IF(Z192="Y",20,IF(Z192="Unknown",10,0))+$L192*5+IF(AA192="Y",15,IF(AA192="Unknown",5,0))+IF($J192="Public",10,IF($J192="Partner",7,IF($J192="Internal",3,0)))+IF($W192="Hard-coded",10,IF($W192="Unknown",7,IF($W192="Configurable",3,0)))+IF($I192&gt;=10,10,IF($I192&gt;=5,7,IF($I192&gt;=2,3,0)))+IF($K192="High",10,IF($K192="Medium",5,0)))</x:f>
      </x:c>
      <x:c r="AC192" s="28" t="str">
        <x:f>IF($A192="","",IF(AB192&gt;=70,"P0 - Immediate",IF(AB192&gt;=50,"P1 - High",IF(AB192&gt;=30,"P2 - Medium",IF(AB192&gt;=15,"P3 - Low","P4 - Monitor")))))</x:f>
      </x:c>
      <x:c r="AD192" s="28"/>
      <x:c r="AE192" s="28"/>
      <x:c r="AF192" s="28"/>
      <x:c r="AG192" s="58"/>
      <x:c r="AH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56"/>
      <x:c r="J193" s="28"/>
      <x:c r="K193" s="28"/>
      <x:c r="L193" s="56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  <x:c r="AA193" s="28"/>
      <x:c r="AB193" s="56" t="str">
        <x:f>IF($A193="","",IF(Z193="Y",20,IF(Z193="Unknown",10,0))+$L193*5+IF(AA193="Y",15,IF(AA193="Unknown",5,0))+IF($J193="Public",10,IF($J193="Partner",7,IF($J193="Internal",3,0)))+IF($W193="Hard-coded",10,IF($W193="Unknown",7,IF($W193="Configurable",3,0)))+IF($I193&gt;=10,10,IF($I193&gt;=5,7,IF($I193&gt;=2,3,0)))+IF($K193="High",10,IF($K193="Medium",5,0)))</x:f>
      </x:c>
      <x:c r="AC193" s="28" t="str">
        <x:f>IF($A193="","",IF(AB193&gt;=70,"P0 - Immediate",IF(AB193&gt;=50,"P1 - High",IF(AB193&gt;=30,"P2 - Medium",IF(AB193&gt;=15,"P3 - Low","P4 - Monitor")))))</x:f>
      </x:c>
      <x:c r="AD193" s="28"/>
      <x:c r="AE193" s="28"/>
      <x:c r="AF193" s="28"/>
      <x:c r="AG193" s="58"/>
      <x:c r="AH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56"/>
      <x:c r="J194" s="28"/>
      <x:c r="K194" s="28"/>
      <x:c r="L194" s="56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  <x:c r="AA194" s="28"/>
      <x:c r="AB194" s="56" t="str">
        <x:f>IF($A194="","",IF(Z194="Y",20,IF(Z194="Unknown",10,0))+$L194*5+IF(AA194="Y",15,IF(AA194="Unknown",5,0))+IF($J194="Public",10,IF($J194="Partner",7,IF($J194="Internal",3,0)))+IF($W194="Hard-coded",10,IF($W194="Unknown",7,IF($W194="Configurable",3,0)))+IF($I194&gt;=10,10,IF($I194&gt;=5,7,IF($I194&gt;=2,3,0)))+IF($K194="High",10,IF($K194="Medium",5,0)))</x:f>
      </x:c>
      <x:c r="AC194" s="28" t="str">
        <x:f>IF($A194="","",IF(AB194&gt;=70,"P0 - Immediate",IF(AB194&gt;=50,"P1 - High",IF(AB194&gt;=30,"P2 - Medium",IF(AB194&gt;=15,"P3 - Low","P4 - Monitor")))))</x:f>
      </x:c>
      <x:c r="AD194" s="28"/>
      <x:c r="AE194" s="28"/>
      <x:c r="AF194" s="28"/>
      <x:c r="AG194" s="58"/>
      <x:c r="AH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56"/>
      <x:c r="J195" s="28"/>
      <x:c r="K195" s="28"/>
      <x:c r="L195" s="56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  <x:c r="AA195" s="28"/>
      <x:c r="AB195" s="56" t="str">
        <x:f>IF($A195="","",IF(Z195="Y",20,IF(Z195="Unknown",10,0))+$L195*5+IF(AA195="Y",15,IF(AA195="Unknown",5,0))+IF($J195="Public",10,IF($J195="Partner",7,IF($J195="Internal",3,0)))+IF($W195="Hard-coded",10,IF($W195="Unknown",7,IF($W195="Configurable",3,0)))+IF($I195&gt;=10,10,IF($I195&gt;=5,7,IF($I195&gt;=2,3,0)))+IF($K195="High",10,IF($K195="Medium",5,0)))</x:f>
      </x:c>
      <x:c r="AC195" s="28" t="str">
        <x:f>IF($A195="","",IF(AB195&gt;=70,"P0 - Immediate",IF(AB195&gt;=50,"P1 - High",IF(AB195&gt;=30,"P2 - Medium",IF(AB195&gt;=15,"P3 - Low","P4 - Monitor")))))</x:f>
      </x:c>
      <x:c r="AD195" s="28"/>
      <x:c r="AE195" s="28"/>
      <x:c r="AF195" s="28"/>
      <x:c r="AG195" s="58"/>
      <x:c r="AH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56"/>
      <x:c r="J196" s="28"/>
      <x:c r="K196" s="28"/>
      <x:c r="L196" s="56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  <x:c r="AA196" s="28"/>
      <x:c r="AB196" s="56" t="str">
        <x:f>IF($A196="","",IF(Z196="Y",20,IF(Z196="Unknown",10,0))+$L196*5+IF(AA196="Y",15,IF(AA196="Unknown",5,0))+IF($J196="Public",10,IF($J196="Partner",7,IF($J196="Internal",3,0)))+IF($W196="Hard-coded",10,IF($W196="Unknown",7,IF($W196="Configurable",3,0)))+IF($I196&gt;=10,10,IF($I196&gt;=5,7,IF($I196&gt;=2,3,0)))+IF($K196="High",10,IF($K196="Medium",5,0)))</x:f>
      </x:c>
      <x:c r="AC196" s="28" t="str">
        <x:f>IF($A196="","",IF(AB196&gt;=70,"P0 - Immediate",IF(AB196&gt;=50,"P1 - High",IF(AB196&gt;=30,"P2 - Medium",IF(AB196&gt;=15,"P3 - Low","P4 - Monitor")))))</x:f>
      </x:c>
      <x:c r="AD196" s="28"/>
      <x:c r="AE196" s="28"/>
      <x:c r="AF196" s="28"/>
      <x:c r="AG196" s="58"/>
      <x:c r="AH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56"/>
      <x:c r="J197" s="28"/>
      <x:c r="K197" s="28"/>
      <x:c r="L197" s="56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  <x:c r="AA197" s="28"/>
      <x:c r="AB197" s="56" t="str">
        <x:f>IF($A197="","",IF(Z197="Y",20,IF(Z197="Unknown",10,0))+$L197*5+IF(AA197="Y",15,IF(AA197="Unknown",5,0))+IF($J197="Public",10,IF($J197="Partner",7,IF($J197="Internal",3,0)))+IF($W197="Hard-coded",10,IF($W197="Unknown",7,IF($W197="Configurable",3,0)))+IF($I197&gt;=10,10,IF($I197&gt;=5,7,IF($I197&gt;=2,3,0)))+IF($K197="High",10,IF($K197="Medium",5,0)))</x:f>
      </x:c>
      <x:c r="AC197" s="28" t="str">
        <x:f>IF($A197="","",IF(AB197&gt;=70,"P0 - Immediate",IF(AB197&gt;=50,"P1 - High",IF(AB197&gt;=30,"P2 - Medium",IF(AB197&gt;=15,"P3 - Low","P4 - Monitor")))))</x:f>
      </x:c>
      <x:c r="AD197" s="28"/>
      <x:c r="AE197" s="28"/>
      <x:c r="AF197" s="28"/>
      <x:c r="AG197" s="58"/>
      <x:c r="AH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56"/>
      <x:c r="J198" s="28"/>
      <x:c r="K198" s="28"/>
      <x:c r="L198" s="56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  <x:c r="AA198" s="28"/>
      <x:c r="AB198" s="56" t="str">
        <x:f>IF($A198="","",IF(Z198="Y",20,IF(Z198="Unknown",10,0))+$L198*5+IF(AA198="Y",15,IF(AA198="Unknown",5,0))+IF($J198="Public",10,IF($J198="Partner",7,IF($J198="Internal",3,0)))+IF($W198="Hard-coded",10,IF($W198="Unknown",7,IF($W198="Configurable",3,0)))+IF($I198&gt;=10,10,IF($I198&gt;=5,7,IF($I198&gt;=2,3,0)))+IF($K198="High",10,IF($K198="Medium",5,0)))</x:f>
      </x:c>
      <x:c r="AC198" s="28" t="str">
        <x:f>IF($A198="","",IF(AB198&gt;=70,"P0 - Immediate",IF(AB198&gt;=50,"P1 - High",IF(AB198&gt;=30,"P2 - Medium",IF(AB198&gt;=15,"P3 - Low","P4 - Monitor")))))</x:f>
      </x:c>
      <x:c r="AD198" s="28"/>
      <x:c r="AE198" s="28"/>
      <x:c r="AF198" s="28"/>
      <x:c r="AG198" s="58"/>
      <x:c r="AH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56"/>
      <x:c r="J199" s="28"/>
      <x:c r="K199" s="28"/>
      <x:c r="L199" s="56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  <x:c r="AA199" s="28"/>
      <x:c r="AB199" s="56" t="str">
        <x:f>IF($A199="","",IF(Z199="Y",20,IF(Z199="Unknown",10,0))+$L199*5+IF(AA199="Y",15,IF(AA199="Unknown",5,0))+IF($J199="Public",10,IF($J199="Partner",7,IF($J199="Internal",3,0)))+IF($W199="Hard-coded",10,IF($W199="Unknown",7,IF($W199="Configurable",3,0)))+IF($I199&gt;=10,10,IF($I199&gt;=5,7,IF($I199&gt;=2,3,0)))+IF($K199="High",10,IF($K199="Medium",5,0)))</x:f>
      </x:c>
      <x:c r="AC199" s="28" t="str">
        <x:f>IF($A199="","",IF(AB199&gt;=70,"P0 - Immediate",IF(AB199&gt;=50,"P1 - High",IF(AB199&gt;=30,"P2 - Medium",IF(AB199&gt;=15,"P3 - Low","P4 - Monitor")))))</x:f>
      </x:c>
      <x:c r="AD199" s="28"/>
      <x:c r="AE199" s="28"/>
      <x:c r="AF199" s="28"/>
      <x:c r="AG199" s="58"/>
      <x:c r="AH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56"/>
      <x:c r="J200" s="28"/>
      <x:c r="K200" s="28"/>
      <x:c r="L200" s="56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  <x:c r="AA200" s="28"/>
      <x:c r="AB200" s="56" t="str">
        <x:f>IF($A200="","",IF(Z200="Y",20,IF(Z200="Unknown",10,0))+$L200*5+IF(AA200="Y",15,IF(AA200="Unknown",5,0))+IF($J200="Public",10,IF($J200="Partner",7,IF($J200="Internal",3,0)))+IF($W200="Hard-coded",10,IF($W200="Unknown",7,IF($W200="Configurable",3,0)))+IF($I200&gt;=10,10,IF($I200&gt;=5,7,IF($I200&gt;=2,3,0)))+IF($K200="High",10,IF($K200="Medium",5,0)))</x:f>
      </x:c>
      <x:c r="AC200" s="28" t="str">
        <x:f>IF($A200="","",IF(AB200&gt;=70,"P0 - Immediate",IF(AB200&gt;=50,"P1 - High",IF(AB200&gt;=30,"P2 - Medium",IF(AB200&gt;=15,"P3 - Low","P4 - Monitor")))))</x:f>
      </x:c>
      <x:c r="AD200" s="28"/>
      <x:c r="AE200" s="28"/>
      <x:c r="AF200" s="28"/>
      <x:c r="AG200" s="58"/>
      <x:c r="AH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56"/>
      <x:c r="J201" s="28"/>
      <x:c r="K201" s="28"/>
      <x:c r="L201" s="56"/>
      <x:c r="M201" s="28"/>
      <x:c r="N201" s="28"/>
      <x:c r="O201" s="28"/>
      <x:c r="P201" s="28"/>
      <x:c r="Q201" s="28"/>
      <x:c r="R201" s="28"/>
      <x:c r="S201" s="28"/>
      <x:c r="T201" s="28"/>
      <x:c r="U201" s="28"/>
      <x:c r="V201" s="28"/>
      <x:c r="W201" s="28"/>
      <x:c r="X201" s="28"/>
      <x:c r="Y201" s="28"/>
      <x:c r="Z201" s="28"/>
      <x:c r="AA201" s="28"/>
      <x:c r="AB201" s="56" t="str">
        <x:f>IF($A201="","",IF(Z201="Y",20,IF(Z201="Unknown",10,0))+$L201*5+IF(AA201="Y",15,IF(AA201="Unknown",5,0))+IF($J201="Public",10,IF($J201="Partner",7,IF($J201="Internal",3,0)))+IF($W201="Hard-coded",10,IF($W201="Unknown",7,IF($W201="Configurable",3,0)))+IF($I201&gt;=10,10,IF($I201&gt;=5,7,IF($I201&gt;=2,3,0)))+IF($K201="High",10,IF($K201="Medium",5,0)))</x:f>
      </x:c>
      <x:c r="AC201" s="28" t="str">
        <x:f>IF($A201="","",IF(AB201&gt;=70,"P0 - Immediate",IF(AB201&gt;=50,"P1 - High",IF(AB201&gt;=30,"P2 - Medium",IF(AB201&gt;=15,"P3 - Low","P4 - Monitor")))))</x:f>
      </x:c>
      <x:c r="AD201" s="28"/>
      <x:c r="AE201" s="28"/>
      <x:c r="AF201" s="28"/>
      <x:c r="AG201" s="58"/>
      <x:c r="AH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56"/>
      <x:c r="J202" s="28"/>
      <x:c r="K202" s="28"/>
      <x:c r="L202" s="56"/>
      <x:c r="M202" s="28"/>
      <x:c r="N202" s="28"/>
      <x:c r="O202" s="28"/>
      <x:c r="P202" s="28"/>
      <x:c r="Q202" s="28"/>
      <x:c r="R202" s="28"/>
      <x:c r="S202" s="28"/>
      <x:c r="T202" s="28"/>
      <x:c r="U202" s="28"/>
      <x:c r="V202" s="28"/>
      <x:c r="W202" s="28"/>
      <x:c r="X202" s="28"/>
      <x:c r="Y202" s="28"/>
      <x:c r="Z202" s="28"/>
      <x:c r="AA202" s="28"/>
      <x:c r="AB202" s="56" t="str">
        <x:f>IF($A202="","",IF(Z202="Y",20,IF(Z202="Unknown",10,0))+$L202*5+IF(AA202="Y",15,IF(AA202="Unknown",5,0))+IF($J202="Public",10,IF($J202="Partner",7,IF($J202="Internal",3,0)))+IF($W202="Hard-coded",10,IF($W202="Unknown",7,IF($W202="Configurable",3,0)))+IF($I202&gt;=10,10,IF($I202&gt;=5,7,IF($I202&gt;=2,3,0)))+IF($K202="High",10,IF($K202="Medium",5,0)))</x:f>
      </x:c>
      <x:c r="AC202" s="28" t="str">
        <x:f>IF($A202="","",IF(AB202&gt;=70,"P0 - Immediate",IF(AB202&gt;=50,"P1 - High",IF(AB202&gt;=30,"P2 - Medium",IF(AB202&gt;=15,"P3 - Low","P4 - Monitor")))))</x:f>
      </x:c>
      <x:c r="AD202" s="28"/>
      <x:c r="AE202" s="28"/>
      <x:c r="AF202" s="28"/>
      <x:c r="AG202" s="58"/>
      <x:c r="AH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56"/>
      <x:c r="J203" s="28"/>
      <x:c r="K203" s="28"/>
      <x:c r="L203" s="56"/>
      <x:c r="M203" s="28"/>
      <x:c r="N203" s="28"/>
      <x:c r="O203" s="28"/>
      <x:c r="P203" s="28"/>
      <x:c r="Q203" s="28"/>
      <x:c r="R203" s="28"/>
      <x:c r="S203" s="28"/>
      <x:c r="T203" s="28"/>
      <x:c r="U203" s="28"/>
      <x:c r="V203" s="28"/>
      <x:c r="W203" s="28"/>
      <x:c r="X203" s="28"/>
      <x:c r="Y203" s="28"/>
      <x:c r="Z203" s="28"/>
      <x:c r="AA203" s="28"/>
      <x:c r="AB203" s="56" t="str">
        <x:f>IF($A203="","",IF(Z203="Y",20,IF(Z203="Unknown",10,0))+$L203*5+IF(AA203="Y",15,IF(AA203="Unknown",5,0))+IF($J203="Public",10,IF($J203="Partner",7,IF($J203="Internal",3,0)))+IF($W203="Hard-coded",10,IF($W203="Unknown",7,IF($W203="Configurable",3,0)))+IF($I203&gt;=10,10,IF($I203&gt;=5,7,IF($I203&gt;=2,3,0)))+IF($K203="High",10,IF($K203="Medium",5,0)))</x:f>
      </x:c>
      <x:c r="AC203" s="28" t="str">
        <x:f>IF($A203="","",IF(AB203&gt;=70,"P0 - Immediate",IF(AB203&gt;=50,"P1 - High",IF(AB203&gt;=30,"P2 - Medium",IF(AB203&gt;=15,"P3 - Low","P4 - Monitor")))))</x:f>
      </x:c>
      <x:c r="AD203" s="28"/>
      <x:c r="AE203" s="28"/>
      <x:c r="AF203" s="28"/>
      <x:c r="AG203" s="58"/>
      <x:c r="AH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56"/>
      <x:c r="J204" s="28"/>
      <x:c r="K204" s="28"/>
      <x:c r="L204" s="56"/>
      <x:c r="M204" s="28"/>
      <x:c r="N204" s="28"/>
      <x:c r="O204" s="28"/>
      <x:c r="P204" s="28"/>
      <x:c r="Q204" s="28"/>
      <x:c r="R204" s="28"/>
      <x:c r="S204" s="28"/>
      <x:c r="T204" s="28"/>
      <x:c r="U204" s="28"/>
      <x:c r="V204" s="28"/>
      <x:c r="W204" s="28"/>
      <x:c r="X204" s="28"/>
      <x:c r="Y204" s="28"/>
      <x:c r="Z204" s="28"/>
      <x:c r="AA204" s="28"/>
      <x:c r="AB204" s="56" t="str">
        <x:f>IF($A204="","",IF(Z204="Y",20,IF(Z204="Unknown",10,0))+$L204*5+IF(AA204="Y",15,IF(AA204="Unknown",5,0))+IF($J204="Public",10,IF($J204="Partner",7,IF($J204="Internal",3,0)))+IF($W204="Hard-coded",10,IF($W204="Unknown",7,IF($W204="Configurable",3,0)))+IF($I204&gt;=10,10,IF($I204&gt;=5,7,IF($I204&gt;=2,3,0)))+IF($K204="High",10,IF($K204="Medium",5,0)))</x:f>
      </x:c>
      <x:c r="AC204" s="28" t="str">
        <x:f>IF($A204="","",IF(AB204&gt;=70,"P0 - Immediate",IF(AB204&gt;=50,"P1 - High",IF(AB204&gt;=30,"P2 - Medium",IF(AB204&gt;=15,"P3 - Low","P4 - Monitor")))))</x:f>
      </x:c>
      <x:c r="AD204" s="28"/>
      <x:c r="AE204" s="28"/>
      <x:c r="AF204" s="28"/>
      <x:c r="AG204" s="58"/>
      <x:c r="AH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56"/>
      <x:c r="J205" s="28"/>
      <x:c r="K205" s="28"/>
      <x:c r="L205" s="56"/>
      <x:c r="M205" s="28"/>
      <x:c r="N205" s="28"/>
      <x:c r="O205" s="28"/>
      <x:c r="P205" s="28"/>
      <x:c r="Q205" s="28"/>
      <x:c r="R205" s="28"/>
      <x:c r="S205" s="28"/>
      <x:c r="T205" s="28"/>
      <x:c r="U205" s="28"/>
      <x:c r="V205" s="28"/>
      <x:c r="W205" s="28"/>
      <x:c r="X205" s="28"/>
      <x:c r="Y205" s="28"/>
      <x:c r="Z205" s="28"/>
      <x:c r="AA205" s="28"/>
      <x:c r="AB205" s="56" t="str">
        <x:f>IF($A205="","",IF(Z205="Y",20,IF(Z205="Unknown",10,0))+$L205*5+IF(AA205="Y",15,IF(AA205="Unknown",5,0))+IF($J205="Public",10,IF($J205="Partner",7,IF($J205="Internal",3,0)))+IF($W205="Hard-coded",10,IF($W205="Unknown",7,IF($W205="Configurable",3,0)))+IF($I205&gt;=10,10,IF($I205&gt;=5,7,IF($I205&gt;=2,3,0)))+IF($K205="High",10,IF($K205="Medium",5,0)))</x:f>
      </x:c>
      <x:c r="AC205" s="28" t="str">
        <x:f>IF($A205="","",IF(AB205&gt;=70,"P0 - Immediate",IF(AB205&gt;=50,"P1 - High",IF(AB205&gt;=30,"P2 - Medium",IF(AB205&gt;=15,"P3 - Low","P4 - Monitor")))))</x:f>
      </x:c>
      <x:c r="AD205" s="28"/>
      <x:c r="AE205" s="28"/>
      <x:c r="AF205" s="28"/>
      <x:c r="AG205" s="58"/>
      <x:c r="AH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56"/>
      <x:c r="J206" s="28"/>
      <x:c r="K206" s="28"/>
      <x:c r="L206" s="56"/>
      <x:c r="M206" s="28"/>
      <x:c r="N206" s="28"/>
      <x:c r="O206" s="28"/>
      <x:c r="P206" s="28"/>
      <x:c r="Q206" s="28"/>
      <x:c r="R206" s="28"/>
      <x:c r="S206" s="28"/>
      <x:c r="T206" s="28"/>
      <x:c r="U206" s="28"/>
      <x:c r="V206" s="28"/>
      <x:c r="W206" s="28"/>
      <x:c r="X206" s="28"/>
      <x:c r="Y206" s="28"/>
      <x:c r="Z206" s="28"/>
      <x:c r="AA206" s="28"/>
      <x:c r="AB206" s="56" t="str">
        <x:f>IF($A206="","",IF(Z206="Y",20,IF(Z206="Unknown",10,0))+$L206*5+IF(AA206="Y",15,IF(AA206="Unknown",5,0))+IF($J206="Public",10,IF($J206="Partner",7,IF($J206="Internal",3,0)))+IF($W206="Hard-coded",10,IF($W206="Unknown",7,IF($W206="Configurable",3,0)))+IF($I206&gt;=10,10,IF($I206&gt;=5,7,IF($I206&gt;=2,3,0)))+IF($K206="High",10,IF($K206="Medium",5,0)))</x:f>
      </x:c>
      <x:c r="AC206" s="28" t="str">
        <x:f>IF($A206="","",IF(AB206&gt;=70,"P0 - Immediate",IF(AB206&gt;=50,"P1 - High",IF(AB206&gt;=30,"P2 - Medium",IF(AB206&gt;=15,"P3 - Low","P4 - Monitor")))))</x:f>
      </x:c>
      <x:c r="AD206" s="28"/>
      <x:c r="AE206" s="28"/>
      <x:c r="AF206" s="28"/>
      <x:c r="AG206" s="58"/>
      <x:c r="AH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56"/>
      <x:c r="J207" s="28"/>
      <x:c r="K207" s="28"/>
      <x:c r="L207" s="56"/>
      <x:c r="M207" s="28"/>
      <x:c r="N207" s="28"/>
      <x:c r="O207" s="28"/>
      <x:c r="P207" s="28"/>
      <x:c r="Q207" s="28"/>
      <x:c r="R207" s="28"/>
      <x:c r="S207" s="28"/>
      <x:c r="T207" s="28"/>
      <x:c r="U207" s="28"/>
      <x:c r="V207" s="28"/>
      <x:c r="W207" s="28"/>
      <x:c r="X207" s="28"/>
      <x:c r="Y207" s="28"/>
      <x:c r="Z207" s="28"/>
      <x:c r="AA207" s="28"/>
      <x:c r="AB207" s="56" t="str">
        <x:f>IF($A207="","",IF(Z207="Y",20,IF(Z207="Unknown",10,0))+$L207*5+IF(AA207="Y",15,IF(AA207="Unknown",5,0))+IF($J207="Public",10,IF($J207="Partner",7,IF($J207="Internal",3,0)))+IF($W207="Hard-coded",10,IF($W207="Unknown",7,IF($W207="Configurable",3,0)))+IF($I207&gt;=10,10,IF($I207&gt;=5,7,IF($I207&gt;=2,3,0)))+IF($K207="High",10,IF($K207="Medium",5,0)))</x:f>
      </x:c>
      <x:c r="AC207" s="28" t="str">
        <x:f>IF($A207="","",IF(AB207&gt;=70,"P0 - Immediate",IF(AB207&gt;=50,"P1 - High",IF(AB207&gt;=30,"P2 - Medium",IF(AB207&gt;=15,"P3 - Low","P4 - Monitor")))))</x:f>
      </x:c>
      <x:c r="AD207" s="28"/>
      <x:c r="AE207" s="28"/>
      <x:c r="AF207" s="28"/>
      <x:c r="AG207" s="58"/>
      <x:c r="AH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56"/>
      <x:c r="J208" s="28"/>
      <x:c r="K208" s="28"/>
      <x:c r="L208" s="56"/>
      <x:c r="M208" s="28"/>
      <x:c r="N208" s="28"/>
      <x:c r="O208" s="28"/>
      <x:c r="P208" s="28"/>
      <x:c r="Q208" s="28"/>
      <x:c r="R208" s="28"/>
      <x:c r="S208" s="28"/>
      <x:c r="T208" s="28"/>
      <x:c r="U208" s="28"/>
      <x:c r="V208" s="28"/>
      <x:c r="W208" s="28"/>
      <x:c r="X208" s="28"/>
      <x:c r="Y208" s="28"/>
      <x:c r="Z208" s="28"/>
      <x:c r="AA208" s="28"/>
      <x:c r="AB208" s="56" t="str">
        <x:f>IF($A208="","",IF(Z208="Y",20,IF(Z208="Unknown",10,0))+$L208*5+IF(AA208="Y",15,IF(AA208="Unknown",5,0))+IF($J208="Public",10,IF($J208="Partner",7,IF($J208="Internal",3,0)))+IF($W208="Hard-coded",10,IF($W208="Unknown",7,IF($W208="Configurable",3,0)))+IF($I208&gt;=10,10,IF($I208&gt;=5,7,IF($I208&gt;=2,3,0)))+IF($K208="High",10,IF($K208="Medium",5,0)))</x:f>
      </x:c>
      <x:c r="AC208" s="28" t="str">
        <x:f>IF($A208="","",IF(AB208&gt;=70,"P0 - Immediate",IF(AB208&gt;=50,"P1 - High",IF(AB208&gt;=30,"P2 - Medium",IF(AB208&gt;=15,"P3 - Low","P4 - Monitor")))))</x:f>
      </x:c>
      <x:c r="AD208" s="28"/>
      <x:c r="AE208" s="28"/>
      <x:c r="AF208" s="28"/>
      <x:c r="AG208" s="58"/>
      <x:c r="AH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56"/>
      <x:c r="J209" s="28"/>
      <x:c r="K209" s="28"/>
      <x:c r="L209" s="56"/>
      <x:c r="M209" s="28"/>
      <x:c r="N209" s="28"/>
      <x:c r="O209" s="28"/>
      <x:c r="P209" s="28"/>
      <x:c r="Q209" s="28"/>
      <x:c r="R209" s="28"/>
      <x:c r="S209" s="28"/>
      <x:c r="T209" s="28"/>
      <x:c r="U209" s="28"/>
      <x:c r="V209" s="28"/>
      <x:c r="W209" s="28"/>
      <x:c r="X209" s="28"/>
      <x:c r="Y209" s="28"/>
      <x:c r="Z209" s="28"/>
      <x:c r="AA209" s="28"/>
      <x:c r="AB209" s="56" t="str">
        <x:f>IF($A209="","",IF(Z209="Y",20,IF(Z209="Unknown",10,0))+$L209*5+IF(AA209="Y",15,IF(AA209="Unknown",5,0))+IF($J209="Public",10,IF($J209="Partner",7,IF($J209="Internal",3,0)))+IF($W209="Hard-coded",10,IF($W209="Unknown",7,IF($W209="Configurable",3,0)))+IF($I209&gt;=10,10,IF($I209&gt;=5,7,IF($I209&gt;=2,3,0)))+IF($K209="High",10,IF($K209="Medium",5,0)))</x:f>
      </x:c>
      <x:c r="AC209" s="28" t="str">
        <x:f>IF($A209="","",IF(AB209&gt;=70,"P0 - Immediate",IF(AB209&gt;=50,"P1 - High",IF(AB209&gt;=30,"P2 - Medium",IF(AB209&gt;=15,"P3 - Low","P4 - Monitor")))))</x:f>
      </x:c>
      <x:c r="AD209" s="28"/>
      <x:c r="AE209" s="28"/>
      <x:c r="AF209" s="28"/>
      <x:c r="AG209" s="58"/>
      <x:c r="AH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56"/>
      <x:c r="J210" s="28"/>
      <x:c r="K210" s="28"/>
      <x:c r="L210" s="56"/>
      <x:c r="M210" s="28"/>
      <x:c r="N210" s="28"/>
      <x:c r="O210" s="28"/>
      <x:c r="P210" s="28"/>
      <x:c r="Q210" s="28"/>
      <x:c r="R210" s="28"/>
      <x:c r="S210" s="28"/>
      <x:c r="T210" s="28"/>
      <x:c r="U210" s="28"/>
      <x:c r="V210" s="28"/>
      <x:c r="W210" s="28"/>
      <x:c r="X210" s="28"/>
      <x:c r="Y210" s="28"/>
      <x:c r="Z210" s="28"/>
      <x:c r="AA210" s="28"/>
      <x:c r="AB210" s="56" t="str">
        <x:f>IF($A210="","",IF(Z210="Y",20,IF(Z210="Unknown",10,0))+$L210*5+IF(AA210="Y",15,IF(AA210="Unknown",5,0))+IF($J210="Public",10,IF($J210="Partner",7,IF($J210="Internal",3,0)))+IF($W210="Hard-coded",10,IF($W210="Unknown",7,IF($W210="Configurable",3,0)))+IF($I210&gt;=10,10,IF($I210&gt;=5,7,IF($I210&gt;=2,3,0)))+IF($K210="High",10,IF($K210="Medium",5,0)))</x:f>
      </x:c>
      <x:c r="AC210" s="28" t="str">
        <x:f>IF($A210="","",IF(AB210&gt;=70,"P0 - Immediate",IF(AB210&gt;=50,"P1 - High",IF(AB210&gt;=30,"P2 - Medium",IF(AB210&gt;=15,"P3 - Low","P4 - Monitor")))))</x:f>
      </x:c>
      <x:c r="AD210" s="28"/>
      <x:c r="AE210" s="28"/>
      <x:c r="AF210" s="28"/>
      <x:c r="AG210" s="58"/>
      <x:c r="AH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56"/>
      <x:c r="J211" s="28"/>
      <x:c r="K211" s="28"/>
      <x:c r="L211" s="56"/>
      <x:c r="M211" s="28"/>
      <x:c r="N211" s="28"/>
      <x:c r="O211" s="28"/>
      <x:c r="P211" s="28"/>
      <x:c r="Q211" s="28"/>
      <x:c r="R211" s="28"/>
      <x:c r="S211" s="28"/>
      <x:c r="T211" s="28"/>
      <x:c r="U211" s="28"/>
      <x:c r="V211" s="28"/>
      <x:c r="W211" s="28"/>
      <x:c r="X211" s="28"/>
      <x:c r="Y211" s="28"/>
      <x:c r="Z211" s="28"/>
      <x:c r="AA211" s="28"/>
      <x:c r="AB211" s="56" t="str">
        <x:f>IF($A211="","",IF(Z211="Y",20,IF(Z211="Unknown",10,0))+$L211*5+IF(AA211="Y",15,IF(AA211="Unknown",5,0))+IF($J211="Public",10,IF($J211="Partner",7,IF($J211="Internal",3,0)))+IF($W211="Hard-coded",10,IF($W211="Unknown",7,IF($W211="Configurable",3,0)))+IF($I211&gt;=10,10,IF($I211&gt;=5,7,IF($I211&gt;=2,3,0)))+IF($K211="High",10,IF($K211="Medium",5,0)))</x:f>
      </x:c>
      <x:c r="AC211" s="28" t="str">
        <x:f>IF($A211="","",IF(AB211&gt;=70,"P0 - Immediate",IF(AB211&gt;=50,"P1 - High",IF(AB211&gt;=30,"P2 - Medium",IF(AB211&gt;=15,"P3 - Low","P4 - Monitor")))))</x:f>
      </x:c>
      <x:c r="AD211" s="28"/>
      <x:c r="AE211" s="28"/>
      <x:c r="AF211" s="28"/>
      <x:c r="AG211" s="58"/>
      <x:c r="AH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56"/>
      <x:c r="J212" s="28"/>
      <x:c r="K212" s="28"/>
      <x:c r="L212" s="56"/>
      <x:c r="M212" s="28"/>
      <x:c r="N212" s="28"/>
      <x:c r="O212" s="28"/>
      <x:c r="P212" s="28"/>
      <x:c r="Q212" s="28"/>
      <x:c r="R212" s="28"/>
      <x:c r="S212" s="28"/>
      <x:c r="T212" s="28"/>
      <x:c r="U212" s="28"/>
      <x:c r="V212" s="28"/>
      <x:c r="W212" s="28"/>
      <x:c r="X212" s="28"/>
      <x:c r="Y212" s="28"/>
      <x:c r="Z212" s="28"/>
      <x:c r="AA212" s="28"/>
      <x:c r="AB212" s="56" t="str">
        <x:f>IF($A212="","",IF(Z212="Y",20,IF(Z212="Unknown",10,0))+$L212*5+IF(AA212="Y",15,IF(AA212="Unknown",5,0))+IF($J212="Public",10,IF($J212="Partner",7,IF($J212="Internal",3,0)))+IF($W212="Hard-coded",10,IF($W212="Unknown",7,IF($W212="Configurable",3,0)))+IF($I212&gt;=10,10,IF($I212&gt;=5,7,IF($I212&gt;=2,3,0)))+IF($K212="High",10,IF($K212="Medium",5,0)))</x:f>
      </x:c>
      <x:c r="AC212" s="28" t="str">
        <x:f>IF($A212="","",IF(AB212&gt;=70,"P0 - Immediate",IF(AB212&gt;=50,"P1 - High",IF(AB212&gt;=30,"P2 - Medium",IF(AB212&gt;=15,"P3 - Low","P4 - Monitor")))))</x:f>
      </x:c>
      <x:c r="AD212" s="28"/>
      <x:c r="AE212" s="28"/>
      <x:c r="AF212" s="28"/>
      <x:c r="AG212" s="58"/>
      <x:c r="AH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56"/>
      <x:c r="J213" s="28"/>
      <x:c r="K213" s="28"/>
      <x:c r="L213" s="56"/>
      <x:c r="M213" s="28"/>
      <x:c r="N213" s="28"/>
      <x:c r="O213" s="28"/>
      <x:c r="P213" s="28"/>
      <x:c r="Q213" s="28"/>
      <x:c r="R213" s="28"/>
      <x:c r="S213" s="28"/>
      <x:c r="T213" s="28"/>
      <x:c r="U213" s="28"/>
      <x:c r="V213" s="28"/>
      <x:c r="W213" s="28"/>
      <x:c r="X213" s="28"/>
      <x:c r="Y213" s="28"/>
      <x:c r="Z213" s="28"/>
      <x:c r="AA213" s="28"/>
      <x:c r="AB213" s="56" t="str">
        <x:f>IF($A213="","",IF(Z213="Y",20,IF(Z213="Unknown",10,0))+$L213*5+IF(AA213="Y",15,IF(AA213="Unknown",5,0))+IF($J213="Public",10,IF($J213="Partner",7,IF($J213="Internal",3,0)))+IF($W213="Hard-coded",10,IF($W213="Unknown",7,IF($W213="Configurable",3,0)))+IF($I213&gt;=10,10,IF($I213&gt;=5,7,IF($I213&gt;=2,3,0)))+IF($K213="High",10,IF($K213="Medium",5,0)))</x:f>
      </x:c>
      <x:c r="AC213" s="28" t="str">
        <x:f>IF($A213="","",IF(AB213&gt;=70,"P0 - Immediate",IF(AB213&gt;=50,"P1 - High",IF(AB213&gt;=30,"P2 - Medium",IF(AB213&gt;=15,"P3 - Low","P4 - Monitor")))))</x:f>
      </x:c>
      <x:c r="AD213" s="28"/>
      <x:c r="AE213" s="28"/>
      <x:c r="AF213" s="28"/>
      <x:c r="AG213" s="58"/>
      <x:c r="AH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56"/>
      <x:c r="J214" s="28"/>
      <x:c r="K214" s="28"/>
      <x:c r="L214" s="56"/>
      <x:c r="M214" s="28"/>
      <x:c r="N214" s="28"/>
      <x:c r="O214" s="28"/>
      <x:c r="P214" s="28"/>
      <x:c r="Q214" s="28"/>
      <x:c r="R214" s="28"/>
      <x:c r="S214" s="28"/>
      <x:c r="T214" s="28"/>
      <x:c r="U214" s="28"/>
      <x:c r="V214" s="28"/>
      <x:c r="W214" s="28"/>
      <x:c r="X214" s="28"/>
      <x:c r="Y214" s="28"/>
      <x:c r="Z214" s="28"/>
      <x:c r="AA214" s="28"/>
      <x:c r="AB214" s="56" t="str">
        <x:f>IF($A214="","",IF(Z214="Y",20,IF(Z214="Unknown",10,0))+$L214*5+IF(AA214="Y",15,IF(AA214="Unknown",5,0))+IF($J214="Public",10,IF($J214="Partner",7,IF($J214="Internal",3,0)))+IF($W214="Hard-coded",10,IF($W214="Unknown",7,IF($W214="Configurable",3,0)))+IF($I214&gt;=10,10,IF($I214&gt;=5,7,IF($I214&gt;=2,3,0)))+IF($K214="High",10,IF($K214="Medium",5,0)))</x:f>
      </x:c>
      <x:c r="AC214" s="28" t="str">
        <x:f>IF($A214="","",IF(AB214&gt;=70,"P0 - Immediate",IF(AB214&gt;=50,"P1 - High",IF(AB214&gt;=30,"P2 - Medium",IF(AB214&gt;=15,"P3 - Low","P4 - Monitor")))))</x:f>
      </x:c>
      <x:c r="AD214" s="28"/>
      <x:c r="AE214" s="28"/>
      <x:c r="AF214" s="28"/>
      <x:c r="AG214" s="58"/>
      <x:c r="AH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56"/>
      <x:c r="J215" s="28"/>
      <x:c r="K215" s="28"/>
      <x:c r="L215" s="56"/>
      <x:c r="M215" s="28"/>
      <x:c r="N215" s="28"/>
      <x:c r="O215" s="28"/>
      <x:c r="P215" s="28"/>
      <x:c r="Q215" s="28"/>
      <x:c r="R215" s="28"/>
      <x:c r="S215" s="28"/>
      <x:c r="T215" s="28"/>
      <x:c r="U215" s="28"/>
      <x:c r="V215" s="28"/>
      <x:c r="W215" s="28"/>
      <x:c r="X215" s="28"/>
      <x:c r="Y215" s="28"/>
      <x:c r="Z215" s="28"/>
      <x:c r="AA215" s="28"/>
      <x:c r="AB215" s="56" t="str">
        <x:f>IF($A215="","",IF(Z215="Y",20,IF(Z215="Unknown",10,0))+$L215*5+IF(AA215="Y",15,IF(AA215="Unknown",5,0))+IF($J215="Public",10,IF($J215="Partner",7,IF($J215="Internal",3,0)))+IF($W215="Hard-coded",10,IF($W215="Unknown",7,IF($W215="Configurable",3,0)))+IF($I215&gt;=10,10,IF($I215&gt;=5,7,IF($I215&gt;=2,3,0)))+IF($K215="High",10,IF($K215="Medium",5,0)))</x:f>
      </x:c>
      <x:c r="AC215" s="28" t="str">
        <x:f>IF($A215="","",IF(AB215&gt;=70,"P0 - Immediate",IF(AB215&gt;=50,"P1 - High",IF(AB215&gt;=30,"P2 - Medium",IF(AB215&gt;=15,"P3 - Low","P4 - Monitor")))))</x:f>
      </x:c>
      <x:c r="AD215" s="28"/>
      <x:c r="AE215" s="28"/>
      <x:c r="AF215" s="28"/>
      <x:c r="AG215" s="58"/>
      <x:c r="AH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56"/>
      <x:c r="J216" s="28"/>
      <x:c r="K216" s="28"/>
      <x:c r="L216" s="56"/>
      <x:c r="M216" s="28"/>
      <x:c r="N216" s="28"/>
      <x:c r="O216" s="28"/>
      <x:c r="P216" s="28"/>
      <x:c r="Q216" s="28"/>
      <x:c r="R216" s="28"/>
      <x:c r="S216" s="28"/>
      <x:c r="T216" s="28"/>
      <x:c r="U216" s="28"/>
      <x:c r="V216" s="28"/>
      <x:c r="W216" s="28"/>
      <x:c r="X216" s="28"/>
      <x:c r="Y216" s="28"/>
      <x:c r="Z216" s="28"/>
      <x:c r="AA216" s="28"/>
      <x:c r="AB216" s="56" t="str">
        <x:f>IF($A216="","",IF(Z216="Y",20,IF(Z216="Unknown",10,0))+$L216*5+IF(AA216="Y",15,IF(AA216="Unknown",5,0))+IF($J216="Public",10,IF($J216="Partner",7,IF($J216="Internal",3,0)))+IF($W216="Hard-coded",10,IF($W216="Unknown",7,IF($W216="Configurable",3,0)))+IF($I216&gt;=10,10,IF($I216&gt;=5,7,IF($I216&gt;=2,3,0)))+IF($K216="High",10,IF($K216="Medium",5,0)))</x:f>
      </x:c>
      <x:c r="AC216" s="28" t="str">
        <x:f>IF($A216="","",IF(AB216&gt;=70,"P0 - Immediate",IF(AB216&gt;=50,"P1 - High",IF(AB216&gt;=30,"P2 - Medium",IF(AB216&gt;=15,"P3 - Low","P4 - Monitor")))))</x:f>
      </x:c>
      <x:c r="AD216" s="28"/>
      <x:c r="AE216" s="28"/>
      <x:c r="AF216" s="28"/>
      <x:c r="AG216" s="58"/>
      <x:c r="AH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56"/>
      <x:c r="J217" s="28"/>
      <x:c r="K217" s="28"/>
      <x:c r="L217" s="56"/>
      <x:c r="M217" s="28"/>
      <x:c r="N217" s="28"/>
      <x:c r="O217" s="28"/>
      <x:c r="P217" s="28"/>
      <x:c r="Q217" s="28"/>
      <x:c r="R217" s="28"/>
      <x:c r="S217" s="28"/>
      <x:c r="T217" s="28"/>
      <x:c r="U217" s="28"/>
      <x:c r="V217" s="28"/>
      <x:c r="W217" s="28"/>
      <x:c r="X217" s="28"/>
      <x:c r="Y217" s="28"/>
      <x:c r="Z217" s="28"/>
      <x:c r="AA217" s="28"/>
      <x:c r="AB217" s="56" t="str">
        <x:f>IF($A217="","",IF(Z217="Y",20,IF(Z217="Unknown",10,0))+$L217*5+IF(AA217="Y",15,IF(AA217="Unknown",5,0))+IF($J217="Public",10,IF($J217="Partner",7,IF($J217="Internal",3,0)))+IF($W217="Hard-coded",10,IF($W217="Unknown",7,IF($W217="Configurable",3,0)))+IF($I217&gt;=10,10,IF($I217&gt;=5,7,IF($I217&gt;=2,3,0)))+IF($K217="High",10,IF($K217="Medium",5,0)))</x:f>
      </x:c>
      <x:c r="AC217" s="28" t="str">
        <x:f>IF($A217="","",IF(AB217&gt;=70,"P0 - Immediate",IF(AB217&gt;=50,"P1 - High",IF(AB217&gt;=30,"P2 - Medium",IF(AB217&gt;=15,"P3 - Low","P4 - Monitor")))))</x:f>
      </x:c>
      <x:c r="AD217" s="28"/>
      <x:c r="AE217" s="28"/>
      <x:c r="AF217" s="28"/>
      <x:c r="AG217" s="58"/>
      <x:c r="AH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56"/>
      <x:c r="J218" s="28"/>
      <x:c r="K218" s="28"/>
      <x:c r="L218" s="56"/>
      <x:c r="M218" s="28"/>
      <x:c r="N218" s="28"/>
      <x:c r="O218" s="28"/>
      <x:c r="P218" s="28"/>
      <x:c r="Q218" s="28"/>
      <x:c r="R218" s="28"/>
      <x:c r="S218" s="28"/>
      <x:c r="T218" s="28"/>
      <x:c r="U218" s="28"/>
      <x:c r="V218" s="28"/>
      <x:c r="W218" s="28"/>
      <x:c r="X218" s="28"/>
      <x:c r="Y218" s="28"/>
      <x:c r="Z218" s="28"/>
      <x:c r="AA218" s="28"/>
      <x:c r="AB218" s="56" t="str">
        <x:f>IF($A218="","",IF(Z218="Y",20,IF(Z218="Unknown",10,0))+$L218*5+IF(AA218="Y",15,IF(AA218="Unknown",5,0))+IF($J218="Public",10,IF($J218="Partner",7,IF($J218="Internal",3,0)))+IF($W218="Hard-coded",10,IF($W218="Unknown",7,IF($W218="Configurable",3,0)))+IF($I218&gt;=10,10,IF($I218&gt;=5,7,IF($I218&gt;=2,3,0)))+IF($K218="High",10,IF($K218="Medium",5,0)))</x:f>
      </x:c>
      <x:c r="AC218" s="28" t="str">
        <x:f>IF($A218="","",IF(AB218&gt;=70,"P0 - Immediate",IF(AB218&gt;=50,"P1 - High",IF(AB218&gt;=30,"P2 - Medium",IF(AB218&gt;=15,"P3 - Low","P4 - Monitor")))))</x:f>
      </x:c>
      <x:c r="AD218" s="28"/>
      <x:c r="AE218" s="28"/>
      <x:c r="AF218" s="28"/>
      <x:c r="AG218" s="58"/>
      <x:c r="AH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56"/>
      <x:c r="J219" s="28"/>
      <x:c r="K219" s="28"/>
      <x:c r="L219" s="56"/>
      <x:c r="M219" s="28"/>
      <x:c r="N219" s="28"/>
      <x:c r="O219" s="28"/>
      <x:c r="P219" s="28"/>
      <x:c r="Q219" s="28"/>
      <x:c r="R219" s="28"/>
      <x:c r="S219" s="28"/>
      <x:c r="T219" s="28"/>
      <x:c r="U219" s="28"/>
      <x:c r="V219" s="28"/>
      <x:c r="W219" s="28"/>
      <x:c r="X219" s="28"/>
      <x:c r="Y219" s="28"/>
      <x:c r="Z219" s="28"/>
      <x:c r="AA219" s="28"/>
      <x:c r="AB219" s="56" t="str">
        <x:f>IF($A219="","",IF(Z219="Y",20,IF(Z219="Unknown",10,0))+$L219*5+IF(AA219="Y",15,IF(AA219="Unknown",5,0))+IF($J219="Public",10,IF($J219="Partner",7,IF($J219="Internal",3,0)))+IF($W219="Hard-coded",10,IF($W219="Unknown",7,IF($W219="Configurable",3,0)))+IF($I219&gt;=10,10,IF($I219&gt;=5,7,IF($I219&gt;=2,3,0)))+IF($K219="High",10,IF($K219="Medium",5,0)))</x:f>
      </x:c>
      <x:c r="AC219" s="28" t="str">
        <x:f>IF($A219="","",IF(AB219&gt;=70,"P0 - Immediate",IF(AB219&gt;=50,"P1 - High",IF(AB219&gt;=30,"P2 - Medium",IF(AB219&gt;=15,"P3 - Low","P4 - Monitor")))))</x:f>
      </x:c>
      <x:c r="AD219" s="28"/>
      <x:c r="AE219" s="28"/>
      <x:c r="AF219" s="28"/>
      <x:c r="AG219" s="58"/>
      <x:c r="AH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56"/>
      <x:c r="J220" s="28"/>
      <x:c r="K220" s="28"/>
      <x:c r="L220" s="56"/>
      <x:c r="M220" s="28"/>
      <x:c r="N220" s="28"/>
      <x:c r="O220" s="28"/>
      <x:c r="P220" s="28"/>
      <x:c r="Q220" s="28"/>
      <x:c r="R220" s="28"/>
      <x:c r="S220" s="28"/>
      <x:c r="T220" s="28"/>
      <x:c r="U220" s="28"/>
      <x:c r="V220" s="28"/>
      <x:c r="W220" s="28"/>
      <x:c r="X220" s="28"/>
      <x:c r="Y220" s="28"/>
      <x:c r="Z220" s="28"/>
      <x:c r="AA220" s="28"/>
      <x:c r="AB220" s="56" t="str">
        <x:f>IF($A220="","",IF(Z220="Y",20,IF(Z220="Unknown",10,0))+$L220*5+IF(AA220="Y",15,IF(AA220="Unknown",5,0))+IF($J220="Public",10,IF($J220="Partner",7,IF($J220="Internal",3,0)))+IF($W220="Hard-coded",10,IF($W220="Unknown",7,IF($W220="Configurable",3,0)))+IF($I220&gt;=10,10,IF($I220&gt;=5,7,IF($I220&gt;=2,3,0)))+IF($K220="High",10,IF($K220="Medium",5,0)))</x:f>
      </x:c>
      <x:c r="AC220" s="28" t="str">
        <x:f>IF($A220="","",IF(AB220&gt;=70,"P0 - Immediate",IF(AB220&gt;=50,"P1 - High",IF(AB220&gt;=30,"P2 - Medium",IF(AB220&gt;=15,"P3 - Low","P4 - Monitor")))))</x:f>
      </x:c>
      <x:c r="AD220" s="28"/>
      <x:c r="AE220" s="28"/>
      <x:c r="AF220" s="28"/>
      <x:c r="AG220" s="58"/>
      <x:c r="AH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56"/>
      <x:c r="J221" s="28"/>
      <x:c r="K221" s="28"/>
      <x:c r="L221" s="56"/>
      <x:c r="M221" s="28"/>
      <x:c r="N221" s="28"/>
      <x:c r="O221" s="28"/>
      <x:c r="P221" s="28"/>
      <x:c r="Q221" s="28"/>
      <x:c r="R221" s="28"/>
      <x:c r="S221" s="28"/>
      <x:c r="T221" s="28"/>
      <x:c r="U221" s="28"/>
      <x:c r="V221" s="28"/>
      <x:c r="W221" s="28"/>
      <x:c r="X221" s="28"/>
      <x:c r="Y221" s="28"/>
      <x:c r="Z221" s="28"/>
      <x:c r="AA221" s="28"/>
      <x:c r="AB221" s="56" t="str">
        <x:f>IF($A221="","",IF(Z221="Y",20,IF(Z221="Unknown",10,0))+$L221*5+IF(AA221="Y",15,IF(AA221="Unknown",5,0))+IF($J221="Public",10,IF($J221="Partner",7,IF($J221="Internal",3,0)))+IF($W221="Hard-coded",10,IF($W221="Unknown",7,IF($W221="Configurable",3,0)))+IF($I221&gt;=10,10,IF($I221&gt;=5,7,IF($I221&gt;=2,3,0)))+IF($K221="High",10,IF($K221="Medium",5,0)))</x:f>
      </x:c>
      <x:c r="AC221" s="28" t="str">
        <x:f>IF($A221="","",IF(AB221&gt;=70,"P0 - Immediate",IF(AB221&gt;=50,"P1 - High",IF(AB221&gt;=30,"P2 - Medium",IF(AB221&gt;=15,"P3 - Low","P4 - Monitor")))))</x:f>
      </x:c>
      <x:c r="AD221" s="28"/>
      <x:c r="AE221" s="28"/>
      <x:c r="AF221" s="28"/>
      <x:c r="AG221" s="58"/>
      <x:c r="AH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56"/>
      <x:c r="J222" s="28"/>
      <x:c r="K222" s="28"/>
      <x:c r="L222" s="56"/>
      <x:c r="M222" s="28"/>
      <x:c r="N222" s="28"/>
      <x:c r="O222" s="28"/>
      <x:c r="P222" s="28"/>
      <x:c r="Q222" s="28"/>
      <x:c r="R222" s="28"/>
      <x:c r="S222" s="28"/>
      <x:c r="T222" s="28"/>
      <x:c r="U222" s="28"/>
      <x:c r="V222" s="28"/>
      <x:c r="W222" s="28"/>
      <x:c r="X222" s="28"/>
      <x:c r="Y222" s="28"/>
      <x:c r="Z222" s="28"/>
      <x:c r="AA222" s="28"/>
      <x:c r="AB222" s="56" t="str">
        <x:f>IF($A222="","",IF(Z222="Y",20,IF(Z222="Unknown",10,0))+$L222*5+IF(AA222="Y",15,IF(AA222="Unknown",5,0))+IF($J222="Public",10,IF($J222="Partner",7,IF($J222="Internal",3,0)))+IF($W222="Hard-coded",10,IF($W222="Unknown",7,IF($W222="Configurable",3,0)))+IF($I222&gt;=10,10,IF($I222&gt;=5,7,IF($I222&gt;=2,3,0)))+IF($K222="High",10,IF($K222="Medium",5,0)))</x:f>
      </x:c>
      <x:c r="AC222" s="28" t="str">
        <x:f>IF($A222="","",IF(AB222&gt;=70,"P0 - Immediate",IF(AB222&gt;=50,"P1 - High",IF(AB222&gt;=30,"P2 - Medium",IF(AB222&gt;=15,"P3 - Low","P4 - Monitor")))))</x:f>
      </x:c>
      <x:c r="AD222" s="28"/>
      <x:c r="AE222" s="28"/>
      <x:c r="AF222" s="28"/>
      <x:c r="AG222" s="58"/>
      <x:c r="AH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56"/>
      <x:c r="J223" s="28"/>
      <x:c r="K223" s="28"/>
      <x:c r="L223" s="56"/>
      <x:c r="M223" s="28"/>
      <x:c r="N223" s="28"/>
      <x:c r="O223" s="28"/>
      <x:c r="P223" s="28"/>
      <x:c r="Q223" s="28"/>
      <x:c r="R223" s="28"/>
      <x:c r="S223" s="28"/>
      <x:c r="T223" s="28"/>
      <x:c r="U223" s="28"/>
      <x:c r="V223" s="28"/>
      <x:c r="W223" s="28"/>
      <x:c r="X223" s="28"/>
      <x:c r="Y223" s="28"/>
      <x:c r="Z223" s="28"/>
      <x:c r="AA223" s="28"/>
      <x:c r="AB223" s="56" t="str">
        <x:f>IF($A223="","",IF(Z223="Y",20,IF(Z223="Unknown",10,0))+$L223*5+IF(AA223="Y",15,IF(AA223="Unknown",5,0))+IF($J223="Public",10,IF($J223="Partner",7,IF($J223="Internal",3,0)))+IF($W223="Hard-coded",10,IF($W223="Unknown",7,IF($W223="Configurable",3,0)))+IF($I223&gt;=10,10,IF($I223&gt;=5,7,IF($I223&gt;=2,3,0)))+IF($K223="High",10,IF($K223="Medium",5,0)))</x:f>
      </x:c>
      <x:c r="AC223" s="28" t="str">
        <x:f>IF($A223="","",IF(AB223&gt;=70,"P0 - Immediate",IF(AB223&gt;=50,"P1 - High",IF(AB223&gt;=30,"P2 - Medium",IF(AB223&gt;=15,"P3 - Low","P4 - Monitor")))))</x:f>
      </x:c>
      <x:c r="AD223" s="28"/>
      <x:c r="AE223" s="28"/>
      <x:c r="AF223" s="28"/>
      <x:c r="AG223" s="58"/>
      <x:c r="AH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56"/>
      <x:c r="J224" s="28"/>
      <x:c r="K224" s="28"/>
      <x:c r="L224" s="56"/>
      <x:c r="M224" s="28"/>
      <x:c r="N224" s="28"/>
      <x:c r="O224" s="28"/>
      <x:c r="P224" s="28"/>
      <x:c r="Q224" s="28"/>
      <x:c r="R224" s="28"/>
      <x:c r="S224" s="28"/>
      <x:c r="T224" s="28"/>
      <x:c r="U224" s="28"/>
      <x:c r="V224" s="28"/>
      <x:c r="W224" s="28"/>
      <x:c r="X224" s="28"/>
      <x:c r="Y224" s="28"/>
      <x:c r="Z224" s="28"/>
      <x:c r="AA224" s="28"/>
      <x:c r="AB224" s="56" t="str">
        <x:f>IF($A224="","",IF(Z224="Y",20,IF(Z224="Unknown",10,0))+$L224*5+IF(AA224="Y",15,IF(AA224="Unknown",5,0))+IF($J224="Public",10,IF($J224="Partner",7,IF($J224="Internal",3,0)))+IF($W224="Hard-coded",10,IF($W224="Unknown",7,IF($W224="Configurable",3,0)))+IF($I224&gt;=10,10,IF($I224&gt;=5,7,IF($I224&gt;=2,3,0)))+IF($K224="High",10,IF($K224="Medium",5,0)))</x:f>
      </x:c>
      <x:c r="AC224" s="28" t="str">
        <x:f>IF($A224="","",IF(AB224&gt;=70,"P0 - Immediate",IF(AB224&gt;=50,"P1 - High",IF(AB224&gt;=30,"P2 - Medium",IF(AB224&gt;=15,"P3 - Low","P4 - Monitor")))))</x:f>
      </x:c>
      <x:c r="AD224" s="28"/>
      <x:c r="AE224" s="28"/>
      <x:c r="AF224" s="28"/>
      <x:c r="AG224" s="58"/>
      <x:c r="AH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56"/>
      <x:c r="J225" s="28"/>
      <x:c r="K225" s="28"/>
      <x:c r="L225" s="56"/>
      <x:c r="M225" s="28"/>
      <x:c r="N225" s="28"/>
      <x:c r="O225" s="28"/>
      <x:c r="P225" s="28"/>
      <x:c r="Q225" s="28"/>
      <x:c r="R225" s="28"/>
      <x:c r="S225" s="28"/>
      <x:c r="T225" s="28"/>
      <x:c r="U225" s="28"/>
      <x:c r="V225" s="28"/>
      <x:c r="W225" s="28"/>
      <x:c r="X225" s="28"/>
      <x:c r="Y225" s="28"/>
      <x:c r="Z225" s="28"/>
      <x:c r="AA225" s="28"/>
      <x:c r="AB225" s="56" t="str">
        <x:f>IF($A225="","",IF(Z225="Y",20,IF(Z225="Unknown",10,0))+$L225*5+IF(AA225="Y",15,IF(AA225="Unknown",5,0))+IF($J225="Public",10,IF($J225="Partner",7,IF($J225="Internal",3,0)))+IF($W225="Hard-coded",10,IF($W225="Unknown",7,IF($W225="Configurable",3,0)))+IF($I225&gt;=10,10,IF($I225&gt;=5,7,IF($I225&gt;=2,3,0)))+IF($K225="High",10,IF($K225="Medium",5,0)))</x:f>
      </x:c>
      <x:c r="AC225" s="28" t="str">
        <x:f>IF($A225="","",IF(AB225&gt;=70,"P0 - Immediate",IF(AB225&gt;=50,"P1 - High",IF(AB225&gt;=30,"P2 - Medium",IF(AB225&gt;=15,"P3 - Low","P4 - Monitor")))))</x:f>
      </x:c>
      <x:c r="AD225" s="28"/>
      <x:c r="AE225" s="28"/>
      <x:c r="AF225" s="28"/>
      <x:c r="AG225" s="58"/>
      <x:c r="AH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56"/>
      <x:c r="J226" s="28"/>
      <x:c r="K226" s="28"/>
      <x:c r="L226" s="56"/>
      <x:c r="M226" s="28"/>
      <x:c r="N226" s="28"/>
      <x:c r="O226" s="28"/>
      <x:c r="P226" s="28"/>
      <x:c r="Q226" s="28"/>
      <x:c r="R226" s="28"/>
      <x:c r="S226" s="28"/>
      <x:c r="T226" s="28"/>
      <x:c r="U226" s="28"/>
      <x:c r="V226" s="28"/>
      <x:c r="W226" s="28"/>
      <x:c r="X226" s="28"/>
      <x:c r="Y226" s="28"/>
      <x:c r="Z226" s="28"/>
      <x:c r="AA226" s="28"/>
      <x:c r="AB226" s="56" t="str">
        <x:f>IF($A226="","",IF(Z226="Y",20,IF(Z226="Unknown",10,0))+$L226*5+IF(AA226="Y",15,IF(AA226="Unknown",5,0))+IF($J226="Public",10,IF($J226="Partner",7,IF($J226="Internal",3,0)))+IF($W226="Hard-coded",10,IF($W226="Unknown",7,IF($W226="Configurable",3,0)))+IF($I226&gt;=10,10,IF($I226&gt;=5,7,IF($I226&gt;=2,3,0)))+IF($K226="High",10,IF($K226="Medium",5,0)))</x:f>
      </x:c>
      <x:c r="AC226" s="28" t="str">
        <x:f>IF($A226="","",IF(AB226&gt;=70,"P0 - Immediate",IF(AB226&gt;=50,"P1 - High",IF(AB226&gt;=30,"P2 - Medium",IF(AB226&gt;=15,"P3 - Low","P4 - Monitor")))))</x:f>
      </x:c>
      <x:c r="AD226" s="28"/>
      <x:c r="AE226" s="28"/>
      <x:c r="AF226" s="28"/>
      <x:c r="AG226" s="58"/>
      <x:c r="AH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56"/>
      <x:c r="J227" s="28"/>
      <x:c r="K227" s="28"/>
      <x:c r="L227" s="56"/>
      <x:c r="M227" s="28"/>
      <x:c r="N227" s="28"/>
      <x:c r="O227" s="28"/>
      <x:c r="P227" s="28"/>
      <x:c r="Q227" s="28"/>
      <x:c r="R227" s="28"/>
      <x:c r="S227" s="28"/>
      <x:c r="T227" s="28"/>
      <x:c r="U227" s="28"/>
      <x:c r="V227" s="28"/>
      <x:c r="W227" s="28"/>
      <x:c r="X227" s="28"/>
      <x:c r="Y227" s="28"/>
      <x:c r="Z227" s="28"/>
      <x:c r="AA227" s="28"/>
      <x:c r="AB227" s="56" t="str">
        <x:f>IF($A227="","",IF(Z227="Y",20,IF(Z227="Unknown",10,0))+$L227*5+IF(AA227="Y",15,IF(AA227="Unknown",5,0))+IF($J227="Public",10,IF($J227="Partner",7,IF($J227="Internal",3,0)))+IF($W227="Hard-coded",10,IF($W227="Unknown",7,IF($W227="Configurable",3,0)))+IF($I227&gt;=10,10,IF($I227&gt;=5,7,IF($I227&gt;=2,3,0)))+IF($K227="High",10,IF($K227="Medium",5,0)))</x:f>
      </x:c>
      <x:c r="AC227" s="28" t="str">
        <x:f>IF($A227="","",IF(AB227&gt;=70,"P0 - Immediate",IF(AB227&gt;=50,"P1 - High",IF(AB227&gt;=30,"P2 - Medium",IF(AB227&gt;=15,"P3 - Low","P4 - Monitor")))))</x:f>
      </x:c>
      <x:c r="AD227" s="28"/>
      <x:c r="AE227" s="28"/>
      <x:c r="AF227" s="28"/>
      <x:c r="AG227" s="58"/>
      <x:c r="AH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56"/>
      <x:c r="J228" s="28"/>
      <x:c r="K228" s="28"/>
      <x:c r="L228" s="56"/>
      <x:c r="M228" s="28"/>
      <x:c r="N228" s="28"/>
      <x:c r="O228" s="28"/>
      <x:c r="P228" s="28"/>
      <x:c r="Q228" s="28"/>
      <x:c r="R228" s="28"/>
      <x:c r="S228" s="28"/>
      <x:c r="T228" s="28"/>
      <x:c r="U228" s="28"/>
      <x:c r="V228" s="28"/>
      <x:c r="W228" s="28"/>
      <x:c r="X228" s="28"/>
      <x:c r="Y228" s="28"/>
      <x:c r="Z228" s="28"/>
      <x:c r="AA228" s="28"/>
      <x:c r="AB228" s="56" t="str">
        <x:f>IF($A228="","",IF(Z228="Y",20,IF(Z228="Unknown",10,0))+$L228*5+IF(AA228="Y",15,IF(AA228="Unknown",5,0))+IF($J228="Public",10,IF($J228="Partner",7,IF($J228="Internal",3,0)))+IF($W228="Hard-coded",10,IF($W228="Unknown",7,IF($W228="Configurable",3,0)))+IF($I228&gt;=10,10,IF($I228&gt;=5,7,IF($I228&gt;=2,3,0)))+IF($K228="High",10,IF($K228="Medium",5,0)))</x:f>
      </x:c>
      <x:c r="AC228" s="28" t="str">
        <x:f>IF($A228="","",IF(AB228&gt;=70,"P0 - Immediate",IF(AB228&gt;=50,"P1 - High",IF(AB228&gt;=30,"P2 - Medium",IF(AB228&gt;=15,"P3 - Low","P4 - Monitor")))))</x:f>
      </x:c>
      <x:c r="AD228" s="28"/>
      <x:c r="AE228" s="28"/>
      <x:c r="AF228" s="28"/>
      <x:c r="AG228" s="58"/>
      <x:c r="AH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56"/>
      <x:c r="J229" s="28"/>
      <x:c r="K229" s="28"/>
      <x:c r="L229" s="56"/>
      <x:c r="M229" s="28"/>
      <x:c r="N229" s="28"/>
      <x:c r="O229" s="28"/>
      <x:c r="P229" s="28"/>
      <x:c r="Q229" s="28"/>
      <x:c r="R229" s="28"/>
      <x:c r="S229" s="28"/>
      <x:c r="T229" s="28"/>
      <x:c r="U229" s="28"/>
      <x:c r="V229" s="28"/>
      <x:c r="W229" s="28"/>
      <x:c r="X229" s="28"/>
      <x:c r="Y229" s="28"/>
      <x:c r="Z229" s="28"/>
      <x:c r="AA229" s="28"/>
      <x:c r="AB229" s="56" t="str">
        <x:f>IF($A229="","",IF(Z229="Y",20,IF(Z229="Unknown",10,0))+$L229*5+IF(AA229="Y",15,IF(AA229="Unknown",5,0))+IF($J229="Public",10,IF($J229="Partner",7,IF($J229="Internal",3,0)))+IF($W229="Hard-coded",10,IF($W229="Unknown",7,IF($W229="Configurable",3,0)))+IF($I229&gt;=10,10,IF($I229&gt;=5,7,IF($I229&gt;=2,3,0)))+IF($K229="High",10,IF($K229="Medium",5,0)))</x:f>
      </x:c>
      <x:c r="AC229" s="28" t="str">
        <x:f>IF($A229="","",IF(AB229&gt;=70,"P0 - Immediate",IF(AB229&gt;=50,"P1 - High",IF(AB229&gt;=30,"P2 - Medium",IF(AB229&gt;=15,"P3 - Low","P4 - Monitor")))))</x:f>
      </x:c>
      <x:c r="AD229" s="28"/>
      <x:c r="AE229" s="28"/>
      <x:c r="AF229" s="28"/>
      <x:c r="AG229" s="58"/>
      <x:c r="AH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56"/>
      <x:c r="J230" s="28"/>
      <x:c r="K230" s="28"/>
      <x:c r="L230" s="56"/>
      <x:c r="M230" s="28"/>
      <x:c r="N230" s="28"/>
      <x:c r="O230" s="28"/>
      <x:c r="P230" s="28"/>
      <x:c r="Q230" s="28"/>
      <x:c r="R230" s="28"/>
      <x:c r="S230" s="28"/>
      <x:c r="T230" s="28"/>
      <x:c r="U230" s="28"/>
      <x:c r="V230" s="28"/>
      <x:c r="W230" s="28"/>
      <x:c r="X230" s="28"/>
      <x:c r="Y230" s="28"/>
      <x:c r="Z230" s="28"/>
      <x:c r="AA230" s="28"/>
      <x:c r="AB230" s="56" t="str">
        <x:f>IF($A230="","",IF(Z230="Y",20,IF(Z230="Unknown",10,0))+$L230*5+IF(AA230="Y",15,IF(AA230="Unknown",5,0))+IF($J230="Public",10,IF($J230="Partner",7,IF($J230="Internal",3,0)))+IF($W230="Hard-coded",10,IF($W230="Unknown",7,IF($W230="Configurable",3,0)))+IF($I230&gt;=10,10,IF($I230&gt;=5,7,IF($I230&gt;=2,3,0)))+IF($K230="High",10,IF($K230="Medium",5,0)))</x:f>
      </x:c>
      <x:c r="AC230" s="28" t="str">
        <x:f>IF($A230="","",IF(AB230&gt;=70,"P0 - Immediate",IF(AB230&gt;=50,"P1 - High",IF(AB230&gt;=30,"P2 - Medium",IF(AB230&gt;=15,"P3 - Low","P4 - Monitor")))))</x:f>
      </x:c>
      <x:c r="AD230" s="28"/>
      <x:c r="AE230" s="28"/>
      <x:c r="AF230" s="28"/>
      <x:c r="AG230" s="58"/>
      <x:c r="AH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56"/>
      <x:c r="J231" s="28"/>
      <x:c r="K231" s="28"/>
      <x:c r="L231" s="56"/>
      <x:c r="M231" s="28"/>
      <x:c r="N231" s="28"/>
      <x:c r="O231" s="28"/>
      <x:c r="P231" s="28"/>
      <x:c r="Q231" s="28"/>
      <x:c r="R231" s="28"/>
      <x:c r="S231" s="28"/>
      <x:c r="T231" s="28"/>
      <x:c r="U231" s="28"/>
      <x:c r="V231" s="28"/>
      <x:c r="W231" s="28"/>
      <x:c r="X231" s="28"/>
      <x:c r="Y231" s="28"/>
      <x:c r="Z231" s="28"/>
      <x:c r="AA231" s="28"/>
      <x:c r="AB231" s="56" t="str">
        <x:f>IF($A231="","",IF(Z231="Y",20,IF(Z231="Unknown",10,0))+$L231*5+IF(AA231="Y",15,IF(AA231="Unknown",5,0))+IF($J231="Public",10,IF($J231="Partner",7,IF($J231="Internal",3,0)))+IF($W231="Hard-coded",10,IF($W231="Unknown",7,IF($W231="Configurable",3,0)))+IF($I231&gt;=10,10,IF($I231&gt;=5,7,IF($I231&gt;=2,3,0)))+IF($K231="High",10,IF($K231="Medium",5,0)))</x:f>
      </x:c>
      <x:c r="AC231" s="28" t="str">
        <x:f>IF($A231="","",IF(AB231&gt;=70,"P0 - Immediate",IF(AB231&gt;=50,"P1 - High",IF(AB231&gt;=30,"P2 - Medium",IF(AB231&gt;=15,"P3 - Low","P4 - Monitor")))))</x:f>
      </x:c>
      <x:c r="AD231" s="28"/>
      <x:c r="AE231" s="28"/>
      <x:c r="AF231" s="28"/>
      <x:c r="AG231" s="58"/>
      <x:c r="AH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56"/>
      <x:c r="J232" s="28"/>
      <x:c r="K232" s="28"/>
      <x:c r="L232" s="56"/>
      <x:c r="M232" s="28"/>
      <x:c r="N232" s="28"/>
      <x:c r="O232" s="28"/>
      <x:c r="P232" s="28"/>
      <x:c r="Q232" s="28"/>
      <x:c r="R232" s="28"/>
      <x:c r="S232" s="28"/>
      <x:c r="T232" s="28"/>
      <x:c r="U232" s="28"/>
      <x:c r="V232" s="28"/>
      <x:c r="W232" s="28"/>
      <x:c r="X232" s="28"/>
      <x:c r="Y232" s="28"/>
      <x:c r="Z232" s="28"/>
      <x:c r="AA232" s="28"/>
      <x:c r="AB232" s="56" t="str">
        <x:f>IF($A232="","",IF(Z232="Y",20,IF(Z232="Unknown",10,0))+$L232*5+IF(AA232="Y",15,IF(AA232="Unknown",5,0))+IF($J232="Public",10,IF($J232="Partner",7,IF($J232="Internal",3,0)))+IF($W232="Hard-coded",10,IF($W232="Unknown",7,IF($W232="Configurable",3,0)))+IF($I232&gt;=10,10,IF($I232&gt;=5,7,IF($I232&gt;=2,3,0)))+IF($K232="High",10,IF($K232="Medium",5,0)))</x:f>
      </x:c>
      <x:c r="AC232" s="28" t="str">
        <x:f>IF($A232="","",IF(AB232&gt;=70,"P0 - Immediate",IF(AB232&gt;=50,"P1 - High",IF(AB232&gt;=30,"P2 - Medium",IF(AB232&gt;=15,"P3 - Low","P4 - Monitor")))))</x:f>
      </x:c>
      <x:c r="AD232" s="28"/>
      <x:c r="AE232" s="28"/>
      <x:c r="AF232" s="28"/>
      <x:c r="AG232" s="58"/>
      <x:c r="AH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56"/>
      <x:c r="J233" s="28"/>
      <x:c r="K233" s="28"/>
      <x:c r="L233" s="56"/>
      <x:c r="M233" s="28"/>
      <x:c r="N233" s="28"/>
      <x:c r="O233" s="28"/>
      <x:c r="P233" s="28"/>
      <x:c r="Q233" s="28"/>
      <x:c r="R233" s="28"/>
      <x:c r="S233" s="28"/>
      <x:c r="T233" s="28"/>
      <x:c r="U233" s="28"/>
      <x:c r="V233" s="28"/>
      <x:c r="W233" s="28"/>
      <x:c r="X233" s="28"/>
      <x:c r="Y233" s="28"/>
      <x:c r="Z233" s="28"/>
      <x:c r="AA233" s="28"/>
      <x:c r="AB233" s="56" t="str">
        <x:f>IF($A233="","",IF(Z233="Y",20,IF(Z233="Unknown",10,0))+$L233*5+IF(AA233="Y",15,IF(AA233="Unknown",5,0))+IF($J233="Public",10,IF($J233="Partner",7,IF($J233="Internal",3,0)))+IF($W233="Hard-coded",10,IF($W233="Unknown",7,IF($W233="Configurable",3,0)))+IF($I233&gt;=10,10,IF($I233&gt;=5,7,IF($I233&gt;=2,3,0)))+IF($K233="High",10,IF($K233="Medium",5,0)))</x:f>
      </x:c>
      <x:c r="AC233" s="28" t="str">
        <x:f>IF($A233="","",IF(AB233&gt;=70,"P0 - Immediate",IF(AB233&gt;=50,"P1 - High",IF(AB233&gt;=30,"P2 - Medium",IF(AB233&gt;=15,"P3 - Low","P4 - Monitor")))))</x:f>
      </x:c>
      <x:c r="AD233" s="28"/>
      <x:c r="AE233" s="28"/>
      <x:c r="AF233" s="28"/>
      <x:c r="AG233" s="58"/>
      <x:c r="AH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56"/>
      <x:c r="J234" s="28"/>
      <x:c r="K234" s="28"/>
      <x:c r="L234" s="56"/>
      <x:c r="M234" s="28"/>
      <x:c r="N234" s="28"/>
      <x:c r="O234" s="28"/>
      <x:c r="P234" s="28"/>
      <x:c r="Q234" s="28"/>
      <x:c r="R234" s="28"/>
      <x:c r="S234" s="28"/>
      <x:c r="T234" s="28"/>
      <x:c r="U234" s="28"/>
      <x:c r="V234" s="28"/>
      <x:c r="W234" s="28"/>
      <x:c r="X234" s="28"/>
      <x:c r="Y234" s="28"/>
      <x:c r="Z234" s="28"/>
      <x:c r="AA234" s="28"/>
      <x:c r="AB234" s="56" t="str">
        <x:f>IF($A234="","",IF(Z234="Y",20,IF(Z234="Unknown",10,0))+$L234*5+IF(AA234="Y",15,IF(AA234="Unknown",5,0))+IF($J234="Public",10,IF($J234="Partner",7,IF($J234="Internal",3,0)))+IF($W234="Hard-coded",10,IF($W234="Unknown",7,IF($W234="Configurable",3,0)))+IF($I234&gt;=10,10,IF($I234&gt;=5,7,IF($I234&gt;=2,3,0)))+IF($K234="High",10,IF($K234="Medium",5,0)))</x:f>
      </x:c>
      <x:c r="AC234" s="28" t="str">
        <x:f>IF($A234="","",IF(AB234&gt;=70,"P0 - Immediate",IF(AB234&gt;=50,"P1 - High",IF(AB234&gt;=30,"P2 - Medium",IF(AB234&gt;=15,"P3 - Low","P4 - Monitor")))))</x:f>
      </x:c>
      <x:c r="AD234" s="28"/>
      <x:c r="AE234" s="28"/>
      <x:c r="AF234" s="28"/>
      <x:c r="AG234" s="58"/>
      <x:c r="AH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56"/>
      <x:c r="J235" s="28"/>
      <x:c r="K235" s="28"/>
      <x:c r="L235" s="56"/>
      <x:c r="M235" s="28"/>
      <x:c r="N235" s="28"/>
      <x:c r="O235" s="28"/>
      <x:c r="P235" s="28"/>
      <x:c r="Q235" s="28"/>
      <x:c r="R235" s="28"/>
      <x:c r="S235" s="28"/>
      <x:c r="T235" s="28"/>
      <x:c r="U235" s="28"/>
      <x:c r="V235" s="28"/>
      <x:c r="W235" s="28"/>
      <x:c r="X235" s="28"/>
      <x:c r="Y235" s="28"/>
      <x:c r="Z235" s="28"/>
      <x:c r="AA235" s="28"/>
      <x:c r="AB235" s="56" t="str">
        <x:f>IF($A235="","",IF(Z235="Y",20,IF(Z235="Unknown",10,0))+$L235*5+IF(AA235="Y",15,IF(AA235="Unknown",5,0))+IF($J235="Public",10,IF($J235="Partner",7,IF($J235="Internal",3,0)))+IF($W235="Hard-coded",10,IF($W235="Unknown",7,IF($W235="Configurable",3,0)))+IF($I235&gt;=10,10,IF($I235&gt;=5,7,IF($I235&gt;=2,3,0)))+IF($K235="High",10,IF($K235="Medium",5,0)))</x:f>
      </x:c>
      <x:c r="AC235" s="28" t="str">
        <x:f>IF($A235="","",IF(AB235&gt;=70,"P0 - Immediate",IF(AB235&gt;=50,"P1 - High",IF(AB235&gt;=30,"P2 - Medium",IF(AB235&gt;=15,"P3 - Low","P4 - Monitor")))))</x:f>
      </x:c>
      <x:c r="AD235" s="28"/>
      <x:c r="AE235" s="28"/>
      <x:c r="AF235" s="28"/>
      <x:c r="AG235" s="58"/>
      <x:c r="AH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56"/>
      <x:c r="J236" s="28"/>
      <x:c r="K236" s="28"/>
      <x:c r="L236" s="56"/>
      <x:c r="M236" s="28"/>
      <x:c r="N236" s="28"/>
      <x:c r="O236" s="28"/>
      <x:c r="P236" s="28"/>
      <x:c r="Q236" s="28"/>
      <x:c r="R236" s="28"/>
      <x:c r="S236" s="28"/>
      <x:c r="T236" s="28"/>
      <x:c r="U236" s="28"/>
      <x:c r="V236" s="28"/>
      <x:c r="W236" s="28"/>
      <x:c r="X236" s="28"/>
      <x:c r="Y236" s="28"/>
      <x:c r="Z236" s="28"/>
      <x:c r="AA236" s="28"/>
      <x:c r="AB236" s="56" t="str">
        <x:f>IF($A236="","",IF(Z236="Y",20,IF(Z236="Unknown",10,0))+$L236*5+IF(AA236="Y",15,IF(AA236="Unknown",5,0))+IF($J236="Public",10,IF($J236="Partner",7,IF($J236="Internal",3,0)))+IF($W236="Hard-coded",10,IF($W236="Unknown",7,IF($W236="Configurable",3,0)))+IF($I236&gt;=10,10,IF($I236&gt;=5,7,IF($I236&gt;=2,3,0)))+IF($K236="High",10,IF($K236="Medium",5,0)))</x:f>
      </x:c>
      <x:c r="AC236" s="28" t="str">
        <x:f>IF($A236="","",IF(AB236&gt;=70,"P0 - Immediate",IF(AB236&gt;=50,"P1 - High",IF(AB236&gt;=30,"P2 - Medium",IF(AB236&gt;=15,"P3 - Low","P4 - Monitor")))))</x:f>
      </x:c>
      <x:c r="AD236" s="28"/>
      <x:c r="AE236" s="28"/>
      <x:c r="AF236" s="28"/>
      <x:c r="AG236" s="58"/>
      <x:c r="AH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56"/>
      <x:c r="J237" s="28"/>
      <x:c r="K237" s="28"/>
      <x:c r="L237" s="56"/>
      <x:c r="M237" s="28"/>
      <x:c r="N237" s="28"/>
      <x:c r="O237" s="28"/>
      <x:c r="P237" s="28"/>
      <x:c r="Q237" s="28"/>
      <x:c r="R237" s="28"/>
      <x:c r="S237" s="28"/>
      <x:c r="T237" s="28"/>
      <x:c r="U237" s="28"/>
      <x:c r="V237" s="28"/>
      <x:c r="W237" s="28"/>
      <x:c r="X237" s="28"/>
      <x:c r="Y237" s="28"/>
      <x:c r="Z237" s="28"/>
      <x:c r="AA237" s="28"/>
      <x:c r="AB237" s="56" t="str">
        <x:f>IF($A237="","",IF(Z237="Y",20,IF(Z237="Unknown",10,0))+$L237*5+IF(AA237="Y",15,IF(AA237="Unknown",5,0))+IF($J237="Public",10,IF($J237="Partner",7,IF($J237="Internal",3,0)))+IF($W237="Hard-coded",10,IF($W237="Unknown",7,IF($W237="Configurable",3,0)))+IF($I237&gt;=10,10,IF($I237&gt;=5,7,IF($I237&gt;=2,3,0)))+IF($K237="High",10,IF($K237="Medium",5,0)))</x:f>
      </x:c>
      <x:c r="AC237" s="28" t="str">
        <x:f>IF($A237="","",IF(AB237&gt;=70,"P0 - Immediate",IF(AB237&gt;=50,"P1 - High",IF(AB237&gt;=30,"P2 - Medium",IF(AB237&gt;=15,"P3 - Low","P4 - Monitor")))))</x:f>
      </x:c>
      <x:c r="AD237" s="28"/>
      <x:c r="AE237" s="28"/>
      <x:c r="AF237" s="28"/>
      <x:c r="AG237" s="58"/>
      <x:c r="AH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56"/>
      <x:c r="J238" s="28"/>
      <x:c r="K238" s="28"/>
      <x:c r="L238" s="56"/>
      <x:c r="M238" s="28"/>
      <x:c r="N238" s="28"/>
      <x:c r="O238" s="28"/>
      <x:c r="P238" s="28"/>
      <x:c r="Q238" s="28"/>
      <x:c r="R238" s="28"/>
      <x:c r="S238" s="28"/>
      <x:c r="T238" s="28"/>
      <x:c r="U238" s="28"/>
      <x:c r="V238" s="28"/>
      <x:c r="W238" s="28"/>
      <x:c r="X238" s="28"/>
      <x:c r="Y238" s="28"/>
      <x:c r="Z238" s="28"/>
      <x:c r="AA238" s="28"/>
      <x:c r="AB238" s="56" t="str">
        <x:f>IF($A238="","",IF(Z238="Y",20,IF(Z238="Unknown",10,0))+$L238*5+IF(AA238="Y",15,IF(AA238="Unknown",5,0))+IF($J238="Public",10,IF($J238="Partner",7,IF($J238="Internal",3,0)))+IF($W238="Hard-coded",10,IF($W238="Unknown",7,IF($W238="Configurable",3,0)))+IF($I238&gt;=10,10,IF($I238&gt;=5,7,IF($I238&gt;=2,3,0)))+IF($K238="High",10,IF($K238="Medium",5,0)))</x:f>
      </x:c>
      <x:c r="AC238" s="28" t="str">
        <x:f>IF($A238="","",IF(AB238&gt;=70,"P0 - Immediate",IF(AB238&gt;=50,"P1 - High",IF(AB238&gt;=30,"P2 - Medium",IF(AB238&gt;=15,"P3 - Low","P4 - Monitor")))))</x:f>
      </x:c>
      <x:c r="AD238" s="28"/>
      <x:c r="AE238" s="28"/>
      <x:c r="AF238" s="28"/>
      <x:c r="AG238" s="58"/>
      <x:c r="AH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56"/>
      <x:c r="J239" s="28"/>
      <x:c r="K239" s="28"/>
      <x:c r="L239" s="56"/>
      <x:c r="M239" s="28"/>
      <x:c r="N239" s="28"/>
      <x:c r="O239" s="28"/>
      <x:c r="P239" s="28"/>
      <x:c r="Q239" s="28"/>
      <x:c r="R239" s="28"/>
      <x:c r="S239" s="28"/>
      <x:c r="T239" s="28"/>
      <x:c r="U239" s="28"/>
      <x:c r="V239" s="28"/>
      <x:c r="W239" s="28"/>
      <x:c r="X239" s="28"/>
      <x:c r="Y239" s="28"/>
      <x:c r="Z239" s="28"/>
      <x:c r="AA239" s="28"/>
      <x:c r="AB239" s="56" t="str">
        <x:f>IF($A239="","",IF(Z239="Y",20,IF(Z239="Unknown",10,0))+$L239*5+IF(AA239="Y",15,IF(AA239="Unknown",5,0))+IF($J239="Public",10,IF($J239="Partner",7,IF($J239="Internal",3,0)))+IF($W239="Hard-coded",10,IF($W239="Unknown",7,IF($W239="Configurable",3,0)))+IF($I239&gt;=10,10,IF($I239&gt;=5,7,IF($I239&gt;=2,3,0)))+IF($K239="High",10,IF($K239="Medium",5,0)))</x:f>
      </x:c>
      <x:c r="AC239" s="28" t="str">
        <x:f>IF($A239="","",IF(AB239&gt;=70,"P0 - Immediate",IF(AB239&gt;=50,"P1 - High",IF(AB239&gt;=30,"P2 - Medium",IF(AB239&gt;=15,"P3 - Low","P4 - Monitor")))))</x:f>
      </x:c>
      <x:c r="AD239" s="28"/>
      <x:c r="AE239" s="28"/>
      <x:c r="AF239" s="28"/>
      <x:c r="AG239" s="58"/>
      <x:c r="AH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56"/>
      <x:c r="J240" s="28"/>
      <x:c r="K240" s="28"/>
      <x:c r="L240" s="56"/>
      <x:c r="M240" s="28"/>
      <x:c r="N240" s="28"/>
      <x:c r="O240" s="28"/>
      <x:c r="P240" s="28"/>
      <x:c r="Q240" s="28"/>
      <x:c r="R240" s="28"/>
      <x:c r="S240" s="28"/>
      <x:c r="T240" s="28"/>
      <x:c r="U240" s="28"/>
      <x:c r="V240" s="28"/>
      <x:c r="W240" s="28"/>
      <x:c r="X240" s="28"/>
      <x:c r="Y240" s="28"/>
      <x:c r="Z240" s="28"/>
      <x:c r="AA240" s="28"/>
      <x:c r="AB240" s="56" t="str">
        <x:f>IF($A240="","",IF(Z240="Y",20,IF(Z240="Unknown",10,0))+$L240*5+IF(AA240="Y",15,IF(AA240="Unknown",5,0))+IF($J240="Public",10,IF($J240="Partner",7,IF($J240="Internal",3,0)))+IF($W240="Hard-coded",10,IF($W240="Unknown",7,IF($W240="Configurable",3,0)))+IF($I240&gt;=10,10,IF($I240&gt;=5,7,IF($I240&gt;=2,3,0)))+IF($K240="High",10,IF($K240="Medium",5,0)))</x:f>
      </x:c>
      <x:c r="AC240" s="28" t="str">
        <x:f>IF($A240="","",IF(AB240&gt;=70,"P0 - Immediate",IF(AB240&gt;=50,"P1 - High",IF(AB240&gt;=30,"P2 - Medium",IF(AB240&gt;=15,"P3 - Low","P4 - Monitor")))))</x:f>
      </x:c>
      <x:c r="AD240" s="28"/>
      <x:c r="AE240" s="28"/>
      <x:c r="AF240" s="28"/>
      <x:c r="AG240" s="58"/>
      <x:c r="AH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56"/>
      <x:c r="J241" s="28"/>
      <x:c r="K241" s="28"/>
      <x:c r="L241" s="56"/>
      <x:c r="M241" s="28"/>
      <x:c r="N241" s="28"/>
      <x:c r="O241" s="28"/>
      <x:c r="P241" s="28"/>
      <x:c r="Q241" s="28"/>
      <x:c r="R241" s="28"/>
      <x:c r="S241" s="28"/>
      <x:c r="T241" s="28"/>
      <x:c r="U241" s="28"/>
      <x:c r="V241" s="28"/>
      <x:c r="W241" s="28"/>
      <x:c r="X241" s="28"/>
      <x:c r="Y241" s="28"/>
      <x:c r="Z241" s="28"/>
      <x:c r="AA241" s="28"/>
      <x:c r="AB241" s="56" t="str">
        <x:f>IF($A241="","",IF(Z241="Y",20,IF(Z241="Unknown",10,0))+$L241*5+IF(AA241="Y",15,IF(AA241="Unknown",5,0))+IF($J241="Public",10,IF($J241="Partner",7,IF($J241="Internal",3,0)))+IF($W241="Hard-coded",10,IF($W241="Unknown",7,IF($W241="Configurable",3,0)))+IF($I241&gt;=10,10,IF($I241&gt;=5,7,IF($I241&gt;=2,3,0)))+IF($K241="High",10,IF($K241="Medium",5,0)))</x:f>
      </x:c>
      <x:c r="AC241" s="28" t="str">
        <x:f>IF($A241="","",IF(AB241&gt;=70,"P0 - Immediate",IF(AB241&gt;=50,"P1 - High",IF(AB241&gt;=30,"P2 - Medium",IF(AB241&gt;=15,"P3 - Low","P4 - Monitor")))))</x:f>
      </x:c>
      <x:c r="AD241" s="28"/>
      <x:c r="AE241" s="28"/>
      <x:c r="AF241" s="28"/>
      <x:c r="AG241" s="58"/>
      <x:c r="AH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56"/>
      <x:c r="J242" s="28"/>
      <x:c r="K242" s="28"/>
      <x:c r="L242" s="56"/>
      <x:c r="M242" s="28"/>
      <x:c r="N242" s="28"/>
      <x:c r="O242" s="28"/>
      <x:c r="P242" s="28"/>
      <x:c r="Q242" s="28"/>
      <x:c r="R242" s="28"/>
      <x:c r="S242" s="28"/>
      <x:c r="T242" s="28"/>
      <x:c r="U242" s="28"/>
      <x:c r="V242" s="28"/>
      <x:c r="W242" s="28"/>
      <x:c r="X242" s="28"/>
      <x:c r="Y242" s="28"/>
      <x:c r="Z242" s="28"/>
      <x:c r="AA242" s="28"/>
      <x:c r="AB242" s="56" t="str">
        <x:f>IF($A242="","",IF(Z242="Y",20,IF(Z242="Unknown",10,0))+$L242*5+IF(AA242="Y",15,IF(AA242="Unknown",5,0))+IF($J242="Public",10,IF($J242="Partner",7,IF($J242="Internal",3,0)))+IF($W242="Hard-coded",10,IF($W242="Unknown",7,IF($W242="Configurable",3,0)))+IF($I242&gt;=10,10,IF($I242&gt;=5,7,IF($I242&gt;=2,3,0)))+IF($K242="High",10,IF($K242="Medium",5,0)))</x:f>
      </x:c>
      <x:c r="AC242" s="28" t="str">
        <x:f>IF($A242="","",IF(AB242&gt;=70,"P0 - Immediate",IF(AB242&gt;=50,"P1 - High",IF(AB242&gt;=30,"P2 - Medium",IF(AB242&gt;=15,"P3 - Low","P4 - Monitor")))))</x:f>
      </x:c>
      <x:c r="AD242" s="28"/>
      <x:c r="AE242" s="28"/>
      <x:c r="AF242" s="28"/>
      <x:c r="AG242" s="58"/>
      <x:c r="AH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56"/>
      <x:c r="J243" s="28"/>
      <x:c r="K243" s="28"/>
      <x:c r="L243" s="56"/>
      <x:c r="M243" s="28"/>
      <x:c r="N243" s="28"/>
      <x:c r="O243" s="28"/>
      <x:c r="P243" s="28"/>
      <x:c r="Q243" s="28"/>
      <x:c r="R243" s="28"/>
      <x:c r="S243" s="28"/>
      <x:c r="T243" s="28"/>
      <x:c r="U243" s="28"/>
      <x:c r="V243" s="28"/>
      <x:c r="W243" s="28"/>
      <x:c r="X243" s="28"/>
      <x:c r="Y243" s="28"/>
      <x:c r="Z243" s="28"/>
      <x:c r="AA243" s="28"/>
      <x:c r="AB243" s="56" t="str">
        <x:f>IF($A243="","",IF(Z243="Y",20,IF(Z243="Unknown",10,0))+$L243*5+IF(AA243="Y",15,IF(AA243="Unknown",5,0))+IF($J243="Public",10,IF($J243="Partner",7,IF($J243="Internal",3,0)))+IF($W243="Hard-coded",10,IF($W243="Unknown",7,IF($W243="Configurable",3,0)))+IF($I243&gt;=10,10,IF($I243&gt;=5,7,IF($I243&gt;=2,3,0)))+IF($K243="High",10,IF($K243="Medium",5,0)))</x:f>
      </x:c>
      <x:c r="AC243" s="28" t="str">
        <x:f>IF($A243="","",IF(AB243&gt;=70,"P0 - Immediate",IF(AB243&gt;=50,"P1 - High",IF(AB243&gt;=30,"P2 - Medium",IF(AB243&gt;=15,"P3 - Low","P4 - Monitor")))))</x:f>
      </x:c>
      <x:c r="AD243" s="28"/>
      <x:c r="AE243" s="28"/>
      <x:c r="AF243" s="28"/>
      <x:c r="AG243" s="58"/>
      <x:c r="AH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56"/>
      <x:c r="J244" s="28"/>
      <x:c r="K244" s="28"/>
      <x:c r="L244" s="56"/>
      <x:c r="M244" s="28"/>
      <x:c r="N244" s="28"/>
      <x:c r="O244" s="28"/>
      <x:c r="P244" s="28"/>
      <x:c r="Q244" s="28"/>
      <x:c r="R244" s="28"/>
      <x:c r="S244" s="28"/>
      <x:c r="T244" s="28"/>
      <x:c r="U244" s="28"/>
      <x:c r="V244" s="28"/>
      <x:c r="W244" s="28"/>
      <x:c r="X244" s="28"/>
      <x:c r="Y244" s="28"/>
      <x:c r="Z244" s="28"/>
      <x:c r="AA244" s="28"/>
      <x:c r="AB244" s="56" t="str">
        <x:f>IF($A244="","",IF(Z244="Y",20,IF(Z244="Unknown",10,0))+$L244*5+IF(AA244="Y",15,IF(AA244="Unknown",5,0))+IF($J244="Public",10,IF($J244="Partner",7,IF($J244="Internal",3,0)))+IF($W244="Hard-coded",10,IF($W244="Unknown",7,IF($W244="Configurable",3,0)))+IF($I244&gt;=10,10,IF($I244&gt;=5,7,IF($I244&gt;=2,3,0)))+IF($K244="High",10,IF($K244="Medium",5,0)))</x:f>
      </x:c>
      <x:c r="AC244" s="28" t="str">
        <x:f>IF($A244="","",IF(AB244&gt;=70,"P0 - Immediate",IF(AB244&gt;=50,"P1 - High",IF(AB244&gt;=30,"P2 - Medium",IF(AB244&gt;=15,"P3 - Low","P4 - Monitor")))))</x:f>
      </x:c>
      <x:c r="AD244" s="28"/>
      <x:c r="AE244" s="28"/>
      <x:c r="AF244" s="28"/>
      <x:c r="AG244" s="58"/>
      <x:c r="AH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56"/>
      <x:c r="J245" s="28"/>
      <x:c r="K245" s="28"/>
      <x:c r="L245" s="56"/>
      <x:c r="M245" s="28"/>
      <x:c r="N245" s="28"/>
      <x:c r="O245" s="28"/>
      <x:c r="P245" s="28"/>
      <x:c r="Q245" s="28"/>
      <x:c r="R245" s="28"/>
      <x:c r="S245" s="28"/>
      <x:c r="T245" s="28"/>
      <x:c r="U245" s="28"/>
      <x:c r="V245" s="28"/>
      <x:c r="W245" s="28"/>
      <x:c r="X245" s="28"/>
      <x:c r="Y245" s="28"/>
      <x:c r="Z245" s="28"/>
      <x:c r="AA245" s="28"/>
      <x:c r="AB245" s="56" t="str">
        <x:f>IF($A245="","",IF(Z245="Y",20,IF(Z245="Unknown",10,0))+$L245*5+IF(AA245="Y",15,IF(AA245="Unknown",5,0))+IF($J245="Public",10,IF($J245="Partner",7,IF($J245="Internal",3,0)))+IF($W245="Hard-coded",10,IF($W245="Unknown",7,IF($W245="Configurable",3,0)))+IF($I245&gt;=10,10,IF($I245&gt;=5,7,IF($I245&gt;=2,3,0)))+IF($K245="High",10,IF($K245="Medium",5,0)))</x:f>
      </x:c>
      <x:c r="AC245" s="28" t="str">
        <x:f>IF($A245="","",IF(AB245&gt;=70,"P0 - Immediate",IF(AB245&gt;=50,"P1 - High",IF(AB245&gt;=30,"P2 - Medium",IF(AB245&gt;=15,"P3 - Low","P4 - Monitor")))))</x:f>
      </x:c>
      <x:c r="AD245" s="28"/>
      <x:c r="AE245" s="28"/>
      <x:c r="AF245" s="28"/>
      <x:c r="AG245" s="58"/>
      <x:c r="AH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56"/>
      <x:c r="J246" s="28"/>
      <x:c r="K246" s="28"/>
      <x:c r="L246" s="56"/>
      <x:c r="M246" s="28"/>
      <x:c r="N246" s="28"/>
      <x:c r="O246" s="28"/>
      <x:c r="P246" s="28"/>
      <x:c r="Q246" s="28"/>
      <x:c r="R246" s="28"/>
      <x:c r="S246" s="28"/>
      <x:c r="T246" s="28"/>
      <x:c r="U246" s="28"/>
      <x:c r="V246" s="28"/>
      <x:c r="W246" s="28"/>
      <x:c r="X246" s="28"/>
      <x:c r="Y246" s="28"/>
      <x:c r="Z246" s="28"/>
      <x:c r="AA246" s="28"/>
      <x:c r="AB246" s="56" t="str">
        <x:f>IF($A246="","",IF(Z246="Y",20,IF(Z246="Unknown",10,0))+$L246*5+IF(AA246="Y",15,IF(AA246="Unknown",5,0))+IF($J246="Public",10,IF($J246="Partner",7,IF($J246="Internal",3,0)))+IF($W246="Hard-coded",10,IF($W246="Unknown",7,IF($W246="Configurable",3,0)))+IF($I246&gt;=10,10,IF($I246&gt;=5,7,IF($I246&gt;=2,3,0)))+IF($K246="High",10,IF($K246="Medium",5,0)))</x:f>
      </x:c>
      <x:c r="AC246" s="28" t="str">
        <x:f>IF($A246="","",IF(AB246&gt;=70,"P0 - Immediate",IF(AB246&gt;=50,"P1 - High",IF(AB246&gt;=30,"P2 - Medium",IF(AB246&gt;=15,"P3 - Low","P4 - Monitor")))))</x:f>
      </x:c>
      <x:c r="AD246" s="28"/>
      <x:c r="AE246" s="28"/>
      <x:c r="AF246" s="28"/>
      <x:c r="AG246" s="58"/>
      <x:c r="AH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56"/>
      <x:c r="J247" s="28"/>
      <x:c r="K247" s="28"/>
      <x:c r="L247" s="56"/>
      <x:c r="M247" s="28"/>
      <x:c r="N247" s="28"/>
      <x:c r="O247" s="28"/>
      <x:c r="P247" s="28"/>
      <x:c r="Q247" s="28"/>
      <x:c r="R247" s="28"/>
      <x:c r="S247" s="28"/>
      <x:c r="T247" s="28"/>
      <x:c r="U247" s="28"/>
      <x:c r="V247" s="28"/>
      <x:c r="W247" s="28"/>
      <x:c r="X247" s="28"/>
      <x:c r="Y247" s="28"/>
      <x:c r="Z247" s="28"/>
      <x:c r="AA247" s="28"/>
      <x:c r="AB247" s="56" t="str">
        <x:f>IF($A247="","",IF(Z247="Y",20,IF(Z247="Unknown",10,0))+$L247*5+IF(AA247="Y",15,IF(AA247="Unknown",5,0))+IF($J247="Public",10,IF($J247="Partner",7,IF($J247="Internal",3,0)))+IF($W247="Hard-coded",10,IF($W247="Unknown",7,IF($W247="Configurable",3,0)))+IF($I247&gt;=10,10,IF($I247&gt;=5,7,IF($I247&gt;=2,3,0)))+IF($K247="High",10,IF($K247="Medium",5,0)))</x:f>
      </x:c>
      <x:c r="AC247" s="28" t="str">
        <x:f>IF($A247="","",IF(AB247&gt;=70,"P0 - Immediate",IF(AB247&gt;=50,"P1 - High",IF(AB247&gt;=30,"P2 - Medium",IF(AB247&gt;=15,"P3 - Low","P4 - Monitor")))))</x:f>
      </x:c>
      <x:c r="AD247" s="28"/>
      <x:c r="AE247" s="28"/>
      <x:c r="AF247" s="28"/>
      <x:c r="AG247" s="58"/>
      <x:c r="AH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56"/>
      <x:c r="J248" s="28"/>
      <x:c r="K248" s="28"/>
      <x:c r="L248" s="56"/>
      <x:c r="M248" s="28"/>
      <x:c r="N248" s="28"/>
      <x:c r="O248" s="28"/>
      <x:c r="P248" s="28"/>
      <x:c r="Q248" s="28"/>
      <x:c r="R248" s="28"/>
      <x:c r="S248" s="28"/>
      <x:c r="T248" s="28"/>
      <x:c r="U248" s="28"/>
      <x:c r="V248" s="28"/>
      <x:c r="W248" s="28"/>
      <x:c r="X248" s="28"/>
      <x:c r="Y248" s="28"/>
      <x:c r="Z248" s="28"/>
      <x:c r="AA248" s="28"/>
      <x:c r="AB248" s="56" t="str">
        <x:f>IF($A248="","",IF(Z248="Y",20,IF(Z248="Unknown",10,0))+$L248*5+IF(AA248="Y",15,IF(AA248="Unknown",5,0))+IF($J248="Public",10,IF($J248="Partner",7,IF($J248="Internal",3,0)))+IF($W248="Hard-coded",10,IF($W248="Unknown",7,IF($W248="Configurable",3,0)))+IF($I248&gt;=10,10,IF($I248&gt;=5,7,IF($I248&gt;=2,3,0)))+IF($K248="High",10,IF($K248="Medium",5,0)))</x:f>
      </x:c>
      <x:c r="AC248" s="28" t="str">
        <x:f>IF($A248="","",IF(AB248&gt;=70,"P0 - Immediate",IF(AB248&gt;=50,"P1 - High",IF(AB248&gt;=30,"P2 - Medium",IF(AB248&gt;=15,"P3 - Low","P4 - Monitor")))))</x:f>
      </x:c>
      <x:c r="AD248" s="28"/>
      <x:c r="AE248" s="28"/>
      <x:c r="AF248" s="28"/>
      <x:c r="AG248" s="58"/>
      <x:c r="AH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56"/>
      <x:c r="J249" s="28"/>
      <x:c r="K249" s="28"/>
      <x:c r="L249" s="56"/>
      <x:c r="M249" s="28"/>
      <x:c r="N249" s="28"/>
      <x:c r="O249" s="28"/>
      <x:c r="P249" s="28"/>
      <x:c r="Q249" s="28"/>
      <x:c r="R249" s="28"/>
      <x:c r="S249" s="28"/>
      <x:c r="T249" s="28"/>
      <x:c r="U249" s="28"/>
      <x:c r="V249" s="28"/>
      <x:c r="W249" s="28"/>
      <x:c r="X249" s="28"/>
      <x:c r="Y249" s="28"/>
      <x:c r="Z249" s="28"/>
      <x:c r="AA249" s="28"/>
      <x:c r="AB249" s="56" t="str">
        <x:f>IF($A249="","",IF(Z249="Y",20,IF(Z249="Unknown",10,0))+$L249*5+IF(AA249="Y",15,IF(AA249="Unknown",5,0))+IF($J249="Public",10,IF($J249="Partner",7,IF($J249="Internal",3,0)))+IF($W249="Hard-coded",10,IF($W249="Unknown",7,IF($W249="Configurable",3,0)))+IF($I249&gt;=10,10,IF($I249&gt;=5,7,IF($I249&gt;=2,3,0)))+IF($K249="High",10,IF($K249="Medium",5,0)))</x:f>
      </x:c>
      <x:c r="AC249" s="28" t="str">
        <x:f>IF($A249="","",IF(AB249&gt;=70,"P0 - Immediate",IF(AB249&gt;=50,"P1 - High",IF(AB249&gt;=30,"P2 - Medium",IF(AB249&gt;=15,"P3 - Low","P4 - Monitor")))))</x:f>
      </x:c>
      <x:c r="AD249" s="28"/>
      <x:c r="AE249" s="28"/>
      <x:c r="AF249" s="28"/>
      <x:c r="AG249" s="58"/>
      <x:c r="AH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56"/>
      <x:c r="J250" s="28"/>
      <x:c r="K250" s="28"/>
      <x:c r="L250" s="56"/>
      <x:c r="M250" s="28"/>
      <x:c r="N250" s="28"/>
      <x:c r="O250" s="28"/>
      <x:c r="P250" s="28"/>
      <x:c r="Q250" s="28"/>
      <x:c r="R250" s="28"/>
      <x:c r="S250" s="28"/>
      <x:c r="T250" s="28"/>
      <x:c r="U250" s="28"/>
      <x:c r="V250" s="28"/>
      <x:c r="W250" s="28"/>
      <x:c r="X250" s="28"/>
      <x:c r="Y250" s="28"/>
      <x:c r="Z250" s="28"/>
      <x:c r="AA250" s="28"/>
      <x:c r="AB250" s="56" t="str">
        <x:f>IF($A250="","",IF(Z250="Y",20,IF(Z250="Unknown",10,0))+$L250*5+IF(AA250="Y",15,IF(AA250="Unknown",5,0))+IF($J250="Public",10,IF($J250="Partner",7,IF($J250="Internal",3,0)))+IF($W250="Hard-coded",10,IF($W250="Unknown",7,IF($W250="Configurable",3,0)))+IF($I250&gt;=10,10,IF($I250&gt;=5,7,IF($I250&gt;=2,3,0)))+IF($K250="High",10,IF($K250="Medium",5,0)))</x:f>
      </x:c>
      <x:c r="AC250" s="28" t="str">
        <x:f>IF($A250="","",IF(AB250&gt;=70,"P0 - Immediate",IF(AB250&gt;=50,"P1 - High",IF(AB250&gt;=30,"P2 - Medium",IF(AB250&gt;=15,"P3 - Low","P4 - Monitor")))))</x:f>
      </x:c>
      <x:c r="AD250" s="28"/>
      <x:c r="AE250" s="28"/>
      <x:c r="AF250" s="28"/>
      <x:c r="AG250" s="58"/>
      <x:c r="AH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56"/>
      <x:c r="J251" s="28"/>
      <x:c r="K251" s="28"/>
      <x:c r="L251" s="56"/>
      <x:c r="M251" s="28"/>
      <x:c r="N251" s="28"/>
      <x:c r="O251" s="28"/>
      <x:c r="P251" s="28"/>
      <x:c r="Q251" s="28"/>
      <x:c r="R251" s="28"/>
      <x:c r="S251" s="28"/>
      <x:c r="T251" s="28"/>
      <x:c r="U251" s="28"/>
      <x:c r="V251" s="28"/>
      <x:c r="W251" s="28"/>
      <x:c r="X251" s="28"/>
      <x:c r="Y251" s="28"/>
      <x:c r="Z251" s="28"/>
      <x:c r="AA251" s="28"/>
      <x:c r="AB251" s="56" t="str">
        <x:f>IF($A251="","",IF(Z251="Y",20,IF(Z251="Unknown",10,0))+$L251*5+IF(AA251="Y",15,IF(AA251="Unknown",5,0))+IF($J251="Public",10,IF($J251="Partner",7,IF($J251="Internal",3,0)))+IF($W251="Hard-coded",10,IF($W251="Unknown",7,IF($W251="Configurable",3,0)))+IF($I251&gt;=10,10,IF($I251&gt;=5,7,IF($I251&gt;=2,3,0)))+IF($K251="High",10,IF($K251="Medium",5,0)))</x:f>
      </x:c>
      <x:c r="AC251" s="28" t="str">
        <x:f>IF($A251="","",IF(AB251&gt;=70,"P0 - Immediate",IF(AB251&gt;=50,"P1 - High",IF(AB251&gt;=30,"P2 - Medium",IF(AB251&gt;=15,"P3 - Low","P4 - Monitor")))))</x:f>
      </x:c>
      <x:c r="AD251" s="28"/>
      <x:c r="AE251" s="28"/>
      <x:c r="AF251" s="28"/>
      <x:c r="AG251" s="58"/>
      <x:c r="AH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56"/>
      <x:c r="J252" s="28"/>
      <x:c r="K252" s="28"/>
      <x:c r="L252" s="56"/>
      <x:c r="M252" s="28"/>
      <x:c r="N252" s="28"/>
      <x:c r="O252" s="28"/>
      <x:c r="P252" s="28"/>
      <x:c r="Q252" s="28"/>
      <x:c r="R252" s="28"/>
      <x:c r="S252" s="28"/>
      <x:c r="T252" s="28"/>
      <x:c r="U252" s="28"/>
      <x:c r="V252" s="28"/>
      <x:c r="W252" s="28"/>
      <x:c r="X252" s="28"/>
      <x:c r="Y252" s="28"/>
      <x:c r="Z252" s="28"/>
      <x:c r="AA252" s="28"/>
      <x:c r="AB252" s="56" t="str">
        <x:f>IF($A252="","",IF(Z252="Y",20,IF(Z252="Unknown",10,0))+$L252*5+IF(AA252="Y",15,IF(AA252="Unknown",5,0))+IF($J252="Public",10,IF($J252="Partner",7,IF($J252="Internal",3,0)))+IF($W252="Hard-coded",10,IF($W252="Unknown",7,IF($W252="Configurable",3,0)))+IF($I252&gt;=10,10,IF($I252&gt;=5,7,IF($I252&gt;=2,3,0)))+IF($K252="High",10,IF($K252="Medium",5,0)))</x:f>
      </x:c>
      <x:c r="AC252" s="28" t="str">
        <x:f>IF($A252="","",IF(AB252&gt;=70,"P0 - Immediate",IF(AB252&gt;=50,"P1 - High",IF(AB252&gt;=30,"P2 - Medium",IF(AB252&gt;=15,"P3 - Low","P4 - Monitor")))))</x:f>
      </x:c>
      <x:c r="AD252" s="28"/>
      <x:c r="AE252" s="28"/>
      <x:c r="AF252" s="28"/>
      <x:c r="AG252" s="58"/>
      <x:c r="AH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56"/>
      <x:c r="J253" s="28"/>
      <x:c r="K253" s="28"/>
      <x:c r="L253" s="56"/>
      <x:c r="M253" s="28"/>
      <x:c r="N253" s="28"/>
      <x:c r="O253" s="28"/>
      <x:c r="P253" s="28"/>
      <x:c r="Q253" s="28"/>
      <x:c r="R253" s="28"/>
      <x:c r="S253" s="28"/>
      <x:c r="T253" s="28"/>
      <x:c r="U253" s="28"/>
      <x:c r="V253" s="28"/>
      <x:c r="W253" s="28"/>
      <x:c r="X253" s="28"/>
      <x:c r="Y253" s="28"/>
      <x:c r="Z253" s="28"/>
      <x:c r="AA253" s="28"/>
      <x:c r="AB253" s="56" t="str">
        <x:f>IF($A253="","",IF(Z253="Y",20,IF(Z253="Unknown",10,0))+$L253*5+IF(AA253="Y",15,IF(AA253="Unknown",5,0))+IF($J253="Public",10,IF($J253="Partner",7,IF($J253="Internal",3,0)))+IF($W253="Hard-coded",10,IF($W253="Unknown",7,IF($W253="Configurable",3,0)))+IF($I253&gt;=10,10,IF($I253&gt;=5,7,IF($I253&gt;=2,3,0)))+IF($K253="High",10,IF($K253="Medium",5,0)))</x:f>
      </x:c>
      <x:c r="AC253" s="28" t="str">
        <x:f>IF($A253="","",IF(AB253&gt;=70,"P0 - Immediate",IF(AB253&gt;=50,"P1 - High",IF(AB253&gt;=30,"P2 - Medium",IF(AB253&gt;=15,"P3 - Low","P4 - Monitor")))))</x:f>
      </x:c>
      <x:c r="AD253" s="28"/>
      <x:c r="AE253" s="28"/>
      <x:c r="AF253" s="28"/>
      <x:c r="AG253" s="58"/>
      <x:c r="AH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56"/>
      <x:c r="J254" s="28"/>
      <x:c r="K254" s="28"/>
      <x:c r="L254" s="56"/>
      <x:c r="M254" s="28"/>
      <x:c r="N254" s="28"/>
      <x:c r="O254" s="28"/>
      <x:c r="P254" s="28"/>
      <x:c r="Q254" s="28"/>
      <x:c r="R254" s="28"/>
      <x:c r="S254" s="28"/>
      <x:c r="T254" s="28"/>
      <x:c r="U254" s="28"/>
      <x:c r="V254" s="28"/>
      <x:c r="W254" s="28"/>
      <x:c r="X254" s="28"/>
      <x:c r="Y254" s="28"/>
      <x:c r="Z254" s="28"/>
      <x:c r="AA254" s="28"/>
      <x:c r="AB254" s="56" t="str">
        <x:f>IF($A254="","",IF(Z254="Y",20,IF(Z254="Unknown",10,0))+$L254*5+IF(AA254="Y",15,IF(AA254="Unknown",5,0))+IF($J254="Public",10,IF($J254="Partner",7,IF($J254="Internal",3,0)))+IF($W254="Hard-coded",10,IF($W254="Unknown",7,IF($W254="Configurable",3,0)))+IF($I254&gt;=10,10,IF($I254&gt;=5,7,IF($I254&gt;=2,3,0)))+IF($K254="High",10,IF($K254="Medium",5,0)))</x:f>
      </x:c>
      <x:c r="AC254" s="28" t="str">
        <x:f>IF($A254="","",IF(AB254&gt;=70,"P0 - Immediate",IF(AB254&gt;=50,"P1 - High",IF(AB254&gt;=30,"P2 - Medium",IF(AB254&gt;=15,"P3 - Low","P4 - Monitor")))))</x:f>
      </x:c>
      <x:c r="AD254" s="28"/>
      <x:c r="AE254" s="28"/>
      <x:c r="AF254" s="28"/>
      <x:c r="AG254" s="58"/>
      <x:c r="AH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56"/>
      <x:c r="J255" s="28"/>
      <x:c r="K255" s="28"/>
      <x:c r="L255" s="56"/>
      <x:c r="M255" s="28"/>
      <x:c r="N255" s="28"/>
      <x:c r="O255" s="28"/>
      <x:c r="P255" s="28"/>
      <x:c r="Q255" s="28"/>
      <x:c r="R255" s="28"/>
      <x:c r="S255" s="28"/>
      <x:c r="T255" s="28"/>
      <x:c r="U255" s="28"/>
      <x:c r="V255" s="28"/>
      <x:c r="W255" s="28"/>
      <x:c r="X255" s="28"/>
      <x:c r="Y255" s="28"/>
      <x:c r="Z255" s="28"/>
      <x:c r="AA255" s="28"/>
      <x:c r="AB255" s="56" t="str">
        <x:f>IF($A255="","",IF(Z255="Y",20,IF(Z255="Unknown",10,0))+$L255*5+IF(AA255="Y",15,IF(AA255="Unknown",5,0))+IF($J255="Public",10,IF($J255="Partner",7,IF($J255="Internal",3,0)))+IF($W255="Hard-coded",10,IF($W255="Unknown",7,IF($W255="Configurable",3,0)))+IF($I255&gt;=10,10,IF($I255&gt;=5,7,IF($I255&gt;=2,3,0)))+IF($K255="High",10,IF($K255="Medium",5,0)))</x:f>
      </x:c>
      <x:c r="AC255" s="28" t="str">
        <x:f>IF($A255="","",IF(AB255&gt;=70,"P0 - Immediate",IF(AB255&gt;=50,"P1 - High",IF(AB255&gt;=30,"P2 - Medium",IF(AB255&gt;=15,"P3 - Low","P4 - Monitor")))))</x:f>
      </x:c>
      <x:c r="AD255" s="28"/>
      <x:c r="AE255" s="28"/>
      <x:c r="AF255" s="28"/>
      <x:c r="AG255" s="58"/>
      <x:c r="AH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56"/>
      <x:c r="J256" s="28"/>
      <x:c r="K256" s="28"/>
      <x:c r="L256" s="56"/>
      <x:c r="M256" s="28"/>
      <x:c r="N256" s="28"/>
      <x:c r="O256" s="28"/>
      <x:c r="P256" s="28"/>
      <x:c r="Q256" s="28"/>
      <x:c r="R256" s="28"/>
      <x:c r="S256" s="28"/>
      <x:c r="T256" s="28"/>
      <x:c r="U256" s="28"/>
      <x:c r="V256" s="28"/>
      <x:c r="W256" s="28"/>
      <x:c r="X256" s="28"/>
      <x:c r="Y256" s="28"/>
      <x:c r="Z256" s="28"/>
      <x:c r="AA256" s="28"/>
      <x:c r="AB256" s="56" t="str">
        <x:f>IF($A256="","",IF(Z256="Y",20,IF(Z256="Unknown",10,0))+$L256*5+IF(AA256="Y",15,IF(AA256="Unknown",5,0))+IF($J256="Public",10,IF($J256="Partner",7,IF($J256="Internal",3,0)))+IF($W256="Hard-coded",10,IF($W256="Unknown",7,IF($W256="Configurable",3,0)))+IF($I256&gt;=10,10,IF($I256&gt;=5,7,IF($I256&gt;=2,3,0)))+IF($K256="High",10,IF($K256="Medium",5,0)))</x:f>
      </x:c>
      <x:c r="AC256" s="28" t="str">
        <x:f>IF($A256="","",IF(AB256&gt;=70,"P0 - Immediate",IF(AB256&gt;=50,"P1 - High",IF(AB256&gt;=30,"P2 - Medium",IF(AB256&gt;=15,"P3 - Low","P4 - Monitor")))))</x:f>
      </x:c>
      <x:c r="AD256" s="28"/>
      <x:c r="AE256" s="28"/>
      <x:c r="AF256" s="28"/>
      <x:c r="AG256" s="58"/>
      <x:c r="AH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56"/>
      <x:c r="J257" s="28"/>
      <x:c r="K257" s="28"/>
      <x:c r="L257" s="56"/>
      <x:c r="M257" s="28"/>
      <x:c r="N257" s="28"/>
      <x:c r="O257" s="28"/>
      <x:c r="P257" s="28"/>
      <x:c r="Q257" s="28"/>
      <x:c r="R257" s="28"/>
      <x:c r="S257" s="28"/>
      <x:c r="T257" s="28"/>
      <x:c r="U257" s="28"/>
      <x:c r="V257" s="28"/>
      <x:c r="W257" s="28"/>
      <x:c r="X257" s="28"/>
      <x:c r="Y257" s="28"/>
      <x:c r="Z257" s="28"/>
      <x:c r="AA257" s="28"/>
      <x:c r="AB257" s="56" t="str">
        <x:f>IF($A257="","",IF(Z257="Y",20,IF(Z257="Unknown",10,0))+$L257*5+IF(AA257="Y",15,IF(AA257="Unknown",5,0))+IF($J257="Public",10,IF($J257="Partner",7,IF($J257="Internal",3,0)))+IF($W257="Hard-coded",10,IF($W257="Unknown",7,IF($W257="Configurable",3,0)))+IF($I257&gt;=10,10,IF($I257&gt;=5,7,IF($I257&gt;=2,3,0)))+IF($K257="High",10,IF($K257="Medium",5,0)))</x:f>
      </x:c>
      <x:c r="AC257" s="28" t="str">
        <x:f>IF($A257="","",IF(AB257&gt;=70,"P0 - Immediate",IF(AB257&gt;=50,"P1 - High",IF(AB257&gt;=30,"P2 - Medium",IF(AB257&gt;=15,"P3 - Low","P4 - Monitor")))))</x:f>
      </x:c>
      <x:c r="AD257" s="28"/>
      <x:c r="AE257" s="28"/>
      <x:c r="AF257" s="28"/>
      <x:c r="AG257" s="58"/>
      <x:c r="AH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56"/>
      <x:c r="J258" s="28"/>
      <x:c r="K258" s="28"/>
      <x:c r="L258" s="56"/>
      <x:c r="M258" s="28"/>
      <x:c r="N258" s="28"/>
      <x:c r="O258" s="28"/>
      <x:c r="P258" s="28"/>
      <x:c r="Q258" s="28"/>
      <x:c r="R258" s="28"/>
      <x:c r="S258" s="28"/>
      <x:c r="T258" s="28"/>
      <x:c r="U258" s="28"/>
      <x:c r="V258" s="28"/>
      <x:c r="W258" s="28"/>
      <x:c r="X258" s="28"/>
      <x:c r="Y258" s="28"/>
      <x:c r="Z258" s="28"/>
      <x:c r="AA258" s="28"/>
      <x:c r="AB258" s="56" t="str">
        <x:f>IF($A258="","",IF(Z258="Y",20,IF(Z258="Unknown",10,0))+$L258*5+IF(AA258="Y",15,IF(AA258="Unknown",5,0))+IF($J258="Public",10,IF($J258="Partner",7,IF($J258="Internal",3,0)))+IF($W258="Hard-coded",10,IF($W258="Unknown",7,IF($W258="Configurable",3,0)))+IF($I258&gt;=10,10,IF($I258&gt;=5,7,IF($I258&gt;=2,3,0)))+IF($K258="High",10,IF($K258="Medium",5,0)))</x:f>
      </x:c>
      <x:c r="AC258" s="28" t="str">
        <x:f>IF($A258="","",IF(AB258&gt;=70,"P0 - Immediate",IF(AB258&gt;=50,"P1 - High",IF(AB258&gt;=30,"P2 - Medium",IF(AB258&gt;=15,"P3 - Low","P4 - Monitor")))))</x:f>
      </x:c>
      <x:c r="AD258" s="28"/>
      <x:c r="AE258" s="28"/>
      <x:c r="AF258" s="28"/>
      <x:c r="AG258" s="58"/>
      <x:c r="AH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56"/>
      <x:c r="J259" s="28"/>
      <x:c r="K259" s="28"/>
      <x:c r="L259" s="56"/>
      <x:c r="M259" s="28"/>
      <x:c r="N259" s="28"/>
      <x:c r="O259" s="28"/>
      <x:c r="P259" s="28"/>
      <x:c r="Q259" s="28"/>
      <x:c r="R259" s="28"/>
      <x:c r="S259" s="28"/>
      <x:c r="T259" s="28"/>
      <x:c r="U259" s="28"/>
      <x:c r="V259" s="28"/>
      <x:c r="W259" s="28"/>
      <x:c r="X259" s="28"/>
      <x:c r="Y259" s="28"/>
      <x:c r="Z259" s="28"/>
      <x:c r="AA259" s="28"/>
      <x:c r="AB259" s="56" t="str">
        <x:f>IF($A259="","",IF(Z259="Y",20,IF(Z259="Unknown",10,0))+$L259*5+IF(AA259="Y",15,IF(AA259="Unknown",5,0))+IF($J259="Public",10,IF($J259="Partner",7,IF($J259="Internal",3,0)))+IF($W259="Hard-coded",10,IF($W259="Unknown",7,IF($W259="Configurable",3,0)))+IF($I259&gt;=10,10,IF($I259&gt;=5,7,IF($I259&gt;=2,3,0)))+IF($K259="High",10,IF($K259="Medium",5,0)))</x:f>
      </x:c>
      <x:c r="AC259" s="28" t="str">
        <x:f>IF($A259="","",IF(AB259&gt;=70,"P0 - Immediate",IF(AB259&gt;=50,"P1 - High",IF(AB259&gt;=30,"P2 - Medium",IF(AB259&gt;=15,"P3 - Low","P4 - Monitor")))))</x:f>
      </x:c>
      <x:c r="AD259" s="28"/>
      <x:c r="AE259" s="28"/>
      <x:c r="AF259" s="28"/>
      <x:c r="AG259" s="58"/>
      <x:c r="AH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56"/>
      <x:c r="J260" s="28"/>
      <x:c r="K260" s="28"/>
      <x:c r="L260" s="56"/>
      <x:c r="M260" s="28"/>
      <x:c r="N260" s="28"/>
      <x:c r="O260" s="28"/>
      <x:c r="P260" s="28"/>
      <x:c r="Q260" s="28"/>
      <x:c r="R260" s="28"/>
      <x:c r="S260" s="28"/>
      <x:c r="T260" s="28"/>
      <x:c r="U260" s="28"/>
      <x:c r="V260" s="28"/>
      <x:c r="W260" s="28"/>
      <x:c r="X260" s="28"/>
      <x:c r="Y260" s="28"/>
      <x:c r="Z260" s="28"/>
      <x:c r="AA260" s="28"/>
      <x:c r="AB260" s="56" t="str">
        <x:f>IF($A260="","",IF(Z260="Y",20,IF(Z260="Unknown",10,0))+$L260*5+IF(AA260="Y",15,IF(AA260="Unknown",5,0))+IF($J260="Public",10,IF($J260="Partner",7,IF($J260="Internal",3,0)))+IF($W260="Hard-coded",10,IF($W260="Unknown",7,IF($W260="Configurable",3,0)))+IF($I260&gt;=10,10,IF($I260&gt;=5,7,IF($I260&gt;=2,3,0)))+IF($K260="High",10,IF($K260="Medium",5,0)))</x:f>
      </x:c>
      <x:c r="AC260" s="28" t="str">
        <x:f>IF($A260="","",IF(AB260&gt;=70,"P0 - Immediate",IF(AB260&gt;=50,"P1 - High",IF(AB260&gt;=30,"P2 - Medium",IF(AB260&gt;=15,"P3 - Low","P4 - Monitor")))))</x:f>
      </x:c>
      <x:c r="AD260" s="28"/>
      <x:c r="AE260" s="28"/>
      <x:c r="AF260" s="28"/>
      <x:c r="AG260" s="58"/>
      <x:c r="AH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56"/>
      <x:c r="J261" s="28"/>
      <x:c r="K261" s="28"/>
      <x:c r="L261" s="56"/>
      <x:c r="M261" s="28"/>
      <x:c r="N261" s="28"/>
      <x:c r="O261" s="28"/>
      <x:c r="P261" s="28"/>
      <x:c r="Q261" s="28"/>
      <x:c r="R261" s="28"/>
      <x:c r="S261" s="28"/>
      <x:c r="T261" s="28"/>
      <x:c r="U261" s="28"/>
      <x:c r="V261" s="28"/>
      <x:c r="W261" s="28"/>
      <x:c r="X261" s="28"/>
      <x:c r="Y261" s="28"/>
      <x:c r="Z261" s="28"/>
      <x:c r="AA261" s="28"/>
      <x:c r="AB261" s="56" t="str">
        <x:f>IF($A261="","",IF(Z261="Y",20,IF(Z261="Unknown",10,0))+$L261*5+IF(AA261="Y",15,IF(AA261="Unknown",5,0))+IF($J261="Public",10,IF($J261="Partner",7,IF($J261="Internal",3,0)))+IF($W261="Hard-coded",10,IF($W261="Unknown",7,IF($W261="Configurable",3,0)))+IF($I261&gt;=10,10,IF($I261&gt;=5,7,IF($I261&gt;=2,3,0)))+IF($K261="High",10,IF($K261="Medium",5,0)))</x:f>
      </x:c>
      <x:c r="AC261" s="28" t="str">
        <x:f>IF($A261="","",IF(AB261&gt;=70,"P0 - Immediate",IF(AB261&gt;=50,"P1 - High",IF(AB261&gt;=30,"P2 - Medium",IF(AB261&gt;=15,"P3 - Low","P4 - Monitor")))))</x:f>
      </x:c>
      <x:c r="AD261" s="28"/>
      <x:c r="AE261" s="28"/>
      <x:c r="AF261" s="28"/>
      <x:c r="AG261" s="58"/>
      <x:c r="AH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56"/>
      <x:c r="J262" s="28"/>
      <x:c r="K262" s="28"/>
      <x:c r="L262" s="56"/>
      <x:c r="M262" s="28"/>
      <x:c r="N262" s="28"/>
      <x:c r="O262" s="28"/>
      <x:c r="P262" s="28"/>
      <x:c r="Q262" s="28"/>
      <x:c r="R262" s="28"/>
      <x:c r="S262" s="28"/>
      <x:c r="T262" s="28"/>
      <x:c r="U262" s="28"/>
      <x:c r="V262" s="28"/>
      <x:c r="W262" s="28"/>
      <x:c r="X262" s="28"/>
      <x:c r="Y262" s="28"/>
      <x:c r="Z262" s="28"/>
      <x:c r="AA262" s="28"/>
      <x:c r="AB262" s="56" t="str">
        <x:f>IF($A262="","",IF(Z262="Y",20,IF(Z262="Unknown",10,0))+$L262*5+IF(AA262="Y",15,IF(AA262="Unknown",5,0))+IF($J262="Public",10,IF($J262="Partner",7,IF($J262="Internal",3,0)))+IF($W262="Hard-coded",10,IF($W262="Unknown",7,IF($W262="Configurable",3,0)))+IF($I262&gt;=10,10,IF($I262&gt;=5,7,IF($I262&gt;=2,3,0)))+IF($K262="High",10,IF($K262="Medium",5,0)))</x:f>
      </x:c>
      <x:c r="AC262" s="28" t="str">
        <x:f>IF($A262="","",IF(AB262&gt;=70,"P0 - Immediate",IF(AB262&gt;=50,"P1 - High",IF(AB262&gt;=30,"P2 - Medium",IF(AB262&gt;=15,"P3 - Low","P4 - Monitor")))))</x:f>
      </x:c>
      <x:c r="AD262" s="28"/>
      <x:c r="AE262" s="28"/>
      <x:c r="AF262" s="28"/>
      <x:c r="AG262" s="58"/>
      <x:c r="AH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56"/>
      <x:c r="J263" s="28"/>
      <x:c r="K263" s="28"/>
      <x:c r="L263" s="56"/>
      <x:c r="M263" s="28"/>
      <x:c r="N263" s="28"/>
      <x:c r="O263" s="28"/>
      <x:c r="P263" s="28"/>
      <x:c r="Q263" s="28"/>
      <x:c r="R263" s="28"/>
      <x:c r="S263" s="28"/>
      <x:c r="T263" s="28"/>
      <x:c r="U263" s="28"/>
      <x:c r="V263" s="28"/>
      <x:c r="W263" s="28"/>
      <x:c r="X263" s="28"/>
      <x:c r="Y263" s="28"/>
      <x:c r="Z263" s="28"/>
      <x:c r="AA263" s="28"/>
      <x:c r="AB263" s="56" t="str">
        <x:f>IF($A263="","",IF(Z263="Y",20,IF(Z263="Unknown",10,0))+$L263*5+IF(AA263="Y",15,IF(AA263="Unknown",5,0))+IF($J263="Public",10,IF($J263="Partner",7,IF($J263="Internal",3,0)))+IF($W263="Hard-coded",10,IF($W263="Unknown",7,IF($W263="Configurable",3,0)))+IF($I263&gt;=10,10,IF($I263&gt;=5,7,IF($I263&gt;=2,3,0)))+IF($K263="High",10,IF($K263="Medium",5,0)))</x:f>
      </x:c>
      <x:c r="AC263" s="28" t="str">
        <x:f>IF($A263="","",IF(AB263&gt;=70,"P0 - Immediate",IF(AB263&gt;=50,"P1 - High",IF(AB263&gt;=30,"P2 - Medium",IF(AB263&gt;=15,"P3 - Low","P4 - Monitor")))))</x:f>
      </x:c>
      <x:c r="AD263" s="28"/>
      <x:c r="AE263" s="28"/>
      <x:c r="AF263" s="28"/>
      <x:c r="AG263" s="58"/>
      <x:c r="AH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56"/>
      <x:c r="J264" s="28"/>
      <x:c r="K264" s="28"/>
      <x:c r="L264" s="56"/>
      <x:c r="M264" s="28"/>
      <x:c r="N264" s="28"/>
      <x:c r="O264" s="28"/>
      <x:c r="P264" s="28"/>
      <x:c r="Q264" s="28"/>
      <x:c r="R264" s="28"/>
      <x:c r="S264" s="28"/>
      <x:c r="T264" s="28"/>
      <x:c r="U264" s="28"/>
      <x:c r="V264" s="28"/>
      <x:c r="W264" s="28"/>
      <x:c r="X264" s="28"/>
      <x:c r="Y264" s="28"/>
      <x:c r="Z264" s="28"/>
      <x:c r="AA264" s="28"/>
      <x:c r="AB264" s="56" t="str">
        <x:f>IF($A264="","",IF(Z264="Y",20,IF(Z264="Unknown",10,0))+$L264*5+IF(AA264="Y",15,IF(AA264="Unknown",5,0))+IF($J264="Public",10,IF($J264="Partner",7,IF($J264="Internal",3,0)))+IF($W264="Hard-coded",10,IF($W264="Unknown",7,IF($W264="Configurable",3,0)))+IF($I264&gt;=10,10,IF($I264&gt;=5,7,IF($I264&gt;=2,3,0)))+IF($K264="High",10,IF($K264="Medium",5,0)))</x:f>
      </x:c>
      <x:c r="AC264" s="28" t="str">
        <x:f>IF($A264="","",IF(AB264&gt;=70,"P0 - Immediate",IF(AB264&gt;=50,"P1 - High",IF(AB264&gt;=30,"P2 - Medium",IF(AB264&gt;=15,"P3 - Low","P4 - Monitor")))))</x:f>
      </x:c>
      <x:c r="AD264" s="28"/>
      <x:c r="AE264" s="28"/>
      <x:c r="AF264" s="28"/>
      <x:c r="AG264" s="58"/>
      <x:c r="AH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56"/>
      <x:c r="J265" s="28"/>
      <x:c r="K265" s="28"/>
      <x:c r="L265" s="56"/>
      <x:c r="M265" s="28"/>
      <x:c r="N265" s="28"/>
      <x:c r="O265" s="28"/>
      <x:c r="P265" s="28"/>
      <x:c r="Q265" s="28"/>
      <x:c r="R265" s="28"/>
      <x:c r="S265" s="28"/>
      <x:c r="T265" s="28"/>
      <x:c r="U265" s="28"/>
      <x:c r="V265" s="28"/>
      <x:c r="W265" s="28"/>
      <x:c r="X265" s="28"/>
      <x:c r="Y265" s="28"/>
      <x:c r="Z265" s="28"/>
      <x:c r="AA265" s="28"/>
      <x:c r="AB265" s="56" t="str">
        <x:f>IF($A265="","",IF(Z265="Y",20,IF(Z265="Unknown",10,0))+$L265*5+IF(AA265="Y",15,IF(AA265="Unknown",5,0))+IF($J265="Public",10,IF($J265="Partner",7,IF($J265="Internal",3,0)))+IF($W265="Hard-coded",10,IF($W265="Unknown",7,IF($W265="Configurable",3,0)))+IF($I265&gt;=10,10,IF($I265&gt;=5,7,IF($I265&gt;=2,3,0)))+IF($K265="High",10,IF($K265="Medium",5,0)))</x:f>
      </x:c>
      <x:c r="AC265" s="28" t="str">
        <x:f>IF($A265="","",IF(AB265&gt;=70,"P0 - Immediate",IF(AB265&gt;=50,"P1 - High",IF(AB265&gt;=30,"P2 - Medium",IF(AB265&gt;=15,"P3 - Low","P4 - Monitor")))))</x:f>
      </x:c>
      <x:c r="AD265" s="28"/>
      <x:c r="AE265" s="28"/>
      <x:c r="AF265" s="28"/>
      <x:c r="AG265" s="58"/>
      <x:c r="AH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56"/>
      <x:c r="J266" s="28"/>
      <x:c r="K266" s="28"/>
      <x:c r="L266" s="56"/>
      <x:c r="M266" s="28"/>
      <x:c r="N266" s="28"/>
      <x:c r="O266" s="28"/>
      <x:c r="P266" s="28"/>
      <x:c r="Q266" s="28"/>
      <x:c r="R266" s="28"/>
      <x:c r="S266" s="28"/>
      <x:c r="T266" s="28"/>
      <x:c r="U266" s="28"/>
      <x:c r="V266" s="28"/>
      <x:c r="W266" s="28"/>
      <x:c r="X266" s="28"/>
      <x:c r="Y266" s="28"/>
      <x:c r="Z266" s="28"/>
      <x:c r="AA266" s="28"/>
      <x:c r="AB266" s="56" t="str">
        <x:f>IF($A266="","",IF(Z266="Y",20,IF(Z266="Unknown",10,0))+$L266*5+IF(AA266="Y",15,IF(AA266="Unknown",5,0))+IF($J266="Public",10,IF($J266="Partner",7,IF($J266="Internal",3,0)))+IF($W266="Hard-coded",10,IF($W266="Unknown",7,IF($W266="Configurable",3,0)))+IF($I266&gt;=10,10,IF($I266&gt;=5,7,IF($I266&gt;=2,3,0)))+IF($K266="High",10,IF($K266="Medium",5,0)))</x:f>
      </x:c>
      <x:c r="AC266" s="28" t="str">
        <x:f>IF($A266="","",IF(AB266&gt;=70,"P0 - Immediate",IF(AB266&gt;=50,"P1 - High",IF(AB266&gt;=30,"P2 - Medium",IF(AB266&gt;=15,"P3 - Low","P4 - Monitor")))))</x:f>
      </x:c>
      <x:c r="AD266" s="28"/>
      <x:c r="AE266" s="28"/>
      <x:c r="AF266" s="28"/>
      <x:c r="AG266" s="58"/>
      <x:c r="AH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56"/>
      <x:c r="J267" s="28"/>
      <x:c r="K267" s="28"/>
      <x:c r="L267" s="56"/>
      <x:c r="M267" s="28"/>
      <x:c r="N267" s="28"/>
      <x:c r="O267" s="28"/>
      <x:c r="P267" s="28"/>
      <x:c r="Q267" s="28"/>
      <x:c r="R267" s="28"/>
      <x:c r="S267" s="28"/>
      <x:c r="T267" s="28"/>
      <x:c r="U267" s="28"/>
      <x:c r="V267" s="28"/>
      <x:c r="W267" s="28"/>
      <x:c r="X267" s="28"/>
      <x:c r="Y267" s="28"/>
      <x:c r="Z267" s="28"/>
      <x:c r="AA267" s="28"/>
      <x:c r="AB267" s="56" t="str">
        <x:f>IF($A267="","",IF(Z267="Y",20,IF(Z267="Unknown",10,0))+$L267*5+IF(AA267="Y",15,IF(AA267="Unknown",5,0))+IF($J267="Public",10,IF($J267="Partner",7,IF($J267="Internal",3,0)))+IF($W267="Hard-coded",10,IF($W267="Unknown",7,IF($W267="Configurable",3,0)))+IF($I267&gt;=10,10,IF($I267&gt;=5,7,IF($I267&gt;=2,3,0)))+IF($K267="High",10,IF($K267="Medium",5,0)))</x:f>
      </x:c>
      <x:c r="AC267" s="28" t="str">
        <x:f>IF($A267="","",IF(AB267&gt;=70,"P0 - Immediate",IF(AB267&gt;=50,"P1 - High",IF(AB267&gt;=30,"P2 - Medium",IF(AB267&gt;=15,"P3 - Low","P4 - Monitor")))))</x:f>
      </x:c>
      <x:c r="AD267" s="28"/>
      <x:c r="AE267" s="28"/>
      <x:c r="AF267" s="28"/>
      <x:c r="AG267" s="58"/>
      <x:c r="AH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56"/>
      <x:c r="J268" s="28"/>
      <x:c r="K268" s="28"/>
      <x:c r="L268" s="56"/>
      <x:c r="M268" s="28"/>
      <x:c r="N268" s="28"/>
      <x:c r="O268" s="28"/>
      <x:c r="P268" s="28"/>
      <x:c r="Q268" s="28"/>
      <x:c r="R268" s="28"/>
      <x:c r="S268" s="28"/>
      <x:c r="T268" s="28"/>
      <x:c r="U268" s="28"/>
      <x:c r="V268" s="28"/>
      <x:c r="W268" s="28"/>
      <x:c r="X268" s="28"/>
      <x:c r="Y268" s="28"/>
      <x:c r="Z268" s="28"/>
      <x:c r="AA268" s="28"/>
      <x:c r="AB268" s="56" t="str">
        <x:f>IF($A268="","",IF(Z268="Y",20,IF(Z268="Unknown",10,0))+$L268*5+IF(AA268="Y",15,IF(AA268="Unknown",5,0))+IF($J268="Public",10,IF($J268="Partner",7,IF($J268="Internal",3,0)))+IF($W268="Hard-coded",10,IF($W268="Unknown",7,IF($W268="Configurable",3,0)))+IF($I268&gt;=10,10,IF($I268&gt;=5,7,IF($I268&gt;=2,3,0)))+IF($K268="High",10,IF($K268="Medium",5,0)))</x:f>
      </x:c>
      <x:c r="AC268" s="28" t="str">
        <x:f>IF($A268="","",IF(AB268&gt;=70,"P0 - Immediate",IF(AB268&gt;=50,"P1 - High",IF(AB268&gt;=30,"P2 - Medium",IF(AB268&gt;=15,"P3 - Low","P4 - Monitor")))))</x:f>
      </x:c>
      <x:c r="AD268" s="28"/>
      <x:c r="AE268" s="28"/>
      <x:c r="AF268" s="28"/>
      <x:c r="AG268" s="58"/>
      <x:c r="AH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56"/>
      <x:c r="J269" s="28"/>
      <x:c r="K269" s="28"/>
      <x:c r="L269" s="56"/>
      <x:c r="M269" s="28"/>
      <x:c r="N269" s="28"/>
      <x:c r="O269" s="28"/>
      <x:c r="P269" s="28"/>
      <x:c r="Q269" s="28"/>
      <x:c r="R269" s="28"/>
      <x:c r="S269" s="28"/>
      <x:c r="T269" s="28"/>
      <x:c r="U269" s="28"/>
      <x:c r="V269" s="28"/>
      <x:c r="W269" s="28"/>
      <x:c r="X269" s="28"/>
      <x:c r="Y269" s="28"/>
      <x:c r="Z269" s="28"/>
      <x:c r="AA269" s="28"/>
      <x:c r="AB269" s="56" t="str">
        <x:f>IF($A269="","",IF(Z269="Y",20,IF(Z269="Unknown",10,0))+$L269*5+IF(AA269="Y",15,IF(AA269="Unknown",5,0))+IF($J269="Public",10,IF($J269="Partner",7,IF($J269="Internal",3,0)))+IF($W269="Hard-coded",10,IF($W269="Unknown",7,IF($W269="Configurable",3,0)))+IF($I269&gt;=10,10,IF($I269&gt;=5,7,IF($I269&gt;=2,3,0)))+IF($K269="High",10,IF($K269="Medium",5,0)))</x:f>
      </x:c>
      <x:c r="AC269" s="28" t="str">
        <x:f>IF($A269="","",IF(AB269&gt;=70,"P0 - Immediate",IF(AB269&gt;=50,"P1 - High",IF(AB269&gt;=30,"P2 - Medium",IF(AB269&gt;=15,"P3 - Low","P4 - Monitor")))))</x:f>
      </x:c>
      <x:c r="AD269" s="28"/>
      <x:c r="AE269" s="28"/>
      <x:c r="AF269" s="28"/>
      <x:c r="AG269" s="58"/>
      <x:c r="AH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56"/>
      <x:c r="J270" s="28"/>
      <x:c r="K270" s="28"/>
      <x:c r="L270" s="56"/>
      <x:c r="M270" s="28"/>
      <x:c r="N270" s="28"/>
      <x:c r="O270" s="28"/>
      <x:c r="P270" s="28"/>
      <x:c r="Q270" s="28"/>
      <x:c r="R270" s="28"/>
      <x:c r="S270" s="28"/>
      <x:c r="T270" s="28"/>
      <x:c r="U270" s="28"/>
      <x:c r="V270" s="28"/>
      <x:c r="W270" s="28"/>
      <x:c r="X270" s="28"/>
      <x:c r="Y270" s="28"/>
      <x:c r="Z270" s="28"/>
      <x:c r="AA270" s="28"/>
      <x:c r="AB270" s="56" t="str">
        <x:f>IF($A270="","",IF(Z270="Y",20,IF(Z270="Unknown",10,0))+$L270*5+IF(AA270="Y",15,IF(AA270="Unknown",5,0))+IF($J270="Public",10,IF($J270="Partner",7,IF($J270="Internal",3,0)))+IF($W270="Hard-coded",10,IF($W270="Unknown",7,IF($W270="Configurable",3,0)))+IF($I270&gt;=10,10,IF($I270&gt;=5,7,IF($I270&gt;=2,3,0)))+IF($K270="High",10,IF($K270="Medium",5,0)))</x:f>
      </x:c>
      <x:c r="AC270" s="28" t="str">
        <x:f>IF($A270="","",IF(AB270&gt;=70,"P0 - Immediate",IF(AB270&gt;=50,"P1 - High",IF(AB270&gt;=30,"P2 - Medium",IF(AB270&gt;=15,"P3 - Low","P4 - Monitor")))))</x:f>
      </x:c>
      <x:c r="AD270" s="28"/>
      <x:c r="AE270" s="28"/>
      <x:c r="AF270" s="28"/>
      <x:c r="AG270" s="58"/>
      <x:c r="AH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56"/>
      <x:c r="J271" s="28"/>
      <x:c r="K271" s="28"/>
      <x:c r="L271" s="56"/>
      <x:c r="M271" s="28"/>
      <x:c r="N271" s="28"/>
      <x:c r="O271" s="28"/>
      <x:c r="P271" s="28"/>
      <x:c r="Q271" s="28"/>
      <x:c r="R271" s="28"/>
      <x:c r="S271" s="28"/>
      <x:c r="T271" s="28"/>
      <x:c r="U271" s="28"/>
      <x:c r="V271" s="28"/>
      <x:c r="W271" s="28"/>
      <x:c r="X271" s="28"/>
      <x:c r="Y271" s="28"/>
      <x:c r="Z271" s="28"/>
      <x:c r="AA271" s="28"/>
      <x:c r="AB271" s="56" t="str">
        <x:f>IF($A271="","",IF(Z271="Y",20,IF(Z271="Unknown",10,0))+$L271*5+IF(AA271="Y",15,IF(AA271="Unknown",5,0))+IF($J271="Public",10,IF($J271="Partner",7,IF($J271="Internal",3,0)))+IF($W271="Hard-coded",10,IF($W271="Unknown",7,IF($W271="Configurable",3,0)))+IF($I271&gt;=10,10,IF($I271&gt;=5,7,IF($I271&gt;=2,3,0)))+IF($K271="High",10,IF($K271="Medium",5,0)))</x:f>
      </x:c>
      <x:c r="AC271" s="28" t="str">
        <x:f>IF($A271="","",IF(AB271&gt;=70,"P0 - Immediate",IF(AB271&gt;=50,"P1 - High",IF(AB271&gt;=30,"P2 - Medium",IF(AB271&gt;=15,"P3 - Low","P4 - Monitor")))))</x:f>
      </x:c>
      <x:c r="AD271" s="28"/>
      <x:c r="AE271" s="28"/>
      <x:c r="AF271" s="28"/>
      <x:c r="AG271" s="58"/>
      <x:c r="AH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56"/>
      <x:c r="J272" s="28"/>
      <x:c r="K272" s="28"/>
      <x:c r="L272" s="56"/>
      <x:c r="M272" s="28"/>
      <x:c r="N272" s="28"/>
      <x:c r="O272" s="28"/>
      <x:c r="P272" s="28"/>
      <x:c r="Q272" s="28"/>
      <x:c r="R272" s="28"/>
      <x:c r="S272" s="28"/>
      <x:c r="T272" s="28"/>
      <x:c r="U272" s="28"/>
      <x:c r="V272" s="28"/>
      <x:c r="W272" s="28"/>
      <x:c r="X272" s="28"/>
      <x:c r="Y272" s="28"/>
      <x:c r="Z272" s="28"/>
      <x:c r="AA272" s="28"/>
      <x:c r="AB272" s="56" t="str">
        <x:f>IF($A272="","",IF(Z272="Y",20,IF(Z272="Unknown",10,0))+$L272*5+IF(AA272="Y",15,IF(AA272="Unknown",5,0))+IF($J272="Public",10,IF($J272="Partner",7,IF($J272="Internal",3,0)))+IF($W272="Hard-coded",10,IF($W272="Unknown",7,IF($W272="Configurable",3,0)))+IF($I272&gt;=10,10,IF($I272&gt;=5,7,IF($I272&gt;=2,3,0)))+IF($K272="High",10,IF($K272="Medium",5,0)))</x:f>
      </x:c>
      <x:c r="AC272" s="28" t="str">
        <x:f>IF($A272="","",IF(AB272&gt;=70,"P0 - Immediate",IF(AB272&gt;=50,"P1 - High",IF(AB272&gt;=30,"P2 - Medium",IF(AB272&gt;=15,"P3 - Low","P4 - Monitor")))))</x:f>
      </x:c>
      <x:c r="AD272" s="28"/>
      <x:c r="AE272" s="28"/>
      <x:c r="AF272" s="28"/>
      <x:c r="AG272" s="58"/>
      <x:c r="AH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56"/>
      <x:c r="J273" s="28"/>
      <x:c r="K273" s="28"/>
      <x:c r="L273" s="56"/>
      <x:c r="M273" s="28"/>
      <x:c r="N273" s="28"/>
      <x:c r="O273" s="28"/>
      <x:c r="P273" s="28"/>
      <x:c r="Q273" s="28"/>
      <x:c r="R273" s="28"/>
      <x:c r="S273" s="28"/>
      <x:c r="T273" s="28"/>
      <x:c r="U273" s="28"/>
      <x:c r="V273" s="28"/>
      <x:c r="W273" s="28"/>
      <x:c r="X273" s="28"/>
      <x:c r="Y273" s="28"/>
      <x:c r="Z273" s="28"/>
      <x:c r="AA273" s="28"/>
      <x:c r="AB273" s="56" t="str">
        <x:f>IF($A273="","",IF(Z273="Y",20,IF(Z273="Unknown",10,0))+$L273*5+IF(AA273="Y",15,IF(AA273="Unknown",5,0))+IF($J273="Public",10,IF($J273="Partner",7,IF($J273="Internal",3,0)))+IF($W273="Hard-coded",10,IF($W273="Unknown",7,IF($W273="Configurable",3,0)))+IF($I273&gt;=10,10,IF($I273&gt;=5,7,IF($I273&gt;=2,3,0)))+IF($K273="High",10,IF($K273="Medium",5,0)))</x:f>
      </x:c>
      <x:c r="AC273" s="28" t="str">
        <x:f>IF($A273="","",IF(AB273&gt;=70,"P0 - Immediate",IF(AB273&gt;=50,"P1 - High",IF(AB273&gt;=30,"P2 - Medium",IF(AB273&gt;=15,"P3 - Low","P4 - Monitor")))))</x:f>
      </x:c>
      <x:c r="AD273" s="28"/>
      <x:c r="AE273" s="28"/>
      <x:c r="AF273" s="28"/>
      <x:c r="AG273" s="58"/>
      <x:c r="AH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56"/>
      <x:c r="J274" s="28"/>
      <x:c r="K274" s="28"/>
      <x:c r="L274" s="56"/>
      <x:c r="M274" s="28"/>
      <x:c r="N274" s="28"/>
      <x:c r="O274" s="28"/>
      <x:c r="P274" s="28"/>
      <x:c r="Q274" s="28"/>
      <x:c r="R274" s="28"/>
      <x:c r="S274" s="28"/>
      <x:c r="T274" s="28"/>
      <x:c r="U274" s="28"/>
      <x:c r="V274" s="28"/>
      <x:c r="W274" s="28"/>
      <x:c r="X274" s="28"/>
      <x:c r="Y274" s="28"/>
      <x:c r="Z274" s="28"/>
      <x:c r="AA274" s="28"/>
      <x:c r="AB274" s="56" t="str">
        <x:f>IF($A274="","",IF(Z274="Y",20,IF(Z274="Unknown",10,0))+$L274*5+IF(AA274="Y",15,IF(AA274="Unknown",5,0))+IF($J274="Public",10,IF($J274="Partner",7,IF($J274="Internal",3,0)))+IF($W274="Hard-coded",10,IF($W274="Unknown",7,IF($W274="Configurable",3,0)))+IF($I274&gt;=10,10,IF($I274&gt;=5,7,IF($I274&gt;=2,3,0)))+IF($K274="High",10,IF($K274="Medium",5,0)))</x:f>
      </x:c>
      <x:c r="AC274" s="28" t="str">
        <x:f>IF($A274="","",IF(AB274&gt;=70,"P0 - Immediate",IF(AB274&gt;=50,"P1 - High",IF(AB274&gt;=30,"P2 - Medium",IF(AB274&gt;=15,"P3 - Low","P4 - Monitor")))))</x:f>
      </x:c>
      <x:c r="AD274" s="28"/>
      <x:c r="AE274" s="28"/>
      <x:c r="AF274" s="28"/>
      <x:c r="AG274" s="58"/>
      <x:c r="AH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56"/>
      <x:c r="J275" s="28"/>
      <x:c r="K275" s="28"/>
      <x:c r="L275" s="56"/>
      <x:c r="M275" s="28"/>
      <x:c r="N275" s="28"/>
      <x:c r="O275" s="28"/>
      <x:c r="P275" s="28"/>
      <x:c r="Q275" s="28"/>
      <x:c r="R275" s="28"/>
      <x:c r="S275" s="28"/>
      <x:c r="T275" s="28"/>
      <x:c r="U275" s="28"/>
      <x:c r="V275" s="28"/>
      <x:c r="W275" s="28"/>
      <x:c r="X275" s="28"/>
      <x:c r="Y275" s="28"/>
      <x:c r="Z275" s="28"/>
      <x:c r="AA275" s="28"/>
      <x:c r="AB275" s="56" t="str">
        <x:f>IF($A275="","",IF(Z275="Y",20,IF(Z275="Unknown",10,0))+$L275*5+IF(AA275="Y",15,IF(AA275="Unknown",5,0))+IF($J275="Public",10,IF($J275="Partner",7,IF($J275="Internal",3,0)))+IF($W275="Hard-coded",10,IF($W275="Unknown",7,IF($W275="Configurable",3,0)))+IF($I275&gt;=10,10,IF($I275&gt;=5,7,IF($I275&gt;=2,3,0)))+IF($K275="High",10,IF($K275="Medium",5,0)))</x:f>
      </x:c>
      <x:c r="AC275" s="28" t="str">
        <x:f>IF($A275="","",IF(AB275&gt;=70,"P0 - Immediate",IF(AB275&gt;=50,"P1 - High",IF(AB275&gt;=30,"P2 - Medium",IF(AB275&gt;=15,"P3 - Low","P4 - Monitor")))))</x:f>
      </x:c>
      <x:c r="AD275" s="28"/>
      <x:c r="AE275" s="28"/>
      <x:c r="AF275" s="28"/>
      <x:c r="AG275" s="58"/>
      <x:c r="AH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56"/>
      <x:c r="J276" s="28"/>
      <x:c r="K276" s="28"/>
      <x:c r="L276" s="56"/>
      <x:c r="M276" s="28"/>
      <x:c r="N276" s="28"/>
      <x:c r="O276" s="28"/>
      <x:c r="P276" s="28"/>
      <x:c r="Q276" s="28"/>
      <x:c r="R276" s="28"/>
      <x:c r="S276" s="28"/>
      <x:c r="T276" s="28"/>
      <x:c r="U276" s="28"/>
      <x:c r="V276" s="28"/>
      <x:c r="W276" s="28"/>
      <x:c r="X276" s="28"/>
      <x:c r="Y276" s="28"/>
      <x:c r="Z276" s="28"/>
      <x:c r="AA276" s="28"/>
      <x:c r="AB276" s="56" t="str">
        <x:f>IF($A276="","",IF(Z276="Y",20,IF(Z276="Unknown",10,0))+$L276*5+IF(AA276="Y",15,IF(AA276="Unknown",5,0))+IF($J276="Public",10,IF($J276="Partner",7,IF($J276="Internal",3,0)))+IF($W276="Hard-coded",10,IF($W276="Unknown",7,IF($W276="Configurable",3,0)))+IF($I276&gt;=10,10,IF($I276&gt;=5,7,IF($I276&gt;=2,3,0)))+IF($K276="High",10,IF($K276="Medium",5,0)))</x:f>
      </x:c>
      <x:c r="AC276" s="28" t="str">
        <x:f>IF($A276="","",IF(AB276&gt;=70,"P0 - Immediate",IF(AB276&gt;=50,"P1 - High",IF(AB276&gt;=30,"P2 - Medium",IF(AB276&gt;=15,"P3 - Low","P4 - Monitor")))))</x:f>
      </x:c>
      <x:c r="AD276" s="28"/>
      <x:c r="AE276" s="28"/>
      <x:c r="AF276" s="28"/>
      <x:c r="AG276" s="58"/>
      <x:c r="AH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56"/>
      <x:c r="J277" s="28"/>
      <x:c r="K277" s="28"/>
      <x:c r="L277" s="56"/>
      <x:c r="M277" s="28"/>
      <x:c r="N277" s="28"/>
      <x:c r="O277" s="28"/>
      <x:c r="P277" s="28"/>
      <x:c r="Q277" s="28"/>
      <x:c r="R277" s="28"/>
      <x:c r="S277" s="28"/>
      <x:c r="T277" s="28"/>
      <x:c r="U277" s="28"/>
      <x:c r="V277" s="28"/>
      <x:c r="W277" s="28"/>
      <x:c r="X277" s="28"/>
      <x:c r="Y277" s="28"/>
      <x:c r="Z277" s="28"/>
      <x:c r="AA277" s="28"/>
      <x:c r="AB277" s="56" t="str">
        <x:f>IF($A277="","",IF(Z277="Y",20,IF(Z277="Unknown",10,0))+$L277*5+IF(AA277="Y",15,IF(AA277="Unknown",5,0))+IF($J277="Public",10,IF($J277="Partner",7,IF($J277="Internal",3,0)))+IF($W277="Hard-coded",10,IF($W277="Unknown",7,IF($W277="Configurable",3,0)))+IF($I277&gt;=10,10,IF($I277&gt;=5,7,IF($I277&gt;=2,3,0)))+IF($K277="High",10,IF($K277="Medium",5,0)))</x:f>
      </x:c>
      <x:c r="AC277" s="28" t="str">
        <x:f>IF($A277="","",IF(AB277&gt;=70,"P0 - Immediate",IF(AB277&gt;=50,"P1 - High",IF(AB277&gt;=30,"P2 - Medium",IF(AB277&gt;=15,"P3 - Low","P4 - Monitor")))))</x:f>
      </x:c>
      <x:c r="AD277" s="28"/>
      <x:c r="AE277" s="28"/>
      <x:c r="AF277" s="28"/>
      <x:c r="AG277" s="58"/>
      <x:c r="AH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56"/>
      <x:c r="J278" s="28"/>
      <x:c r="K278" s="28"/>
      <x:c r="L278" s="56"/>
      <x:c r="M278" s="28"/>
      <x:c r="N278" s="28"/>
      <x:c r="O278" s="28"/>
      <x:c r="P278" s="28"/>
      <x:c r="Q278" s="28"/>
      <x:c r="R278" s="28"/>
      <x:c r="S278" s="28"/>
      <x:c r="T278" s="28"/>
      <x:c r="U278" s="28"/>
      <x:c r="V278" s="28"/>
      <x:c r="W278" s="28"/>
      <x:c r="X278" s="28"/>
      <x:c r="Y278" s="28"/>
      <x:c r="Z278" s="28"/>
      <x:c r="AA278" s="28"/>
      <x:c r="AB278" s="56" t="str">
        <x:f>IF($A278="","",IF(Z278="Y",20,IF(Z278="Unknown",10,0))+$L278*5+IF(AA278="Y",15,IF(AA278="Unknown",5,0))+IF($J278="Public",10,IF($J278="Partner",7,IF($J278="Internal",3,0)))+IF($W278="Hard-coded",10,IF($W278="Unknown",7,IF($W278="Configurable",3,0)))+IF($I278&gt;=10,10,IF($I278&gt;=5,7,IF($I278&gt;=2,3,0)))+IF($K278="High",10,IF($K278="Medium",5,0)))</x:f>
      </x:c>
      <x:c r="AC278" s="28" t="str">
        <x:f>IF($A278="","",IF(AB278&gt;=70,"P0 - Immediate",IF(AB278&gt;=50,"P1 - High",IF(AB278&gt;=30,"P2 - Medium",IF(AB278&gt;=15,"P3 - Low","P4 - Monitor")))))</x:f>
      </x:c>
      <x:c r="AD278" s="28"/>
      <x:c r="AE278" s="28"/>
      <x:c r="AF278" s="28"/>
      <x:c r="AG278" s="58"/>
      <x:c r="AH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56"/>
      <x:c r="J279" s="28"/>
      <x:c r="K279" s="28"/>
      <x:c r="L279" s="56"/>
      <x:c r="M279" s="28"/>
      <x:c r="N279" s="28"/>
      <x:c r="O279" s="28"/>
      <x:c r="P279" s="28"/>
      <x:c r="Q279" s="28"/>
      <x:c r="R279" s="28"/>
      <x:c r="S279" s="28"/>
      <x:c r="T279" s="28"/>
      <x:c r="U279" s="28"/>
      <x:c r="V279" s="28"/>
      <x:c r="W279" s="28"/>
      <x:c r="X279" s="28"/>
      <x:c r="Y279" s="28"/>
      <x:c r="Z279" s="28"/>
      <x:c r="AA279" s="28"/>
      <x:c r="AB279" s="56" t="str">
        <x:f>IF($A279="","",IF(Z279="Y",20,IF(Z279="Unknown",10,0))+$L279*5+IF(AA279="Y",15,IF(AA279="Unknown",5,0))+IF($J279="Public",10,IF($J279="Partner",7,IF($J279="Internal",3,0)))+IF($W279="Hard-coded",10,IF($W279="Unknown",7,IF($W279="Configurable",3,0)))+IF($I279&gt;=10,10,IF($I279&gt;=5,7,IF($I279&gt;=2,3,0)))+IF($K279="High",10,IF($K279="Medium",5,0)))</x:f>
      </x:c>
      <x:c r="AC279" s="28" t="str">
        <x:f>IF($A279="","",IF(AB279&gt;=70,"P0 - Immediate",IF(AB279&gt;=50,"P1 - High",IF(AB279&gt;=30,"P2 - Medium",IF(AB279&gt;=15,"P3 - Low","P4 - Monitor")))))</x:f>
      </x:c>
      <x:c r="AD279" s="28"/>
      <x:c r="AE279" s="28"/>
      <x:c r="AF279" s="28"/>
      <x:c r="AG279" s="58"/>
      <x:c r="AH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56"/>
      <x:c r="J280" s="28"/>
      <x:c r="K280" s="28"/>
      <x:c r="L280" s="56"/>
      <x:c r="M280" s="28"/>
      <x:c r="N280" s="28"/>
      <x:c r="O280" s="28"/>
      <x:c r="P280" s="28"/>
      <x:c r="Q280" s="28"/>
      <x:c r="R280" s="28"/>
      <x:c r="S280" s="28"/>
      <x:c r="T280" s="28"/>
      <x:c r="U280" s="28"/>
      <x:c r="V280" s="28"/>
      <x:c r="W280" s="28"/>
      <x:c r="X280" s="28"/>
      <x:c r="Y280" s="28"/>
      <x:c r="Z280" s="28"/>
      <x:c r="AA280" s="28"/>
      <x:c r="AB280" s="56" t="str">
        <x:f>IF($A280="","",IF(Z280="Y",20,IF(Z280="Unknown",10,0))+$L280*5+IF(AA280="Y",15,IF(AA280="Unknown",5,0))+IF($J280="Public",10,IF($J280="Partner",7,IF($J280="Internal",3,0)))+IF($W280="Hard-coded",10,IF($W280="Unknown",7,IF($W280="Configurable",3,0)))+IF($I280&gt;=10,10,IF($I280&gt;=5,7,IF($I280&gt;=2,3,0)))+IF($K280="High",10,IF($K280="Medium",5,0)))</x:f>
      </x:c>
      <x:c r="AC280" s="28" t="str">
        <x:f>IF($A280="","",IF(AB280&gt;=70,"P0 - Immediate",IF(AB280&gt;=50,"P1 - High",IF(AB280&gt;=30,"P2 - Medium",IF(AB280&gt;=15,"P3 - Low","P4 - Monitor")))))</x:f>
      </x:c>
      <x:c r="AD280" s="28"/>
      <x:c r="AE280" s="28"/>
      <x:c r="AF280" s="28"/>
      <x:c r="AG280" s="58"/>
      <x:c r="AH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56"/>
      <x:c r="J281" s="28"/>
      <x:c r="K281" s="28"/>
      <x:c r="L281" s="56"/>
      <x:c r="M281" s="28"/>
      <x:c r="N281" s="28"/>
      <x:c r="O281" s="28"/>
      <x:c r="P281" s="28"/>
      <x:c r="Q281" s="28"/>
      <x:c r="R281" s="28"/>
      <x:c r="S281" s="28"/>
      <x:c r="T281" s="28"/>
      <x:c r="U281" s="28"/>
      <x:c r="V281" s="28"/>
      <x:c r="W281" s="28"/>
      <x:c r="X281" s="28"/>
      <x:c r="Y281" s="28"/>
      <x:c r="Z281" s="28"/>
      <x:c r="AA281" s="28"/>
      <x:c r="AB281" s="56" t="str">
        <x:f>IF($A281="","",IF(Z281="Y",20,IF(Z281="Unknown",10,0))+$L281*5+IF(AA281="Y",15,IF(AA281="Unknown",5,0))+IF($J281="Public",10,IF($J281="Partner",7,IF($J281="Internal",3,0)))+IF($W281="Hard-coded",10,IF($W281="Unknown",7,IF($W281="Configurable",3,0)))+IF($I281&gt;=10,10,IF($I281&gt;=5,7,IF($I281&gt;=2,3,0)))+IF($K281="High",10,IF($K281="Medium",5,0)))</x:f>
      </x:c>
      <x:c r="AC281" s="28" t="str">
        <x:f>IF($A281="","",IF(AB281&gt;=70,"P0 - Immediate",IF(AB281&gt;=50,"P1 - High",IF(AB281&gt;=30,"P2 - Medium",IF(AB281&gt;=15,"P3 - Low","P4 - Monitor")))))</x:f>
      </x:c>
      <x:c r="AD281" s="28"/>
      <x:c r="AE281" s="28"/>
      <x:c r="AF281" s="28"/>
      <x:c r="AG281" s="58"/>
      <x:c r="AH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56"/>
      <x:c r="J282" s="28"/>
      <x:c r="K282" s="28"/>
      <x:c r="L282" s="56"/>
      <x:c r="M282" s="28"/>
      <x:c r="N282" s="28"/>
      <x:c r="O282" s="28"/>
      <x:c r="P282" s="28"/>
      <x:c r="Q282" s="28"/>
      <x:c r="R282" s="28"/>
      <x:c r="S282" s="28"/>
      <x:c r="T282" s="28"/>
      <x:c r="U282" s="28"/>
      <x:c r="V282" s="28"/>
      <x:c r="W282" s="28"/>
      <x:c r="X282" s="28"/>
      <x:c r="Y282" s="28"/>
      <x:c r="Z282" s="28"/>
      <x:c r="AA282" s="28"/>
      <x:c r="AB282" s="56" t="str">
        <x:f>IF($A282="","",IF(Z282="Y",20,IF(Z282="Unknown",10,0))+$L282*5+IF(AA282="Y",15,IF(AA282="Unknown",5,0))+IF($J282="Public",10,IF($J282="Partner",7,IF($J282="Internal",3,0)))+IF($W282="Hard-coded",10,IF($W282="Unknown",7,IF($W282="Configurable",3,0)))+IF($I282&gt;=10,10,IF($I282&gt;=5,7,IF($I282&gt;=2,3,0)))+IF($K282="High",10,IF($K282="Medium",5,0)))</x:f>
      </x:c>
      <x:c r="AC282" s="28" t="str">
        <x:f>IF($A282="","",IF(AB282&gt;=70,"P0 - Immediate",IF(AB282&gt;=50,"P1 - High",IF(AB282&gt;=30,"P2 - Medium",IF(AB282&gt;=15,"P3 - Low","P4 - Monitor")))))</x:f>
      </x:c>
      <x:c r="AD282" s="28"/>
      <x:c r="AE282" s="28"/>
      <x:c r="AF282" s="28"/>
      <x:c r="AG282" s="58"/>
      <x:c r="AH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56"/>
      <x:c r="J283" s="28"/>
      <x:c r="K283" s="28"/>
      <x:c r="L283" s="56"/>
      <x:c r="M283" s="28"/>
      <x:c r="N283" s="28"/>
      <x:c r="O283" s="28"/>
      <x:c r="P283" s="28"/>
      <x:c r="Q283" s="28"/>
      <x:c r="R283" s="28"/>
      <x:c r="S283" s="28"/>
      <x:c r="T283" s="28"/>
      <x:c r="U283" s="28"/>
      <x:c r="V283" s="28"/>
      <x:c r="W283" s="28"/>
      <x:c r="X283" s="28"/>
      <x:c r="Y283" s="28"/>
      <x:c r="Z283" s="28"/>
      <x:c r="AA283" s="28"/>
      <x:c r="AB283" s="56" t="str">
        <x:f>IF($A283="","",IF(Z283="Y",20,IF(Z283="Unknown",10,0))+$L283*5+IF(AA283="Y",15,IF(AA283="Unknown",5,0))+IF($J283="Public",10,IF($J283="Partner",7,IF($J283="Internal",3,0)))+IF($W283="Hard-coded",10,IF($W283="Unknown",7,IF($W283="Configurable",3,0)))+IF($I283&gt;=10,10,IF($I283&gt;=5,7,IF($I283&gt;=2,3,0)))+IF($K283="High",10,IF($K283="Medium",5,0)))</x:f>
      </x:c>
      <x:c r="AC283" s="28" t="str">
        <x:f>IF($A283="","",IF(AB283&gt;=70,"P0 - Immediate",IF(AB283&gt;=50,"P1 - High",IF(AB283&gt;=30,"P2 - Medium",IF(AB283&gt;=15,"P3 - Low","P4 - Monitor")))))</x:f>
      </x:c>
      <x:c r="AD283" s="28"/>
      <x:c r="AE283" s="28"/>
      <x:c r="AF283" s="28"/>
      <x:c r="AG283" s="58"/>
      <x:c r="AH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56"/>
      <x:c r="J284" s="28"/>
      <x:c r="K284" s="28"/>
      <x:c r="L284" s="56"/>
      <x:c r="M284" s="28"/>
      <x:c r="N284" s="28"/>
      <x:c r="O284" s="28"/>
      <x:c r="P284" s="28"/>
      <x:c r="Q284" s="28"/>
      <x:c r="R284" s="28"/>
      <x:c r="S284" s="28"/>
      <x:c r="T284" s="28"/>
      <x:c r="U284" s="28"/>
      <x:c r="V284" s="28"/>
      <x:c r="W284" s="28"/>
      <x:c r="X284" s="28"/>
      <x:c r="Y284" s="28"/>
      <x:c r="Z284" s="28"/>
      <x:c r="AA284" s="28"/>
      <x:c r="AB284" s="56" t="str">
        <x:f>IF($A284="","",IF(Z284="Y",20,IF(Z284="Unknown",10,0))+$L284*5+IF(AA284="Y",15,IF(AA284="Unknown",5,0))+IF($J284="Public",10,IF($J284="Partner",7,IF($J284="Internal",3,0)))+IF($W284="Hard-coded",10,IF($W284="Unknown",7,IF($W284="Configurable",3,0)))+IF($I284&gt;=10,10,IF($I284&gt;=5,7,IF($I284&gt;=2,3,0)))+IF($K284="High",10,IF($K284="Medium",5,0)))</x:f>
      </x:c>
      <x:c r="AC284" s="28" t="str">
        <x:f>IF($A284="","",IF(AB284&gt;=70,"P0 - Immediate",IF(AB284&gt;=50,"P1 - High",IF(AB284&gt;=30,"P2 - Medium",IF(AB284&gt;=15,"P3 - Low","P4 - Monitor")))))</x:f>
      </x:c>
      <x:c r="AD284" s="28"/>
      <x:c r="AE284" s="28"/>
      <x:c r="AF284" s="28"/>
      <x:c r="AG284" s="58"/>
      <x:c r="AH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56"/>
      <x:c r="J285" s="28"/>
      <x:c r="K285" s="28"/>
      <x:c r="L285" s="56"/>
      <x:c r="M285" s="28"/>
      <x:c r="N285" s="28"/>
      <x:c r="O285" s="28"/>
      <x:c r="P285" s="28"/>
      <x:c r="Q285" s="28"/>
      <x:c r="R285" s="28"/>
      <x:c r="S285" s="28"/>
      <x:c r="T285" s="28"/>
      <x:c r="U285" s="28"/>
      <x:c r="V285" s="28"/>
      <x:c r="W285" s="28"/>
      <x:c r="X285" s="28"/>
      <x:c r="Y285" s="28"/>
      <x:c r="Z285" s="28"/>
      <x:c r="AA285" s="28"/>
      <x:c r="AB285" s="56" t="str">
        <x:f>IF($A285="","",IF(Z285="Y",20,IF(Z285="Unknown",10,0))+$L285*5+IF(AA285="Y",15,IF(AA285="Unknown",5,0))+IF($J285="Public",10,IF($J285="Partner",7,IF($J285="Internal",3,0)))+IF($W285="Hard-coded",10,IF($W285="Unknown",7,IF($W285="Configurable",3,0)))+IF($I285&gt;=10,10,IF($I285&gt;=5,7,IF($I285&gt;=2,3,0)))+IF($K285="High",10,IF($K285="Medium",5,0)))</x:f>
      </x:c>
      <x:c r="AC285" s="28" t="str">
        <x:f>IF($A285="","",IF(AB285&gt;=70,"P0 - Immediate",IF(AB285&gt;=50,"P1 - High",IF(AB285&gt;=30,"P2 - Medium",IF(AB285&gt;=15,"P3 - Low","P4 - Monitor")))))</x:f>
      </x:c>
      <x:c r="AD285" s="28"/>
      <x:c r="AE285" s="28"/>
      <x:c r="AF285" s="28"/>
      <x:c r="AG285" s="58"/>
      <x:c r="AH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56"/>
      <x:c r="J286" s="28"/>
      <x:c r="K286" s="28"/>
      <x:c r="L286" s="56"/>
      <x:c r="M286" s="28"/>
      <x:c r="N286" s="28"/>
      <x:c r="O286" s="28"/>
      <x:c r="P286" s="28"/>
      <x:c r="Q286" s="28"/>
      <x:c r="R286" s="28"/>
      <x:c r="S286" s="28"/>
      <x:c r="T286" s="28"/>
      <x:c r="U286" s="28"/>
      <x:c r="V286" s="28"/>
      <x:c r="W286" s="28"/>
      <x:c r="X286" s="28"/>
      <x:c r="Y286" s="28"/>
      <x:c r="Z286" s="28"/>
      <x:c r="AA286" s="28"/>
      <x:c r="AB286" s="56" t="str">
        <x:f>IF($A286="","",IF(Z286="Y",20,IF(Z286="Unknown",10,0))+$L286*5+IF(AA286="Y",15,IF(AA286="Unknown",5,0))+IF($J286="Public",10,IF($J286="Partner",7,IF($J286="Internal",3,0)))+IF($W286="Hard-coded",10,IF($W286="Unknown",7,IF($W286="Configurable",3,0)))+IF($I286&gt;=10,10,IF($I286&gt;=5,7,IF($I286&gt;=2,3,0)))+IF($K286="High",10,IF($K286="Medium",5,0)))</x:f>
      </x:c>
      <x:c r="AC286" s="28" t="str">
        <x:f>IF($A286="","",IF(AB286&gt;=70,"P0 - Immediate",IF(AB286&gt;=50,"P1 - High",IF(AB286&gt;=30,"P2 - Medium",IF(AB286&gt;=15,"P3 - Low","P4 - Monitor")))))</x:f>
      </x:c>
      <x:c r="AD286" s="28"/>
      <x:c r="AE286" s="28"/>
      <x:c r="AF286" s="28"/>
      <x:c r="AG286" s="58"/>
      <x:c r="AH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56"/>
      <x:c r="J287" s="28"/>
      <x:c r="K287" s="28"/>
      <x:c r="L287" s="56"/>
      <x:c r="M287" s="28"/>
      <x:c r="N287" s="28"/>
      <x:c r="O287" s="28"/>
      <x:c r="P287" s="28"/>
      <x:c r="Q287" s="28"/>
      <x:c r="R287" s="28"/>
      <x:c r="S287" s="28"/>
      <x:c r="T287" s="28"/>
      <x:c r="U287" s="28"/>
      <x:c r="V287" s="28"/>
      <x:c r="W287" s="28"/>
      <x:c r="X287" s="28"/>
      <x:c r="Y287" s="28"/>
      <x:c r="Z287" s="28"/>
      <x:c r="AA287" s="28"/>
      <x:c r="AB287" s="56" t="str">
        <x:f>IF($A287="","",IF(Z287="Y",20,IF(Z287="Unknown",10,0))+$L287*5+IF(AA287="Y",15,IF(AA287="Unknown",5,0))+IF($J287="Public",10,IF($J287="Partner",7,IF($J287="Internal",3,0)))+IF($W287="Hard-coded",10,IF($W287="Unknown",7,IF($W287="Configurable",3,0)))+IF($I287&gt;=10,10,IF($I287&gt;=5,7,IF($I287&gt;=2,3,0)))+IF($K287="High",10,IF($K287="Medium",5,0)))</x:f>
      </x:c>
      <x:c r="AC287" s="28" t="str">
        <x:f>IF($A287="","",IF(AB287&gt;=70,"P0 - Immediate",IF(AB287&gt;=50,"P1 - High",IF(AB287&gt;=30,"P2 - Medium",IF(AB287&gt;=15,"P3 - Low","P4 - Monitor")))))</x:f>
      </x:c>
      <x:c r="AD287" s="28"/>
      <x:c r="AE287" s="28"/>
      <x:c r="AF287" s="28"/>
      <x:c r="AG287" s="58"/>
      <x:c r="AH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56"/>
      <x:c r="J288" s="28"/>
      <x:c r="K288" s="28"/>
      <x:c r="L288" s="56"/>
      <x:c r="M288" s="28"/>
      <x:c r="N288" s="28"/>
      <x:c r="O288" s="28"/>
      <x:c r="P288" s="28"/>
      <x:c r="Q288" s="28"/>
      <x:c r="R288" s="28"/>
      <x:c r="S288" s="28"/>
      <x:c r="T288" s="28"/>
      <x:c r="U288" s="28"/>
      <x:c r="V288" s="28"/>
      <x:c r="W288" s="28"/>
      <x:c r="X288" s="28"/>
      <x:c r="Y288" s="28"/>
      <x:c r="Z288" s="28"/>
      <x:c r="AA288" s="28"/>
      <x:c r="AB288" s="56" t="str">
        <x:f>IF($A288="","",IF(Z288="Y",20,IF(Z288="Unknown",10,0))+$L288*5+IF(AA288="Y",15,IF(AA288="Unknown",5,0))+IF($J288="Public",10,IF($J288="Partner",7,IF($J288="Internal",3,0)))+IF($W288="Hard-coded",10,IF($W288="Unknown",7,IF($W288="Configurable",3,0)))+IF($I288&gt;=10,10,IF($I288&gt;=5,7,IF($I288&gt;=2,3,0)))+IF($K288="High",10,IF($K288="Medium",5,0)))</x:f>
      </x:c>
      <x:c r="AC288" s="28" t="str">
        <x:f>IF($A288="","",IF(AB288&gt;=70,"P0 - Immediate",IF(AB288&gt;=50,"P1 - High",IF(AB288&gt;=30,"P2 - Medium",IF(AB288&gt;=15,"P3 - Low","P4 - Monitor")))))</x:f>
      </x:c>
      <x:c r="AD288" s="28"/>
      <x:c r="AE288" s="28"/>
      <x:c r="AF288" s="28"/>
      <x:c r="AG288" s="58"/>
      <x:c r="AH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56"/>
      <x:c r="J289" s="28"/>
      <x:c r="K289" s="28"/>
      <x:c r="L289" s="56"/>
      <x:c r="M289" s="28"/>
      <x:c r="N289" s="28"/>
      <x:c r="O289" s="28"/>
      <x:c r="P289" s="28"/>
      <x:c r="Q289" s="28"/>
      <x:c r="R289" s="28"/>
      <x:c r="S289" s="28"/>
      <x:c r="T289" s="28"/>
      <x:c r="U289" s="28"/>
      <x:c r="V289" s="28"/>
      <x:c r="W289" s="28"/>
      <x:c r="X289" s="28"/>
      <x:c r="Y289" s="28"/>
      <x:c r="Z289" s="28"/>
      <x:c r="AA289" s="28"/>
      <x:c r="AB289" s="56" t="str">
        <x:f>IF($A289="","",IF(Z289="Y",20,IF(Z289="Unknown",10,0))+$L289*5+IF(AA289="Y",15,IF(AA289="Unknown",5,0))+IF($J289="Public",10,IF($J289="Partner",7,IF($J289="Internal",3,0)))+IF($W289="Hard-coded",10,IF($W289="Unknown",7,IF($W289="Configurable",3,0)))+IF($I289&gt;=10,10,IF($I289&gt;=5,7,IF($I289&gt;=2,3,0)))+IF($K289="High",10,IF($K289="Medium",5,0)))</x:f>
      </x:c>
      <x:c r="AC289" s="28" t="str">
        <x:f>IF($A289="","",IF(AB289&gt;=70,"P0 - Immediate",IF(AB289&gt;=50,"P1 - High",IF(AB289&gt;=30,"P2 - Medium",IF(AB289&gt;=15,"P3 - Low","P4 - Monitor")))))</x:f>
      </x:c>
      <x:c r="AD289" s="28"/>
      <x:c r="AE289" s="28"/>
      <x:c r="AF289" s="28"/>
      <x:c r="AG289" s="58"/>
      <x:c r="AH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56"/>
      <x:c r="J290" s="28"/>
      <x:c r="K290" s="28"/>
      <x:c r="L290" s="56"/>
      <x:c r="M290" s="28"/>
      <x:c r="N290" s="28"/>
      <x:c r="O290" s="28"/>
      <x:c r="P290" s="28"/>
      <x:c r="Q290" s="28"/>
      <x:c r="R290" s="28"/>
      <x:c r="S290" s="28"/>
      <x:c r="T290" s="28"/>
      <x:c r="U290" s="28"/>
      <x:c r="V290" s="28"/>
      <x:c r="W290" s="28"/>
      <x:c r="X290" s="28"/>
      <x:c r="Y290" s="28"/>
      <x:c r="Z290" s="28"/>
      <x:c r="AA290" s="28"/>
      <x:c r="AB290" s="56" t="str">
        <x:f>IF($A290="","",IF(Z290="Y",20,IF(Z290="Unknown",10,0))+$L290*5+IF(AA290="Y",15,IF(AA290="Unknown",5,0))+IF($J290="Public",10,IF($J290="Partner",7,IF($J290="Internal",3,0)))+IF($W290="Hard-coded",10,IF($W290="Unknown",7,IF($W290="Configurable",3,0)))+IF($I290&gt;=10,10,IF($I290&gt;=5,7,IF($I290&gt;=2,3,0)))+IF($K290="High",10,IF($K290="Medium",5,0)))</x:f>
      </x:c>
      <x:c r="AC290" s="28" t="str">
        <x:f>IF($A290="","",IF(AB290&gt;=70,"P0 - Immediate",IF(AB290&gt;=50,"P1 - High",IF(AB290&gt;=30,"P2 - Medium",IF(AB290&gt;=15,"P3 - Low","P4 - Monitor")))))</x:f>
      </x:c>
      <x:c r="AD290" s="28"/>
      <x:c r="AE290" s="28"/>
      <x:c r="AF290" s="28"/>
      <x:c r="AG290" s="58"/>
      <x:c r="AH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56"/>
      <x:c r="J291" s="28"/>
      <x:c r="K291" s="28"/>
      <x:c r="L291" s="56"/>
      <x:c r="M291" s="28"/>
      <x:c r="N291" s="28"/>
      <x:c r="O291" s="28"/>
      <x:c r="P291" s="28"/>
      <x:c r="Q291" s="28"/>
      <x:c r="R291" s="28"/>
      <x:c r="S291" s="28"/>
      <x:c r="T291" s="28"/>
      <x:c r="U291" s="28"/>
      <x:c r="V291" s="28"/>
      <x:c r="W291" s="28"/>
      <x:c r="X291" s="28"/>
      <x:c r="Y291" s="28"/>
      <x:c r="Z291" s="28"/>
      <x:c r="AA291" s="28"/>
      <x:c r="AB291" s="56" t="str">
        <x:f>IF($A291="","",IF(Z291="Y",20,IF(Z291="Unknown",10,0))+$L291*5+IF(AA291="Y",15,IF(AA291="Unknown",5,0))+IF($J291="Public",10,IF($J291="Partner",7,IF($J291="Internal",3,0)))+IF($W291="Hard-coded",10,IF($W291="Unknown",7,IF($W291="Configurable",3,0)))+IF($I291&gt;=10,10,IF($I291&gt;=5,7,IF($I291&gt;=2,3,0)))+IF($K291="High",10,IF($K291="Medium",5,0)))</x:f>
      </x:c>
      <x:c r="AC291" s="28" t="str">
        <x:f>IF($A291="","",IF(AB291&gt;=70,"P0 - Immediate",IF(AB291&gt;=50,"P1 - High",IF(AB291&gt;=30,"P2 - Medium",IF(AB291&gt;=15,"P3 - Low","P4 - Monitor")))))</x:f>
      </x:c>
      <x:c r="AD291" s="28"/>
      <x:c r="AE291" s="28"/>
      <x:c r="AF291" s="28"/>
      <x:c r="AG291" s="58"/>
      <x:c r="AH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56"/>
      <x:c r="J292" s="28"/>
      <x:c r="K292" s="28"/>
      <x:c r="L292" s="56"/>
      <x:c r="M292" s="28"/>
      <x:c r="N292" s="28"/>
      <x:c r="O292" s="28"/>
      <x:c r="P292" s="28"/>
      <x:c r="Q292" s="28"/>
      <x:c r="R292" s="28"/>
      <x:c r="S292" s="28"/>
      <x:c r="T292" s="28"/>
      <x:c r="U292" s="28"/>
      <x:c r="V292" s="28"/>
      <x:c r="W292" s="28"/>
      <x:c r="X292" s="28"/>
      <x:c r="Y292" s="28"/>
      <x:c r="Z292" s="28"/>
      <x:c r="AA292" s="28"/>
      <x:c r="AB292" s="56" t="str">
        <x:f>IF($A292="","",IF(Z292="Y",20,IF(Z292="Unknown",10,0))+$L292*5+IF(AA292="Y",15,IF(AA292="Unknown",5,0))+IF($J292="Public",10,IF($J292="Partner",7,IF($J292="Internal",3,0)))+IF($W292="Hard-coded",10,IF($W292="Unknown",7,IF($W292="Configurable",3,0)))+IF($I292&gt;=10,10,IF($I292&gt;=5,7,IF($I292&gt;=2,3,0)))+IF($K292="High",10,IF($K292="Medium",5,0)))</x:f>
      </x:c>
      <x:c r="AC292" s="28" t="str">
        <x:f>IF($A292="","",IF(AB292&gt;=70,"P0 - Immediate",IF(AB292&gt;=50,"P1 - High",IF(AB292&gt;=30,"P2 - Medium",IF(AB292&gt;=15,"P3 - Low","P4 - Monitor")))))</x:f>
      </x:c>
      <x:c r="AD292" s="28"/>
      <x:c r="AE292" s="28"/>
      <x:c r="AF292" s="28"/>
      <x:c r="AG292" s="58"/>
      <x:c r="AH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56"/>
      <x:c r="J293" s="28"/>
      <x:c r="K293" s="28"/>
      <x:c r="L293" s="56"/>
      <x:c r="M293" s="28"/>
      <x:c r="N293" s="28"/>
      <x:c r="O293" s="28"/>
      <x:c r="P293" s="28"/>
      <x:c r="Q293" s="28"/>
      <x:c r="R293" s="28"/>
      <x:c r="S293" s="28"/>
      <x:c r="T293" s="28"/>
      <x:c r="U293" s="28"/>
      <x:c r="V293" s="28"/>
      <x:c r="W293" s="28"/>
      <x:c r="X293" s="28"/>
      <x:c r="Y293" s="28"/>
      <x:c r="Z293" s="28"/>
      <x:c r="AA293" s="28"/>
      <x:c r="AB293" s="56" t="str">
        <x:f>IF($A293="","",IF(Z293="Y",20,IF(Z293="Unknown",10,0))+$L293*5+IF(AA293="Y",15,IF(AA293="Unknown",5,0))+IF($J293="Public",10,IF($J293="Partner",7,IF($J293="Internal",3,0)))+IF($W293="Hard-coded",10,IF($W293="Unknown",7,IF($W293="Configurable",3,0)))+IF($I293&gt;=10,10,IF($I293&gt;=5,7,IF($I293&gt;=2,3,0)))+IF($K293="High",10,IF($K293="Medium",5,0)))</x:f>
      </x:c>
      <x:c r="AC293" s="28" t="str">
        <x:f>IF($A293="","",IF(AB293&gt;=70,"P0 - Immediate",IF(AB293&gt;=50,"P1 - High",IF(AB293&gt;=30,"P2 - Medium",IF(AB293&gt;=15,"P3 - Low","P4 - Monitor")))))</x:f>
      </x:c>
      <x:c r="AD293" s="28"/>
      <x:c r="AE293" s="28"/>
      <x:c r="AF293" s="28"/>
      <x:c r="AG293" s="58"/>
      <x:c r="AH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56"/>
      <x:c r="J294" s="28"/>
      <x:c r="K294" s="28"/>
      <x:c r="L294" s="56"/>
      <x:c r="M294" s="28"/>
      <x:c r="N294" s="28"/>
      <x:c r="O294" s="28"/>
      <x:c r="P294" s="28"/>
      <x:c r="Q294" s="28"/>
      <x:c r="R294" s="28"/>
      <x:c r="S294" s="28"/>
      <x:c r="T294" s="28"/>
      <x:c r="U294" s="28"/>
      <x:c r="V294" s="28"/>
      <x:c r="W294" s="28"/>
      <x:c r="X294" s="28"/>
      <x:c r="Y294" s="28"/>
      <x:c r="Z294" s="28"/>
      <x:c r="AA294" s="28"/>
      <x:c r="AB294" s="56" t="str">
        <x:f>IF($A294="","",IF(Z294="Y",20,IF(Z294="Unknown",10,0))+$L294*5+IF(AA294="Y",15,IF(AA294="Unknown",5,0))+IF($J294="Public",10,IF($J294="Partner",7,IF($J294="Internal",3,0)))+IF($W294="Hard-coded",10,IF($W294="Unknown",7,IF($W294="Configurable",3,0)))+IF($I294&gt;=10,10,IF($I294&gt;=5,7,IF($I294&gt;=2,3,0)))+IF($K294="High",10,IF($K294="Medium",5,0)))</x:f>
      </x:c>
      <x:c r="AC294" s="28" t="str">
        <x:f>IF($A294="","",IF(AB294&gt;=70,"P0 - Immediate",IF(AB294&gt;=50,"P1 - High",IF(AB294&gt;=30,"P2 - Medium",IF(AB294&gt;=15,"P3 - Low","P4 - Monitor")))))</x:f>
      </x:c>
      <x:c r="AD294" s="28"/>
      <x:c r="AE294" s="28"/>
      <x:c r="AF294" s="28"/>
      <x:c r="AG294" s="58"/>
      <x:c r="AH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56"/>
      <x:c r="J295" s="28"/>
      <x:c r="K295" s="28"/>
      <x:c r="L295" s="56"/>
      <x:c r="M295" s="28"/>
      <x:c r="N295" s="28"/>
      <x:c r="O295" s="28"/>
      <x:c r="P295" s="28"/>
      <x:c r="Q295" s="28"/>
      <x:c r="R295" s="28"/>
      <x:c r="S295" s="28"/>
      <x:c r="T295" s="28"/>
      <x:c r="U295" s="28"/>
      <x:c r="V295" s="28"/>
      <x:c r="W295" s="28"/>
      <x:c r="X295" s="28"/>
      <x:c r="Y295" s="28"/>
      <x:c r="Z295" s="28"/>
      <x:c r="AA295" s="28"/>
      <x:c r="AB295" s="56" t="str">
        <x:f>IF($A295="","",IF(Z295="Y",20,IF(Z295="Unknown",10,0))+$L295*5+IF(AA295="Y",15,IF(AA295="Unknown",5,0))+IF($J295="Public",10,IF($J295="Partner",7,IF($J295="Internal",3,0)))+IF($W295="Hard-coded",10,IF($W295="Unknown",7,IF($W295="Configurable",3,0)))+IF($I295&gt;=10,10,IF($I295&gt;=5,7,IF($I295&gt;=2,3,0)))+IF($K295="High",10,IF($K295="Medium",5,0)))</x:f>
      </x:c>
      <x:c r="AC295" s="28" t="str">
        <x:f>IF($A295="","",IF(AB295&gt;=70,"P0 - Immediate",IF(AB295&gt;=50,"P1 - High",IF(AB295&gt;=30,"P2 - Medium",IF(AB295&gt;=15,"P3 - Low","P4 - Monitor")))))</x:f>
      </x:c>
      <x:c r="AD295" s="28"/>
      <x:c r="AE295" s="28"/>
      <x:c r="AF295" s="28"/>
      <x:c r="AG295" s="58"/>
      <x:c r="AH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56"/>
      <x:c r="J296" s="28"/>
      <x:c r="K296" s="28"/>
      <x:c r="L296" s="56"/>
      <x:c r="M296" s="28"/>
      <x:c r="N296" s="28"/>
      <x:c r="O296" s="28"/>
      <x:c r="P296" s="28"/>
      <x:c r="Q296" s="28"/>
      <x:c r="R296" s="28"/>
      <x:c r="S296" s="28"/>
      <x:c r="T296" s="28"/>
      <x:c r="U296" s="28"/>
      <x:c r="V296" s="28"/>
      <x:c r="W296" s="28"/>
      <x:c r="X296" s="28"/>
      <x:c r="Y296" s="28"/>
      <x:c r="Z296" s="28"/>
      <x:c r="AA296" s="28"/>
      <x:c r="AB296" s="56" t="str">
        <x:f>IF($A296="","",IF(Z296="Y",20,IF(Z296="Unknown",10,0))+$L296*5+IF(AA296="Y",15,IF(AA296="Unknown",5,0))+IF($J296="Public",10,IF($J296="Partner",7,IF($J296="Internal",3,0)))+IF($W296="Hard-coded",10,IF($W296="Unknown",7,IF($W296="Configurable",3,0)))+IF($I296&gt;=10,10,IF($I296&gt;=5,7,IF($I296&gt;=2,3,0)))+IF($K296="High",10,IF($K296="Medium",5,0)))</x:f>
      </x:c>
      <x:c r="AC296" s="28" t="str">
        <x:f>IF($A296="","",IF(AB296&gt;=70,"P0 - Immediate",IF(AB296&gt;=50,"P1 - High",IF(AB296&gt;=30,"P2 - Medium",IF(AB296&gt;=15,"P3 - Low","P4 - Monitor")))))</x:f>
      </x:c>
      <x:c r="AD296" s="28"/>
      <x:c r="AE296" s="28"/>
      <x:c r="AF296" s="28"/>
      <x:c r="AG296" s="58"/>
      <x:c r="AH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56"/>
      <x:c r="J297" s="28"/>
      <x:c r="K297" s="28"/>
      <x:c r="L297" s="56"/>
      <x:c r="M297" s="28"/>
      <x:c r="N297" s="28"/>
      <x:c r="O297" s="28"/>
      <x:c r="P297" s="28"/>
      <x:c r="Q297" s="28"/>
      <x:c r="R297" s="28"/>
      <x:c r="S297" s="28"/>
      <x:c r="T297" s="28"/>
      <x:c r="U297" s="28"/>
      <x:c r="V297" s="28"/>
      <x:c r="W297" s="28"/>
      <x:c r="X297" s="28"/>
      <x:c r="Y297" s="28"/>
      <x:c r="Z297" s="28"/>
      <x:c r="AA297" s="28"/>
      <x:c r="AB297" s="56" t="str">
        <x:f>IF($A297="","",IF(Z297="Y",20,IF(Z297="Unknown",10,0))+$L297*5+IF(AA297="Y",15,IF(AA297="Unknown",5,0))+IF($J297="Public",10,IF($J297="Partner",7,IF($J297="Internal",3,0)))+IF($W297="Hard-coded",10,IF($W297="Unknown",7,IF($W297="Configurable",3,0)))+IF($I297&gt;=10,10,IF($I297&gt;=5,7,IF($I297&gt;=2,3,0)))+IF($K297="High",10,IF($K297="Medium",5,0)))</x:f>
      </x:c>
      <x:c r="AC297" s="28" t="str">
        <x:f>IF($A297="","",IF(AB297&gt;=70,"P0 - Immediate",IF(AB297&gt;=50,"P1 - High",IF(AB297&gt;=30,"P2 - Medium",IF(AB297&gt;=15,"P3 - Low","P4 - Monitor")))))</x:f>
      </x:c>
      <x:c r="AD297" s="28"/>
      <x:c r="AE297" s="28"/>
      <x:c r="AF297" s="28"/>
      <x:c r="AG297" s="58"/>
      <x:c r="AH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56"/>
      <x:c r="J298" s="28"/>
      <x:c r="K298" s="28"/>
      <x:c r="L298" s="56"/>
      <x:c r="M298" s="28"/>
      <x:c r="N298" s="28"/>
      <x:c r="O298" s="28"/>
      <x:c r="P298" s="28"/>
      <x:c r="Q298" s="28"/>
      <x:c r="R298" s="28"/>
      <x:c r="S298" s="28"/>
      <x:c r="T298" s="28"/>
      <x:c r="U298" s="28"/>
      <x:c r="V298" s="28"/>
      <x:c r="W298" s="28"/>
      <x:c r="X298" s="28"/>
      <x:c r="Y298" s="28"/>
      <x:c r="Z298" s="28"/>
      <x:c r="AA298" s="28"/>
      <x:c r="AB298" s="56" t="str">
        <x:f>IF($A298="","",IF(Z298="Y",20,IF(Z298="Unknown",10,0))+$L298*5+IF(AA298="Y",15,IF(AA298="Unknown",5,0))+IF($J298="Public",10,IF($J298="Partner",7,IF($J298="Internal",3,0)))+IF($W298="Hard-coded",10,IF($W298="Unknown",7,IF($W298="Configurable",3,0)))+IF($I298&gt;=10,10,IF($I298&gt;=5,7,IF($I298&gt;=2,3,0)))+IF($K298="High",10,IF($K298="Medium",5,0)))</x:f>
      </x:c>
      <x:c r="AC298" s="28" t="str">
        <x:f>IF($A298="","",IF(AB298&gt;=70,"P0 - Immediate",IF(AB298&gt;=50,"P1 - High",IF(AB298&gt;=30,"P2 - Medium",IF(AB298&gt;=15,"P3 - Low","P4 - Monitor")))))</x:f>
      </x:c>
      <x:c r="AD298" s="28"/>
      <x:c r="AE298" s="28"/>
      <x:c r="AF298" s="28"/>
      <x:c r="AG298" s="58"/>
      <x:c r="AH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56"/>
      <x:c r="J299" s="28"/>
      <x:c r="K299" s="28"/>
      <x:c r="L299" s="56"/>
      <x:c r="M299" s="28"/>
      <x:c r="N299" s="28"/>
      <x:c r="O299" s="28"/>
      <x:c r="P299" s="28"/>
      <x:c r="Q299" s="28"/>
      <x:c r="R299" s="28"/>
      <x:c r="S299" s="28"/>
      <x:c r="T299" s="28"/>
      <x:c r="U299" s="28"/>
      <x:c r="V299" s="28"/>
      <x:c r="W299" s="28"/>
      <x:c r="X299" s="28"/>
      <x:c r="Y299" s="28"/>
      <x:c r="Z299" s="28"/>
      <x:c r="AA299" s="28"/>
      <x:c r="AB299" s="56" t="str">
        <x:f>IF($A299="","",IF(Z299="Y",20,IF(Z299="Unknown",10,0))+$L299*5+IF(AA299="Y",15,IF(AA299="Unknown",5,0))+IF($J299="Public",10,IF($J299="Partner",7,IF($J299="Internal",3,0)))+IF($W299="Hard-coded",10,IF($W299="Unknown",7,IF($W299="Configurable",3,0)))+IF($I299&gt;=10,10,IF($I299&gt;=5,7,IF($I299&gt;=2,3,0)))+IF($K299="High",10,IF($K299="Medium",5,0)))</x:f>
      </x:c>
      <x:c r="AC299" s="28" t="str">
        <x:f>IF($A299="","",IF(AB299&gt;=70,"P0 - Immediate",IF(AB299&gt;=50,"P1 - High",IF(AB299&gt;=30,"P2 - Medium",IF(AB299&gt;=15,"P3 - Low","P4 - Monitor")))))</x:f>
      </x:c>
      <x:c r="AD299" s="28"/>
      <x:c r="AE299" s="28"/>
      <x:c r="AF299" s="28"/>
      <x:c r="AG299" s="58"/>
      <x:c r="AH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56"/>
      <x:c r="J300" s="28"/>
      <x:c r="K300" s="28"/>
      <x:c r="L300" s="56"/>
      <x:c r="M300" s="28"/>
      <x:c r="N300" s="28"/>
      <x:c r="O300" s="28"/>
      <x:c r="P300" s="28"/>
      <x:c r="Q300" s="28"/>
      <x:c r="R300" s="28"/>
      <x:c r="S300" s="28"/>
      <x:c r="T300" s="28"/>
      <x:c r="U300" s="28"/>
      <x:c r="V300" s="28"/>
      <x:c r="W300" s="28"/>
      <x:c r="X300" s="28"/>
      <x:c r="Y300" s="28"/>
      <x:c r="Z300" s="28"/>
      <x:c r="AA300" s="28"/>
      <x:c r="AB300" s="56" t="str">
        <x:f>IF($A300="","",IF(Z300="Y",20,IF(Z300="Unknown",10,0))+$L300*5+IF(AA300="Y",15,IF(AA300="Unknown",5,0))+IF($J300="Public",10,IF($J300="Partner",7,IF($J300="Internal",3,0)))+IF($W300="Hard-coded",10,IF($W300="Unknown",7,IF($W300="Configurable",3,0)))+IF($I300&gt;=10,10,IF($I300&gt;=5,7,IF($I300&gt;=2,3,0)))+IF($K300="High",10,IF($K300="Medium",5,0)))</x:f>
      </x:c>
      <x:c r="AC300" s="28" t="str">
        <x:f>IF($A300="","",IF(AB300&gt;=70,"P0 - Immediate",IF(AB300&gt;=50,"P1 - High",IF(AB300&gt;=30,"P2 - Medium",IF(AB300&gt;=15,"P3 - Low","P4 - Monitor")))))</x:f>
      </x:c>
      <x:c r="AD300" s="28"/>
      <x:c r="AE300" s="28"/>
      <x:c r="AF300" s="28"/>
      <x:c r="AG300" s="58"/>
      <x:c r="AH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56"/>
      <x:c r="J301" s="28"/>
      <x:c r="K301" s="28"/>
      <x:c r="L301" s="56"/>
      <x:c r="M301" s="28"/>
      <x:c r="N301" s="28"/>
      <x:c r="O301" s="28"/>
      <x:c r="P301" s="28"/>
      <x:c r="Q301" s="28"/>
      <x:c r="R301" s="28"/>
      <x:c r="S301" s="28"/>
      <x:c r="T301" s="28"/>
      <x:c r="U301" s="28"/>
      <x:c r="V301" s="28"/>
      <x:c r="W301" s="28"/>
      <x:c r="X301" s="28"/>
      <x:c r="Y301" s="28"/>
      <x:c r="Z301" s="28"/>
      <x:c r="AA301" s="28"/>
      <x:c r="AB301" s="56" t="str">
        <x:f>IF($A301="","",IF(Z301="Y",20,IF(Z301="Unknown",10,0))+$L301*5+IF(AA301="Y",15,IF(AA301="Unknown",5,0))+IF($J301="Public",10,IF($J301="Partner",7,IF($J301="Internal",3,0)))+IF($W301="Hard-coded",10,IF($W301="Unknown",7,IF($W301="Configurable",3,0)))+IF($I301&gt;=10,10,IF($I301&gt;=5,7,IF($I301&gt;=2,3,0)))+IF($K301="High",10,IF($K301="Medium",5,0)))</x:f>
      </x:c>
      <x:c r="AC301" s="28" t="str">
        <x:f>IF($A301="","",IF(AB301&gt;=70,"P0 - Immediate",IF(AB301&gt;=50,"P1 - High",IF(AB301&gt;=30,"P2 - Medium",IF(AB301&gt;=15,"P3 - Low","P4 - Monitor")))))</x:f>
      </x:c>
      <x:c r="AD301" s="28"/>
      <x:c r="AE301" s="28"/>
      <x:c r="AF301" s="28"/>
      <x:c r="AG301" s="58"/>
      <x:c r="AH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56"/>
      <x:c r="J302" s="28"/>
      <x:c r="K302" s="28"/>
      <x:c r="L302" s="56"/>
      <x:c r="M302" s="28"/>
      <x:c r="N302" s="28"/>
      <x:c r="O302" s="28"/>
      <x:c r="P302" s="28"/>
      <x:c r="Q302" s="28"/>
      <x:c r="R302" s="28"/>
      <x:c r="S302" s="28"/>
      <x:c r="T302" s="28"/>
      <x:c r="U302" s="28"/>
      <x:c r="V302" s="28"/>
      <x:c r="W302" s="28"/>
      <x:c r="X302" s="28"/>
      <x:c r="Y302" s="28"/>
      <x:c r="Z302" s="28"/>
      <x:c r="AA302" s="28"/>
      <x:c r="AB302" s="56" t="str">
        <x:f>IF($A302="","",IF(Z302="Y",20,IF(Z302="Unknown",10,0))+$L302*5+IF(AA302="Y",15,IF(AA302="Unknown",5,0))+IF($J302="Public",10,IF($J302="Partner",7,IF($J302="Internal",3,0)))+IF($W302="Hard-coded",10,IF($W302="Unknown",7,IF($W302="Configurable",3,0)))+IF($I302&gt;=10,10,IF($I302&gt;=5,7,IF($I302&gt;=2,3,0)))+IF($K302="High",10,IF($K302="Medium",5,0)))</x:f>
      </x:c>
      <x:c r="AC302" s="28" t="str">
        <x:f>IF($A302="","",IF(AB302&gt;=70,"P0 - Immediate",IF(AB302&gt;=50,"P1 - High",IF(AB302&gt;=30,"P2 - Medium",IF(AB302&gt;=15,"P3 - Low","P4 - Monitor")))))</x:f>
      </x:c>
      <x:c r="AD302" s="28"/>
      <x:c r="AE302" s="28"/>
      <x:c r="AF302" s="28"/>
      <x:c r="AG302" s="58"/>
      <x:c r="AH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56"/>
      <x:c r="J303" s="28"/>
      <x:c r="K303" s="28"/>
      <x:c r="L303" s="56"/>
      <x:c r="M303" s="28"/>
      <x:c r="N303" s="28"/>
      <x:c r="O303" s="28"/>
      <x:c r="P303" s="28"/>
      <x:c r="Q303" s="28"/>
      <x:c r="R303" s="28"/>
      <x:c r="S303" s="28"/>
      <x:c r="T303" s="28"/>
      <x:c r="U303" s="28"/>
      <x:c r="V303" s="28"/>
      <x:c r="W303" s="28"/>
      <x:c r="X303" s="28"/>
      <x:c r="Y303" s="28"/>
      <x:c r="Z303" s="28"/>
      <x:c r="AA303" s="28"/>
      <x:c r="AB303" s="56" t="str">
        <x:f>IF($A303="","",IF(Z303="Y",20,IF(Z303="Unknown",10,0))+$L303*5+IF(AA303="Y",15,IF(AA303="Unknown",5,0))+IF($J303="Public",10,IF($J303="Partner",7,IF($J303="Internal",3,0)))+IF($W303="Hard-coded",10,IF($W303="Unknown",7,IF($W303="Configurable",3,0)))+IF($I303&gt;=10,10,IF($I303&gt;=5,7,IF($I303&gt;=2,3,0)))+IF($K303="High",10,IF($K303="Medium",5,0)))</x:f>
      </x:c>
      <x:c r="AC303" s="28" t="str">
        <x:f>IF($A303="","",IF(AB303&gt;=70,"P0 - Immediate",IF(AB303&gt;=50,"P1 - High",IF(AB303&gt;=30,"P2 - Medium",IF(AB303&gt;=15,"P3 - Low","P4 - Monitor")))))</x:f>
      </x:c>
      <x:c r="AD303" s="28"/>
      <x:c r="AE303" s="28"/>
      <x:c r="AF303" s="28"/>
      <x:c r="AG303" s="58"/>
      <x:c r="AH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56"/>
      <x:c r="J304" s="28"/>
      <x:c r="K304" s="28"/>
      <x:c r="L304" s="56"/>
      <x:c r="M304" s="28"/>
      <x:c r="N304" s="28"/>
      <x:c r="O304" s="28"/>
      <x:c r="P304" s="28"/>
      <x:c r="Q304" s="28"/>
      <x:c r="R304" s="28"/>
      <x:c r="S304" s="28"/>
      <x:c r="T304" s="28"/>
      <x:c r="U304" s="28"/>
      <x:c r="V304" s="28"/>
      <x:c r="W304" s="28"/>
      <x:c r="X304" s="28"/>
      <x:c r="Y304" s="28"/>
      <x:c r="Z304" s="28"/>
      <x:c r="AA304" s="28"/>
      <x:c r="AB304" s="56" t="str">
        <x:f>IF($A304="","",IF(Z304="Y",20,IF(Z304="Unknown",10,0))+$L304*5+IF(AA304="Y",15,IF(AA304="Unknown",5,0))+IF($J304="Public",10,IF($J304="Partner",7,IF($J304="Internal",3,0)))+IF($W304="Hard-coded",10,IF($W304="Unknown",7,IF($W304="Configurable",3,0)))+IF($I304&gt;=10,10,IF($I304&gt;=5,7,IF($I304&gt;=2,3,0)))+IF($K304="High",10,IF($K304="Medium",5,0)))</x:f>
      </x:c>
      <x:c r="AC304" s="28" t="str">
        <x:f>IF($A304="","",IF(AB304&gt;=70,"P0 - Immediate",IF(AB304&gt;=50,"P1 - High",IF(AB304&gt;=30,"P2 - Medium",IF(AB304&gt;=15,"P3 - Low","P4 - Monitor")))))</x:f>
      </x:c>
      <x:c r="AD304" s="28"/>
      <x:c r="AE304" s="28"/>
      <x:c r="AF304" s="28"/>
      <x:c r="AG304" s="58"/>
      <x:c r="AH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56"/>
      <x:c r="J305" s="28"/>
      <x:c r="K305" s="28"/>
      <x:c r="L305" s="56"/>
      <x:c r="M305" s="28"/>
      <x:c r="N305" s="28"/>
      <x:c r="O305" s="28"/>
      <x:c r="P305" s="28"/>
      <x:c r="Q305" s="28"/>
      <x:c r="R305" s="28"/>
      <x:c r="S305" s="28"/>
      <x:c r="T305" s="28"/>
      <x:c r="U305" s="28"/>
      <x:c r="V305" s="28"/>
      <x:c r="W305" s="28"/>
      <x:c r="X305" s="28"/>
      <x:c r="Y305" s="28"/>
      <x:c r="Z305" s="28"/>
      <x:c r="AA305" s="28"/>
      <x:c r="AB305" s="56" t="str">
        <x:f>IF($A305="","",IF(Z305="Y",20,IF(Z305="Unknown",10,0))+$L305*5+IF(AA305="Y",15,IF(AA305="Unknown",5,0))+IF($J305="Public",10,IF($J305="Partner",7,IF($J305="Internal",3,0)))+IF($W305="Hard-coded",10,IF($W305="Unknown",7,IF($W305="Configurable",3,0)))+IF($I305&gt;=10,10,IF($I305&gt;=5,7,IF($I305&gt;=2,3,0)))+IF($K305="High",10,IF($K305="Medium",5,0)))</x:f>
      </x:c>
      <x:c r="AC305" s="28" t="str">
        <x:f>IF($A305="","",IF(AB305&gt;=70,"P0 - Immediate",IF(AB305&gt;=50,"P1 - High",IF(AB305&gt;=30,"P2 - Medium",IF(AB305&gt;=15,"P3 - Low","P4 - Monitor")))))</x:f>
      </x:c>
      <x:c r="AD305" s="28"/>
      <x:c r="AE305" s="28"/>
      <x:c r="AF305" s="28"/>
      <x:c r="AG305" s="58"/>
      <x:c r="AH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56"/>
      <x:c r="J306" s="28"/>
      <x:c r="K306" s="28"/>
      <x:c r="L306" s="56"/>
      <x:c r="M306" s="28"/>
      <x:c r="N306" s="28"/>
      <x:c r="O306" s="28"/>
      <x:c r="P306" s="28"/>
      <x:c r="Q306" s="28"/>
      <x:c r="R306" s="28"/>
      <x:c r="S306" s="28"/>
      <x:c r="T306" s="28"/>
      <x:c r="U306" s="28"/>
      <x:c r="V306" s="28"/>
      <x:c r="W306" s="28"/>
      <x:c r="X306" s="28"/>
      <x:c r="Y306" s="28"/>
      <x:c r="Z306" s="28"/>
      <x:c r="AA306" s="28"/>
      <x:c r="AB306" s="56" t="str">
        <x:f>IF($A306="","",IF(Z306="Y",20,IF(Z306="Unknown",10,0))+$L306*5+IF(AA306="Y",15,IF(AA306="Unknown",5,0))+IF($J306="Public",10,IF($J306="Partner",7,IF($J306="Internal",3,0)))+IF($W306="Hard-coded",10,IF($W306="Unknown",7,IF($W306="Configurable",3,0)))+IF($I306&gt;=10,10,IF($I306&gt;=5,7,IF($I306&gt;=2,3,0)))+IF($K306="High",10,IF($K306="Medium",5,0)))</x:f>
      </x:c>
      <x:c r="AC306" s="28" t="str">
        <x:f>IF($A306="","",IF(AB306&gt;=70,"P0 - Immediate",IF(AB306&gt;=50,"P1 - High",IF(AB306&gt;=30,"P2 - Medium",IF(AB306&gt;=15,"P3 - Low","P4 - Monitor")))))</x:f>
      </x:c>
      <x:c r="AD306" s="28"/>
      <x:c r="AE306" s="28"/>
      <x:c r="AF306" s="28"/>
      <x:c r="AG306" s="58"/>
      <x:c r="AH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56"/>
      <x:c r="J307" s="28"/>
      <x:c r="K307" s="28"/>
      <x:c r="L307" s="56"/>
      <x:c r="M307" s="28"/>
      <x:c r="N307" s="28"/>
      <x:c r="O307" s="28"/>
      <x:c r="P307" s="28"/>
      <x:c r="Q307" s="28"/>
      <x:c r="R307" s="28"/>
      <x:c r="S307" s="28"/>
      <x:c r="T307" s="28"/>
      <x:c r="U307" s="28"/>
      <x:c r="V307" s="28"/>
      <x:c r="W307" s="28"/>
      <x:c r="X307" s="28"/>
      <x:c r="Y307" s="28"/>
      <x:c r="Z307" s="28"/>
      <x:c r="AA307" s="28"/>
      <x:c r="AB307" s="56" t="str">
        <x:f>IF($A307="","",IF(Z307="Y",20,IF(Z307="Unknown",10,0))+$L307*5+IF(AA307="Y",15,IF(AA307="Unknown",5,0))+IF($J307="Public",10,IF($J307="Partner",7,IF($J307="Internal",3,0)))+IF($W307="Hard-coded",10,IF($W307="Unknown",7,IF($W307="Configurable",3,0)))+IF($I307&gt;=10,10,IF($I307&gt;=5,7,IF($I307&gt;=2,3,0)))+IF($K307="High",10,IF($K307="Medium",5,0)))</x:f>
      </x:c>
      <x:c r="AC307" s="28" t="str">
        <x:f>IF($A307="","",IF(AB307&gt;=70,"P0 - Immediate",IF(AB307&gt;=50,"P1 - High",IF(AB307&gt;=30,"P2 - Medium",IF(AB307&gt;=15,"P3 - Low","P4 - Monitor")))))</x:f>
      </x:c>
      <x:c r="AD307" s="28"/>
      <x:c r="AE307" s="28"/>
      <x:c r="AF307" s="28"/>
      <x:c r="AG307" s="58"/>
      <x:c r="AH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56"/>
      <x:c r="J308" s="28"/>
      <x:c r="K308" s="28"/>
      <x:c r="L308" s="56"/>
      <x:c r="M308" s="28"/>
      <x:c r="N308" s="28"/>
      <x:c r="O308" s="28"/>
      <x:c r="P308" s="28"/>
      <x:c r="Q308" s="28"/>
      <x:c r="R308" s="28"/>
      <x:c r="S308" s="28"/>
      <x:c r="T308" s="28"/>
      <x:c r="U308" s="28"/>
      <x:c r="V308" s="28"/>
      <x:c r="W308" s="28"/>
      <x:c r="X308" s="28"/>
      <x:c r="Y308" s="28"/>
      <x:c r="Z308" s="28"/>
      <x:c r="AA308" s="28"/>
      <x:c r="AB308" s="56" t="str">
        <x:f>IF($A308="","",IF(Z308="Y",20,IF(Z308="Unknown",10,0))+$L308*5+IF(AA308="Y",15,IF(AA308="Unknown",5,0))+IF($J308="Public",10,IF($J308="Partner",7,IF($J308="Internal",3,0)))+IF($W308="Hard-coded",10,IF($W308="Unknown",7,IF($W308="Configurable",3,0)))+IF($I308&gt;=10,10,IF($I308&gt;=5,7,IF($I308&gt;=2,3,0)))+IF($K308="High",10,IF($K308="Medium",5,0)))</x:f>
      </x:c>
      <x:c r="AC308" s="28" t="str">
        <x:f>IF($A308="","",IF(AB308&gt;=70,"P0 - Immediate",IF(AB308&gt;=50,"P1 - High",IF(AB308&gt;=30,"P2 - Medium",IF(AB308&gt;=15,"P3 - Low","P4 - Monitor")))))</x:f>
      </x:c>
      <x:c r="AD308" s="28"/>
      <x:c r="AE308" s="28"/>
      <x:c r="AF308" s="28"/>
      <x:c r="AG308" s="58"/>
      <x:c r="AH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56"/>
      <x:c r="J309" s="28"/>
      <x:c r="K309" s="28"/>
      <x:c r="L309" s="56"/>
      <x:c r="M309" s="28"/>
      <x:c r="N309" s="28"/>
      <x:c r="O309" s="28"/>
      <x:c r="P309" s="28"/>
      <x:c r="Q309" s="28"/>
      <x:c r="R309" s="28"/>
      <x:c r="S309" s="28"/>
      <x:c r="T309" s="28"/>
      <x:c r="U309" s="28"/>
      <x:c r="V309" s="28"/>
      <x:c r="W309" s="28"/>
      <x:c r="X309" s="28"/>
      <x:c r="Y309" s="28"/>
      <x:c r="Z309" s="28"/>
      <x:c r="AA309" s="28"/>
      <x:c r="AB309" s="56" t="str">
        <x:f>IF($A309="","",IF(Z309="Y",20,IF(Z309="Unknown",10,0))+$L309*5+IF(AA309="Y",15,IF(AA309="Unknown",5,0))+IF($J309="Public",10,IF($J309="Partner",7,IF($J309="Internal",3,0)))+IF($W309="Hard-coded",10,IF($W309="Unknown",7,IF($W309="Configurable",3,0)))+IF($I309&gt;=10,10,IF($I309&gt;=5,7,IF($I309&gt;=2,3,0)))+IF($K309="High",10,IF($K309="Medium",5,0)))</x:f>
      </x:c>
      <x:c r="AC309" s="28" t="str">
        <x:f>IF($A309="","",IF(AB309&gt;=70,"P0 - Immediate",IF(AB309&gt;=50,"P1 - High",IF(AB309&gt;=30,"P2 - Medium",IF(AB309&gt;=15,"P3 - Low","P4 - Monitor")))))</x:f>
      </x:c>
      <x:c r="AD309" s="28"/>
      <x:c r="AE309" s="28"/>
      <x:c r="AF309" s="28"/>
      <x:c r="AG309" s="58"/>
      <x:c r="AH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56"/>
      <x:c r="J310" s="28"/>
      <x:c r="K310" s="28"/>
      <x:c r="L310" s="56"/>
      <x:c r="M310" s="28"/>
      <x:c r="N310" s="28"/>
      <x:c r="O310" s="28"/>
      <x:c r="P310" s="28"/>
      <x:c r="Q310" s="28"/>
      <x:c r="R310" s="28"/>
      <x:c r="S310" s="28"/>
      <x:c r="T310" s="28"/>
      <x:c r="U310" s="28"/>
      <x:c r="V310" s="28"/>
      <x:c r="W310" s="28"/>
      <x:c r="X310" s="28"/>
      <x:c r="Y310" s="28"/>
      <x:c r="Z310" s="28"/>
      <x:c r="AA310" s="28"/>
      <x:c r="AB310" s="56" t="str">
        <x:f>IF($A310="","",IF(Z310="Y",20,IF(Z310="Unknown",10,0))+$L310*5+IF(AA310="Y",15,IF(AA310="Unknown",5,0))+IF($J310="Public",10,IF($J310="Partner",7,IF($J310="Internal",3,0)))+IF($W310="Hard-coded",10,IF($W310="Unknown",7,IF($W310="Configurable",3,0)))+IF($I310&gt;=10,10,IF($I310&gt;=5,7,IF($I310&gt;=2,3,0)))+IF($K310="High",10,IF($K310="Medium",5,0)))</x:f>
      </x:c>
      <x:c r="AC310" s="28" t="str">
        <x:f>IF($A310="","",IF(AB310&gt;=70,"P0 - Immediate",IF(AB310&gt;=50,"P1 - High",IF(AB310&gt;=30,"P2 - Medium",IF(AB310&gt;=15,"P3 - Low","P4 - Monitor")))))</x:f>
      </x:c>
      <x:c r="AD310" s="28"/>
      <x:c r="AE310" s="28"/>
      <x:c r="AF310" s="28"/>
      <x:c r="AG310" s="58"/>
      <x:c r="AH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56"/>
      <x:c r="J311" s="28"/>
      <x:c r="K311" s="28"/>
      <x:c r="L311" s="56"/>
      <x:c r="M311" s="28"/>
      <x:c r="N311" s="28"/>
      <x:c r="O311" s="28"/>
      <x:c r="P311" s="28"/>
      <x:c r="Q311" s="28"/>
      <x:c r="R311" s="28"/>
      <x:c r="S311" s="28"/>
      <x:c r="T311" s="28"/>
      <x:c r="U311" s="28"/>
      <x:c r="V311" s="28"/>
      <x:c r="W311" s="28"/>
      <x:c r="X311" s="28"/>
      <x:c r="Y311" s="28"/>
      <x:c r="Z311" s="28"/>
      <x:c r="AA311" s="28"/>
      <x:c r="AB311" s="56" t="str">
        <x:f>IF($A311="","",IF(Z311="Y",20,IF(Z311="Unknown",10,0))+$L311*5+IF(AA311="Y",15,IF(AA311="Unknown",5,0))+IF($J311="Public",10,IF($J311="Partner",7,IF($J311="Internal",3,0)))+IF($W311="Hard-coded",10,IF($W311="Unknown",7,IF($W311="Configurable",3,0)))+IF($I311&gt;=10,10,IF($I311&gt;=5,7,IF($I311&gt;=2,3,0)))+IF($K311="High",10,IF($K311="Medium",5,0)))</x:f>
      </x:c>
      <x:c r="AC311" s="28" t="str">
        <x:f>IF($A311="","",IF(AB311&gt;=70,"P0 - Immediate",IF(AB311&gt;=50,"P1 - High",IF(AB311&gt;=30,"P2 - Medium",IF(AB311&gt;=15,"P3 - Low","P4 - Monitor")))))</x:f>
      </x:c>
      <x:c r="AD311" s="28"/>
      <x:c r="AE311" s="28"/>
      <x:c r="AF311" s="28"/>
      <x:c r="AG311" s="58"/>
      <x:c r="AH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56"/>
      <x:c r="J312" s="28"/>
      <x:c r="K312" s="28"/>
      <x:c r="L312" s="56"/>
      <x:c r="M312" s="28"/>
      <x:c r="N312" s="28"/>
      <x:c r="O312" s="28"/>
      <x:c r="P312" s="28"/>
      <x:c r="Q312" s="28"/>
      <x:c r="R312" s="28"/>
      <x:c r="S312" s="28"/>
      <x:c r="T312" s="28"/>
      <x:c r="U312" s="28"/>
      <x:c r="V312" s="28"/>
      <x:c r="W312" s="28"/>
      <x:c r="X312" s="28"/>
      <x:c r="Y312" s="28"/>
      <x:c r="Z312" s="28"/>
      <x:c r="AA312" s="28"/>
      <x:c r="AB312" s="56" t="str">
        <x:f>IF($A312="","",IF(Z312="Y",20,IF(Z312="Unknown",10,0))+$L312*5+IF(AA312="Y",15,IF(AA312="Unknown",5,0))+IF($J312="Public",10,IF($J312="Partner",7,IF($J312="Internal",3,0)))+IF($W312="Hard-coded",10,IF($W312="Unknown",7,IF($W312="Configurable",3,0)))+IF($I312&gt;=10,10,IF($I312&gt;=5,7,IF($I312&gt;=2,3,0)))+IF($K312="High",10,IF($K312="Medium",5,0)))</x:f>
      </x:c>
      <x:c r="AC312" s="28" t="str">
        <x:f>IF($A312="","",IF(AB312&gt;=70,"P0 - Immediate",IF(AB312&gt;=50,"P1 - High",IF(AB312&gt;=30,"P2 - Medium",IF(AB312&gt;=15,"P3 - Low","P4 - Monitor")))))</x:f>
      </x:c>
      <x:c r="AD312" s="28"/>
      <x:c r="AE312" s="28"/>
      <x:c r="AF312" s="28"/>
      <x:c r="AG312" s="58"/>
      <x:c r="AH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56"/>
      <x:c r="J313" s="28"/>
      <x:c r="K313" s="28"/>
      <x:c r="L313" s="56"/>
      <x:c r="M313" s="28"/>
      <x:c r="N313" s="28"/>
      <x:c r="O313" s="28"/>
      <x:c r="P313" s="28"/>
      <x:c r="Q313" s="28"/>
      <x:c r="R313" s="28"/>
      <x:c r="S313" s="28"/>
      <x:c r="T313" s="28"/>
      <x:c r="U313" s="28"/>
      <x:c r="V313" s="28"/>
      <x:c r="W313" s="28"/>
      <x:c r="X313" s="28"/>
      <x:c r="Y313" s="28"/>
      <x:c r="Z313" s="28"/>
      <x:c r="AA313" s="28"/>
      <x:c r="AB313" s="56" t="str">
        <x:f>IF($A313="","",IF(Z313="Y",20,IF(Z313="Unknown",10,0))+$L313*5+IF(AA313="Y",15,IF(AA313="Unknown",5,0))+IF($J313="Public",10,IF($J313="Partner",7,IF($J313="Internal",3,0)))+IF($W313="Hard-coded",10,IF($W313="Unknown",7,IF($W313="Configurable",3,0)))+IF($I313&gt;=10,10,IF($I313&gt;=5,7,IF($I313&gt;=2,3,0)))+IF($K313="High",10,IF($K313="Medium",5,0)))</x:f>
      </x:c>
      <x:c r="AC313" s="28" t="str">
        <x:f>IF($A313="","",IF(AB313&gt;=70,"P0 - Immediate",IF(AB313&gt;=50,"P1 - High",IF(AB313&gt;=30,"P2 - Medium",IF(AB313&gt;=15,"P3 - Low","P4 - Monitor")))))</x:f>
      </x:c>
      <x:c r="AD313" s="28"/>
      <x:c r="AE313" s="28"/>
      <x:c r="AF313" s="28"/>
      <x:c r="AG313" s="58"/>
      <x:c r="AH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56"/>
      <x:c r="J314" s="28"/>
      <x:c r="K314" s="28"/>
      <x:c r="L314" s="56"/>
      <x:c r="M314" s="28"/>
      <x:c r="N314" s="28"/>
      <x:c r="O314" s="28"/>
      <x:c r="P314" s="28"/>
      <x:c r="Q314" s="28"/>
      <x:c r="R314" s="28"/>
      <x:c r="S314" s="28"/>
      <x:c r="T314" s="28"/>
      <x:c r="U314" s="28"/>
      <x:c r="V314" s="28"/>
      <x:c r="W314" s="28"/>
      <x:c r="X314" s="28"/>
      <x:c r="Y314" s="28"/>
      <x:c r="Z314" s="28"/>
      <x:c r="AA314" s="28"/>
      <x:c r="AB314" s="56" t="str">
        <x:f>IF($A314="","",IF(Z314="Y",20,IF(Z314="Unknown",10,0))+$L314*5+IF(AA314="Y",15,IF(AA314="Unknown",5,0))+IF($J314="Public",10,IF($J314="Partner",7,IF($J314="Internal",3,0)))+IF($W314="Hard-coded",10,IF($W314="Unknown",7,IF($W314="Configurable",3,0)))+IF($I314&gt;=10,10,IF($I314&gt;=5,7,IF($I314&gt;=2,3,0)))+IF($K314="High",10,IF($K314="Medium",5,0)))</x:f>
      </x:c>
      <x:c r="AC314" s="28" t="str">
        <x:f>IF($A314="","",IF(AB314&gt;=70,"P0 - Immediate",IF(AB314&gt;=50,"P1 - High",IF(AB314&gt;=30,"P2 - Medium",IF(AB314&gt;=15,"P3 - Low","P4 - Monitor")))))</x:f>
      </x:c>
      <x:c r="AD314" s="28"/>
      <x:c r="AE314" s="28"/>
      <x:c r="AF314" s="28"/>
      <x:c r="AG314" s="58"/>
      <x:c r="AH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56"/>
      <x:c r="J315" s="28"/>
      <x:c r="K315" s="28"/>
      <x:c r="L315" s="56"/>
      <x:c r="M315" s="28"/>
      <x:c r="N315" s="28"/>
      <x:c r="O315" s="28"/>
      <x:c r="P315" s="28"/>
      <x:c r="Q315" s="28"/>
      <x:c r="R315" s="28"/>
      <x:c r="S315" s="28"/>
      <x:c r="T315" s="28"/>
      <x:c r="U315" s="28"/>
      <x:c r="V315" s="28"/>
      <x:c r="W315" s="28"/>
      <x:c r="X315" s="28"/>
      <x:c r="Y315" s="28"/>
      <x:c r="Z315" s="28"/>
      <x:c r="AA315" s="28"/>
      <x:c r="AB315" s="56" t="str">
        <x:f>IF($A315="","",IF(Z315="Y",20,IF(Z315="Unknown",10,0))+$L315*5+IF(AA315="Y",15,IF(AA315="Unknown",5,0))+IF($J315="Public",10,IF($J315="Partner",7,IF($J315="Internal",3,0)))+IF($W315="Hard-coded",10,IF($W315="Unknown",7,IF($W315="Configurable",3,0)))+IF($I315&gt;=10,10,IF($I315&gt;=5,7,IF($I315&gt;=2,3,0)))+IF($K315="High",10,IF($K315="Medium",5,0)))</x:f>
      </x:c>
      <x:c r="AC315" s="28" t="str">
        <x:f>IF($A315="","",IF(AB315&gt;=70,"P0 - Immediate",IF(AB315&gt;=50,"P1 - High",IF(AB315&gt;=30,"P2 - Medium",IF(AB315&gt;=15,"P3 - Low","P4 - Monitor")))))</x:f>
      </x:c>
      <x:c r="AD315" s="28"/>
      <x:c r="AE315" s="28"/>
      <x:c r="AF315" s="28"/>
      <x:c r="AG315" s="58"/>
      <x:c r="AH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56"/>
      <x:c r="J316" s="28"/>
      <x:c r="K316" s="28"/>
      <x:c r="L316" s="56"/>
      <x:c r="M316" s="28"/>
      <x:c r="N316" s="28"/>
      <x:c r="O316" s="28"/>
      <x:c r="P316" s="28"/>
      <x:c r="Q316" s="28"/>
      <x:c r="R316" s="28"/>
      <x:c r="S316" s="28"/>
      <x:c r="T316" s="28"/>
      <x:c r="U316" s="28"/>
      <x:c r="V316" s="28"/>
      <x:c r="W316" s="28"/>
      <x:c r="X316" s="28"/>
      <x:c r="Y316" s="28"/>
      <x:c r="Z316" s="28"/>
      <x:c r="AA316" s="28"/>
      <x:c r="AB316" s="56" t="str">
        <x:f>IF($A316="","",IF(Z316="Y",20,IF(Z316="Unknown",10,0))+$L316*5+IF(AA316="Y",15,IF(AA316="Unknown",5,0))+IF($J316="Public",10,IF($J316="Partner",7,IF($J316="Internal",3,0)))+IF($W316="Hard-coded",10,IF($W316="Unknown",7,IF($W316="Configurable",3,0)))+IF($I316&gt;=10,10,IF($I316&gt;=5,7,IF($I316&gt;=2,3,0)))+IF($K316="High",10,IF($K316="Medium",5,0)))</x:f>
      </x:c>
      <x:c r="AC316" s="28" t="str">
        <x:f>IF($A316="","",IF(AB316&gt;=70,"P0 - Immediate",IF(AB316&gt;=50,"P1 - High",IF(AB316&gt;=30,"P2 - Medium",IF(AB316&gt;=15,"P3 - Low","P4 - Monitor")))))</x:f>
      </x:c>
      <x:c r="AD316" s="28"/>
      <x:c r="AE316" s="28"/>
      <x:c r="AF316" s="28"/>
      <x:c r="AG316" s="58"/>
      <x:c r="AH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56"/>
      <x:c r="J317" s="28"/>
      <x:c r="K317" s="28"/>
      <x:c r="L317" s="56"/>
      <x:c r="M317" s="28"/>
      <x:c r="N317" s="28"/>
      <x:c r="O317" s="28"/>
      <x:c r="P317" s="28"/>
      <x:c r="Q317" s="28"/>
      <x:c r="R317" s="28"/>
      <x:c r="S317" s="28"/>
      <x:c r="T317" s="28"/>
      <x:c r="U317" s="28"/>
      <x:c r="V317" s="28"/>
      <x:c r="W317" s="28"/>
      <x:c r="X317" s="28"/>
      <x:c r="Y317" s="28"/>
      <x:c r="Z317" s="28"/>
      <x:c r="AA317" s="28"/>
      <x:c r="AB317" s="56" t="str">
        <x:f>IF($A317="","",IF(Z317="Y",20,IF(Z317="Unknown",10,0))+$L317*5+IF(AA317="Y",15,IF(AA317="Unknown",5,0))+IF($J317="Public",10,IF($J317="Partner",7,IF($J317="Internal",3,0)))+IF($W317="Hard-coded",10,IF($W317="Unknown",7,IF($W317="Configurable",3,0)))+IF($I317&gt;=10,10,IF($I317&gt;=5,7,IF($I317&gt;=2,3,0)))+IF($K317="High",10,IF($K317="Medium",5,0)))</x:f>
      </x:c>
      <x:c r="AC317" s="28" t="str">
        <x:f>IF($A317="","",IF(AB317&gt;=70,"P0 - Immediate",IF(AB317&gt;=50,"P1 - High",IF(AB317&gt;=30,"P2 - Medium",IF(AB317&gt;=15,"P3 - Low","P4 - Monitor")))))</x:f>
      </x:c>
      <x:c r="AD317" s="28"/>
      <x:c r="AE317" s="28"/>
      <x:c r="AF317" s="28"/>
      <x:c r="AG317" s="58"/>
      <x:c r="AH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56"/>
      <x:c r="J318" s="28"/>
      <x:c r="K318" s="28"/>
      <x:c r="L318" s="56"/>
      <x:c r="M318" s="28"/>
      <x:c r="N318" s="28"/>
      <x:c r="O318" s="28"/>
      <x:c r="P318" s="28"/>
      <x:c r="Q318" s="28"/>
      <x:c r="R318" s="28"/>
      <x:c r="S318" s="28"/>
      <x:c r="T318" s="28"/>
      <x:c r="U318" s="28"/>
      <x:c r="V318" s="28"/>
      <x:c r="W318" s="28"/>
      <x:c r="X318" s="28"/>
      <x:c r="Y318" s="28"/>
      <x:c r="Z318" s="28"/>
      <x:c r="AA318" s="28"/>
      <x:c r="AB318" s="56" t="str">
        <x:f>IF($A318="","",IF(Z318="Y",20,IF(Z318="Unknown",10,0))+$L318*5+IF(AA318="Y",15,IF(AA318="Unknown",5,0))+IF($J318="Public",10,IF($J318="Partner",7,IF($J318="Internal",3,0)))+IF($W318="Hard-coded",10,IF($W318="Unknown",7,IF($W318="Configurable",3,0)))+IF($I318&gt;=10,10,IF($I318&gt;=5,7,IF($I318&gt;=2,3,0)))+IF($K318="High",10,IF($K318="Medium",5,0)))</x:f>
      </x:c>
      <x:c r="AC318" s="28" t="str">
        <x:f>IF($A318="","",IF(AB318&gt;=70,"P0 - Immediate",IF(AB318&gt;=50,"P1 - High",IF(AB318&gt;=30,"P2 - Medium",IF(AB318&gt;=15,"P3 - Low","P4 - Monitor")))))</x:f>
      </x:c>
      <x:c r="AD318" s="28"/>
      <x:c r="AE318" s="28"/>
      <x:c r="AF318" s="28"/>
      <x:c r="AG318" s="58"/>
      <x:c r="AH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56"/>
      <x:c r="J319" s="28"/>
      <x:c r="K319" s="28"/>
      <x:c r="L319" s="56"/>
      <x:c r="M319" s="28"/>
      <x:c r="N319" s="28"/>
      <x:c r="O319" s="28"/>
      <x:c r="P319" s="28"/>
      <x:c r="Q319" s="28"/>
      <x:c r="R319" s="28"/>
      <x:c r="S319" s="28"/>
      <x:c r="T319" s="28"/>
      <x:c r="U319" s="28"/>
      <x:c r="V319" s="28"/>
      <x:c r="W319" s="28"/>
      <x:c r="X319" s="28"/>
      <x:c r="Y319" s="28"/>
      <x:c r="Z319" s="28"/>
      <x:c r="AA319" s="28"/>
      <x:c r="AB319" s="56" t="str">
        <x:f>IF($A319="","",IF(Z319="Y",20,IF(Z319="Unknown",10,0))+$L319*5+IF(AA319="Y",15,IF(AA319="Unknown",5,0))+IF($J319="Public",10,IF($J319="Partner",7,IF($J319="Internal",3,0)))+IF($W319="Hard-coded",10,IF($W319="Unknown",7,IF($W319="Configurable",3,0)))+IF($I319&gt;=10,10,IF($I319&gt;=5,7,IF($I319&gt;=2,3,0)))+IF($K319="High",10,IF($K319="Medium",5,0)))</x:f>
      </x:c>
      <x:c r="AC319" s="28" t="str">
        <x:f>IF($A319="","",IF(AB319&gt;=70,"P0 - Immediate",IF(AB319&gt;=50,"P1 - High",IF(AB319&gt;=30,"P2 - Medium",IF(AB319&gt;=15,"P3 - Low","P4 - Monitor")))))</x:f>
      </x:c>
      <x:c r="AD319" s="28"/>
      <x:c r="AE319" s="28"/>
      <x:c r="AF319" s="28"/>
      <x:c r="AG319" s="58"/>
      <x:c r="AH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56"/>
      <x:c r="J320" s="28"/>
      <x:c r="K320" s="28"/>
      <x:c r="L320" s="56"/>
      <x:c r="M320" s="28"/>
      <x:c r="N320" s="28"/>
      <x:c r="O320" s="28"/>
      <x:c r="P320" s="28"/>
      <x:c r="Q320" s="28"/>
      <x:c r="R320" s="28"/>
      <x:c r="S320" s="28"/>
      <x:c r="T320" s="28"/>
      <x:c r="U320" s="28"/>
      <x:c r="V320" s="28"/>
      <x:c r="W320" s="28"/>
      <x:c r="X320" s="28"/>
      <x:c r="Y320" s="28"/>
      <x:c r="Z320" s="28"/>
      <x:c r="AA320" s="28"/>
      <x:c r="AB320" s="56" t="str">
        <x:f>IF($A320="","",IF(Z320="Y",20,IF(Z320="Unknown",10,0))+$L320*5+IF(AA320="Y",15,IF(AA320="Unknown",5,0))+IF($J320="Public",10,IF($J320="Partner",7,IF($J320="Internal",3,0)))+IF($W320="Hard-coded",10,IF($W320="Unknown",7,IF($W320="Configurable",3,0)))+IF($I320&gt;=10,10,IF($I320&gt;=5,7,IF($I320&gt;=2,3,0)))+IF($K320="High",10,IF($K320="Medium",5,0)))</x:f>
      </x:c>
      <x:c r="AC320" s="28" t="str">
        <x:f>IF($A320="","",IF(AB320&gt;=70,"P0 - Immediate",IF(AB320&gt;=50,"P1 - High",IF(AB320&gt;=30,"P2 - Medium",IF(AB320&gt;=15,"P3 - Low","P4 - Monitor")))))</x:f>
      </x:c>
      <x:c r="AD320" s="28"/>
      <x:c r="AE320" s="28"/>
      <x:c r="AF320" s="28"/>
      <x:c r="AG320" s="58"/>
      <x:c r="AH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56"/>
      <x:c r="J321" s="28"/>
      <x:c r="K321" s="28"/>
      <x:c r="L321" s="56"/>
      <x:c r="M321" s="28"/>
      <x:c r="N321" s="28"/>
      <x:c r="O321" s="28"/>
      <x:c r="P321" s="28"/>
      <x:c r="Q321" s="28"/>
      <x:c r="R321" s="28"/>
      <x:c r="S321" s="28"/>
      <x:c r="T321" s="28"/>
      <x:c r="U321" s="28"/>
      <x:c r="V321" s="28"/>
      <x:c r="W321" s="28"/>
      <x:c r="X321" s="28"/>
      <x:c r="Y321" s="28"/>
      <x:c r="Z321" s="28"/>
      <x:c r="AA321" s="28"/>
      <x:c r="AB321" s="56" t="str">
        <x:f>IF($A321="","",IF(Z321="Y",20,IF(Z321="Unknown",10,0))+$L321*5+IF(AA321="Y",15,IF(AA321="Unknown",5,0))+IF($J321="Public",10,IF($J321="Partner",7,IF($J321="Internal",3,0)))+IF($W321="Hard-coded",10,IF($W321="Unknown",7,IF($W321="Configurable",3,0)))+IF($I321&gt;=10,10,IF($I321&gt;=5,7,IF($I321&gt;=2,3,0)))+IF($K321="High",10,IF($K321="Medium",5,0)))</x:f>
      </x:c>
      <x:c r="AC321" s="28" t="str">
        <x:f>IF($A321="","",IF(AB321&gt;=70,"P0 - Immediate",IF(AB321&gt;=50,"P1 - High",IF(AB321&gt;=30,"P2 - Medium",IF(AB321&gt;=15,"P3 - Low","P4 - Monitor")))))</x:f>
      </x:c>
      <x:c r="AD321" s="28"/>
      <x:c r="AE321" s="28"/>
      <x:c r="AF321" s="28"/>
      <x:c r="AG321" s="58"/>
      <x:c r="AH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56"/>
      <x:c r="J322" s="28"/>
      <x:c r="K322" s="28"/>
      <x:c r="L322" s="56"/>
      <x:c r="M322" s="28"/>
      <x:c r="N322" s="28"/>
      <x:c r="O322" s="28"/>
      <x:c r="P322" s="28"/>
      <x:c r="Q322" s="28"/>
      <x:c r="R322" s="28"/>
      <x:c r="S322" s="28"/>
      <x:c r="T322" s="28"/>
      <x:c r="U322" s="28"/>
      <x:c r="V322" s="28"/>
      <x:c r="W322" s="28"/>
      <x:c r="X322" s="28"/>
      <x:c r="Y322" s="28"/>
      <x:c r="Z322" s="28"/>
      <x:c r="AA322" s="28"/>
      <x:c r="AB322" s="56" t="str">
        <x:f>IF($A322="","",IF(Z322="Y",20,IF(Z322="Unknown",10,0))+$L322*5+IF(AA322="Y",15,IF(AA322="Unknown",5,0))+IF($J322="Public",10,IF($J322="Partner",7,IF($J322="Internal",3,0)))+IF($W322="Hard-coded",10,IF($W322="Unknown",7,IF($W322="Configurable",3,0)))+IF($I322&gt;=10,10,IF($I322&gt;=5,7,IF($I322&gt;=2,3,0)))+IF($K322="High",10,IF($K322="Medium",5,0)))</x:f>
      </x:c>
      <x:c r="AC322" s="28" t="str">
        <x:f>IF($A322="","",IF(AB322&gt;=70,"P0 - Immediate",IF(AB322&gt;=50,"P1 - High",IF(AB322&gt;=30,"P2 - Medium",IF(AB322&gt;=15,"P3 - Low","P4 - Monitor")))))</x:f>
      </x:c>
      <x:c r="AD322" s="28"/>
      <x:c r="AE322" s="28"/>
      <x:c r="AF322" s="28"/>
      <x:c r="AG322" s="58"/>
      <x:c r="AH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56"/>
      <x:c r="J323" s="28"/>
      <x:c r="K323" s="28"/>
      <x:c r="L323" s="56"/>
      <x:c r="M323" s="28"/>
      <x:c r="N323" s="28"/>
      <x:c r="O323" s="28"/>
      <x:c r="P323" s="28"/>
      <x:c r="Q323" s="28"/>
      <x:c r="R323" s="28"/>
      <x:c r="S323" s="28"/>
      <x:c r="T323" s="28"/>
      <x:c r="U323" s="28"/>
      <x:c r="V323" s="28"/>
      <x:c r="W323" s="28"/>
      <x:c r="X323" s="28"/>
      <x:c r="Y323" s="28"/>
      <x:c r="Z323" s="28"/>
      <x:c r="AA323" s="28"/>
      <x:c r="AB323" s="56" t="str">
        <x:f>IF($A323="","",IF(Z323="Y",20,IF(Z323="Unknown",10,0))+$L323*5+IF(AA323="Y",15,IF(AA323="Unknown",5,0))+IF($J323="Public",10,IF($J323="Partner",7,IF($J323="Internal",3,0)))+IF($W323="Hard-coded",10,IF($W323="Unknown",7,IF($W323="Configurable",3,0)))+IF($I323&gt;=10,10,IF($I323&gt;=5,7,IF($I323&gt;=2,3,0)))+IF($K323="High",10,IF($K323="Medium",5,0)))</x:f>
      </x:c>
      <x:c r="AC323" s="28" t="str">
        <x:f>IF($A323="","",IF(AB323&gt;=70,"P0 - Immediate",IF(AB323&gt;=50,"P1 - High",IF(AB323&gt;=30,"P2 - Medium",IF(AB323&gt;=15,"P3 - Low","P4 - Monitor")))))</x:f>
      </x:c>
      <x:c r="AD323" s="28"/>
      <x:c r="AE323" s="28"/>
      <x:c r="AF323" s="28"/>
      <x:c r="AG323" s="58"/>
      <x:c r="AH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56"/>
      <x:c r="J324" s="28"/>
      <x:c r="K324" s="28"/>
      <x:c r="L324" s="56"/>
      <x:c r="M324" s="28"/>
      <x:c r="N324" s="28"/>
      <x:c r="O324" s="28"/>
      <x:c r="P324" s="28"/>
      <x:c r="Q324" s="28"/>
      <x:c r="R324" s="28"/>
      <x:c r="S324" s="28"/>
      <x:c r="T324" s="28"/>
      <x:c r="U324" s="28"/>
      <x:c r="V324" s="28"/>
      <x:c r="W324" s="28"/>
      <x:c r="X324" s="28"/>
      <x:c r="Y324" s="28"/>
      <x:c r="Z324" s="28"/>
      <x:c r="AA324" s="28"/>
      <x:c r="AB324" s="56" t="str">
        <x:f>IF($A324="","",IF(Z324="Y",20,IF(Z324="Unknown",10,0))+$L324*5+IF(AA324="Y",15,IF(AA324="Unknown",5,0))+IF($J324="Public",10,IF($J324="Partner",7,IF($J324="Internal",3,0)))+IF($W324="Hard-coded",10,IF($W324="Unknown",7,IF($W324="Configurable",3,0)))+IF($I324&gt;=10,10,IF($I324&gt;=5,7,IF($I324&gt;=2,3,0)))+IF($K324="High",10,IF($K324="Medium",5,0)))</x:f>
      </x:c>
      <x:c r="AC324" s="28" t="str">
        <x:f>IF($A324="","",IF(AB324&gt;=70,"P0 - Immediate",IF(AB324&gt;=50,"P1 - High",IF(AB324&gt;=30,"P2 - Medium",IF(AB324&gt;=15,"P3 - Low","P4 - Monitor")))))</x:f>
      </x:c>
      <x:c r="AD324" s="28"/>
      <x:c r="AE324" s="28"/>
      <x:c r="AF324" s="28"/>
      <x:c r="AG324" s="58"/>
      <x:c r="AH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56"/>
      <x:c r="J325" s="28"/>
      <x:c r="K325" s="28"/>
      <x:c r="L325" s="56"/>
      <x:c r="M325" s="28"/>
      <x:c r="N325" s="28"/>
      <x:c r="O325" s="28"/>
      <x:c r="P325" s="28"/>
      <x:c r="Q325" s="28"/>
      <x:c r="R325" s="28"/>
      <x:c r="S325" s="28"/>
      <x:c r="T325" s="28"/>
      <x:c r="U325" s="28"/>
      <x:c r="V325" s="28"/>
      <x:c r="W325" s="28"/>
      <x:c r="X325" s="28"/>
      <x:c r="Y325" s="28"/>
      <x:c r="Z325" s="28"/>
      <x:c r="AA325" s="28"/>
      <x:c r="AB325" s="56" t="str">
        <x:f>IF($A325="","",IF(Z325="Y",20,IF(Z325="Unknown",10,0))+$L325*5+IF(AA325="Y",15,IF(AA325="Unknown",5,0))+IF($J325="Public",10,IF($J325="Partner",7,IF($J325="Internal",3,0)))+IF($W325="Hard-coded",10,IF($W325="Unknown",7,IF($W325="Configurable",3,0)))+IF($I325&gt;=10,10,IF($I325&gt;=5,7,IF($I325&gt;=2,3,0)))+IF($K325="High",10,IF($K325="Medium",5,0)))</x:f>
      </x:c>
      <x:c r="AC325" s="28" t="str">
        <x:f>IF($A325="","",IF(AB325&gt;=70,"P0 - Immediate",IF(AB325&gt;=50,"P1 - High",IF(AB325&gt;=30,"P2 - Medium",IF(AB325&gt;=15,"P3 - Low","P4 - Monitor")))))</x:f>
      </x:c>
      <x:c r="AD325" s="28"/>
      <x:c r="AE325" s="28"/>
      <x:c r="AF325" s="28"/>
      <x:c r="AG325" s="58"/>
      <x:c r="AH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56"/>
      <x:c r="J326" s="28"/>
      <x:c r="K326" s="28"/>
      <x:c r="L326" s="56"/>
      <x:c r="M326" s="28"/>
      <x:c r="N326" s="28"/>
      <x:c r="O326" s="28"/>
      <x:c r="P326" s="28"/>
      <x:c r="Q326" s="28"/>
      <x:c r="R326" s="28"/>
      <x:c r="S326" s="28"/>
      <x:c r="T326" s="28"/>
      <x:c r="U326" s="28"/>
      <x:c r="V326" s="28"/>
      <x:c r="W326" s="28"/>
      <x:c r="X326" s="28"/>
      <x:c r="Y326" s="28"/>
      <x:c r="Z326" s="28"/>
      <x:c r="AA326" s="28"/>
      <x:c r="AB326" s="56" t="str">
        <x:f>IF($A326="","",IF(Z326="Y",20,IF(Z326="Unknown",10,0))+$L326*5+IF(AA326="Y",15,IF(AA326="Unknown",5,0))+IF($J326="Public",10,IF($J326="Partner",7,IF($J326="Internal",3,0)))+IF($W326="Hard-coded",10,IF($W326="Unknown",7,IF($W326="Configurable",3,0)))+IF($I326&gt;=10,10,IF($I326&gt;=5,7,IF($I326&gt;=2,3,0)))+IF($K326="High",10,IF($K326="Medium",5,0)))</x:f>
      </x:c>
      <x:c r="AC326" s="28" t="str">
        <x:f>IF($A326="","",IF(AB326&gt;=70,"P0 - Immediate",IF(AB326&gt;=50,"P1 - High",IF(AB326&gt;=30,"P2 - Medium",IF(AB326&gt;=15,"P3 - Low","P4 - Monitor")))))</x:f>
      </x:c>
      <x:c r="AD326" s="28"/>
      <x:c r="AE326" s="28"/>
      <x:c r="AF326" s="28"/>
      <x:c r="AG326" s="58"/>
      <x:c r="AH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56"/>
      <x:c r="J327" s="28"/>
      <x:c r="K327" s="28"/>
      <x:c r="L327" s="56"/>
      <x:c r="M327" s="28"/>
      <x:c r="N327" s="28"/>
      <x:c r="O327" s="28"/>
      <x:c r="P327" s="28"/>
      <x:c r="Q327" s="28"/>
      <x:c r="R327" s="28"/>
      <x:c r="S327" s="28"/>
      <x:c r="T327" s="28"/>
      <x:c r="U327" s="28"/>
      <x:c r="V327" s="28"/>
      <x:c r="W327" s="28"/>
      <x:c r="X327" s="28"/>
      <x:c r="Y327" s="28"/>
      <x:c r="Z327" s="28"/>
      <x:c r="AA327" s="28"/>
      <x:c r="AB327" s="56" t="str">
        <x:f>IF($A327="","",IF(Z327="Y",20,IF(Z327="Unknown",10,0))+$L327*5+IF(AA327="Y",15,IF(AA327="Unknown",5,0))+IF($J327="Public",10,IF($J327="Partner",7,IF($J327="Internal",3,0)))+IF($W327="Hard-coded",10,IF($W327="Unknown",7,IF($W327="Configurable",3,0)))+IF($I327&gt;=10,10,IF($I327&gt;=5,7,IF($I327&gt;=2,3,0)))+IF($K327="High",10,IF($K327="Medium",5,0)))</x:f>
      </x:c>
      <x:c r="AC327" s="28" t="str">
        <x:f>IF($A327="","",IF(AB327&gt;=70,"P0 - Immediate",IF(AB327&gt;=50,"P1 - High",IF(AB327&gt;=30,"P2 - Medium",IF(AB327&gt;=15,"P3 - Low","P4 - Monitor")))))</x:f>
      </x:c>
      <x:c r="AD327" s="28"/>
      <x:c r="AE327" s="28"/>
      <x:c r="AF327" s="28"/>
      <x:c r="AG327" s="58"/>
      <x:c r="AH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56"/>
      <x:c r="J328" s="28"/>
      <x:c r="K328" s="28"/>
      <x:c r="L328" s="56"/>
      <x:c r="M328" s="28"/>
      <x:c r="N328" s="28"/>
      <x:c r="O328" s="28"/>
      <x:c r="P328" s="28"/>
      <x:c r="Q328" s="28"/>
      <x:c r="R328" s="28"/>
      <x:c r="S328" s="28"/>
      <x:c r="T328" s="28"/>
      <x:c r="U328" s="28"/>
      <x:c r="V328" s="28"/>
      <x:c r="W328" s="28"/>
      <x:c r="X328" s="28"/>
      <x:c r="Y328" s="28"/>
      <x:c r="Z328" s="28"/>
      <x:c r="AA328" s="28"/>
      <x:c r="AB328" s="56" t="str">
        <x:f>IF($A328="","",IF(Z328="Y",20,IF(Z328="Unknown",10,0))+$L328*5+IF(AA328="Y",15,IF(AA328="Unknown",5,0))+IF($J328="Public",10,IF($J328="Partner",7,IF($J328="Internal",3,0)))+IF($W328="Hard-coded",10,IF($W328="Unknown",7,IF($W328="Configurable",3,0)))+IF($I328&gt;=10,10,IF($I328&gt;=5,7,IF($I328&gt;=2,3,0)))+IF($K328="High",10,IF($K328="Medium",5,0)))</x:f>
      </x:c>
      <x:c r="AC328" s="28" t="str">
        <x:f>IF($A328="","",IF(AB328&gt;=70,"P0 - Immediate",IF(AB328&gt;=50,"P1 - High",IF(AB328&gt;=30,"P2 - Medium",IF(AB328&gt;=15,"P3 - Low","P4 - Monitor")))))</x:f>
      </x:c>
      <x:c r="AD328" s="28"/>
      <x:c r="AE328" s="28"/>
      <x:c r="AF328" s="28"/>
      <x:c r="AG328" s="58"/>
      <x:c r="AH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56"/>
      <x:c r="J329" s="28"/>
      <x:c r="K329" s="28"/>
      <x:c r="L329" s="56"/>
      <x:c r="M329" s="28"/>
      <x:c r="N329" s="28"/>
      <x:c r="O329" s="28"/>
      <x:c r="P329" s="28"/>
      <x:c r="Q329" s="28"/>
      <x:c r="R329" s="28"/>
      <x:c r="S329" s="28"/>
      <x:c r="T329" s="28"/>
      <x:c r="U329" s="28"/>
      <x:c r="V329" s="28"/>
      <x:c r="W329" s="28"/>
      <x:c r="X329" s="28"/>
      <x:c r="Y329" s="28"/>
      <x:c r="Z329" s="28"/>
      <x:c r="AA329" s="28"/>
      <x:c r="AB329" s="56" t="str">
        <x:f>IF($A329="","",IF(Z329="Y",20,IF(Z329="Unknown",10,0))+$L329*5+IF(AA329="Y",15,IF(AA329="Unknown",5,0))+IF($J329="Public",10,IF($J329="Partner",7,IF($J329="Internal",3,0)))+IF($W329="Hard-coded",10,IF($W329="Unknown",7,IF($W329="Configurable",3,0)))+IF($I329&gt;=10,10,IF($I329&gt;=5,7,IF($I329&gt;=2,3,0)))+IF($K329="High",10,IF($K329="Medium",5,0)))</x:f>
      </x:c>
      <x:c r="AC329" s="28" t="str">
        <x:f>IF($A329="","",IF(AB329&gt;=70,"P0 - Immediate",IF(AB329&gt;=50,"P1 - High",IF(AB329&gt;=30,"P2 - Medium",IF(AB329&gt;=15,"P3 - Low","P4 - Monitor")))))</x:f>
      </x:c>
      <x:c r="AD329" s="28"/>
      <x:c r="AE329" s="28"/>
      <x:c r="AF329" s="28"/>
      <x:c r="AG329" s="58"/>
      <x:c r="AH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56"/>
      <x:c r="J330" s="28"/>
      <x:c r="K330" s="28"/>
      <x:c r="L330" s="56"/>
      <x:c r="M330" s="28"/>
      <x:c r="N330" s="28"/>
      <x:c r="O330" s="28"/>
      <x:c r="P330" s="28"/>
      <x:c r="Q330" s="28"/>
      <x:c r="R330" s="28"/>
      <x:c r="S330" s="28"/>
      <x:c r="T330" s="28"/>
      <x:c r="U330" s="28"/>
      <x:c r="V330" s="28"/>
      <x:c r="W330" s="28"/>
      <x:c r="X330" s="28"/>
      <x:c r="Y330" s="28"/>
      <x:c r="Z330" s="28"/>
      <x:c r="AA330" s="28"/>
      <x:c r="AB330" s="56" t="str">
        <x:f>IF($A330="","",IF(Z330="Y",20,IF(Z330="Unknown",10,0))+$L330*5+IF(AA330="Y",15,IF(AA330="Unknown",5,0))+IF($J330="Public",10,IF($J330="Partner",7,IF($J330="Internal",3,0)))+IF($W330="Hard-coded",10,IF($W330="Unknown",7,IF($W330="Configurable",3,0)))+IF($I330&gt;=10,10,IF($I330&gt;=5,7,IF($I330&gt;=2,3,0)))+IF($K330="High",10,IF($K330="Medium",5,0)))</x:f>
      </x:c>
      <x:c r="AC330" s="28" t="str">
        <x:f>IF($A330="","",IF(AB330&gt;=70,"P0 - Immediate",IF(AB330&gt;=50,"P1 - High",IF(AB330&gt;=30,"P2 - Medium",IF(AB330&gt;=15,"P3 - Low","P4 - Monitor")))))</x:f>
      </x:c>
      <x:c r="AD330" s="28"/>
      <x:c r="AE330" s="28"/>
      <x:c r="AF330" s="28"/>
      <x:c r="AG330" s="58"/>
      <x:c r="AH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56"/>
      <x:c r="J331" s="28"/>
      <x:c r="K331" s="28"/>
      <x:c r="L331" s="56"/>
      <x:c r="M331" s="28"/>
      <x:c r="N331" s="28"/>
      <x:c r="O331" s="28"/>
      <x:c r="P331" s="28"/>
      <x:c r="Q331" s="28"/>
      <x:c r="R331" s="28"/>
      <x:c r="S331" s="28"/>
      <x:c r="T331" s="28"/>
      <x:c r="U331" s="28"/>
      <x:c r="V331" s="28"/>
      <x:c r="W331" s="28"/>
      <x:c r="X331" s="28"/>
      <x:c r="Y331" s="28"/>
      <x:c r="Z331" s="28"/>
      <x:c r="AA331" s="28"/>
      <x:c r="AB331" s="56" t="str">
        <x:f>IF($A331="","",IF(Z331="Y",20,IF(Z331="Unknown",10,0))+$L331*5+IF(AA331="Y",15,IF(AA331="Unknown",5,0))+IF($J331="Public",10,IF($J331="Partner",7,IF($J331="Internal",3,0)))+IF($W331="Hard-coded",10,IF($W331="Unknown",7,IF($W331="Configurable",3,0)))+IF($I331&gt;=10,10,IF($I331&gt;=5,7,IF($I331&gt;=2,3,0)))+IF($K331="High",10,IF($K331="Medium",5,0)))</x:f>
      </x:c>
      <x:c r="AC331" s="28" t="str">
        <x:f>IF($A331="","",IF(AB331&gt;=70,"P0 - Immediate",IF(AB331&gt;=50,"P1 - High",IF(AB331&gt;=30,"P2 - Medium",IF(AB331&gt;=15,"P3 - Low","P4 - Monitor")))))</x:f>
      </x:c>
      <x:c r="AD331" s="28"/>
      <x:c r="AE331" s="28"/>
      <x:c r="AF331" s="28"/>
      <x:c r="AG331" s="58"/>
      <x:c r="AH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56"/>
      <x:c r="J332" s="28"/>
      <x:c r="K332" s="28"/>
      <x:c r="L332" s="56"/>
      <x:c r="M332" s="28"/>
      <x:c r="N332" s="28"/>
      <x:c r="O332" s="28"/>
      <x:c r="P332" s="28"/>
      <x:c r="Q332" s="28"/>
      <x:c r="R332" s="28"/>
      <x:c r="S332" s="28"/>
      <x:c r="T332" s="28"/>
      <x:c r="U332" s="28"/>
      <x:c r="V332" s="28"/>
      <x:c r="W332" s="28"/>
      <x:c r="X332" s="28"/>
      <x:c r="Y332" s="28"/>
      <x:c r="Z332" s="28"/>
      <x:c r="AA332" s="28"/>
      <x:c r="AB332" s="56" t="str">
        <x:f>IF($A332="","",IF(Z332="Y",20,IF(Z332="Unknown",10,0))+$L332*5+IF(AA332="Y",15,IF(AA332="Unknown",5,0))+IF($J332="Public",10,IF($J332="Partner",7,IF($J332="Internal",3,0)))+IF($W332="Hard-coded",10,IF($W332="Unknown",7,IF($W332="Configurable",3,0)))+IF($I332&gt;=10,10,IF($I332&gt;=5,7,IF($I332&gt;=2,3,0)))+IF($K332="High",10,IF($K332="Medium",5,0)))</x:f>
      </x:c>
      <x:c r="AC332" s="28" t="str">
        <x:f>IF($A332="","",IF(AB332&gt;=70,"P0 - Immediate",IF(AB332&gt;=50,"P1 - High",IF(AB332&gt;=30,"P2 - Medium",IF(AB332&gt;=15,"P3 - Low","P4 - Monitor")))))</x:f>
      </x:c>
      <x:c r="AD332" s="28"/>
      <x:c r="AE332" s="28"/>
      <x:c r="AF332" s="28"/>
      <x:c r="AG332" s="58"/>
      <x:c r="AH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56"/>
      <x:c r="J333" s="28"/>
      <x:c r="K333" s="28"/>
      <x:c r="L333" s="56"/>
      <x:c r="M333" s="28"/>
      <x:c r="N333" s="28"/>
      <x:c r="O333" s="28"/>
      <x:c r="P333" s="28"/>
      <x:c r="Q333" s="28"/>
      <x:c r="R333" s="28"/>
      <x:c r="S333" s="28"/>
      <x:c r="T333" s="28"/>
      <x:c r="U333" s="28"/>
      <x:c r="V333" s="28"/>
      <x:c r="W333" s="28"/>
      <x:c r="X333" s="28"/>
      <x:c r="Y333" s="28"/>
      <x:c r="Z333" s="28"/>
      <x:c r="AA333" s="28"/>
      <x:c r="AB333" s="56" t="str">
        <x:f>IF($A333="","",IF(Z333="Y",20,IF(Z333="Unknown",10,0))+$L333*5+IF(AA333="Y",15,IF(AA333="Unknown",5,0))+IF($J333="Public",10,IF($J333="Partner",7,IF($J333="Internal",3,0)))+IF($W333="Hard-coded",10,IF($W333="Unknown",7,IF($W333="Configurable",3,0)))+IF($I333&gt;=10,10,IF($I333&gt;=5,7,IF($I333&gt;=2,3,0)))+IF($K333="High",10,IF($K333="Medium",5,0)))</x:f>
      </x:c>
      <x:c r="AC333" s="28" t="str">
        <x:f>IF($A333="","",IF(AB333&gt;=70,"P0 - Immediate",IF(AB333&gt;=50,"P1 - High",IF(AB333&gt;=30,"P2 - Medium",IF(AB333&gt;=15,"P3 - Low","P4 - Monitor")))))</x:f>
      </x:c>
      <x:c r="AD333" s="28"/>
      <x:c r="AE333" s="28"/>
      <x:c r="AF333" s="28"/>
      <x:c r="AG333" s="58"/>
      <x:c r="AH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56"/>
      <x:c r="J334" s="28"/>
      <x:c r="K334" s="28"/>
      <x:c r="L334" s="56"/>
      <x:c r="M334" s="28"/>
      <x:c r="N334" s="28"/>
      <x:c r="O334" s="28"/>
      <x:c r="P334" s="28"/>
      <x:c r="Q334" s="28"/>
      <x:c r="R334" s="28"/>
      <x:c r="S334" s="28"/>
      <x:c r="T334" s="28"/>
      <x:c r="U334" s="28"/>
      <x:c r="V334" s="28"/>
      <x:c r="W334" s="28"/>
      <x:c r="X334" s="28"/>
      <x:c r="Y334" s="28"/>
      <x:c r="Z334" s="28"/>
      <x:c r="AA334" s="28"/>
      <x:c r="AB334" s="56" t="str">
        <x:f>IF($A334="","",IF(Z334="Y",20,IF(Z334="Unknown",10,0))+$L334*5+IF(AA334="Y",15,IF(AA334="Unknown",5,0))+IF($J334="Public",10,IF($J334="Partner",7,IF($J334="Internal",3,0)))+IF($W334="Hard-coded",10,IF($W334="Unknown",7,IF($W334="Configurable",3,0)))+IF($I334&gt;=10,10,IF($I334&gt;=5,7,IF($I334&gt;=2,3,0)))+IF($K334="High",10,IF($K334="Medium",5,0)))</x:f>
      </x:c>
      <x:c r="AC334" s="28" t="str">
        <x:f>IF($A334="","",IF(AB334&gt;=70,"P0 - Immediate",IF(AB334&gt;=50,"P1 - High",IF(AB334&gt;=30,"P2 - Medium",IF(AB334&gt;=15,"P3 - Low","P4 - Monitor")))))</x:f>
      </x:c>
      <x:c r="AD334" s="28"/>
      <x:c r="AE334" s="28"/>
      <x:c r="AF334" s="28"/>
      <x:c r="AG334" s="58"/>
      <x:c r="AH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56"/>
      <x:c r="J335" s="28"/>
      <x:c r="K335" s="28"/>
      <x:c r="L335" s="56"/>
      <x:c r="M335" s="28"/>
      <x:c r="N335" s="28"/>
      <x:c r="O335" s="28"/>
      <x:c r="P335" s="28"/>
      <x:c r="Q335" s="28"/>
      <x:c r="R335" s="28"/>
      <x:c r="S335" s="28"/>
      <x:c r="T335" s="28"/>
      <x:c r="U335" s="28"/>
      <x:c r="V335" s="28"/>
      <x:c r="W335" s="28"/>
      <x:c r="X335" s="28"/>
      <x:c r="Y335" s="28"/>
      <x:c r="Z335" s="28"/>
      <x:c r="AA335" s="28"/>
      <x:c r="AB335" s="56" t="str">
        <x:f>IF($A335="","",IF(Z335="Y",20,IF(Z335="Unknown",10,0))+$L335*5+IF(AA335="Y",15,IF(AA335="Unknown",5,0))+IF($J335="Public",10,IF($J335="Partner",7,IF($J335="Internal",3,0)))+IF($W335="Hard-coded",10,IF($W335="Unknown",7,IF($W335="Configurable",3,0)))+IF($I335&gt;=10,10,IF($I335&gt;=5,7,IF($I335&gt;=2,3,0)))+IF($K335="High",10,IF($K335="Medium",5,0)))</x:f>
      </x:c>
      <x:c r="AC335" s="28" t="str">
        <x:f>IF($A335="","",IF(AB335&gt;=70,"P0 - Immediate",IF(AB335&gt;=50,"P1 - High",IF(AB335&gt;=30,"P2 - Medium",IF(AB335&gt;=15,"P3 - Low","P4 - Monitor")))))</x:f>
      </x:c>
      <x:c r="AD335" s="28"/>
      <x:c r="AE335" s="28"/>
      <x:c r="AF335" s="28"/>
      <x:c r="AG335" s="58"/>
      <x:c r="AH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56"/>
      <x:c r="J336" s="28"/>
      <x:c r="K336" s="28"/>
      <x:c r="L336" s="56"/>
      <x:c r="M336" s="28"/>
      <x:c r="N336" s="28"/>
      <x:c r="O336" s="28"/>
      <x:c r="P336" s="28"/>
      <x:c r="Q336" s="28"/>
      <x:c r="R336" s="28"/>
      <x:c r="S336" s="28"/>
      <x:c r="T336" s="28"/>
      <x:c r="U336" s="28"/>
      <x:c r="V336" s="28"/>
      <x:c r="W336" s="28"/>
      <x:c r="X336" s="28"/>
      <x:c r="Y336" s="28"/>
      <x:c r="Z336" s="28"/>
      <x:c r="AA336" s="28"/>
      <x:c r="AB336" s="56" t="str">
        <x:f>IF($A336="","",IF(Z336="Y",20,IF(Z336="Unknown",10,0))+$L336*5+IF(AA336="Y",15,IF(AA336="Unknown",5,0))+IF($J336="Public",10,IF($J336="Partner",7,IF($J336="Internal",3,0)))+IF($W336="Hard-coded",10,IF($W336="Unknown",7,IF($W336="Configurable",3,0)))+IF($I336&gt;=10,10,IF($I336&gt;=5,7,IF($I336&gt;=2,3,0)))+IF($K336="High",10,IF($K336="Medium",5,0)))</x:f>
      </x:c>
      <x:c r="AC336" s="28" t="str">
        <x:f>IF($A336="","",IF(AB336&gt;=70,"P0 - Immediate",IF(AB336&gt;=50,"P1 - High",IF(AB336&gt;=30,"P2 - Medium",IF(AB336&gt;=15,"P3 - Low","P4 - Monitor")))))</x:f>
      </x:c>
      <x:c r="AD336" s="28"/>
      <x:c r="AE336" s="28"/>
      <x:c r="AF336" s="28"/>
      <x:c r="AG336" s="58"/>
      <x:c r="AH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56"/>
      <x:c r="J337" s="28"/>
      <x:c r="K337" s="28"/>
      <x:c r="L337" s="56"/>
      <x:c r="M337" s="28"/>
      <x:c r="N337" s="28"/>
      <x:c r="O337" s="28"/>
      <x:c r="P337" s="28"/>
      <x:c r="Q337" s="28"/>
      <x:c r="R337" s="28"/>
      <x:c r="S337" s="28"/>
      <x:c r="T337" s="28"/>
      <x:c r="U337" s="28"/>
      <x:c r="V337" s="28"/>
      <x:c r="W337" s="28"/>
      <x:c r="X337" s="28"/>
      <x:c r="Y337" s="28"/>
      <x:c r="Z337" s="28"/>
      <x:c r="AA337" s="28"/>
      <x:c r="AB337" s="56" t="str">
        <x:f>IF($A337="","",IF(Z337="Y",20,IF(Z337="Unknown",10,0))+$L337*5+IF(AA337="Y",15,IF(AA337="Unknown",5,0))+IF($J337="Public",10,IF($J337="Partner",7,IF($J337="Internal",3,0)))+IF($W337="Hard-coded",10,IF($W337="Unknown",7,IF($W337="Configurable",3,0)))+IF($I337&gt;=10,10,IF($I337&gt;=5,7,IF($I337&gt;=2,3,0)))+IF($K337="High",10,IF($K337="Medium",5,0)))</x:f>
      </x:c>
      <x:c r="AC337" s="28" t="str">
        <x:f>IF($A337="","",IF(AB337&gt;=70,"P0 - Immediate",IF(AB337&gt;=50,"P1 - High",IF(AB337&gt;=30,"P2 - Medium",IF(AB337&gt;=15,"P3 - Low","P4 - Monitor")))))</x:f>
      </x:c>
      <x:c r="AD337" s="28"/>
      <x:c r="AE337" s="28"/>
      <x:c r="AF337" s="28"/>
      <x:c r="AG337" s="58"/>
      <x:c r="AH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56"/>
      <x:c r="J338" s="28"/>
      <x:c r="K338" s="28"/>
      <x:c r="L338" s="56"/>
      <x:c r="M338" s="28"/>
      <x:c r="N338" s="28"/>
      <x:c r="O338" s="28"/>
      <x:c r="P338" s="28"/>
      <x:c r="Q338" s="28"/>
      <x:c r="R338" s="28"/>
      <x:c r="S338" s="28"/>
      <x:c r="T338" s="28"/>
      <x:c r="U338" s="28"/>
      <x:c r="V338" s="28"/>
      <x:c r="W338" s="28"/>
      <x:c r="X338" s="28"/>
      <x:c r="Y338" s="28"/>
      <x:c r="Z338" s="28"/>
      <x:c r="AA338" s="28"/>
      <x:c r="AB338" s="56" t="str">
        <x:f>IF($A338="","",IF(Z338="Y",20,IF(Z338="Unknown",10,0))+$L338*5+IF(AA338="Y",15,IF(AA338="Unknown",5,0))+IF($J338="Public",10,IF($J338="Partner",7,IF($J338="Internal",3,0)))+IF($W338="Hard-coded",10,IF($W338="Unknown",7,IF($W338="Configurable",3,0)))+IF($I338&gt;=10,10,IF($I338&gt;=5,7,IF($I338&gt;=2,3,0)))+IF($K338="High",10,IF($K338="Medium",5,0)))</x:f>
      </x:c>
      <x:c r="AC338" s="28" t="str">
        <x:f>IF($A338="","",IF(AB338&gt;=70,"P0 - Immediate",IF(AB338&gt;=50,"P1 - High",IF(AB338&gt;=30,"P2 - Medium",IF(AB338&gt;=15,"P3 - Low","P4 - Monitor")))))</x:f>
      </x:c>
      <x:c r="AD338" s="28"/>
      <x:c r="AE338" s="28"/>
      <x:c r="AF338" s="28"/>
      <x:c r="AG338" s="58"/>
      <x:c r="AH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56"/>
      <x:c r="J339" s="28"/>
      <x:c r="K339" s="28"/>
      <x:c r="L339" s="56"/>
      <x:c r="M339" s="28"/>
      <x:c r="N339" s="28"/>
      <x:c r="O339" s="28"/>
      <x:c r="P339" s="28"/>
      <x:c r="Q339" s="28"/>
      <x:c r="R339" s="28"/>
      <x:c r="S339" s="28"/>
      <x:c r="T339" s="28"/>
      <x:c r="U339" s="28"/>
      <x:c r="V339" s="28"/>
      <x:c r="W339" s="28"/>
      <x:c r="X339" s="28"/>
      <x:c r="Y339" s="28"/>
      <x:c r="Z339" s="28"/>
      <x:c r="AA339" s="28"/>
      <x:c r="AB339" s="56" t="str">
        <x:f>IF($A339="","",IF(Z339="Y",20,IF(Z339="Unknown",10,0))+$L339*5+IF(AA339="Y",15,IF(AA339="Unknown",5,0))+IF($J339="Public",10,IF($J339="Partner",7,IF($J339="Internal",3,0)))+IF($W339="Hard-coded",10,IF($W339="Unknown",7,IF($W339="Configurable",3,0)))+IF($I339&gt;=10,10,IF($I339&gt;=5,7,IF($I339&gt;=2,3,0)))+IF($K339="High",10,IF($K339="Medium",5,0)))</x:f>
      </x:c>
      <x:c r="AC339" s="28" t="str">
        <x:f>IF($A339="","",IF(AB339&gt;=70,"P0 - Immediate",IF(AB339&gt;=50,"P1 - High",IF(AB339&gt;=30,"P2 - Medium",IF(AB339&gt;=15,"P3 - Low","P4 - Monitor")))))</x:f>
      </x:c>
      <x:c r="AD339" s="28"/>
      <x:c r="AE339" s="28"/>
      <x:c r="AF339" s="28"/>
      <x:c r="AG339" s="58"/>
      <x:c r="AH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56"/>
      <x:c r="J340" s="28"/>
      <x:c r="K340" s="28"/>
      <x:c r="L340" s="56"/>
      <x:c r="M340" s="28"/>
      <x:c r="N340" s="28"/>
      <x:c r="O340" s="28"/>
      <x:c r="P340" s="28"/>
      <x:c r="Q340" s="28"/>
      <x:c r="R340" s="28"/>
      <x:c r="S340" s="28"/>
      <x:c r="T340" s="28"/>
      <x:c r="U340" s="28"/>
      <x:c r="V340" s="28"/>
      <x:c r="W340" s="28"/>
      <x:c r="X340" s="28"/>
      <x:c r="Y340" s="28"/>
      <x:c r="Z340" s="28"/>
      <x:c r="AA340" s="28"/>
      <x:c r="AB340" s="56" t="str">
        <x:f>IF($A340="","",IF(Z340="Y",20,IF(Z340="Unknown",10,0))+$L340*5+IF(AA340="Y",15,IF(AA340="Unknown",5,0))+IF($J340="Public",10,IF($J340="Partner",7,IF($J340="Internal",3,0)))+IF($W340="Hard-coded",10,IF($W340="Unknown",7,IF($W340="Configurable",3,0)))+IF($I340&gt;=10,10,IF($I340&gt;=5,7,IF($I340&gt;=2,3,0)))+IF($K340="High",10,IF($K340="Medium",5,0)))</x:f>
      </x:c>
      <x:c r="AC340" s="28" t="str">
        <x:f>IF($A340="","",IF(AB340&gt;=70,"P0 - Immediate",IF(AB340&gt;=50,"P1 - High",IF(AB340&gt;=30,"P2 - Medium",IF(AB340&gt;=15,"P3 - Low","P4 - Monitor")))))</x:f>
      </x:c>
      <x:c r="AD340" s="28"/>
      <x:c r="AE340" s="28"/>
      <x:c r="AF340" s="28"/>
      <x:c r="AG340" s="58"/>
      <x:c r="AH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56"/>
      <x:c r="J341" s="28"/>
      <x:c r="K341" s="28"/>
      <x:c r="L341" s="56"/>
      <x:c r="M341" s="28"/>
      <x:c r="N341" s="28"/>
      <x:c r="O341" s="28"/>
      <x:c r="P341" s="28"/>
      <x:c r="Q341" s="28"/>
      <x:c r="R341" s="28"/>
      <x:c r="S341" s="28"/>
      <x:c r="T341" s="28"/>
      <x:c r="U341" s="28"/>
      <x:c r="V341" s="28"/>
      <x:c r="W341" s="28"/>
      <x:c r="X341" s="28"/>
      <x:c r="Y341" s="28"/>
      <x:c r="Z341" s="28"/>
      <x:c r="AA341" s="28"/>
      <x:c r="AB341" s="56" t="str">
        <x:f>IF($A341="","",IF(Z341="Y",20,IF(Z341="Unknown",10,0))+$L341*5+IF(AA341="Y",15,IF(AA341="Unknown",5,0))+IF($J341="Public",10,IF($J341="Partner",7,IF($J341="Internal",3,0)))+IF($W341="Hard-coded",10,IF($W341="Unknown",7,IF($W341="Configurable",3,0)))+IF($I341&gt;=10,10,IF($I341&gt;=5,7,IF($I341&gt;=2,3,0)))+IF($K341="High",10,IF($K341="Medium",5,0)))</x:f>
      </x:c>
      <x:c r="AC341" s="28" t="str">
        <x:f>IF($A341="","",IF(AB341&gt;=70,"P0 - Immediate",IF(AB341&gt;=50,"P1 - High",IF(AB341&gt;=30,"P2 - Medium",IF(AB341&gt;=15,"P3 - Low","P4 - Monitor")))))</x:f>
      </x:c>
      <x:c r="AD341" s="28"/>
      <x:c r="AE341" s="28"/>
      <x:c r="AF341" s="28"/>
      <x:c r="AG341" s="58"/>
      <x:c r="AH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56"/>
      <x:c r="J342" s="28"/>
      <x:c r="K342" s="28"/>
      <x:c r="L342" s="56"/>
      <x:c r="M342" s="28"/>
      <x:c r="N342" s="28"/>
      <x:c r="O342" s="28"/>
      <x:c r="P342" s="28"/>
      <x:c r="Q342" s="28"/>
      <x:c r="R342" s="28"/>
      <x:c r="S342" s="28"/>
      <x:c r="T342" s="28"/>
      <x:c r="U342" s="28"/>
      <x:c r="V342" s="28"/>
      <x:c r="W342" s="28"/>
      <x:c r="X342" s="28"/>
      <x:c r="Y342" s="28"/>
      <x:c r="Z342" s="28"/>
      <x:c r="AA342" s="28"/>
      <x:c r="AB342" s="56" t="str">
        <x:f>IF($A342="","",IF(Z342="Y",20,IF(Z342="Unknown",10,0))+$L342*5+IF(AA342="Y",15,IF(AA342="Unknown",5,0))+IF($J342="Public",10,IF($J342="Partner",7,IF($J342="Internal",3,0)))+IF($W342="Hard-coded",10,IF($W342="Unknown",7,IF($W342="Configurable",3,0)))+IF($I342&gt;=10,10,IF($I342&gt;=5,7,IF($I342&gt;=2,3,0)))+IF($K342="High",10,IF($K342="Medium",5,0)))</x:f>
      </x:c>
      <x:c r="AC342" s="28" t="str">
        <x:f>IF($A342="","",IF(AB342&gt;=70,"P0 - Immediate",IF(AB342&gt;=50,"P1 - High",IF(AB342&gt;=30,"P2 - Medium",IF(AB342&gt;=15,"P3 - Low","P4 - Monitor")))))</x:f>
      </x:c>
      <x:c r="AD342" s="28"/>
      <x:c r="AE342" s="28"/>
      <x:c r="AF342" s="28"/>
      <x:c r="AG342" s="58"/>
      <x:c r="AH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56"/>
      <x:c r="J343" s="28"/>
      <x:c r="K343" s="28"/>
      <x:c r="L343" s="56"/>
      <x:c r="M343" s="28"/>
      <x:c r="N343" s="28"/>
      <x:c r="O343" s="28"/>
      <x:c r="P343" s="28"/>
      <x:c r="Q343" s="28"/>
      <x:c r="R343" s="28"/>
      <x:c r="S343" s="28"/>
      <x:c r="T343" s="28"/>
      <x:c r="U343" s="28"/>
      <x:c r="V343" s="28"/>
      <x:c r="W343" s="28"/>
      <x:c r="X343" s="28"/>
      <x:c r="Y343" s="28"/>
      <x:c r="Z343" s="28"/>
      <x:c r="AA343" s="28"/>
      <x:c r="AB343" s="56" t="str">
        <x:f>IF($A343="","",IF(Z343="Y",20,IF(Z343="Unknown",10,0))+$L343*5+IF(AA343="Y",15,IF(AA343="Unknown",5,0))+IF($J343="Public",10,IF($J343="Partner",7,IF($J343="Internal",3,0)))+IF($W343="Hard-coded",10,IF($W343="Unknown",7,IF($W343="Configurable",3,0)))+IF($I343&gt;=10,10,IF($I343&gt;=5,7,IF($I343&gt;=2,3,0)))+IF($K343="High",10,IF($K343="Medium",5,0)))</x:f>
      </x:c>
      <x:c r="AC343" s="28" t="str">
        <x:f>IF($A343="","",IF(AB343&gt;=70,"P0 - Immediate",IF(AB343&gt;=50,"P1 - High",IF(AB343&gt;=30,"P2 - Medium",IF(AB343&gt;=15,"P3 - Low","P4 - Monitor")))))</x:f>
      </x:c>
      <x:c r="AD343" s="28"/>
      <x:c r="AE343" s="28"/>
      <x:c r="AF343" s="28"/>
      <x:c r="AG343" s="58"/>
      <x:c r="AH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56"/>
      <x:c r="J344" s="28"/>
      <x:c r="K344" s="28"/>
      <x:c r="L344" s="56"/>
      <x:c r="M344" s="28"/>
      <x:c r="N344" s="28"/>
      <x:c r="O344" s="28"/>
      <x:c r="P344" s="28"/>
      <x:c r="Q344" s="28"/>
      <x:c r="R344" s="28"/>
      <x:c r="S344" s="28"/>
      <x:c r="T344" s="28"/>
      <x:c r="U344" s="28"/>
      <x:c r="V344" s="28"/>
      <x:c r="W344" s="28"/>
      <x:c r="X344" s="28"/>
      <x:c r="Y344" s="28"/>
      <x:c r="Z344" s="28"/>
      <x:c r="AA344" s="28"/>
      <x:c r="AB344" s="56" t="str">
        <x:f>IF($A344="","",IF(Z344="Y",20,IF(Z344="Unknown",10,0))+$L344*5+IF(AA344="Y",15,IF(AA344="Unknown",5,0))+IF($J344="Public",10,IF($J344="Partner",7,IF($J344="Internal",3,0)))+IF($W344="Hard-coded",10,IF($W344="Unknown",7,IF($W344="Configurable",3,0)))+IF($I344&gt;=10,10,IF($I344&gt;=5,7,IF($I344&gt;=2,3,0)))+IF($K344="High",10,IF($K344="Medium",5,0)))</x:f>
      </x:c>
      <x:c r="AC344" s="28" t="str">
        <x:f>IF($A344="","",IF(AB344&gt;=70,"P0 - Immediate",IF(AB344&gt;=50,"P1 - High",IF(AB344&gt;=30,"P2 - Medium",IF(AB344&gt;=15,"P3 - Low","P4 - Monitor")))))</x:f>
      </x:c>
      <x:c r="AD344" s="28"/>
      <x:c r="AE344" s="28"/>
      <x:c r="AF344" s="28"/>
      <x:c r="AG344" s="58"/>
      <x:c r="AH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56"/>
      <x:c r="J345" s="28"/>
      <x:c r="K345" s="28"/>
      <x:c r="L345" s="56"/>
      <x:c r="M345" s="28"/>
      <x:c r="N345" s="28"/>
      <x:c r="O345" s="28"/>
      <x:c r="P345" s="28"/>
      <x:c r="Q345" s="28"/>
      <x:c r="R345" s="28"/>
      <x:c r="S345" s="28"/>
      <x:c r="T345" s="28"/>
      <x:c r="U345" s="28"/>
      <x:c r="V345" s="28"/>
      <x:c r="W345" s="28"/>
      <x:c r="X345" s="28"/>
      <x:c r="Y345" s="28"/>
      <x:c r="Z345" s="28"/>
      <x:c r="AA345" s="28"/>
      <x:c r="AB345" s="56" t="str">
        <x:f>IF($A345="","",IF(Z345="Y",20,IF(Z345="Unknown",10,0))+$L345*5+IF(AA345="Y",15,IF(AA345="Unknown",5,0))+IF($J345="Public",10,IF($J345="Partner",7,IF($J345="Internal",3,0)))+IF($W345="Hard-coded",10,IF($W345="Unknown",7,IF($W345="Configurable",3,0)))+IF($I345&gt;=10,10,IF($I345&gt;=5,7,IF($I345&gt;=2,3,0)))+IF($K345="High",10,IF($K345="Medium",5,0)))</x:f>
      </x:c>
      <x:c r="AC345" s="28" t="str">
        <x:f>IF($A345="","",IF(AB345&gt;=70,"P0 - Immediate",IF(AB345&gt;=50,"P1 - High",IF(AB345&gt;=30,"P2 - Medium",IF(AB345&gt;=15,"P3 - Low","P4 - Monitor")))))</x:f>
      </x:c>
      <x:c r="AD345" s="28"/>
      <x:c r="AE345" s="28"/>
      <x:c r="AF345" s="28"/>
      <x:c r="AG345" s="58"/>
      <x:c r="AH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56"/>
      <x:c r="J346" s="28"/>
      <x:c r="K346" s="28"/>
      <x:c r="L346" s="56"/>
      <x:c r="M346" s="28"/>
      <x:c r="N346" s="28"/>
      <x:c r="O346" s="28"/>
      <x:c r="P346" s="28"/>
      <x:c r="Q346" s="28"/>
      <x:c r="R346" s="28"/>
      <x:c r="S346" s="28"/>
      <x:c r="T346" s="28"/>
      <x:c r="U346" s="28"/>
      <x:c r="V346" s="28"/>
      <x:c r="W346" s="28"/>
      <x:c r="X346" s="28"/>
      <x:c r="Y346" s="28"/>
      <x:c r="Z346" s="28"/>
      <x:c r="AA346" s="28"/>
      <x:c r="AB346" s="56" t="str">
        <x:f>IF($A346="","",IF(Z346="Y",20,IF(Z346="Unknown",10,0))+$L346*5+IF(AA346="Y",15,IF(AA346="Unknown",5,0))+IF($J346="Public",10,IF($J346="Partner",7,IF($J346="Internal",3,0)))+IF($W346="Hard-coded",10,IF($W346="Unknown",7,IF($W346="Configurable",3,0)))+IF($I346&gt;=10,10,IF($I346&gt;=5,7,IF($I346&gt;=2,3,0)))+IF($K346="High",10,IF($K346="Medium",5,0)))</x:f>
      </x:c>
      <x:c r="AC346" s="28" t="str">
        <x:f>IF($A346="","",IF(AB346&gt;=70,"P0 - Immediate",IF(AB346&gt;=50,"P1 - High",IF(AB346&gt;=30,"P2 - Medium",IF(AB346&gt;=15,"P3 - Low","P4 - Monitor")))))</x:f>
      </x:c>
      <x:c r="AD346" s="28"/>
      <x:c r="AE346" s="28"/>
      <x:c r="AF346" s="28"/>
      <x:c r="AG346" s="58"/>
      <x:c r="AH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56"/>
      <x:c r="J347" s="28"/>
      <x:c r="K347" s="28"/>
      <x:c r="L347" s="56"/>
      <x:c r="M347" s="28"/>
      <x:c r="N347" s="28"/>
      <x:c r="O347" s="28"/>
      <x:c r="P347" s="28"/>
      <x:c r="Q347" s="28"/>
      <x:c r="R347" s="28"/>
      <x:c r="S347" s="28"/>
      <x:c r="T347" s="28"/>
      <x:c r="U347" s="28"/>
      <x:c r="V347" s="28"/>
      <x:c r="W347" s="28"/>
      <x:c r="X347" s="28"/>
      <x:c r="Y347" s="28"/>
      <x:c r="Z347" s="28"/>
      <x:c r="AA347" s="28"/>
      <x:c r="AB347" s="56" t="str">
        <x:f>IF($A347="","",IF(Z347="Y",20,IF(Z347="Unknown",10,0))+$L347*5+IF(AA347="Y",15,IF(AA347="Unknown",5,0))+IF($J347="Public",10,IF($J347="Partner",7,IF($J347="Internal",3,0)))+IF($W347="Hard-coded",10,IF($W347="Unknown",7,IF($W347="Configurable",3,0)))+IF($I347&gt;=10,10,IF($I347&gt;=5,7,IF($I347&gt;=2,3,0)))+IF($K347="High",10,IF($K347="Medium",5,0)))</x:f>
      </x:c>
      <x:c r="AC347" s="28" t="str">
        <x:f>IF($A347="","",IF(AB347&gt;=70,"P0 - Immediate",IF(AB347&gt;=50,"P1 - High",IF(AB347&gt;=30,"P2 - Medium",IF(AB347&gt;=15,"P3 - Low","P4 - Monitor")))))</x:f>
      </x:c>
      <x:c r="AD347" s="28"/>
      <x:c r="AE347" s="28"/>
      <x:c r="AF347" s="28"/>
      <x:c r="AG347" s="58"/>
      <x:c r="AH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56"/>
      <x:c r="J348" s="28"/>
      <x:c r="K348" s="28"/>
      <x:c r="L348" s="56"/>
      <x:c r="M348" s="28"/>
      <x:c r="N348" s="28"/>
      <x:c r="O348" s="28"/>
      <x:c r="P348" s="28"/>
      <x:c r="Q348" s="28"/>
      <x:c r="R348" s="28"/>
      <x:c r="S348" s="28"/>
      <x:c r="T348" s="28"/>
      <x:c r="U348" s="28"/>
      <x:c r="V348" s="28"/>
      <x:c r="W348" s="28"/>
      <x:c r="X348" s="28"/>
      <x:c r="Y348" s="28"/>
      <x:c r="Z348" s="28"/>
      <x:c r="AA348" s="28"/>
      <x:c r="AB348" s="56" t="str">
        <x:f>IF($A348="","",IF(Z348="Y",20,IF(Z348="Unknown",10,0))+$L348*5+IF(AA348="Y",15,IF(AA348="Unknown",5,0))+IF($J348="Public",10,IF($J348="Partner",7,IF($J348="Internal",3,0)))+IF($W348="Hard-coded",10,IF($W348="Unknown",7,IF($W348="Configurable",3,0)))+IF($I348&gt;=10,10,IF($I348&gt;=5,7,IF($I348&gt;=2,3,0)))+IF($K348="High",10,IF($K348="Medium",5,0)))</x:f>
      </x:c>
      <x:c r="AC348" s="28" t="str">
        <x:f>IF($A348="","",IF(AB348&gt;=70,"P0 - Immediate",IF(AB348&gt;=50,"P1 - High",IF(AB348&gt;=30,"P2 - Medium",IF(AB348&gt;=15,"P3 - Low","P4 - Monitor")))))</x:f>
      </x:c>
      <x:c r="AD348" s="28"/>
      <x:c r="AE348" s="28"/>
      <x:c r="AF348" s="28"/>
      <x:c r="AG348" s="58"/>
      <x:c r="AH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56"/>
      <x:c r="J349" s="28"/>
      <x:c r="K349" s="28"/>
      <x:c r="L349" s="56"/>
      <x:c r="M349" s="28"/>
      <x:c r="N349" s="28"/>
      <x:c r="O349" s="28"/>
      <x:c r="P349" s="28"/>
      <x:c r="Q349" s="28"/>
      <x:c r="R349" s="28"/>
      <x:c r="S349" s="28"/>
      <x:c r="T349" s="28"/>
      <x:c r="U349" s="28"/>
      <x:c r="V349" s="28"/>
      <x:c r="W349" s="28"/>
      <x:c r="X349" s="28"/>
      <x:c r="Y349" s="28"/>
      <x:c r="Z349" s="28"/>
      <x:c r="AA349" s="28"/>
      <x:c r="AB349" s="56" t="str">
        <x:f>IF($A349="","",IF(Z349="Y",20,IF(Z349="Unknown",10,0))+$L349*5+IF(AA349="Y",15,IF(AA349="Unknown",5,0))+IF($J349="Public",10,IF($J349="Partner",7,IF($J349="Internal",3,0)))+IF($W349="Hard-coded",10,IF($W349="Unknown",7,IF($W349="Configurable",3,0)))+IF($I349&gt;=10,10,IF($I349&gt;=5,7,IF($I349&gt;=2,3,0)))+IF($K349="High",10,IF($K349="Medium",5,0)))</x:f>
      </x:c>
      <x:c r="AC349" s="28" t="str">
        <x:f>IF($A349="","",IF(AB349&gt;=70,"P0 - Immediate",IF(AB349&gt;=50,"P1 - High",IF(AB349&gt;=30,"P2 - Medium",IF(AB349&gt;=15,"P3 - Low","P4 - Monitor")))))</x:f>
      </x:c>
      <x:c r="AD349" s="28"/>
      <x:c r="AE349" s="28"/>
      <x:c r="AF349" s="28"/>
      <x:c r="AG349" s="58"/>
      <x:c r="AH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56"/>
      <x:c r="J350" s="28"/>
      <x:c r="K350" s="28"/>
      <x:c r="L350" s="56"/>
      <x:c r="M350" s="28"/>
      <x:c r="N350" s="28"/>
      <x:c r="O350" s="28"/>
      <x:c r="P350" s="28"/>
      <x:c r="Q350" s="28"/>
      <x:c r="R350" s="28"/>
      <x:c r="S350" s="28"/>
      <x:c r="T350" s="28"/>
      <x:c r="U350" s="28"/>
      <x:c r="V350" s="28"/>
      <x:c r="W350" s="28"/>
      <x:c r="X350" s="28"/>
      <x:c r="Y350" s="28"/>
      <x:c r="Z350" s="28"/>
      <x:c r="AA350" s="28"/>
      <x:c r="AB350" s="56" t="str">
        <x:f>IF($A350="","",IF(Z350="Y",20,IF(Z350="Unknown",10,0))+$L350*5+IF(AA350="Y",15,IF(AA350="Unknown",5,0))+IF($J350="Public",10,IF($J350="Partner",7,IF($J350="Internal",3,0)))+IF($W350="Hard-coded",10,IF($W350="Unknown",7,IF($W350="Configurable",3,0)))+IF($I350&gt;=10,10,IF($I350&gt;=5,7,IF($I350&gt;=2,3,0)))+IF($K350="High",10,IF($K350="Medium",5,0)))</x:f>
      </x:c>
      <x:c r="AC350" s="28" t="str">
        <x:f>IF($A350="","",IF(AB350&gt;=70,"P0 - Immediate",IF(AB350&gt;=50,"P1 - High",IF(AB350&gt;=30,"P2 - Medium",IF(AB350&gt;=15,"P3 - Low","P4 - Monitor")))))</x:f>
      </x:c>
      <x:c r="AD350" s="28"/>
      <x:c r="AE350" s="28"/>
      <x:c r="AF350" s="28"/>
      <x:c r="AG350" s="58"/>
      <x:c r="AH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56"/>
      <x:c r="J351" s="28"/>
      <x:c r="K351" s="28"/>
      <x:c r="L351" s="56"/>
      <x:c r="M351" s="28"/>
      <x:c r="N351" s="28"/>
      <x:c r="O351" s="28"/>
      <x:c r="P351" s="28"/>
      <x:c r="Q351" s="28"/>
      <x:c r="R351" s="28"/>
      <x:c r="S351" s="28"/>
      <x:c r="T351" s="28"/>
      <x:c r="U351" s="28"/>
      <x:c r="V351" s="28"/>
      <x:c r="W351" s="28"/>
      <x:c r="X351" s="28"/>
      <x:c r="Y351" s="28"/>
      <x:c r="Z351" s="28"/>
      <x:c r="AA351" s="28"/>
      <x:c r="AB351" s="56" t="str">
        <x:f>IF($A351="","",IF(Z351="Y",20,IF(Z351="Unknown",10,0))+$L351*5+IF(AA351="Y",15,IF(AA351="Unknown",5,0))+IF($J351="Public",10,IF($J351="Partner",7,IF($J351="Internal",3,0)))+IF($W351="Hard-coded",10,IF($W351="Unknown",7,IF($W351="Configurable",3,0)))+IF($I351&gt;=10,10,IF($I351&gt;=5,7,IF($I351&gt;=2,3,0)))+IF($K351="High",10,IF($K351="Medium",5,0)))</x:f>
      </x:c>
      <x:c r="AC351" s="28" t="str">
        <x:f>IF($A351="","",IF(AB351&gt;=70,"P0 - Immediate",IF(AB351&gt;=50,"P1 - High",IF(AB351&gt;=30,"P2 - Medium",IF(AB351&gt;=15,"P3 - Low","P4 - Monitor")))))</x:f>
      </x:c>
      <x:c r="AD351" s="28"/>
      <x:c r="AE351" s="28"/>
      <x:c r="AF351" s="28"/>
      <x:c r="AG351" s="58"/>
      <x:c r="AH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56"/>
      <x:c r="J352" s="28"/>
      <x:c r="K352" s="28"/>
      <x:c r="L352" s="56"/>
      <x:c r="M352" s="28"/>
      <x:c r="N352" s="28"/>
      <x:c r="O352" s="28"/>
      <x:c r="P352" s="28"/>
      <x:c r="Q352" s="28"/>
      <x:c r="R352" s="28"/>
      <x:c r="S352" s="28"/>
      <x:c r="T352" s="28"/>
      <x:c r="U352" s="28"/>
      <x:c r="V352" s="28"/>
      <x:c r="W352" s="28"/>
      <x:c r="X352" s="28"/>
      <x:c r="Y352" s="28"/>
      <x:c r="Z352" s="28"/>
      <x:c r="AA352" s="28"/>
      <x:c r="AB352" s="56" t="str">
        <x:f>IF($A352="","",IF(Z352="Y",20,IF(Z352="Unknown",10,0))+$L352*5+IF(AA352="Y",15,IF(AA352="Unknown",5,0))+IF($J352="Public",10,IF($J352="Partner",7,IF($J352="Internal",3,0)))+IF($W352="Hard-coded",10,IF($W352="Unknown",7,IF($W352="Configurable",3,0)))+IF($I352&gt;=10,10,IF($I352&gt;=5,7,IF($I352&gt;=2,3,0)))+IF($K352="High",10,IF($K352="Medium",5,0)))</x:f>
      </x:c>
      <x:c r="AC352" s="28" t="str">
        <x:f>IF($A352="","",IF(AB352&gt;=70,"P0 - Immediate",IF(AB352&gt;=50,"P1 - High",IF(AB352&gt;=30,"P2 - Medium",IF(AB352&gt;=15,"P3 - Low","P4 - Monitor")))))</x:f>
      </x:c>
      <x:c r="AD352" s="28"/>
      <x:c r="AE352" s="28"/>
      <x:c r="AF352" s="28"/>
      <x:c r="AG352" s="58"/>
      <x:c r="AH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56"/>
      <x:c r="J353" s="28"/>
      <x:c r="K353" s="28"/>
      <x:c r="L353" s="56"/>
      <x:c r="M353" s="28"/>
      <x:c r="N353" s="28"/>
      <x:c r="O353" s="28"/>
      <x:c r="P353" s="28"/>
      <x:c r="Q353" s="28"/>
      <x:c r="R353" s="28"/>
      <x:c r="S353" s="28"/>
      <x:c r="T353" s="28"/>
      <x:c r="U353" s="28"/>
      <x:c r="V353" s="28"/>
      <x:c r="W353" s="28"/>
      <x:c r="X353" s="28"/>
      <x:c r="Y353" s="28"/>
      <x:c r="Z353" s="28"/>
      <x:c r="AA353" s="28"/>
      <x:c r="AB353" s="56" t="str">
        <x:f>IF($A353="","",IF(Z353="Y",20,IF(Z353="Unknown",10,0))+$L353*5+IF(AA353="Y",15,IF(AA353="Unknown",5,0))+IF($J353="Public",10,IF($J353="Partner",7,IF($J353="Internal",3,0)))+IF($W353="Hard-coded",10,IF($W353="Unknown",7,IF($W353="Configurable",3,0)))+IF($I353&gt;=10,10,IF($I353&gt;=5,7,IF($I353&gt;=2,3,0)))+IF($K353="High",10,IF($K353="Medium",5,0)))</x:f>
      </x:c>
      <x:c r="AC353" s="28" t="str">
        <x:f>IF($A353="","",IF(AB353&gt;=70,"P0 - Immediate",IF(AB353&gt;=50,"P1 - High",IF(AB353&gt;=30,"P2 - Medium",IF(AB353&gt;=15,"P3 - Low","P4 - Monitor")))))</x:f>
      </x:c>
      <x:c r="AD353" s="28"/>
      <x:c r="AE353" s="28"/>
      <x:c r="AF353" s="28"/>
      <x:c r="AG353" s="58"/>
      <x:c r="AH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56"/>
      <x:c r="J354" s="28"/>
      <x:c r="K354" s="28"/>
      <x:c r="L354" s="56"/>
      <x:c r="M354" s="28"/>
      <x:c r="N354" s="28"/>
      <x:c r="O354" s="28"/>
      <x:c r="P354" s="28"/>
      <x:c r="Q354" s="28"/>
      <x:c r="R354" s="28"/>
      <x:c r="S354" s="28"/>
      <x:c r="T354" s="28"/>
      <x:c r="U354" s="28"/>
      <x:c r="V354" s="28"/>
      <x:c r="W354" s="28"/>
      <x:c r="X354" s="28"/>
      <x:c r="Y354" s="28"/>
      <x:c r="Z354" s="28"/>
      <x:c r="AA354" s="28"/>
      <x:c r="AB354" s="56" t="str">
        <x:f>IF($A354="","",IF(Z354="Y",20,IF(Z354="Unknown",10,0))+$L354*5+IF(AA354="Y",15,IF(AA354="Unknown",5,0))+IF($J354="Public",10,IF($J354="Partner",7,IF($J354="Internal",3,0)))+IF($W354="Hard-coded",10,IF($W354="Unknown",7,IF($W354="Configurable",3,0)))+IF($I354&gt;=10,10,IF($I354&gt;=5,7,IF($I354&gt;=2,3,0)))+IF($K354="High",10,IF($K354="Medium",5,0)))</x:f>
      </x:c>
      <x:c r="AC354" s="28" t="str">
        <x:f>IF($A354="","",IF(AB354&gt;=70,"P0 - Immediate",IF(AB354&gt;=50,"P1 - High",IF(AB354&gt;=30,"P2 - Medium",IF(AB354&gt;=15,"P3 - Low","P4 - Monitor")))))</x:f>
      </x:c>
      <x:c r="AD354" s="28"/>
      <x:c r="AE354" s="28"/>
      <x:c r="AF354" s="28"/>
      <x:c r="AG354" s="58"/>
      <x:c r="AH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56"/>
      <x:c r="J355" s="28"/>
      <x:c r="K355" s="28"/>
      <x:c r="L355" s="56"/>
      <x:c r="M355" s="28"/>
      <x:c r="N355" s="28"/>
      <x:c r="O355" s="28"/>
      <x:c r="P355" s="28"/>
      <x:c r="Q355" s="28"/>
      <x:c r="R355" s="28"/>
      <x:c r="S355" s="28"/>
      <x:c r="T355" s="28"/>
      <x:c r="U355" s="28"/>
      <x:c r="V355" s="28"/>
      <x:c r="W355" s="28"/>
      <x:c r="X355" s="28"/>
      <x:c r="Y355" s="28"/>
      <x:c r="Z355" s="28"/>
      <x:c r="AA355" s="28"/>
      <x:c r="AB355" s="56" t="str">
        <x:f>IF($A355="","",IF(Z355="Y",20,IF(Z355="Unknown",10,0))+$L355*5+IF(AA355="Y",15,IF(AA355="Unknown",5,0))+IF($J355="Public",10,IF($J355="Partner",7,IF($J355="Internal",3,0)))+IF($W355="Hard-coded",10,IF($W355="Unknown",7,IF($W355="Configurable",3,0)))+IF($I355&gt;=10,10,IF($I355&gt;=5,7,IF($I355&gt;=2,3,0)))+IF($K355="High",10,IF($K355="Medium",5,0)))</x:f>
      </x:c>
      <x:c r="AC355" s="28" t="str">
        <x:f>IF($A355="","",IF(AB355&gt;=70,"P0 - Immediate",IF(AB355&gt;=50,"P1 - High",IF(AB355&gt;=30,"P2 - Medium",IF(AB355&gt;=15,"P3 - Low","P4 - Monitor")))))</x:f>
      </x:c>
      <x:c r="AD355" s="28"/>
      <x:c r="AE355" s="28"/>
      <x:c r="AF355" s="28"/>
      <x:c r="AG355" s="58"/>
      <x:c r="AH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56"/>
      <x:c r="J356" s="28"/>
      <x:c r="K356" s="28"/>
      <x:c r="L356" s="56"/>
      <x:c r="M356" s="28"/>
      <x:c r="N356" s="28"/>
      <x:c r="O356" s="28"/>
      <x:c r="P356" s="28"/>
      <x:c r="Q356" s="28"/>
      <x:c r="R356" s="28"/>
      <x:c r="S356" s="28"/>
      <x:c r="T356" s="28"/>
      <x:c r="U356" s="28"/>
      <x:c r="V356" s="28"/>
      <x:c r="W356" s="28"/>
      <x:c r="X356" s="28"/>
      <x:c r="Y356" s="28"/>
      <x:c r="Z356" s="28"/>
      <x:c r="AA356" s="28"/>
      <x:c r="AB356" s="56" t="str">
        <x:f>IF($A356="","",IF(Z356="Y",20,IF(Z356="Unknown",10,0))+$L356*5+IF(AA356="Y",15,IF(AA356="Unknown",5,0))+IF($J356="Public",10,IF($J356="Partner",7,IF($J356="Internal",3,0)))+IF($W356="Hard-coded",10,IF($W356="Unknown",7,IF($W356="Configurable",3,0)))+IF($I356&gt;=10,10,IF($I356&gt;=5,7,IF($I356&gt;=2,3,0)))+IF($K356="High",10,IF($K356="Medium",5,0)))</x:f>
      </x:c>
      <x:c r="AC356" s="28" t="str">
        <x:f>IF($A356="","",IF(AB356&gt;=70,"P0 - Immediate",IF(AB356&gt;=50,"P1 - High",IF(AB356&gt;=30,"P2 - Medium",IF(AB356&gt;=15,"P3 - Low","P4 - Monitor")))))</x:f>
      </x:c>
      <x:c r="AD356" s="28"/>
      <x:c r="AE356" s="28"/>
      <x:c r="AF356" s="28"/>
      <x:c r="AG356" s="58"/>
      <x:c r="AH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56"/>
      <x:c r="J357" s="28"/>
      <x:c r="K357" s="28"/>
      <x:c r="L357" s="56"/>
      <x:c r="M357" s="28"/>
      <x:c r="N357" s="28"/>
      <x:c r="O357" s="28"/>
      <x:c r="P357" s="28"/>
      <x:c r="Q357" s="28"/>
      <x:c r="R357" s="28"/>
      <x:c r="S357" s="28"/>
      <x:c r="T357" s="28"/>
      <x:c r="U357" s="28"/>
      <x:c r="V357" s="28"/>
      <x:c r="W357" s="28"/>
      <x:c r="X357" s="28"/>
      <x:c r="Y357" s="28"/>
      <x:c r="Z357" s="28"/>
      <x:c r="AA357" s="28"/>
      <x:c r="AB357" s="56" t="str">
        <x:f>IF($A357="","",IF(Z357="Y",20,IF(Z357="Unknown",10,0))+$L357*5+IF(AA357="Y",15,IF(AA357="Unknown",5,0))+IF($J357="Public",10,IF($J357="Partner",7,IF($J357="Internal",3,0)))+IF($W357="Hard-coded",10,IF($W357="Unknown",7,IF($W357="Configurable",3,0)))+IF($I357&gt;=10,10,IF($I357&gt;=5,7,IF($I357&gt;=2,3,0)))+IF($K357="High",10,IF($K357="Medium",5,0)))</x:f>
      </x:c>
      <x:c r="AC357" s="28" t="str">
        <x:f>IF($A357="","",IF(AB357&gt;=70,"P0 - Immediate",IF(AB357&gt;=50,"P1 - High",IF(AB357&gt;=30,"P2 - Medium",IF(AB357&gt;=15,"P3 - Low","P4 - Monitor")))))</x:f>
      </x:c>
      <x:c r="AD357" s="28"/>
      <x:c r="AE357" s="28"/>
      <x:c r="AF357" s="28"/>
      <x:c r="AG357" s="58"/>
      <x:c r="AH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56"/>
      <x:c r="J358" s="28"/>
      <x:c r="K358" s="28"/>
      <x:c r="L358" s="56"/>
      <x:c r="M358" s="28"/>
      <x:c r="N358" s="28"/>
      <x:c r="O358" s="28"/>
      <x:c r="P358" s="28"/>
      <x:c r="Q358" s="28"/>
      <x:c r="R358" s="28"/>
      <x:c r="S358" s="28"/>
      <x:c r="T358" s="28"/>
      <x:c r="U358" s="28"/>
      <x:c r="V358" s="28"/>
      <x:c r="W358" s="28"/>
      <x:c r="X358" s="28"/>
      <x:c r="Y358" s="28"/>
      <x:c r="Z358" s="28"/>
      <x:c r="AA358" s="28"/>
      <x:c r="AB358" s="56" t="str">
        <x:f>IF($A358="","",IF(Z358="Y",20,IF(Z358="Unknown",10,0))+$L358*5+IF(AA358="Y",15,IF(AA358="Unknown",5,0))+IF($J358="Public",10,IF($J358="Partner",7,IF($J358="Internal",3,0)))+IF($W358="Hard-coded",10,IF($W358="Unknown",7,IF($W358="Configurable",3,0)))+IF($I358&gt;=10,10,IF($I358&gt;=5,7,IF($I358&gt;=2,3,0)))+IF($K358="High",10,IF($K358="Medium",5,0)))</x:f>
      </x:c>
      <x:c r="AC358" s="28" t="str">
        <x:f>IF($A358="","",IF(AB358&gt;=70,"P0 - Immediate",IF(AB358&gt;=50,"P1 - High",IF(AB358&gt;=30,"P2 - Medium",IF(AB358&gt;=15,"P3 - Low","P4 - Monitor")))))</x:f>
      </x:c>
      <x:c r="AD358" s="28"/>
      <x:c r="AE358" s="28"/>
      <x:c r="AF358" s="28"/>
      <x:c r="AG358" s="58"/>
      <x:c r="AH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56"/>
      <x:c r="J359" s="28"/>
      <x:c r="K359" s="28"/>
      <x:c r="L359" s="56"/>
      <x:c r="M359" s="28"/>
      <x:c r="N359" s="28"/>
      <x:c r="O359" s="28"/>
      <x:c r="P359" s="28"/>
      <x:c r="Q359" s="28"/>
      <x:c r="R359" s="28"/>
      <x:c r="S359" s="28"/>
      <x:c r="T359" s="28"/>
      <x:c r="U359" s="28"/>
      <x:c r="V359" s="28"/>
      <x:c r="W359" s="28"/>
      <x:c r="X359" s="28"/>
      <x:c r="Y359" s="28"/>
      <x:c r="Z359" s="28"/>
      <x:c r="AA359" s="28"/>
      <x:c r="AB359" s="56" t="str">
        <x:f>IF($A359="","",IF(Z359="Y",20,IF(Z359="Unknown",10,0))+$L359*5+IF(AA359="Y",15,IF(AA359="Unknown",5,0))+IF($J359="Public",10,IF($J359="Partner",7,IF($J359="Internal",3,0)))+IF($W359="Hard-coded",10,IF($W359="Unknown",7,IF($W359="Configurable",3,0)))+IF($I359&gt;=10,10,IF($I359&gt;=5,7,IF($I359&gt;=2,3,0)))+IF($K359="High",10,IF($K359="Medium",5,0)))</x:f>
      </x:c>
      <x:c r="AC359" s="28" t="str">
        <x:f>IF($A359="","",IF(AB359&gt;=70,"P0 - Immediate",IF(AB359&gt;=50,"P1 - High",IF(AB359&gt;=30,"P2 - Medium",IF(AB359&gt;=15,"P3 - Low","P4 - Monitor")))))</x:f>
      </x:c>
      <x:c r="AD359" s="28"/>
      <x:c r="AE359" s="28"/>
      <x:c r="AF359" s="28"/>
      <x:c r="AG359" s="58"/>
      <x:c r="AH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56"/>
      <x:c r="J360" s="28"/>
      <x:c r="K360" s="28"/>
      <x:c r="L360" s="56"/>
      <x:c r="M360" s="28"/>
      <x:c r="N360" s="28"/>
      <x:c r="O360" s="28"/>
      <x:c r="P360" s="28"/>
      <x:c r="Q360" s="28"/>
      <x:c r="R360" s="28"/>
      <x:c r="S360" s="28"/>
      <x:c r="T360" s="28"/>
      <x:c r="U360" s="28"/>
      <x:c r="V360" s="28"/>
      <x:c r="W360" s="28"/>
      <x:c r="X360" s="28"/>
      <x:c r="Y360" s="28"/>
      <x:c r="Z360" s="28"/>
      <x:c r="AA360" s="28"/>
      <x:c r="AB360" s="56" t="str">
        <x:f>IF($A360="","",IF(Z360="Y",20,IF(Z360="Unknown",10,0))+$L360*5+IF(AA360="Y",15,IF(AA360="Unknown",5,0))+IF($J360="Public",10,IF($J360="Partner",7,IF($J360="Internal",3,0)))+IF($W360="Hard-coded",10,IF($W360="Unknown",7,IF($W360="Configurable",3,0)))+IF($I360&gt;=10,10,IF($I360&gt;=5,7,IF($I360&gt;=2,3,0)))+IF($K360="High",10,IF($K360="Medium",5,0)))</x:f>
      </x:c>
      <x:c r="AC360" s="28" t="str">
        <x:f>IF($A360="","",IF(AB360&gt;=70,"P0 - Immediate",IF(AB360&gt;=50,"P1 - High",IF(AB360&gt;=30,"P2 - Medium",IF(AB360&gt;=15,"P3 - Low","P4 - Monitor")))))</x:f>
      </x:c>
      <x:c r="AD360" s="28"/>
      <x:c r="AE360" s="28"/>
      <x:c r="AF360" s="28"/>
      <x:c r="AG360" s="58"/>
      <x:c r="AH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56"/>
      <x:c r="J361" s="28"/>
      <x:c r="K361" s="28"/>
      <x:c r="L361" s="56"/>
      <x:c r="M361" s="28"/>
      <x:c r="N361" s="28"/>
      <x:c r="O361" s="28"/>
      <x:c r="P361" s="28"/>
      <x:c r="Q361" s="28"/>
      <x:c r="R361" s="28"/>
      <x:c r="S361" s="28"/>
      <x:c r="T361" s="28"/>
      <x:c r="U361" s="28"/>
      <x:c r="V361" s="28"/>
      <x:c r="W361" s="28"/>
      <x:c r="X361" s="28"/>
      <x:c r="Y361" s="28"/>
      <x:c r="Z361" s="28"/>
      <x:c r="AA361" s="28"/>
      <x:c r="AB361" s="56" t="str">
        <x:f>IF($A361="","",IF(Z361="Y",20,IF(Z361="Unknown",10,0))+$L361*5+IF(AA361="Y",15,IF(AA361="Unknown",5,0))+IF($J361="Public",10,IF($J361="Partner",7,IF($J361="Internal",3,0)))+IF($W361="Hard-coded",10,IF($W361="Unknown",7,IF($W361="Configurable",3,0)))+IF($I361&gt;=10,10,IF($I361&gt;=5,7,IF($I361&gt;=2,3,0)))+IF($K361="High",10,IF($K361="Medium",5,0)))</x:f>
      </x:c>
      <x:c r="AC361" s="28" t="str">
        <x:f>IF($A361="","",IF(AB361&gt;=70,"P0 - Immediate",IF(AB361&gt;=50,"P1 - High",IF(AB361&gt;=30,"P2 - Medium",IF(AB361&gt;=15,"P3 - Low","P4 - Monitor")))))</x:f>
      </x:c>
      <x:c r="AD361" s="28"/>
      <x:c r="AE361" s="28"/>
      <x:c r="AF361" s="28"/>
      <x:c r="AG361" s="58"/>
      <x:c r="AH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56"/>
      <x:c r="J362" s="28"/>
      <x:c r="K362" s="28"/>
      <x:c r="L362" s="56"/>
      <x:c r="M362" s="28"/>
      <x:c r="N362" s="28"/>
      <x:c r="O362" s="28"/>
      <x:c r="P362" s="28"/>
      <x:c r="Q362" s="28"/>
      <x:c r="R362" s="28"/>
      <x:c r="S362" s="28"/>
      <x:c r="T362" s="28"/>
      <x:c r="U362" s="28"/>
      <x:c r="V362" s="28"/>
      <x:c r="W362" s="28"/>
      <x:c r="X362" s="28"/>
      <x:c r="Y362" s="28"/>
      <x:c r="Z362" s="28"/>
      <x:c r="AA362" s="28"/>
      <x:c r="AB362" s="56" t="str">
        <x:f>IF($A362="","",IF(Z362="Y",20,IF(Z362="Unknown",10,0))+$L362*5+IF(AA362="Y",15,IF(AA362="Unknown",5,0))+IF($J362="Public",10,IF($J362="Partner",7,IF($J362="Internal",3,0)))+IF($W362="Hard-coded",10,IF($W362="Unknown",7,IF($W362="Configurable",3,0)))+IF($I362&gt;=10,10,IF($I362&gt;=5,7,IF($I362&gt;=2,3,0)))+IF($K362="High",10,IF($K362="Medium",5,0)))</x:f>
      </x:c>
      <x:c r="AC362" s="28" t="str">
        <x:f>IF($A362="","",IF(AB362&gt;=70,"P0 - Immediate",IF(AB362&gt;=50,"P1 - High",IF(AB362&gt;=30,"P2 - Medium",IF(AB362&gt;=15,"P3 - Low","P4 - Monitor")))))</x:f>
      </x:c>
      <x:c r="AD362" s="28"/>
      <x:c r="AE362" s="28"/>
      <x:c r="AF362" s="28"/>
      <x:c r="AG362" s="58"/>
      <x:c r="AH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56"/>
      <x:c r="J363" s="28"/>
      <x:c r="K363" s="28"/>
      <x:c r="L363" s="56"/>
      <x:c r="M363" s="28"/>
      <x:c r="N363" s="28"/>
      <x:c r="O363" s="28"/>
      <x:c r="P363" s="28"/>
      <x:c r="Q363" s="28"/>
      <x:c r="R363" s="28"/>
      <x:c r="S363" s="28"/>
      <x:c r="T363" s="28"/>
      <x:c r="U363" s="28"/>
      <x:c r="V363" s="28"/>
      <x:c r="W363" s="28"/>
      <x:c r="X363" s="28"/>
      <x:c r="Y363" s="28"/>
      <x:c r="Z363" s="28"/>
      <x:c r="AA363" s="28"/>
      <x:c r="AB363" s="56" t="str">
        <x:f>IF($A363="","",IF(Z363="Y",20,IF(Z363="Unknown",10,0))+$L363*5+IF(AA363="Y",15,IF(AA363="Unknown",5,0))+IF($J363="Public",10,IF($J363="Partner",7,IF($J363="Internal",3,0)))+IF($W363="Hard-coded",10,IF($W363="Unknown",7,IF($W363="Configurable",3,0)))+IF($I363&gt;=10,10,IF($I363&gt;=5,7,IF($I363&gt;=2,3,0)))+IF($K363="High",10,IF($K363="Medium",5,0)))</x:f>
      </x:c>
      <x:c r="AC363" s="28" t="str">
        <x:f>IF($A363="","",IF(AB363&gt;=70,"P0 - Immediate",IF(AB363&gt;=50,"P1 - High",IF(AB363&gt;=30,"P2 - Medium",IF(AB363&gt;=15,"P3 - Low","P4 - Monitor")))))</x:f>
      </x:c>
      <x:c r="AD363" s="28"/>
      <x:c r="AE363" s="28"/>
      <x:c r="AF363" s="28"/>
      <x:c r="AG363" s="58"/>
      <x:c r="AH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56"/>
      <x:c r="J364" s="28"/>
      <x:c r="K364" s="28"/>
      <x:c r="L364" s="56"/>
      <x:c r="M364" s="28"/>
      <x:c r="N364" s="28"/>
      <x:c r="O364" s="28"/>
      <x:c r="P364" s="28"/>
      <x:c r="Q364" s="28"/>
      <x:c r="R364" s="28"/>
      <x:c r="S364" s="28"/>
      <x:c r="T364" s="28"/>
      <x:c r="U364" s="28"/>
      <x:c r="V364" s="28"/>
      <x:c r="W364" s="28"/>
      <x:c r="X364" s="28"/>
      <x:c r="Y364" s="28"/>
      <x:c r="Z364" s="28"/>
      <x:c r="AA364" s="28"/>
      <x:c r="AB364" s="56" t="str">
        <x:f>IF($A364="","",IF(Z364="Y",20,IF(Z364="Unknown",10,0))+$L364*5+IF(AA364="Y",15,IF(AA364="Unknown",5,0))+IF($J364="Public",10,IF($J364="Partner",7,IF($J364="Internal",3,0)))+IF($W364="Hard-coded",10,IF($W364="Unknown",7,IF($W364="Configurable",3,0)))+IF($I364&gt;=10,10,IF($I364&gt;=5,7,IF($I364&gt;=2,3,0)))+IF($K364="High",10,IF($K364="Medium",5,0)))</x:f>
      </x:c>
      <x:c r="AC364" s="28" t="str">
        <x:f>IF($A364="","",IF(AB364&gt;=70,"P0 - Immediate",IF(AB364&gt;=50,"P1 - High",IF(AB364&gt;=30,"P2 - Medium",IF(AB364&gt;=15,"P3 - Low","P4 - Monitor")))))</x:f>
      </x:c>
      <x:c r="AD364" s="28"/>
      <x:c r="AE364" s="28"/>
      <x:c r="AF364" s="28"/>
      <x:c r="AG364" s="58"/>
      <x:c r="AH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56"/>
      <x:c r="J365" s="28"/>
      <x:c r="K365" s="28"/>
      <x:c r="L365" s="56"/>
      <x:c r="M365" s="28"/>
      <x:c r="N365" s="28"/>
      <x:c r="O365" s="28"/>
      <x:c r="P365" s="28"/>
      <x:c r="Q365" s="28"/>
      <x:c r="R365" s="28"/>
      <x:c r="S365" s="28"/>
      <x:c r="T365" s="28"/>
      <x:c r="U365" s="28"/>
      <x:c r="V365" s="28"/>
      <x:c r="W365" s="28"/>
      <x:c r="X365" s="28"/>
      <x:c r="Y365" s="28"/>
      <x:c r="Z365" s="28"/>
      <x:c r="AA365" s="28"/>
      <x:c r="AB365" s="56" t="str">
        <x:f>IF($A365="","",IF(Z365="Y",20,IF(Z365="Unknown",10,0))+$L365*5+IF(AA365="Y",15,IF(AA365="Unknown",5,0))+IF($J365="Public",10,IF($J365="Partner",7,IF($J365="Internal",3,0)))+IF($W365="Hard-coded",10,IF($W365="Unknown",7,IF($W365="Configurable",3,0)))+IF($I365&gt;=10,10,IF($I365&gt;=5,7,IF($I365&gt;=2,3,0)))+IF($K365="High",10,IF($K365="Medium",5,0)))</x:f>
      </x:c>
      <x:c r="AC365" s="28" t="str">
        <x:f>IF($A365="","",IF(AB365&gt;=70,"P0 - Immediate",IF(AB365&gt;=50,"P1 - High",IF(AB365&gt;=30,"P2 - Medium",IF(AB365&gt;=15,"P3 - Low","P4 - Monitor")))))</x:f>
      </x:c>
      <x:c r="AD365" s="28"/>
      <x:c r="AE365" s="28"/>
      <x:c r="AF365" s="28"/>
      <x:c r="AG365" s="58"/>
      <x:c r="AH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56"/>
      <x:c r="J366" s="28"/>
      <x:c r="K366" s="28"/>
      <x:c r="L366" s="56"/>
      <x:c r="M366" s="28"/>
      <x:c r="N366" s="28"/>
      <x:c r="O366" s="28"/>
      <x:c r="P366" s="28"/>
      <x:c r="Q366" s="28"/>
      <x:c r="R366" s="28"/>
      <x:c r="S366" s="28"/>
      <x:c r="T366" s="28"/>
      <x:c r="U366" s="28"/>
      <x:c r="V366" s="28"/>
      <x:c r="W366" s="28"/>
      <x:c r="X366" s="28"/>
      <x:c r="Y366" s="28"/>
      <x:c r="Z366" s="28"/>
      <x:c r="AA366" s="28"/>
      <x:c r="AB366" s="56" t="str">
        <x:f>IF($A366="","",IF(Z366="Y",20,IF(Z366="Unknown",10,0))+$L366*5+IF(AA366="Y",15,IF(AA366="Unknown",5,0))+IF($J366="Public",10,IF($J366="Partner",7,IF($J366="Internal",3,0)))+IF($W366="Hard-coded",10,IF($W366="Unknown",7,IF($W366="Configurable",3,0)))+IF($I366&gt;=10,10,IF($I366&gt;=5,7,IF($I366&gt;=2,3,0)))+IF($K366="High",10,IF($K366="Medium",5,0)))</x:f>
      </x:c>
      <x:c r="AC366" s="28" t="str">
        <x:f>IF($A366="","",IF(AB366&gt;=70,"P0 - Immediate",IF(AB366&gt;=50,"P1 - High",IF(AB366&gt;=30,"P2 - Medium",IF(AB366&gt;=15,"P3 - Low","P4 - Monitor")))))</x:f>
      </x:c>
      <x:c r="AD366" s="28"/>
      <x:c r="AE366" s="28"/>
      <x:c r="AF366" s="28"/>
      <x:c r="AG366" s="58"/>
      <x:c r="AH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56"/>
      <x:c r="J367" s="28"/>
      <x:c r="K367" s="28"/>
      <x:c r="L367" s="56"/>
      <x:c r="M367" s="28"/>
      <x:c r="N367" s="28"/>
      <x:c r="O367" s="28"/>
      <x:c r="P367" s="28"/>
      <x:c r="Q367" s="28"/>
      <x:c r="R367" s="28"/>
      <x:c r="S367" s="28"/>
      <x:c r="T367" s="28"/>
      <x:c r="U367" s="28"/>
      <x:c r="V367" s="28"/>
      <x:c r="W367" s="28"/>
      <x:c r="X367" s="28"/>
      <x:c r="Y367" s="28"/>
      <x:c r="Z367" s="28"/>
      <x:c r="AA367" s="28"/>
      <x:c r="AB367" s="56" t="str">
        <x:f>IF($A367="","",IF(Z367="Y",20,IF(Z367="Unknown",10,0))+$L367*5+IF(AA367="Y",15,IF(AA367="Unknown",5,0))+IF($J367="Public",10,IF($J367="Partner",7,IF($J367="Internal",3,0)))+IF($W367="Hard-coded",10,IF($W367="Unknown",7,IF($W367="Configurable",3,0)))+IF($I367&gt;=10,10,IF($I367&gt;=5,7,IF($I367&gt;=2,3,0)))+IF($K367="High",10,IF($K367="Medium",5,0)))</x:f>
      </x:c>
      <x:c r="AC367" s="28" t="str">
        <x:f>IF($A367="","",IF(AB367&gt;=70,"P0 - Immediate",IF(AB367&gt;=50,"P1 - High",IF(AB367&gt;=30,"P2 - Medium",IF(AB367&gt;=15,"P3 - Low","P4 - Monitor")))))</x:f>
      </x:c>
      <x:c r="AD367" s="28"/>
      <x:c r="AE367" s="28"/>
      <x:c r="AF367" s="28"/>
      <x:c r="AG367" s="58"/>
      <x:c r="AH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56"/>
      <x:c r="J368" s="28"/>
      <x:c r="K368" s="28"/>
      <x:c r="L368" s="56"/>
      <x:c r="M368" s="28"/>
      <x:c r="N368" s="28"/>
      <x:c r="O368" s="28"/>
      <x:c r="P368" s="28"/>
      <x:c r="Q368" s="28"/>
      <x:c r="R368" s="28"/>
      <x:c r="S368" s="28"/>
      <x:c r="T368" s="28"/>
      <x:c r="U368" s="28"/>
      <x:c r="V368" s="28"/>
      <x:c r="W368" s="28"/>
      <x:c r="X368" s="28"/>
      <x:c r="Y368" s="28"/>
      <x:c r="Z368" s="28"/>
      <x:c r="AA368" s="28"/>
      <x:c r="AB368" s="56" t="str">
        <x:f>IF($A368="","",IF(Z368="Y",20,IF(Z368="Unknown",10,0))+$L368*5+IF(AA368="Y",15,IF(AA368="Unknown",5,0))+IF($J368="Public",10,IF($J368="Partner",7,IF($J368="Internal",3,0)))+IF($W368="Hard-coded",10,IF($W368="Unknown",7,IF($W368="Configurable",3,0)))+IF($I368&gt;=10,10,IF($I368&gt;=5,7,IF($I368&gt;=2,3,0)))+IF($K368="High",10,IF($K368="Medium",5,0)))</x:f>
      </x:c>
      <x:c r="AC368" s="28" t="str">
        <x:f>IF($A368="","",IF(AB368&gt;=70,"P0 - Immediate",IF(AB368&gt;=50,"P1 - High",IF(AB368&gt;=30,"P2 - Medium",IF(AB368&gt;=15,"P3 - Low","P4 - Monitor")))))</x:f>
      </x:c>
      <x:c r="AD368" s="28"/>
      <x:c r="AE368" s="28"/>
      <x:c r="AF368" s="28"/>
      <x:c r="AG368" s="58"/>
      <x:c r="AH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56"/>
      <x:c r="J369" s="28"/>
      <x:c r="K369" s="28"/>
      <x:c r="L369" s="56"/>
      <x:c r="M369" s="28"/>
      <x:c r="N369" s="28"/>
      <x:c r="O369" s="28"/>
      <x:c r="P369" s="28"/>
      <x:c r="Q369" s="28"/>
      <x:c r="R369" s="28"/>
      <x:c r="S369" s="28"/>
      <x:c r="T369" s="28"/>
      <x:c r="U369" s="28"/>
      <x:c r="V369" s="28"/>
      <x:c r="W369" s="28"/>
      <x:c r="X369" s="28"/>
      <x:c r="Y369" s="28"/>
      <x:c r="Z369" s="28"/>
      <x:c r="AA369" s="28"/>
      <x:c r="AB369" s="56" t="str">
        <x:f>IF($A369="","",IF(Z369="Y",20,IF(Z369="Unknown",10,0))+$L369*5+IF(AA369="Y",15,IF(AA369="Unknown",5,0))+IF($J369="Public",10,IF($J369="Partner",7,IF($J369="Internal",3,0)))+IF($W369="Hard-coded",10,IF($W369="Unknown",7,IF($W369="Configurable",3,0)))+IF($I369&gt;=10,10,IF($I369&gt;=5,7,IF($I369&gt;=2,3,0)))+IF($K369="High",10,IF($K369="Medium",5,0)))</x:f>
      </x:c>
      <x:c r="AC369" s="28" t="str">
        <x:f>IF($A369="","",IF(AB369&gt;=70,"P0 - Immediate",IF(AB369&gt;=50,"P1 - High",IF(AB369&gt;=30,"P2 - Medium",IF(AB369&gt;=15,"P3 - Low","P4 - Monitor")))))</x:f>
      </x:c>
      <x:c r="AD369" s="28"/>
      <x:c r="AE369" s="28"/>
      <x:c r="AF369" s="28"/>
      <x:c r="AG369" s="58"/>
      <x:c r="AH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56"/>
      <x:c r="J370" s="28"/>
      <x:c r="K370" s="28"/>
      <x:c r="L370" s="56"/>
      <x:c r="M370" s="28"/>
      <x:c r="N370" s="28"/>
      <x:c r="O370" s="28"/>
      <x:c r="P370" s="28"/>
      <x:c r="Q370" s="28"/>
      <x:c r="R370" s="28"/>
      <x:c r="S370" s="28"/>
      <x:c r="T370" s="28"/>
      <x:c r="U370" s="28"/>
      <x:c r="V370" s="28"/>
      <x:c r="W370" s="28"/>
      <x:c r="X370" s="28"/>
      <x:c r="Y370" s="28"/>
      <x:c r="Z370" s="28"/>
      <x:c r="AA370" s="28"/>
      <x:c r="AB370" s="56" t="str">
        <x:f>IF($A370="","",IF(Z370="Y",20,IF(Z370="Unknown",10,0))+$L370*5+IF(AA370="Y",15,IF(AA370="Unknown",5,0))+IF($J370="Public",10,IF($J370="Partner",7,IF($J370="Internal",3,0)))+IF($W370="Hard-coded",10,IF($W370="Unknown",7,IF($W370="Configurable",3,0)))+IF($I370&gt;=10,10,IF($I370&gt;=5,7,IF($I370&gt;=2,3,0)))+IF($K370="High",10,IF($K370="Medium",5,0)))</x:f>
      </x:c>
      <x:c r="AC370" s="28" t="str">
        <x:f>IF($A370="","",IF(AB370&gt;=70,"P0 - Immediate",IF(AB370&gt;=50,"P1 - High",IF(AB370&gt;=30,"P2 - Medium",IF(AB370&gt;=15,"P3 - Low","P4 - Monitor")))))</x:f>
      </x:c>
      <x:c r="AD370" s="28"/>
      <x:c r="AE370" s="28"/>
      <x:c r="AF370" s="28"/>
      <x:c r="AG370" s="58"/>
      <x:c r="AH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56"/>
      <x:c r="J371" s="28"/>
      <x:c r="K371" s="28"/>
      <x:c r="L371" s="56"/>
      <x:c r="M371" s="28"/>
      <x:c r="N371" s="28"/>
      <x:c r="O371" s="28"/>
      <x:c r="P371" s="28"/>
      <x:c r="Q371" s="28"/>
      <x:c r="R371" s="28"/>
      <x:c r="S371" s="28"/>
      <x:c r="T371" s="28"/>
      <x:c r="U371" s="28"/>
      <x:c r="V371" s="28"/>
      <x:c r="W371" s="28"/>
      <x:c r="X371" s="28"/>
      <x:c r="Y371" s="28"/>
      <x:c r="Z371" s="28"/>
      <x:c r="AA371" s="28"/>
      <x:c r="AB371" s="56" t="str">
        <x:f>IF($A371="","",IF(Z371="Y",20,IF(Z371="Unknown",10,0))+$L371*5+IF(AA371="Y",15,IF(AA371="Unknown",5,0))+IF($J371="Public",10,IF($J371="Partner",7,IF($J371="Internal",3,0)))+IF($W371="Hard-coded",10,IF($W371="Unknown",7,IF($W371="Configurable",3,0)))+IF($I371&gt;=10,10,IF($I371&gt;=5,7,IF($I371&gt;=2,3,0)))+IF($K371="High",10,IF($K371="Medium",5,0)))</x:f>
      </x:c>
      <x:c r="AC371" s="28" t="str">
        <x:f>IF($A371="","",IF(AB371&gt;=70,"P0 - Immediate",IF(AB371&gt;=50,"P1 - High",IF(AB371&gt;=30,"P2 - Medium",IF(AB371&gt;=15,"P3 - Low","P4 - Monitor")))))</x:f>
      </x:c>
      <x:c r="AD371" s="28"/>
      <x:c r="AE371" s="28"/>
      <x:c r="AF371" s="28"/>
      <x:c r="AG371" s="58"/>
      <x:c r="AH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56"/>
      <x:c r="J372" s="28"/>
      <x:c r="K372" s="28"/>
      <x:c r="L372" s="56"/>
      <x:c r="M372" s="28"/>
      <x:c r="N372" s="28"/>
      <x:c r="O372" s="28"/>
      <x:c r="P372" s="28"/>
      <x:c r="Q372" s="28"/>
      <x:c r="R372" s="28"/>
      <x:c r="S372" s="28"/>
      <x:c r="T372" s="28"/>
      <x:c r="U372" s="28"/>
      <x:c r="V372" s="28"/>
      <x:c r="W372" s="28"/>
      <x:c r="X372" s="28"/>
      <x:c r="Y372" s="28"/>
      <x:c r="Z372" s="28"/>
      <x:c r="AA372" s="28"/>
      <x:c r="AB372" s="56" t="str">
        <x:f>IF($A372="","",IF(Z372="Y",20,IF(Z372="Unknown",10,0))+$L372*5+IF(AA372="Y",15,IF(AA372="Unknown",5,0))+IF($J372="Public",10,IF($J372="Partner",7,IF($J372="Internal",3,0)))+IF($W372="Hard-coded",10,IF($W372="Unknown",7,IF($W372="Configurable",3,0)))+IF($I372&gt;=10,10,IF($I372&gt;=5,7,IF($I372&gt;=2,3,0)))+IF($K372="High",10,IF($K372="Medium",5,0)))</x:f>
      </x:c>
      <x:c r="AC372" s="28" t="str">
        <x:f>IF($A372="","",IF(AB372&gt;=70,"P0 - Immediate",IF(AB372&gt;=50,"P1 - High",IF(AB372&gt;=30,"P2 - Medium",IF(AB372&gt;=15,"P3 - Low","P4 - Monitor")))))</x:f>
      </x:c>
      <x:c r="AD372" s="28"/>
      <x:c r="AE372" s="28"/>
      <x:c r="AF372" s="28"/>
      <x:c r="AG372" s="58"/>
      <x:c r="AH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56"/>
      <x:c r="J373" s="28"/>
      <x:c r="K373" s="28"/>
      <x:c r="L373" s="56"/>
      <x:c r="M373" s="28"/>
      <x:c r="N373" s="28"/>
      <x:c r="O373" s="28"/>
      <x:c r="P373" s="28"/>
      <x:c r="Q373" s="28"/>
      <x:c r="R373" s="28"/>
      <x:c r="S373" s="28"/>
      <x:c r="T373" s="28"/>
      <x:c r="U373" s="28"/>
      <x:c r="V373" s="28"/>
      <x:c r="W373" s="28"/>
      <x:c r="X373" s="28"/>
      <x:c r="Y373" s="28"/>
      <x:c r="Z373" s="28"/>
      <x:c r="AA373" s="28"/>
      <x:c r="AB373" s="56" t="str">
        <x:f>IF($A373="","",IF(Z373="Y",20,IF(Z373="Unknown",10,0))+$L373*5+IF(AA373="Y",15,IF(AA373="Unknown",5,0))+IF($J373="Public",10,IF($J373="Partner",7,IF($J373="Internal",3,0)))+IF($W373="Hard-coded",10,IF($W373="Unknown",7,IF($W373="Configurable",3,0)))+IF($I373&gt;=10,10,IF($I373&gt;=5,7,IF($I373&gt;=2,3,0)))+IF($K373="High",10,IF($K373="Medium",5,0)))</x:f>
      </x:c>
      <x:c r="AC373" s="28" t="str">
        <x:f>IF($A373="","",IF(AB373&gt;=70,"P0 - Immediate",IF(AB373&gt;=50,"P1 - High",IF(AB373&gt;=30,"P2 - Medium",IF(AB373&gt;=15,"P3 - Low","P4 - Monitor")))))</x:f>
      </x:c>
      <x:c r="AD373" s="28"/>
      <x:c r="AE373" s="28"/>
      <x:c r="AF373" s="28"/>
      <x:c r="AG373" s="58"/>
      <x:c r="AH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56"/>
      <x:c r="J374" s="28"/>
      <x:c r="K374" s="28"/>
      <x:c r="L374" s="56"/>
      <x:c r="M374" s="28"/>
      <x:c r="N374" s="28"/>
      <x:c r="O374" s="28"/>
      <x:c r="P374" s="28"/>
      <x:c r="Q374" s="28"/>
      <x:c r="R374" s="28"/>
      <x:c r="S374" s="28"/>
      <x:c r="T374" s="28"/>
      <x:c r="U374" s="28"/>
      <x:c r="V374" s="28"/>
      <x:c r="W374" s="28"/>
      <x:c r="X374" s="28"/>
      <x:c r="Y374" s="28"/>
      <x:c r="Z374" s="28"/>
      <x:c r="AA374" s="28"/>
      <x:c r="AB374" s="56" t="str">
        <x:f>IF($A374="","",IF(Z374="Y",20,IF(Z374="Unknown",10,0))+$L374*5+IF(AA374="Y",15,IF(AA374="Unknown",5,0))+IF($J374="Public",10,IF($J374="Partner",7,IF($J374="Internal",3,0)))+IF($W374="Hard-coded",10,IF($W374="Unknown",7,IF($W374="Configurable",3,0)))+IF($I374&gt;=10,10,IF($I374&gt;=5,7,IF($I374&gt;=2,3,0)))+IF($K374="High",10,IF($K374="Medium",5,0)))</x:f>
      </x:c>
      <x:c r="AC374" s="28" t="str">
        <x:f>IF($A374="","",IF(AB374&gt;=70,"P0 - Immediate",IF(AB374&gt;=50,"P1 - High",IF(AB374&gt;=30,"P2 - Medium",IF(AB374&gt;=15,"P3 - Low","P4 - Monitor")))))</x:f>
      </x:c>
      <x:c r="AD374" s="28"/>
      <x:c r="AE374" s="28"/>
      <x:c r="AF374" s="28"/>
      <x:c r="AG374" s="58"/>
      <x:c r="AH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56"/>
      <x:c r="J375" s="28"/>
      <x:c r="K375" s="28"/>
      <x:c r="L375" s="56"/>
      <x:c r="M375" s="28"/>
      <x:c r="N375" s="28"/>
      <x:c r="O375" s="28"/>
      <x:c r="P375" s="28"/>
      <x:c r="Q375" s="28"/>
      <x:c r="R375" s="28"/>
      <x:c r="S375" s="28"/>
      <x:c r="T375" s="28"/>
      <x:c r="U375" s="28"/>
      <x:c r="V375" s="28"/>
      <x:c r="W375" s="28"/>
      <x:c r="X375" s="28"/>
      <x:c r="Y375" s="28"/>
      <x:c r="Z375" s="28"/>
      <x:c r="AA375" s="28"/>
      <x:c r="AB375" s="56" t="str">
        <x:f>IF($A375="","",IF(Z375="Y",20,IF(Z375="Unknown",10,0))+$L375*5+IF(AA375="Y",15,IF(AA375="Unknown",5,0))+IF($J375="Public",10,IF($J375="Partner",7,IF($J375="Internal",3,0)))+IF($W375="Hard-coded",10,IF($W375="Unknown",7,IF($W375="Configurable",3,0)))+IF($I375&gt;=10,10,IF($I375&gt;=5,7,IF($I375&gt;=2,3,0)))+IF($K375="High",10,IF($K375="Medium",5,0)))</x:f>
      </x:c>
      <x:c r="AC375" s="28" t="str">
        <x:f>IF($A375="","",IF(AB375&gt;=70,"P0 - Immediate",IF(AB375&gt;=50,"P1 - High",IF(AB375&gt;=30,"P2 - Medium",IF(AB375&gt;=15,"P3 - Low","P4 - Monitor")))))</x:f>
      </x:c>
      <x:c r="AD375" s="28"/>
      <x:c r="AE375" s="28"/>
      <x:c r="AF375" s="28"/>
      <x:c r="AG375" s="58"/>
      <x:c r="AH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56"/>
      <x:c r="J376" s="28"/>
      <x:c r="K376" s="28"/>
      <x:c r="L376" s="56"/>
      <x:c r="M376" s="28"/>
      <x:c r="N376" s="28"/>
      <x:c r="O376" s="28"/>
      <x:c r="P376" s="28"/>
      <x:c r="Q376" s="28"/>
      <x:c r="R376" s="28"/>
      <x:c r="S376" s="28"/>
      <x:c r="T376" s="28"/>
      <x:c r="U376" s="28"/>
      <x:c r="V376" s="28"/>
      <x:c r="W376" s="28"/>
      <x:c r="X376" s="28"/>
      <x:c r="Y376" s="28"/>
      <x:c r="Z376" s="28"/>
      <x:c r="AA376" s="28"/>
      <x:c r="AB376" s="56" t="str">
        <x:f>IF($A376="","",IF(Z376="Y",20,IF(Z376="Unknown",10,0))+$L376*5+IF(AA376="Y",15,IF(AA376="Unknown",5,0))+IF($J376="Public",10,IF($J376="Partner",7,IF($J376="Internal",3,0)))+IF($W376="Hard-coded",10,IF($W376="Unknown",7,IF($W376="Configurable",3,0)))+IF($I376&gt;=10,10,IF($I376&gt;=5,7,IF($I376&gt;=2,3,0)))+IF($K376="High",10,IF($K376="Medium",5,0)))</x:f>
      </x:c>
      <x:c r="AC376" s="28" t="str">
        <x:f>IF($A376="","",IF(AB376&gt;=70,"P0 - Immediate",IF(AB376&gt;=50,"P1 - High",IF(AB376&gt;=30,"P2 - Medium",IF(AB376&gt;=15,"P3 - Low","P4 - Monitor")))))</x:f>
      </x:c>
      <x:c r="AD376" s="28"/>
      <x:c r="AE376" s="28"/>
      <x:c r="AF376" s="28"/>
      <x:c r="AG376" s="58"/>
      <x:c r="AH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56"/>
      <x:c r="J377" s="28"/>
      <x:c r="K377" s="28"/>
      <x:c r="L377" s="56"/>
      <x:c r="M377" s="28"/>
      <x:c r="N377" s="28"/>
      <x:c r="O377" s="28"/>
      <x:c r="P377" s="28"/>
      <x:c r="Q377" s="28"/>
      <x:c r="R377" s="28"/>
      <x:c r="S377" s="28"/>
      <x:c r="T377" s="28"/>
      <x:c r="U377" s="28"/>
      <x:c r="V377" s="28"/>
      <x:c r="W377" s="28"/>
      <x:c r="X377" s="28"/>
      <x:c r="Y377" s="28"/>
      <x:c r="Z377" s="28"/>
      <x:c r="AA377" s="28"/>
      <x:c r="AB377" s="56" t="str">
        <x:f>IF($A377="","",IF(Z377="Y",20,IF(Z377="Unknown",10,0))+$L377*5+IF(AA377="Y",15,IF(AA377="Unknown",5,0))+IF($J377="Public",10,IF($J377="Partner",7,IF($J377="Internal",3,0)))+IF($W377="Hard-coded",10,IF($W377="Unknown",7,IF($W377="Configurable",3,0)))+IF($I377&gt;=10,10,IF($I377&gt;=5,7,IF($I377&gt;=2,3,0)))+IF($K377="High",10,IF($K377="Medium",5,0)))</x:f>
      </x:c>
      <x:c r="AC377" s="28" t="str">
        <x:f>IF($A377="","",IF(AB377&gt;=70,"P0 - Immediate",IF(AB377&gt;=50,"P1 - High",IF(AB377&gt;=30,"P2 - Medium",IF(AB377&gt;=15,"P3 - Low","P4 - Monitor")))))</x:f>
      </x:c>
      <x:c r="AD377" s="28"/>
      <x:c r="AE377" s="28"/>
      <x:c r="AF377" s="28"/>
      <x:c r="AG377" s="58"/>
      <x:c r="AH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56"/>
      <x:c r="J378" s="28"/>
      <x:c r="K378" s="28"/>
      <x:c r="L378" s="56"/>
      <x:c r="M378" s="28"/>
      <x:c r="N378" s="28"/>
      <x:c r="O378" s="28"/>
      <x:c r="P378" s="28"/>
      <x:c r="Q378" s="28"/>
      <x:c r="R378" s="28"/>
      <x:c r="S378" s="28"/>
      <x:c r="T378" s="28"/>
      <x:c r="U378" s="28"/>
      <x:c r="V378" s="28"/>
      <x:c r="W378" s="28"/>
      <x:c r="X378" s="28"/>
      <x:c r="Y378" s="28"/>
      <x:c r="Z378" s="28"/>
      <x:c r="AA378" s="28"/>
      <x:c r="AB378" s="56" t="str">
        <x:f>IF($A378="","",IF(Z378="Y",20,IF(Z378="Unknown",10,0))+$L378*5+IF(AA378="Y",15,IF(AA378="Unknown",5,0))+IF($J378="Public",10,IF($J378="Partner",7,IF($J378="Internal",3,0)))+IF($W378="Hard-coded",10,IF($W378="Unknown",7,IF($W378="Configurable",3,0)))+IF($I378&gt;=10,10,IF($I378&gt;=5,7,IF($I378&gt;=2,3,0)))+IF($K378="High",10,IF($K378="Medium",5,0)))</x:f>
      </x:c>
      <x:c r="AC378" s="28" t="str">
        <x:f>IF($A378="","",IF(AB378&gt;=70,"P0 - Immediate",IF(AB378&gt;=50,"P1 - High",IF(AB378&gt;=30,"P2 - Medium",IF(AB378&gt;=15,"P3 - Low","P4 - Monitor")))))</x:f>
      </x:c>
      <x:c r="AD378" s="28"/>
      <x:c r="AE378" s="28"/>
      <x:c r="AF378" s="28"/>
      <x:c r="AG378" s="58"/>
      <x:c r="AH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56"/>
      <x:c r="J379" s="28"/>
      <x:c r="K379" s="28"/>
      <x:c r="L379" s="56"/>
      <x:c r="M379" s="28"/>
      <x:c r="N379" s="28"/>
      <x:c r="O379" s="28"/>
      <x:c r="P379" s="28"/>
      <x:c r="Q379" s="28"/>
      <x:c r="R379" s="28"/>
      <x:c r="S379" s="28"/>
      <x:c r="T379" s="28"/>
      <x:c r="U379" s="28"/>
      <x:c r="V379" s="28"/>
      <x:c r="W379" s="28"/>
      <x:c r="X379" s="28"/>
      <x:c r="Y379" s="28"/>
      <x:c r="Z379" s="28"/>
      <x:c r="AA379" s="28"/>
      <x:c r="AB379" s="56" t="str">
        <x:f>IF($A379="","",IF(Z379="Y",20,IF(Z379="Unknown",10,0))+$L379*5+IF(AA379="Y",15,IF(AA379="Unknown",5,0))+IF($J379="Public",10,IF($J379="Partner",7,IF($J379="Internal",3,0)))+IF($W379="Hard-coded",10,IF($W379="Unknown",7,IF($W379="Configurable",3,0)))+IF($I379&gt;=10,10,IF($I379&gt;=5,7,IF($I379&gt;=2,3,0)))+IF($K379="High",10,IF($K379="Medium",5,0)))</x:f>
      </x:c>
      <x:c r="AC379" s="28" t="str">
        <x:f>IF($A379="","",IF(AB379&gt;=70,"P0 - Immediate",IF(AB379&gt;=50,"P1 - High",IF(AB379&gt;=30,"P2 - Medium",IF(AB379&gt;=15,"P3 - Low","P4 - Monitor")))))</x:f>
      </x:c>
      <x:c r="AD379" s="28"/>
      <x:c r="AE379" s="28"/>
      <x:c r="AF379" s="28"/>
      <x:c r="AG379" s="58"/>
      <x:c r="AH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56"/>
      <x:c r="J380" s="28"/>
      <x:c r="K380" s="28"/>
      <x:c r="L380" s="56"/>
      <x:c r="M380" s="28"/>
      <x:c r="N380" s="28"/>
      <x:c r="O380" s="28"/>
      <x:c r="P380" s="28"/>
      <x:c r="Q380" s="28"/>
      <x:c r="R380" s="28"/>
      <x:c r="S380" s="28"/>
      <x:c r="T380" s="28"/>
      <x:c r="U380" s="28"/>
      <x:c r="V380" s="28"/>
      <x:c r="W380" s="28"/>
      <x:c r="X380" s="28"/>
      <x:c r="Y380" s="28"/>
      <x:c r="Z380" s="28"/>
      <x:c r="AA380" s="28"/>
      <x:c r="AB380" s="56" t="str">
        <x:f>IF($A380="","",IF(Z380="Y",20,IF(Z380="Unknown",10,0))+$L380*5+IF(AA380="Y",15,IF(AA380="Unknown",5,0))+IF($J380="Public",10,IF($J380="Partner",7,IF($J380="Internal",3,0)))+IF($W380="Hard-coded",10,IF($W380="Unknown",7,IF($W380="Configurable",3,0)))+IF($I380&gt;=10,10,IF($I380&gt;=5,7,IF($I380&gt;=2,3,0)))+IF($K380="High",10,IF($K380="Medium",5,0)))</x:f>
      </x:c>
      <x:c r="AC380" s="28" t="str">
        <x:f>IF($A380="","",IF(AB380&gt;=70,"P0 - Immediate",IF(AB380&gt;=50,"P1 - High",IF(AB380&gt;=30,"P2 - Medium",IF(AB380&gt;=15,"P3 - Low","P4 - Monitor")))))</x:f>
      </x:c>
      <x:c r="AD380" s="28"/>
      <x:c r="AE380" s="28"/>
      <x:c r="AF380" s="28"/>
      <x:c r="AG380" s="58"/>
      <x:c r="AH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56"/>
      <x:c r="J381" s="28"/>
      <x:c r="K381" s="28"/>
      <x:c r="L381" s="56"/>
      <x:c r="M381" s="28"/>
      <x:c r="N381" s="28"/>
      <x:c r="O381" s="28"/>
      <x:c r="P381" s="28"/>
      <x:c r="Q381" s="28"/>
      <x:c r="R381" s="28"/>
      <x:c r="S381" s="28"/>
      <x:c r="T381" s="28"/>
      <x:c r="U381" s="28"/>
      <x:c r="V381" s="28"/>
      <x:c r="W381" s="28"/>
      <x:c r="X381" s="28"/>
      <x:c r="Y381" s="28"/>
      <x:c r="Z381" s="28"/>
      <x:c r="AA381" s="28"/>
      <x:c r="AB381" s="56" t="str">
        <x:f>IF($A381="","",IF(Z381="Y",20,IF(Z381="Unknown",10,0))+$L381*5+IF(AA381="Y",15,IF(AA381="Unknown",5,0))+IF($J381="Public",10,IF($J381="Partner",7,IF($J381="Internal",3,0)))+IF($W381="Hard-coded",10,IF($W381="Unknown",7,IF($W381="Configurable",3,0)))+IF($I381&gt;=10,10,IF($I381&gt;=5,7,IF($I381&gt;=2,3,0)))+IF($K381="High",10,IF($K381="Medium",5,0)))</x:f>
      </x:c>
      <x:c r="AC381" s="28" t="str">
        <x:f>IF($A381="","",IF(AB381&gt;=70,"P0 - Immediate",IF(AB381&gt;=50,"P1 - High",IF(AB381&gt;=30,"P2 - Medium",IF(AB381&gt;=15,"P3 - Low","P4 - Monitor")))))</x:f>
      </x:c>
      <x:c r="AD381" s="28"/>
      <x:c r="AE381" s="28"/>
      <x:c r="AF381" s="28"/>
      <x:c r="AG381" s="58"/>
      <x:c r="AH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56"/>
      <x:c r="J382" s="28"/>
      <x:c r="K382" s="28"/>
      <x:c r="L382" s="56"/>
      <x:c r="M382" s="28"/>
      <x:c r="N382" s="28"/>
      <x:c r="O382" s="28"/>
      <x:c r="P382" s="28"/>
      <x:c r="Q382" s="28"/>
      <x:c r="R382" s="28"/>
      <x:c r="S382" s="28"/>
      <x:c r="T382" s="28"/>
      <x:c r="U382" s="28"/>
      <x:c r="V382" s="28"/>
      <x:c r="W382" s="28"/>
      <x:c r="X382" s="28"/>
      <x:c r="Y382" s="28"/>
      <x:c r="Z382" s="28"/>
      <x:c r="AA382" s="28"/>
      <x:c r="AB382" s="56" t="str">
        <x:f>IF($A382="","",IF(Z382="Y",20,IF(Z382="Unknown",10,0))+$L382*5+IF(AA382="Y",15,IF(AA382="Unknown",5,0))+IF($J382="Public",10,IF($J382="Partner",7,IF($J382="Internal",3,0)))+IF($W382="Hard-coded",10,IF($W382="Unknown",7,IF($W382="Configurable",3,0)))+IF($I382&gt;=10,10,IF($I382&gt;=5,7,IF($I382&gt;=2,3,0)))+IF($K382="High",10,IF($K382="Medium",5,0)))</x:f>
      </x:c>
      <x:c r="AC382" s="28" t="str">
        <x:f>IF($A382="","",IF(AB382&gt;=70,"P0 - Immediate",IF(AB382&gt;=50,"P1 - High",IF(AB382&gt;=30,"P2 - Medium",IF(AB382&gt;=15,"P3 - Low","P4 - Monitor")))))</x:f>
      </x:c>
      <x:c r="AD382" s="28"/>
      <x:c r="AE382" s="28"/>
      <x:c r="AF382" s="28"/>
      <x:c r="AG382" s="58"/>
      <x:c r="AH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56"/>
      <x:c r="J383" s="28"/>
      <x:c r="K383" s="28"/>
      <x:c r="L383" s="56"/>
      <x:c r="M383" s="28"/>
      <x:c r="N383" s="28"/>
      <x:c r="O383" s="28"/>
      <x:c r="P383" s="28"/>
      <x:c r="Q383" s="28"/>
      <x:c r="R383" s="28"/>
      <x:c r="S383" s="28"/>
      <x:c r="T383" s="28"/>
      <x:c r="U383" s="28"/>
      <x:c r="V383" s="28"/>
      <x:c r="W383" s="28"/>
      <x:c r="X383" s="28"/>
      <x:c r="Y383" s="28"/>
      <x:c r="Z383" s="28"/>
      <x:c r="AA383" s="28"/>
      <x:c r="AB383" s="56" t="str">
        <x:f>IF($A383="","",IF(Z383="Y",20,IF(Z383="Unknown",10,0))+$L383*5+IF(AA383="Y",15,IF(AA383="Unknown",5,0))+IF($J383="Public",10,IF($J383="Partner",7,IF($J383="Internal",3,0)))+IF($W383="Hard-coded",10,IF($W383="Unknown",7,IF($W383="Configurable",3,0)))+IF($I383&gt;=10,10,IF($I383&gt;=5,7,IF($I383&gt;=2,3,0)))+IF($K383="High",10,IF($K383="Medium",5,0)))</x:f>
      </x:c>
      <x:c r="AC383" s="28" t="str">
        <x:f>IF($A383="","",IF(AB383&gt;=70,"P0 - Immediate",IF(AB383&gt;=50,"P1 - High",IF(AB383&gt;=30,"P2 - Medium",IF(AB383&gt;=15,"P3 - Low","P4 - Monitor")))))</x:f>
      </x:c>
      <x:c r="AD383" s="28"/>
      <x:c r="AE383" s="28"/>
      <x:c r="AF383" s="28"/>
      <x:c r="AG383" s="58"/>
      <x:c r="AH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56"/>
      <x:c r="J384" s="28"/>
      <x:c r="K384" s="28"/>
      <x:c r="L384" s="56"/>
      <x:c r="M384" s="28"/>
      <x:c r="N384" s="28"/>
      <x:c r="O384" s="28"/>
      <x:c r="P384" s="28"/>
      <x:c r="Q384" s="28"/>
      <x:c r="R384" s="28"/>
      <x:c r="S384" s="28"/>
      <x:c r="T384" s="28"/>
      <x:c r="U384" s="28"/>
      <x:c r="V384" s="28"/>
      <x:c r="W384" s="28"/>
      <x:c r="X384" s="28"/>
      <x:c r="Y384" s="28"/>
      <x:c r="Z384" s="28"/>
      <x:c r="AA384" s="28"/>
      <x:c r="AB384" s="56" t="str">
        <x:f>IF($A384="","",IF(Z384="Y",20,IF(Z384="Unknown",10,0))+$L384*5+IF(AA384="Y",15,IF(AA384="Unknown",5,0))+IF($J384="Public",10,IF($J384="Partner",7,IF($J384="Internal",3,0)))+IF($W384="Hard-coded",10,IF($W384="Unknown",7,IF($W384="Configurable",3,0)))+IF($I384&gt;=10,10,IF($I384&gt;=5,7,IF($I384&gt;=2,3,0)))+IF($K384="High",10,IF($K384="Medium",5,0)))</x:f>
      </x:c>
      <x:c r="AC384" s="28" t="str">
        <x:f>IF($A384="","",IF(AB384&gt;=70,"P0 - Immediate",IF(AB384&gt;=50,"P1 - High",IF(AB384&gt;=30,"P2 - Medium",IF(AB384&gt;=15,"P3 - Low","P4 - Monitor")))))</x:f>
      </x:c>
      <x:c r="AD384" s="28"/>
      <x:c r="AE384" s="28"/>
      <x:c r="AF384" s="28"/>
      <x:c r="AG384" s="58"/>
      <x:c r="AH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56"/>
      <x:c r="J385" s="28"/>
      <x:c r="K385" s="28"/>
      <x:c r="L385" s="56"/>
      <x:c r="M385" s="28"/>
      <x:c r="N385" s="28"/>
      <x:c r="O385" s="28"/>
      <x:c r="P385" s="28"/>
      <x:c r="Q385" s="28"/>
      <x:c r="R385" s="28"/>
      <x:c r="S385" s="28"/>
      <x:c r="T385" s="28"/>
      <x:c r="U385" s="28"/>
      <x:c r="V385" s="28"/>
      <x:c r="W385" s="28"/>
      <x:c r="X385" s="28"/>
      <x:c r="Y385" s="28"/>
      <x:c r="Z385" s="28"/>
      <x:c r="AA385" s="28"/>
      <x:c r="AB385" s="56" t="str">
        <x:f>IF($A385="","",IF(Z385="Y",20,IF(Z385="Unknown",10,0))+$L385*5+IF(AA385="Y",15,IF(AA385="Unknown",5,0))+IF($J385="Public",10,IF($J385="Partner",7,IF($J385="Internal",3,0)))+IF($W385="Hard-coded",10,IF($W385="Unknown",7,IF($W385="Configurable",3,0)))+IF($I385&gt;=10,10,IF($I385&gt;=5,7,IF($I385&gt;=2,3,0)))+IF($K385="High",10,IF($K385="Medium",5,0)))</x:f>
      </x:c>
      <x:c r="AC385" s="28" t="str">
        <x:f>IF($A385="","",IF(AB385&gt;=70,"P0 - Immediate",IF(AB385&gt;=50,"P1 - High",IF(AB385&gt;=30,"P2 - Medium",IF(AB385&gt;=15,"P3 - Low","P4 - Monitor")))))</x:f>
      </x:c>
      <x:c r="AD385" s="28"/>
      <x:c r="AE385" s="28"/>
      <x:c r="AF385" s="28"/>
      <x:c r="AG385" s="58"/>
      <x:c r="AH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56"/>
      <x:c r="J386" s="28"/>
      <x:c r="K386" s="28"/>
      <x:c r="L386" s="56"/>
      <x:c r="M386" s="28"/>
      <x:c r="N386" s="28"/>
      <x:c r="O386" s="28"/>
      <x:c r="P386" s="28"/>
      <x:c r="Q386" s="28"/>
      <x:c r="R386" s="28"/>
      <x:c r="S386" s="28"/>
      <x:c r="T386" s="28"/>
      <x:c r="U386" s="28"/>
      <x:c r="V386" s="28"/>
      <x:c r="W386" s="28"/>
      <x:c r="X386" s="28"/>
      <x:c r="Y386" s="28"/>
      <x:c r="Z386" s="28"/>
      <x:c r="AA386" s="28"/>
      <x:c r="AB386" s="56" t="str">
        <x:f>IF($A386="","",IF(Z386="Y",20,IF(Z386="Unknown",10,0))+$L386*5+IF(AA386="Y",15,IF(AA386="Unknown",5,0))+IF($J386="Public",10,IF($J386="Partner",7,IF($J386="Internal",3,0)))+IF($W386="Hard-coded",10,IF($W386="Unknown",7,IF($W386="Configurable",3,0)))+IF($I386&gt;=10,10,IF($I386&gt;=5,7,IF($I386&gt;=2,3,0)))+IF($K386="High",10,IF($K386="Medium",5,0)))</x:f>
      </x:c>
      <x:c r="AC386" s="28" t="str">
        <x:f>IF($A386="","",IF(AB386&gt;=70,"P0 - Immediate",IF(AB386&gt;=50,"P1 - High",IF(AB386&gt;=30,"P2 - Medium",IF(AB386&gt;=15,"P3 - Low","P4 - Monitor")))))</x:f>
      </x:c>
      <x:c r="AD386" s="28"/>
      <x:c r="AE386" s="28"/>
      <x:c r="AF386" s="28"/>
      <x:c r="AG386" s="58"/>
      <x:c r="AH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56"/>
      <x:c r="J387" s="28"/>
      <x:c r="K387" s="28"/>
      <x:c r="L387" s="56"/>
      <x:c r="M387" s="28"/>
      <x:c r="N387" s="28"/>
      <x:c r="O387" s="28"/>
      <x:c r="P387" s="28"/>
      <x:c r="Q387" s="28"/>
      <x:c r="R387" s="28"/>
      <x:c r="S387" s="28"/>
      <x:c r="T387" s="28"/>
      <x:c r="U387" s="28"/>
      <x:c r="V387" s="28"/>
      <x:c r="W387" s="28"/>
      <x:c r="X387" s="28"/>
      <x:c r="Y387" s="28"/>
      <x:c r="Z387" s="28"/>
      <x:c r="AA387" s="28"/>
      <x:c r="AB387" s="56" t="str">
        <x:f>IF($A387="","",IF(Z387="Y",20,IF(Z387="Unknown",10,0))+$L387*5+IF(AA387="Y",15,IF(AA387="Unknown",5,0))+IF($J387="Public",10,IF($J387="Partner",7,IF($J387="Internal",3,0)))+IF($W387="Hard-coded",10,IF($W387="Unknown",7,IF($W387="Configurable",3,0)))+IF($I387&gt;=10,10,IF($I387&gt;=5,7,IF($I387&gt;=2,3,0)))+IF($K387="High",10,IF($K387="Medium",5,0)))</x:f>
      </x:c>
      <x:c r="AC387" s="28" t="str">
        <x:f>IF($A387="","",IF(AB387&gt;=70,"P0 - Immediate",IF(AB387&gt;=50,"P1 - High",IF(AB387&gt;=30,"P2 - Medium",IF(AB387&gt;=15,"P3 - Low","P4 - Monitor")))))</x:f>
      </x:c>
      <x:c r="AD387" s="28"/>
      <x:c r="AE387" s="28"/>
      <x:c r="AF387" s="28"/>
      <x:c r="AG387" s="58"/>
      <x:c r="AH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56"/>
      <x:c r="J388" s="28"/>
      <x:c r="K388" s="28"/>
      <x:c r="L388" s="56"/>
      <x:c r="M388" s="28"/>
      <x:c r="N388" s="28"/>
      <x:c r="O388" s="28"/>
      <x:c r="P388" s="28"/>
      <x:c r="Q388" s="28"/>
      <x:c r="R388" s="28"/>
      <x:c r="S388" s="28"/>
      <x:c r="T388" s="28"/>
      <x:c r="U388" s="28"/>
      <x:c r="V388" s="28"/>
      <x:c r="W388" s="28"/>
      <x:c r="X388" s="28"/>
      <x:c r="Y388" s="28"/>
      <x:c r="Z388" s="28"/>
      <x:c r="AA388" s="28"/>
      <x:c r="AB388" s="56" t="str">
        <x:f>IF($A388="","",IF(Z388="Y",20,IF(Z388="Unknown",10,0))+$L388*5+IF(AA388="Y",15,IF(AA388="Unknown",5,0))+IF($J388="Public",10,IF($J388="Partner",7,IF($J388="Internal",3,0)))+IF($W388="Hard-coded",10,IF($W388="Unknown",7,IF($W388="Configurable",3,0)))+IF($I388&gt;=10,10,IF($I388&gt;=5,7,IF($I388&gt;=2,3,0)))+IF($K388="High",10,IF($K388="Medium",5,0)))</x:f>
      </x:c>
      <x:c r="AC388" s="28" t="str">
        <x:f>IF($A388="","",IF(AB388&gt;=70,"P0 - Immediate",IF(AB388&gt;=50,"P1 - High",IF(AB388&gt;=30,"P2 - Medium",IF(AB388&gt;=15,"P3 - Low","P4 - Monitor")))))</x:f>
      </x:c>
      <x:c r="AD388" s="28"/>
      <x:c r="AE388" s="28"/>
      <x:c r="AF388" s="28"/>
      <x:c r="AG388" s="58"/>
      <x:c r="AH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56"/>
      <x:c r="J389" s="28"/>
      <x:c r="K389" s="28"/>
      <x:c r="L389" s="56"/>
      <x:c r="M389" s="28"/>
      <x:c r="N389" s="28"/>
      <x:c r="O389" s="28"/>
      <x:c r="P389" s="28"/>
      <x:c r="Q389" s="28"/>
      <x:c r="R389" s="28"/>
      <x:c r="S389" s="28"/>
      <x:c r="T389" s="28"/>
      <x:c r="U389" s="28"/>
      <x:c r="V389" s="28"/>
      <x:c r="W389" s="28"/>
      <x:c r="X389" s="28"/>
      <x:c r="Y389" s="28"/>
      <x:c r="Z389" s="28"/>
      <x:c r="AA389" s="28"/>
      <x:c r="AB389" s="56" t="str">
        <x:f>IF($A389="","",IF(Z389="Y",20,IF(Z389="Unknown",10,0))+$L389*5+IF(AA389="Y",15,IF(AA389="Unknown",5,0))+IF($J389="Public",10,IF($J389="Partner",7,IF($J389="Internal",3,0)))+IF($W389="Hard-coded",10,IF($W389="Unknown",7,IF($W389="Configurable",3,0)))+IF($I389&gt;=10,10,IF($I389&gt;=5,7,IF($I389&gt;=2,3,0)))+IF($K389="High",10,IF($K389="Medium",5,0)))</x:f>
      </x:c>
      <x:c r="AC389" s="28" t="str">
        <x:f>IF($A389="","",IF(AB389&gt;=70,"P0 - Immediate",IF(AB389&gt;=50,"P1 - High",IF(AB389&gt;=30,"P2 - Medium",IF(AB389&gt;=15,"P3 - Low","P4 - Monitor")))))</x:f>
      </x:c>
      <x:c r="AD389" s="28"/>
      <x:c r="AE389" s="28"/>
      <x:c r="AF389" s="28"/>
      <x:c r="AG389" s="58"/>
      <x:c r="AH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56"/>
      <x:c r="J390" s="28"/>
      <x:c r="K390" s="28"/>
      <x:c r="L390" s="56"/>
      <x:c r="M390" s="28"/>
      <x:c r="N390" s="28"/>
      <x:c r="O390" s="28"/>
      <x:c r="P390" s="28"/>
      <x:c r="Q390" s="28"/>
      <x:c r="R390" s="28"/>
      <x:c r="S390" s="28"/>
      <x:c r="T390" s="28"/>
      <x:c r="U390" s="28"/>
      <x:c r="V390" s="28"/>
      <x:c r="W390" s="28"/>
      <x:c r="X390" s="28"/>
      <x:c r="Y390" s="28"/>
      <x:c r="Z390" s="28"/>
      <x:c r="AA390" s="28"/>
      <x:c r="AB390" s="56" t="str">
        <x:f>IF($A390="","",IF(Z390="Y",20,IF(Z390="Unknown",10,0))+$L390*5+IF(AA390="Y",15,IF(AA390="Unknown",5,0))+IF($J390="Public",10,IF($J390="Partner",7,IF($J390="Internal",3,0)))+IF($W390="Hard-coded",10,IF($W390="Unknown",7,IF($W390="Configurable",3,0)))+IF($I390&gt;=10,10,IF($I390&gt;=5,7,IF($I390&gt;=2,3,0)))+IF($K390="High",10,IF($K390="Medium",5,0)))</x:f>
      </x:c>
      <x:c r="AC390" s="28" t="str">
        <x:f>IF($A390="","",IF(AB390&gt;=70,"P0 - Immediate",IF(AB390&gt;=50,"P1 - High",IF(AB390&gt;=30,"P2 - Medium",IF(AB390&gt;=15,"P3 - Low","P4 - Monitor")))))</x:f>
      </x:c>
      <x:c r="AD390" s="28"/>
      <x:c r="AE390" s="28"/>
      <x:c r="AF390" s="28"/>
      <x:c r="AG390" s="58"/>
      <x:c r="AH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56"/>
      <x:c r="J391" s="28"/>
      <x:c r="K391" s="28"/>
      <x:c r="L391" s="56"/>
      <x:c r="M391" s="28"/>
      <x:c r="N391" s="28"/>
      <x:c r="O391" s="28"/>
      <x:c r="P391" s="28"/>
      <x:c r="Q391" s="28"/>
      <x:c r="R391" s="28"/>
      <x:c r="S391" s="28"/>
      <x:c r="T391" s="28"/>
      <x:c r="U391" s="28"/>
      <x:c r="V391" s="28"/>
      <x:c r="W391" s="28"/>
      <x:c r="X391" s="28"/>
      <x:c r="Y391" s="28"/>
      <x:c r="Z391" s="28"/>
      <x:c r="AA391" s="28"/>
      <x:c r="AB391" s="56" t="str">
        <x:f>IF($A391="","",IF(Z391="Y",20,IF(Z391="Unknown",10,0))+$L391*5+IF(AA391="Y",15,IF(AA391="Unknown",5,0))+IF($J391="Public",10,IF($J391="Partner",7,IF($J391="Internal",3,0)))+IF($W391="Hard-coded",10,IF($W391="Unknown",7,IF($W391="Configurable",3,0)))+IF($I391&gt;=10,10,IF($I391&gt;=5,7,IF($I391&gt;=2,3,0)))+IF($K391="High",10,IF($K391="Medium",5,0)))</x:f>
      </x:c>
      <x:c r="AC391" s="28" t="str">
        <x:f>IF($A391="","",IF(AB391&gt;=70,"P0 - Immediate",IF(AB391&gt;=50,"P1 - High",IF(AB391&gt;=30,"P2 - Medium",IF(AB391&gt;=15,"P3 - Low","P4 - Monitor")))))</x:f>
      </x:c>
      <x:c r="AD391" s="28"/>
      <x:c r="AE391" s="28"/>
      <x:c r="AF391" s="28"/>
      <x:c r="AG391" s="58"/>
      <x:c r="AH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56"/>
      <x:c r="J392" s="28"/>
      <x:c r="K392" s="28"/>
      <x:c r="L392" s="56"/>
      <x:c r="M392" s="28"/>
      <x:c r="N392" s="28"/>
      <x:c r="O392" s="28"/>
      <x:c r="P392" s="28"/>
      <x:c r="Q392" s="28"/>
      <x:c r="R392" s="28"/>
      <x:c r="S392" s="28"/>
      <x:c r="T392" s="28"/>
      <x:c r="U392" s="28"/>
      <x:c r="V392" s="28"/>
      <x:c r="W392" s="28"/>
      <x:c r="X392" s="28"/>
      <x:c r="Y392" s="28"/>
      <x:c r="Z392" s="28"/>
      <x:c r="AA392" s="28"/>
      <x:c r="AB392" s="56" t="str">
        <x:f>IF($A392="","",IF(Z392="Y",20,IF(Z392="Unknown",10,0))+$L392*5+IF(AA392="Y",15,IF(AA392="Unknown",5,0))+IF($J392="Public",10,IF($J392="Partner",7,IF($J392="Internal",3,0)))+IF($W392="Hard-coded",10,IF($W392="Unknown",7,IF($W392="Configurable",3,0)))+IF($I392&gt;=10,10,IF($I392&gt;=5,7,IF($I392&gt;=2,3,0)))+IF($K392="High",10,IF($K392="Medium",5,0)))</x:f>
      </x:c>
      <x:c r="AC392" s="28" t="str">
        <x:f>IF($A392="","",IF(AB392&gt;=70,"P0 - Immediate",IF(AB392&gt;=50,"P1 - High",IF(AB392&gt;=30,"P2 - Medium",IF(AB392&gt;=15,"P3 - Low","P4 - Monitor")))))</x:f>
      </x:c>
      <x:c r="AD392" s="28"/>
      <x:c r="AE392" s="28"/>
      <x:c r="AF392" s="28"/>
      <x:c r="AG392" s="58"/>
      <x:c r="AH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56"/>
      <x:c r="J393" s="28"/>
      <x:c r="K393" s="28"/>
      <x:c r="L393" s="56"/>
      <x:c r="M393" s="28"/>
      <x:c r="N393" s="28"/>
      <x:c r="O393" s="28"/>
      <x:c r="P393" s="28"/>
      <x:c r="Q393" s="28"/>
      <x:c r="R393" s="28"/>
      <x:c r="S393" s="28"/>
      <x:c r="T393" s="28"/>
      <x:c r="U393" s="28"/>
      <x:c r="V393" s="28"/>
      <x:c r="W393" s="28"/>
      <x:c r="X393" s="28"/>
      <x:c r="Y393" s="28"/>
      <x:c r="Z393" s="28"/>
      <x:c r="AA393" s="28"/>
      <x:c r="AB393" s="56" t="str">
        <x:f>IF($A393="","",IF(Z393="Y",20,IF(Z393="Unknown",10,0))+$L393*5+IF(AA393="Y",15,IF(AA393="Unknown",5,0))+IF($J393="Public",10,IF($J393="Partner",7,IF($J393="Internal",3,0)))+IF($W393="Hard-coded",10,IF($W393="Unknown",7,IF($W393="Configurable",3,0)))+IF($I393&gt;=10,10,IF($I393&gt;=5,7,IF($I393&gt;=2,3,0)))+IF($K393="High",10,IF($K393="Medium",5,0)))</x:f>
      </x:c>
      <x:c r="AC393" s="28" t="str">
        <x:f>IF($A393="","",IF(AB393&gt;=70,"P0 - Immediate",IF(AB393&gt;=50,"P1 - High",IF(AB393&gt;=30,"P2 - Medium",IF(AB393&gt;=15,"P3 - Low","P4 - Monitor")))))</x:f>
      </x:c>
      <x:c r="AD393" s="28"/>
      <x:c r="AE393" s="28"/>
      <x:c r="AF393" s="28"/>
      <x:c r="AG393" s="58"/>
      <x:c r="AH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56"/>
      <x:c r="J394" s="28"/>
      <x:c r="K394" s="28"/>
      <x:c r="L394" s="56"/>
      <x:c r="M394" s="28"/>
      <x:c r="N394" s="28"/>
      <x:c r="O394" s="28"/>
      <x:c r="P394" s="28"/>
      <x:c r="Q394" s="28"/>
      <x:c r="R394" s="28"/>
      <x:c r="S394" s="28"/>
      <x:c r="T394" s="28"/>
      <x:c r="U394" s="28"/>
      <x:c r="V394" s="28"/>
      <x:c r="W394" s="28"/>
      <x:c r="X394" s="28"/>
      <x:c r="Y394" s="28"/>
      <x:c r="Z394" s="28"/>
      <x:c r="AA394" s="28"/>
      <x:c r="AB394" s="56" t="str">
        <x:f>IF($A394="","",IF(Z394="Y",20,IF(Z394="Unknown",10,0))+$L394*5+IF(AA394="Y",15,IF(AA394="Unknown",5,0))+IF($J394="Public",10,IF($J394="Partner",7,IF($J394="Internal",3,0)))+IF($W394="Hard-coded",10,IF($W394="Unknown",7,IF($W394="Configurable",3,0)))+IF($I394&gt;=10,10,IF($I394&gt;=5,7,IF($I394&gt;=2,3,0)))+IF($K394="High",10,IF($K394="Medium",5,0)))</x:f>
      </x:c>
      <x:c r="AC394" s="28" t="str">
        <x:f>IF($A394="","",IF(AB394&gt;=70,"P0 - Immediate",IF(AB394&gt;=50,"P1 - High",IF(AB394&gt;=30,"P2 - Medium",IF(AB394&gt;=15,"P3 - Low","P4 - Monitor")))))</x:f>
      </x:c>
      <x:c r="AD394" s="28"/>
      <x:c r="AE394" s="28"/>
      <x:c r="AF394" s="28"/>
      <x:c r="AG394" s="58"/>
      <x:c r="AH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56"/>
      <x:c r="J395" s="28"/>
      <x:c r="K395" s="28"/>
      <x:c r="L395" s="56"/>
      <x:c r="M395" s="28"/>
      <x:c r="N395" s="28"/>
      <x:c r="O395" s="28"/>
      <x:c r="P395" s="28"/>
      <x:c r="Q395" s="28"/>
      <x:c r="R395" s="28"/>
      <x:c r="S395" s="28"/>
      <x:c r="T395" s="28"/>
      <x:c r="U395" s="28"/>
      <x:c r="V395" s="28"/>
      <x:c r="W395" s="28"/>
      <x:c r="X395" s="28"/>
      <x:c r="Y395" s="28"/>
      <x:c r="Z395" s="28"/>
      <x:c r="AA395" s="28"/>
      <x:c r="AB395" s="56" t="str">
        <x:f>IF($A395="","",IF(Z395="Y",20,IF(Z395="Unknown",10,0))+$L395*5+IF(AA395="Y",15,IF(AA395="Unknown",5,0))+IF($J395="Public",10,IF($J395="Partner",7,IF($J395="Internal",3,0)))+IF($W395="Hard-coded",10,IF($W395="Unknown",7,IF($W395="Configurable",3,0)))+IF($I395&gt;=10,10,IF($I395&gt;=5,7,IF($I395&gt;=2,3,0)))+IF($K395="High",10,IF($K395="Medium",5,0)))</x:f>
      </x:c>
      <x:c r="AC395" s="28" t="str">
        <x:f>IF($A395="","",IF(AB395&gt;=70,"P0 - Immediate",IF(AB395&gt;=50,"P1 - High",IF(AB395&gt;=30,"P2 - Medium",IF(AB395&gt;=15,"P3 - Low","P4 - Monitor")))))</x:f>
      </x:c>
      <x:c r="AD395" s="28"/>
      <x:c r="AE395" s="28"/>
      <x:c r="AF395" s="28"/>
      <x:c r="AG395" s="58"/>
      <x:c r="AH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56"/>
      <x:c r="J396" s="28"/>
      <x:c r="K396" s="28"/>
      <x:c r="L396" s="56"/>
      <x:c r="M396" s="28"/>
      <x:c r="N396" s="28"/>
      <x:c r="O396" s="28"/>
      <x:c r="P396" s="28"/>
      <x:c r="Q396" s="28"/>
      <x:c r="R396" s="28"/>
      <x:c r="S396" s="28"/>
      <x:c r="T396" s="28"/>
      <x:c r="U396" s="28"/>
      <x:c r="V396" s="28"/>
      <x:c r="W396" s="28"/>
      <x:c r="X396" s="28"/>
      <x:c r="Y396" s="28"/>
      <x:c r="Z396" s="28"/>
      <x:c r="AA396" s="28"/>
      <x:c r="AB396" s="56" t="str">
        <x:f>IF($A396="","",IF(Z396="Y",20,IF(Z396="Unknown",10,0))+$L396*5+IF(AA396="Y",15,IF(AA396="Unknown",5,0))+IF($J396="Public",10,IF($J396="Partner",7,IF($J396="Internal",3,0)))+IF($W396="Hard-coded",10,IF($W396="Unknown",7,IF($W396="Configurable",3,0)))+IF($I396&gt;=10,10,IF($I396&gt;=5,7,IF($I396&gt;=2,3,0)))+IF($K396="High",10,IF($K396="Medium",5,0)))</x:f>
      </x:c>
      <x:c r="AC396" s="28" t="str">
        <x:f>IF($A396="","",IF(AB396&gt;=70,"P0 - Immediate",IF(AB396&gt;=50,"P1 - High",IF(AB396&gt;=30,"P2 - Medium",IF(AB396&gt;=15,"P3 - Low","P4 - Monitor")))))</x:f>
      </x:c>
      <x:c r="AD396" s="28"/>
      <x:c r="AE396" s="28"/>
      <x:c r="AF396" s="28"/>
      <x:c r="AG396" s="58"/>
      <x:c r="AH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56"/>
      <x:c r="J397" s="28"/>
      <x:c r="K397" s="28"/>
      <x:c r="L397" s="56"/>
      <x:c r="M397" s="28"/>
      <x:c r="N397" s="28"/>
      <x:c r="O397" s="28"/>
      <x:c r="P397" s="28"/>
      <x:c r="Q397" s="28"/>
      <x:c r="R397" s="28"/>
      <x:c r="S397" s="28"/>
      <x:c r="T397" s="28"/>
      <x:c r="U397" s="28"/>
      <x:c r="V397" s="28"/>
      <x:c r="W397" s="28"/>
      <x:c r="X397" s="28"/>
      <x:c r="Y397" s="28"/>
      <x:c r="Z397" s="28"/>
      <x:c r="AA397" s="28"/>
      <x:c r="AB397" s="56" t="str">
        <x:f>IF($A397="","",IF(Z397="Y",20,IF(Z397="Unknown",10,0))+$L397*5+IF(AA397="Y",15,IF(AA397="Unknown",5,0))+IF($J397="Public",10,IF($J397="Partner",7,IF($J397="Internal",3,0)))+IF($W397="Hard-coded",10,IF($W397="Unknown",7,IF($W397="Configurable",3,0)))+IF($I397&gt;=10,10,IF($I397&gt;=5,7,IF($I397&gt;=2,3,0)))+IF($K397="High",10,IF($K397="Medium",5,0)))</x:f>
      </x:c>
      <x:c r="AC397" s="28" t="str">
        <x:f>IF($A397="","",IF(AB397&gt;=70,"P0 - Immediate",IF(AB397&gt;=50,"P1 - High",IF(AB397&gt;=30,"P2 - Medium",IF(AB397&gt;=15,"P3 - Low","P4 - Monitor")))))</x:f>
      </x:c>
      <x:c r="AD397" s="28"/>
      <x:c r="AE397" s="28"/>
      <x:c r="AF397" s="28"/>
      <x:c r="AG397" s="58"/>
      <x:c r="AH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56"/>
      <x:c r="J398" s="28"/>
      <x:c r="K398" s="28"/>
      <x:c r="L398" s="56"/>
      <x:c r="M398" s="28"/>
      <x:c r="N398" s="28"/>
      <x:c r="O398" s="28"/>
      <x:c r="P398" s="28"/>
      <x:c r="Q398" s="28"/>
      <x:c r="R398" s="28"/>
      <x:c r="S398" s="28"/>
      <x:c r="T398" s="28"/>
      <x:c r="U398" s="28"/>
      <x:c r="V398" s="28"/>
      <x:c r="W398" s="28"/>
      <x:c r="X398" s="28"/>
      <x:c r="Y398" s="28"/>
      <x:c r="Z398" s="28"/>
      <x:c r="AA398" s="28"/>
      <x:c r="AB398" s="56" t="str">
        <x:f>IF($A398="","",IF(Z398="Y",20,IF(Z398="Unknown",10,0))+$L398*5+IF(AA398="Y",15,IF(AA398="Unknown",5,0))+IF($J398="Public",10,IF($J398="Partner",7,IF($J398="Internal",3,0)))+IF($W398="Hard-coded",10,IF($W398="Unknown",7,IF($W398="Configurable",3,0)))+IF($I398&gt;=10,10,IF($I398&gt;=5,7,IF($I398&gt;=2,3,0)))+IF($K398="High",10,IF($K398="Medium",5,0)))</x:f>
      </x:c>
      <x:c r="AC398" s="28" t="str">
        <x:f>IF($A398="","",IF(AB398&gt;=70,"P0 - Immediate",IF(AB398&gt;=50,"P1 - High",IF(AB398&gt;=30,"P2 - Medium",IF(AB398&gt;=15,"P3 - Low","P4 - Monitor")))))</x:f>
      </x:c>
      <x:c r="AD398" s="28"/>
      <x:c r="AE398" s="28"/>
      <x:c r="AF398" s="28"/>
      <x:c r="AG398" s="58"/>
      <x:c r="AH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56"/>
      <x:c r="J399" s="28"/>
      <x:c r="K399" s="28"/>
      <x:c r="L399" s="56"/>
      <x:c r="M399" s="28"/>
      <x:c r="N399" s="28"/>
      <x:c r="O399" s="28"/>
      <x:c r="P399" s="28"/>
      <x:c r="Q399" s="28"/>
      <x:c r="R399" s="28"/>
      <x:c r="S399" s="28"/>
      <x:c r="T399" s="28"/>
      <x:c r="U399" s="28"/>
      <x:c r="V399" s="28"/>
      <x:c r="W399" s="28"/>
      <x:c r="X399" s="28"/>
      <x:c r="Y399" s="28"/>
      <x:c r="Z399" s="28"/>
      <x:c r="AA399" s="28"/>
      <x:c r="AB399" s="56" t="str">
        <x:f>IF($A399="","",IF(Z399="Y",20,IF(Z399="Unknown",10,0))+$L399*5+IF(AA399="Y",15,IF(AA399="Unknown",5,0))+IF($J399="Public",10,IF($J399="Partner",7,IF($J399="Internal",3,0)))+IF($W399="Hard-coded",10,IF($W399="Unknown",7,IF($W399="Configurable",3,0)))+IF($I399&gt;=10,10,IF($I399&gt;=5,7,IF($I399&gt;=2,3,0)))+IF($K399="High",10,IF($K399="Medium",5,0)))</x:f>
      </x:c>
      <x:c r="AC399" s="28" t="str">
        <x:f>IF($A399="","",IF(AB399&gt;=70,"P0 - Immediate",IF(AB399&gt;=50,"P1 - High",IF(AB399&gt;=30,"P2 - Medium",IF(AB399&gt;=15,"P3 - Low","P4 - Monitor")))))</x:f>
      </x:c>
      <x:c r="AD399" s="28"/>
      <x:c r="AE399" s="28"/>
      <x:c r="AF399" s="28"/>
      <x:c r="AG399" s="58"/>
      <x:c r="AH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56"/>
      <x:c r="J400" s="28"/>
      <x:c r="K400" s="28"/>
      <x:c r="L400" s="56"/>
      <x:c r="M400" s="28"/>
      <x:c r="N400" s="28"/>
      <x:c r="O400" s="28"/>
      <x:c r="P400" s="28"/>
      <x:c r="Q400" s="28"/>
      <x:c r="R400" s="28"/>
      <x:c r="S400" s="28"/>
      <x:c r="T400" s="28"/>
      <x:c r="U400" s="28"/>
      <x:c r="V400" s="28"/>
      <x:c r="W400" s="28"/>
      <x:c r="X400" s="28"/>
      <x:c r="Y400" s="28"/>
      <x:c r="Z400" s="28"/>
      <x:c r="AA400" s="28"/>
      <x:c r="AB400" s="56" t="str">
        <x:f>IF($A400="","",IF(Z400="Y",20,IF(Z400="Unknown",10,0))+$L400*5+IF(AA400="Y",15,IF(AA400="Unknown",5,0))+IF($J400="Public",10,IF($J400="Partner",7,IF($J400="Internal",3,0)))+IF($W400="Hard-coded",10,IF($W400="Unknown",7,IF($W400="Configurable",3,0)))+IF($I400&gt;=10,10,IF($I400&gt;=5,7,IF($I400&gt;=2,3,0)))+IF($K400="High",10,IF($K400="Medium",5,0)))</x:f>
      </x:c>
      <x:c r="AC400" s="28" t="str">
        <x:f>IF($A400="","",IF(AB400&gt;=70,"P0 - Immediate",IF(AB400&gt;=50,"P1 - High",IF(AB400&gt;=30,"P2 - Medium",IF(AB400&gt;=15,"P3 - Low","P4 - Monitor")))))</x:f>
      </x:c>
      <x:c r="AD400" s="28"/>
      <x:c r="AE400" s="28"/>
      <x:c r="AF400" s="28"/>
      <x:c r="AG400" s="58"/>
      <x:c r="AH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56"/>
      <x:c r="J401" s="28"/>
      <x:c r="K401" s="28"/>
      <x:c r="L401" s="56"/>
      <x:c r="M401" s="28"/>
      <x:c r="N401" s="28"/>
      <x:c r="O401" s="28"/>
      <x:c r="P401" s="28"/>
      <x:c r="Q401" s="28"/>
      <x:c r="R401" s="28"/>
      <x:c r="S401" s="28"/>
      <x:c r="T401" s="28"/>
      <x:c r="U401" s="28"/>
      <x:c r="V401" s="28"/>
      <x:c r="W401" s="28"/>
      <x:c r="X401" s="28"/>
      <x:c r="Y401" s="28"/>
      <x:c r="Z401" s="28"/>
      <x:c r="AA401" s="28"/>
      <x:c r="AB401" s="56" t="str">
        <x:f>IF($A401="","",IF(Z401="Y",20,IF(Z401="Unknown",10,0))+$L401*5+IF(AA401="Y",15,IF(AA401="Unknown",5,0))+IF($J401="Public",10,IF($J401="Partner",7,IF($J401="Internal",3,0)))+IF($W401="Hard-coded",10,IF($W401="Unknown",7,IF($W401="Configurable",3,0)))+IF($I401&gt;=10,10,IF($I401&gt;=5,7,IF($I401&gt;=2,3,0)))+IF($K401="High",10,IF($K401="Medium",5,0)))</x:f>
      </x:c>
      <x:c r="AC401" s="28" t="str">
        <x:f>IF($A401="","",IF(AB401&gt;=70,"P0 - Immediate",IF(AB401&gt;=50,"P1 - High",IF(AB401&gt;=30,"P2 - Medium",IF(AB401&gt;=15,"P3 - Low","P4 - Monitor")))))</x:f>
      </x:c>
      <x:c r="AD401" s="28"/>
      <x:c r="AE401" s="28"/>
      <x:c r="AF401" s="28"/>
      <x:c r="AG401" s="58"/>
      <x:c r="AH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56"/>
      <x:c r="J402" s="28"/>
      <x:c r="K402" s="28"/>
      <x:c r="L402" s="56"/>
      <x:c r="M402" s="28"/>
      <x:c r="N402" s="28"/>
      <x:c r="O402" s="28"/>
      <x:c r="P402" s="28"/>
      <x:c r="Q402" s="28"/>
      <x:c r="R402" s="28"/>
      <x:c r="S402" s="28"/>
      <x:c r="T402" s="28"/>
      <x:c r="U402" s="28"/>
      <x:c r="V402" s="28"/>
      <x:c r="W402" s="28"/>
      <x:c r="X402" s="28"/>
      <x:c r="Y402" s="28"/>
      <x:c r="Z402" s="28"/>
      <x:c r="AA402" s="28"/>
      <x:c r="AB402" s="56" t="str">
        <x:f>IF($A402="","",IF(Z402="Y",20,IF(Z402="Unknown",10,0))+$L402*5+IF(AA402="Y",15,IF(AA402="Unknown",5,0))+IF($J402="Public",10,IF($J402="Partner",7,IF($J402="Internal",3,0)))+IF($W402="Hard-coded",10,IF($W402="Unknown",7,IF($W402="Configurable",3,0)))+IF($I402&gt;=10,10,IF($I402&gt;=5,7,IF($I402&gt;=2,3,0)))+IF($K402="High",10,IF($K402="Medium",5,0)))</x:f>
      </x:c>
      <x:c r="AC402" s="28" t="str">
        <x:f>IF($A402="","",IF(AB402&gt;=70,"P0 - Immediate",IF(AB402&gt;=50,"P1 - High",IF(AB402&gt;=30,"P2 - Medium",IF(AB402&gt;=15,"P3 - Low","P4 - Monitor")))))</x:f>
      </x:c>
      <x:c r="AD402" s="28"/>
      <x:c r="AE402" s="28"/>
      <x:c r="AF402" s="28"/>
      <x:c r="AG402" s="58"/>
      <x:c r="AH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56"/>
      <x:c r="J403" s="28"/>
      <x:c r="K403" s="28"/>
      <x:c r="L403" s="56"/>
      <x:c r="M403" s="28"/>
      <x:c r="N403" s="28"/>
      <x:c r="O403" s="28"/>
      <x:c r="P403" s="28"/>
      <x:c r="Q403" s="28"/>
      <x:c r="R403" s="28"/>
      <x:c r="S403" s="28"/>
      <x:c r="T403" s="28"/>
      <x:c r="U403" s="28"/>
      <x:c r="V403" s="28"/>
      <x:c r="W403" s="28"/>
      <x:c r="X403" s="28"/>
      <x:c r="Y403" s="28"/>
      <x:c r="Z403" s="28"/>
      <x:c r="AA403" s="28"/>
      <x:c r="AB403" s="56" t="str">
        <x:f>IF($A403="","",IF(Z403="Y",20,IF(Z403="Unknown",10,0))+$L403*5+IF(AA403="Y",15,IF(AA403="Unknown",5,0))+IF($J403="Public",10,IF($J403="Partner",7,IF($J403="Internal",3,0)))+IF($W403="Hard-coded",10,IF($W403="Unknown",7,IF($W403="Configurable",3,0)))+IF($I403&gt;=10,10,IF($I403&gt;=5,7,IF($I403&gt;=2,3,0)))+IF($K403="High",10,IF($K403="Medium",5,0)))</x:f>
      </x:c>
      <x:c r="AC403" s="28" t="str">
        <x:f>IF($A403="","",IF(AB403&gt;=70,"P0 - Immediate",IF(AB403&gt;=50,"P1 - High",IF(AB403&gt;=30,"P2 - Medium",IF(AB403&gt;=15,"P3 - Low","P4 - Monitor")))))</x:f>
      </x:c>
      <x:c r="AD403" s="28"/>
      <x:c r="AE403" s="28"/>
      <x:c r="AF403" s="28"/>
      <x:c r="AG403" s="58"/>
      <x:c r="AH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56"/>
      <x:c r="J404" s="28"/>
      <x:c r="K404" s="28"/>
      <x:c r="L404" s="56"/>
      <x:c r="M404" s="28"/>
      <x:c r="N404" s="28"/>
      <x:c r="O404" s="28"/>
      <x:c r="P404" s="28"/>
      <x:c r="Q404" s="28"/>
      <x:c r="R404" s="28"/>
      <x:c r="S404" s="28"/>
      <x:c r="T404" s="28"/>
      <x:c r="U404" s="28"/>
      <x:c r="V404" s="28"/>
      <x:c r="W404" s="28"/>
      <x:c r="X404" s="28"/>
      <x:c r="Y404" s="28"/>
      <x:c r="Z404" s="28"/>
      <x:c r="AA404" s="28"/>
      <x:c r="AB404" s="56" t="str">
        <x:f>IF($A404="","",IF(Z404="Y",20,IF(Z404="Unknown",10,0))+$L404*5+IF(AA404="Y",15,IF(AA404="Unknown",5,0))+IF($J404="Public",10,IF($J404="Partner",7,IF($J404="Internal",3,0)))+IF($W404="Hard-coded",10,IF($W404="Unknown",7,IF($W404="Configurable",3,0)))+IF($I404&gt;=10,10,IF($I404&gt;=5,7,IF($I404&gt;=2,3,0)))+IF($K404="High",10,IF($K404="Medium",5,0)))</x:f>
      </x:c>
      <x:c r="AC404" s="28" t="str">
        <x:f>IF($A404="","",IF(AB404&gt;=70,"P0 - Immediate",IF(AB404&gt;=50,"P1 - High",IF(AB404&gt;=30,"P2 - Medium",IF(AB404&gt;=15,"P3 - Low","P4 - Monitor")))))</x:f>
      </x:c>
      <x:c r="AD404" s="28"/>
      <x:c r="AE404" s="28"/>
      <x:c r="AF404" s="28"/>
      <x:c r="AG404" s="58"/>
      <x:c r="AH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56"/>
      <x:c r="J405" s="28"/>
      <x:c r="K405" s="28"/>
      <x:c r="L405" s="56"/>
      <x:c r="M405" s="28"/>
      <x:c r="N405" s="28"/>
      <x:c r="O405" s="28"/>
      <x:c r="P405" s="28"/>
      <x:c r="Q405" s="28"/>
      <x:c r="R405" s="28"/>
      <x:c r="S405" s="28"/>
      <x:c r="T405" s="28"/>
      <x:c r="U405" s="28"/>
      <x:c r="V405" s="28"/>
      <x:c r="W405" s="28"/>
      <x:c r="X405" s="28"/>
      <x:c r="Y405" s="28"/>
      <x:c r="Z405" s="28"/>
      <x:c r="AA405" s="28"/>
      <x:c r="AB405" s="56" t="str">
        <x:f>IF($A405="","",IF(Z405="Y",20,IF(Z405="Unknown",10,0))+$L405*5+IF(AA405="Y",15,IF(AA405="Unknown",5,0))+IF($J405="Public",10,IF($J405="Partner",7,IF($J405="Internal",3,0)))+IF($W405="Hard-coded",10,IF($W405="Unknown",7,IF($W405="Configurable",3,0)))+IF($I405&gt;=10,10,IF($I405&gt;=5,7,IF($I405&gt;=2,3,0)))+IF($K405="High",10,IF($K405="Medium",5,0)))</x:f>
      </x:c>
      <x:c r="AC405" s="28" t="str">
        <x:f>IF($A405="","",IF(AB405&gt;=70,"P0 - Immediate",IF(AB405&gt;=50,"P1 - High",IF(AB405&gt;=30,"P2 - Medium",IF(AB405&gt;=15,"P3 - Low","P4 - Monitor")))))</x:f>
      </x:c>
      <x:c r="AD405" s="28"/>
      <x:c r="AE405" s="28"/>
      <x:c r="AF405" s="28"/>
      <x:c r="AG405" s="58"/>
      <x:c r="AH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56"/>
      <x:c r="J406" s="28"/>
      <x:c r="K406" s="28"/>
      <x:c r="L406" s="56"/>
      <x:c r="M406" s="28"/>
      <x:c r="N406" s="28"/>
      <x:c r="O406" s="28"/>
      <x:c r="P406" s="28"/>
      <x:c r="Q406" s="28"/>
      <x:c r="R406" s="28"/>
      <x:c r="S406" s="28"/>
      <x:c r="T406" s="28"/>
      <x:c r="U406" s="28"/>
      <x:c r="V406" s="28"/>
      <x:c r="W406" s="28"/>
      <x:c r="X406" s="28"/>
      <x:c r="Y406" s="28"/>
      <x:c r="Z406" s="28"/>
      <x:c r="AA406" s="28"/>
      <x:c r="AB406" s="56" t="str">
        <x:f>IF($A406="","",IF(Z406="Y",20,IF(Z406="Unknown",10,0))+$L406*5+IF(AA406="Y",15,IF(AA406="Unknown",5,0))+IF($J406="Public",10,IF($J406="Partner",7,IF($J406="Internal",3,0)))+IF($W406="Hard-coded",10,IF($W406="Unknown",7,IF($W406="Configurable",3,0)))+IF($I406&gt;=10,10,IF($I406&gt;=5,7,IF($I406&gt;=2,3,0)))+IF($K406="High",10,IF($K406="Medium",5,0)))</x:f>
      </x:c>
      <x:c r="AC406" s="28" t="str">
        <x:f>IF($A406="","",IF(AB406&gt;=70,"P0 - Immediate",IF(AB406&gt;=50,"P1 - High",IF(AB406&gt;=30,"P2 - Medium",IF(AB406&gt;=15,"P3 - Low","P4 - Monitor")))))</x:f>
      </x:c>
      <x:c r="AD406" s="28"/>
      <x:c r="AE406" s="28"/>
      <x:c r="AF406" s="28"/>
      <x:c r="AG406" s="58"/>
      <x:c r="AH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56"/>
      <x:c r="J407" s="28"/>
      <x:c r="K407" s="28"/>
      <x:c r="L407" s="56"/>
      <x:c r="M407" s="28"/>
      <x:c r="N407" s="28"/>
      <x:c r="O407" s="28"/>
      <x:c r="P407" s="28"/>
      <x:c r="Q407" s="28"/>
      <x:c r="R407" s="28"/>
      <x:c r="S407" s="28"/>
      <x:c r="T407" s="28"/>
      <x:c r="U407" s="28"/>
      <x:c r="V407" s="28"/>
      <x:c r="W407" s="28"/>
      <x:c r="X407" s="28"/>
      <x:c r="Y407" s="28"/>
      <x:c r="Z407" s="28"/>
      <x:c r="AA407" s="28"/>
      <x:c r="AB407" s="56" t="str">
        <x:f>IF($A407="","",IF(Z407="Y",20,IF(Z407="Unknown",10,0))+$L407*5+IF(AA407="Y",15,IF(AA407="Unknown",5,0))+IF($J407="Public",10,IF($J407="Partner",7,IF($J407="Internal",3,0)))+IF($W407="Hard-coded",10,IF($W407="Unknown",7,IF($W407="Configurable",3,0)))+IF($I407&gt;=10,10,IF($I407&gt;=5,7,IF($I407&gt;=2,3,0)))+IF($K407="High",10,IF($K407="Medium",5,0)))</x:f>
      </x:c>
      <x:c r="AC407" s="28" t="str">
        <x:f>IF($A407="","",IF(AB407&gt;=70,"P0 - Immediate",IF(AB407&gt;=50,"P1 - High",IF(AB407&gt;=30,"P2 - Medium",IF(AB407&gt;=15,"P3 - Low","P4 - Monitor")))))</x:f>
      </x:c>
      <x:c r="AD407" s="28"/>
      <x:c r="AE407" s="28"/>
      <x:c r="AF407" s="28"/>
      <x:c r="AG407" s="58"/>
      <x:c r="AH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56"/>
      <x:c r="J408" s="28"/>
      <x:c r="K408" s="28"/>
      <x:c r="L408" s="56"/>
      <x:c r="M408" s="28"/>
      <x:c r="N408" s="28"/>
      <x:c r="O408" s="28"/>
      <x:c r="P408" s="28"/>
      <x:c r="Q408" s="28"/>
      <x:c r="R408" s="28"/>
      <x:c r="S408" s="28"/>
      <x:c r="T408" s="28"/>
      <x:c r="U408" s="28"/>
      <x:c r="V408" s="28"/>
      <x:c r="W408" s="28"/>
      <x:c r="X408" s="28"/>
      <x:c r="Y408" s="28"/>
      <x:c r="Z408" s="28"/>
      <x:c r="AA408" s="28"/>
      <x:c r="AB408" s="56" t="str">
        <x:f>IF($A408="","",IF(Z408="Y",20,IF(Z408="Unknown",10,0))+$L408*5+IF(AA408="Y",15,IF(AA408="Unknown",5,0))+IF($J408="Public",10,IF($J408="Partner",7,IF($J408="Internal",3,0)))+IF($W408="Hard-coded",10,IF($W408="Unknown",7,IF($W408="Configurable",3,0)))+IF($I408&gt;=10,10,IF($I408&gt;=5,7,IF($I408&gt;=2,3,0)))+IF($K408="High",10,IF($K408="Medium",5,0)))</x:f>
      </x:c>
      <x:c r="AC408" s="28" t="str">
        <x:f>IF($A408="","",IF(AB408&gt;=70,"P0 - Immediate",IF(AB408&gt;=50,"P1 - High",IF(AB408&gt;=30,"P2 - Medium",IF(AB408&gt;=15,"P3 - Low","P4 - Monitor")))))</x:f>
      </x:c>
      <x:c r="AD408" s="28"/>
      <x:c r="AE408" s="28"/>
      <x:c r="AF408" s="28"/>
      <x:c r="AG408" s="58"/>
      <x:c r="AH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56"/>
      <x:c r="J409" s="28"/>
      <x:c r="K409" s="28"/>
      <x:c r="L409" s="56"/>
      <x:c r="M409" s="28"/>
      <x:c r="N409" s="28"/>
      <x:c r="O409" s="28"/>
      <x:c r="P409" s="28"/>
      <x:c r="Q409" s="28"/>
      <x:c r="R409" s="28"/>
      <x:c r="S409" s="28"/>
      <x:c r="T409" s="28"/>
      <x:c r="U409" s="28"/>
      <x:c r="V409" s="28"/>
      <x:c r="W409" s="28"/>
      <x:c r="X409" s="28"/>
      <x:c r="Y409" s="28"/>
      <x:c r="Z409" s="28"/>
      <x:c r="AA409" s="28"/>
      <x:c r="AB409" s="56" t="str">
        <x:f>IF($A409="","",IF(Z409="Y",20,IF(Z409="Unknown",10,0))+$L409*5+IF(AA409="Y",15,IF(AA409="Unknown",5,0))+IF($J409="Public",10,IF($J409="Partner",7,IF($J409="Internal",3,0)))+IF($W409="Hard-coded",10,IF($W409="Unknown",7,IF($W409="Configurable",3,0)))+IF($I409&gt;=10,10,IF($I409&gt;=5,7,IF($I409&gt;=2,3,0)))+IF($K409="High",10,IF($K409="Medium",5,0)))</x:f>
      </x:c>
      <x:c r="AC409" s="28" t="str">
        <x:f>IF($A409="","",IF(AB409&gt;=70,"P0 - Immediate",IF(AB409&gt;=50,"P1 - High",IF(AB409&gt;=30,"P2 - Medium",IF(AB409&gt;=15,"P3 - Low","P4 - Monitor")))))</x:f>
      </x:c>
      <x:c r="AD409" s="28"/>
      <x:c r="AE409" s="28"/>
      <x:c r="AF409" s="28"/>
      <x:c r="AG409" s="58"/>
      <x:c r="AH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56"/>
      <x:c r="J410" s="28"/>
      <x:c r="K410" s="28"/>
      <x:c r="L410" s="56"/>
      <x:c r="M410" s="28"/>
      <x:c r="N410" s="28"/>
      <x:c r="O410" s="28"/>
      <x:c r="P410" s="28"/>
      <x:c r="Q410" s="28"/>
      <x:c r="R410" s="28"/>
      <x:c r="S410" s="28"/>
      <x:c r="T410" s="28"/>
      <x:c r="U410" s="28"/>
      <x:c r="V410" s="28"/>
      <x:c r="W410" s="28"/>
      <x:c r="X410" s="28"/>
      <x:c r="Y410" s="28"/>
      <x:c r="Z410" s="28"/>
      <x:c r="AA410" s="28"/>
      <x:c r="AB410" s="56" t="str">
        <x:f>IF($A410="","",IF(Z410="Y",20,IF(Z410="Unknown",10,0))+$L410*5+IF(AA410="Y",15,IF(AA410="Unknown",5,0))+IF($J410="Public",10,IF($J410="Partner",7,IF($J410="Internal",3,0)))+IF($W410="Hard-coded",10,IF($W410="Unknown",7,IF($W410="Configurable",3,0)))+IF($I410&gt;=10,10,IF($I410&gt;=5,7,IF($I410&gt;=2,3,0)))+IF($K410="High",10,IF($K410="Medium",5,0)))</x:f>
      </x:c>
      <x:c r="AC410" s="28" t="str">
        <x:f>IF($A410="","",IF(AB410&gt;=70,"P0 - Immediate",IF(AB410&gt;=50,"P1 - High",IF(AB410&gt;=30,"P2 - Medium",IF(AB410&gt;=15,"P3 - Low","P4 - Monitor")))))</x:f>
      </x:c>
      <x:c r="AD410" s="28"/>
      <x:c r="AE410" s="28"/>
      <x:c r="AF410" s="28"/>
      <x:c r="AG410" s="58"/>
      <x:c r="AH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56"/>
      <x:c r="J411" s="28"/>
      <x:c r="K411" s="28"/>
      <x:c r="L411" s="56"/>
      <x:c r="M411" s="28"/>
      <x:c r="N411" s="28"/>
      <x:c r="O411" s="28"/>
      <x:c r="P411" s="28"/>
      <x:c r="Q411" s="28"/>
      <x:c r="R411" s="28"/>
      <x:c r="S411" s="28"/>
      <x:c r="T411" s="28"/>
      <x:c r="U411" s="28"/>
      <x:c r="V411" s="28"/>
      <x:c r="W411" s="28"/>
      <x:c r="X411" s="28"/>
      <x:c r="Y411" s="28"/>
      <x:c r="Z411" s="28"/>
      <x:c r="AA411" s="28"/>
      <x:c r="AB411" s="56" t="str">
        <x:f>IF($A411="","",IF(Z411="Y",20,IF(Z411="Unknown",10,0))+$L411*5+IF(AA411="Y",15,IF(AA411="Unknown",5,0))+IF($J411="Public",10,IF($J411="Partner",7,IF($J411="Internal",3,0)))+IF($W411="Hard-coded",10,IF($W411="Unknown",7,IF($W411="Configurable",3,0)))+IF($I411&gt;=10,10,IF($I411&gt;=5,7,IF($I411&gt;=2,3,0)))+IF($K411="High",10,IF($K411="Medium",5,0)))</x:f>
      </x:c>
      <x:c r="AC411" s="28" t="str">
        <x:f>IF($A411="","",IF(AB411&gt;=70,"P0 - Immediate",IF(AB411&gt;=50,"P1 - High",IF(AB411&gt;=30,"P2 - Medium",IF(AB411&gt;=15,"P3 - Low","P4 - Monitor")))))</x:f>
      </x:c>
      <x:c r="AD411" s="28"/>
      <x:c r="AE411" s="28"/>
      <x:c r="AF411" s="28"/>
      <x:c r="AG411" s="58"/>
      <x:c r="AH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56"/>
      <x:c r="J412" s="28"/>
      <x:c r="K412" s="28"/>
      <x:c r="L412" s="56"/>
      <x:c r="M412" s="28"/>
      <x:c r="N412" s="28"/>
      <x:c r="O412" s="28"/>
      <x:c r="P412" s="28"/>
      <x:c r="Q412" s="28"/>
      <x:c r="R412" s="28"/>
      <x:c r="S412" s="28"/>
      <x:c r="T412" s="28"/>
      <x:c r="U412" s="28"/>
      <x:c r="V412" s="28"/>
      <x:c r="W412" s="28"/>
      <x:c r="X412" s="28"/>
      <x:c r="Y412" s="28"/>
      <x:c r="Z412" s="28"/>
      <x:c r="AA412" s="28"/>
      <x:c r="AB412" s="56" t="str">
        <x:f>IF($A412="","",IF(Z412="Y",20,IF(Z412="Unknown",10,0))+$L412*5+IF(AA412="Y",15,IF(AA412="Unknown",5,0))+IF($J412="Public",10,IF($J412="Partner",7,IF($J412="Internal",3,0)))+IF($W412="Hard-coded",10,IF($W412="Unknown",7,IF($W412="Configurable",3,0)))+IF($I412&gt;=10,10,IF($I412&gt;=5,7,IF($I412&gt;=2,3,0)))+IF($K412="High",10,IF($K412="Medium",5,0)))</x:f>
      </x:c>
      <x:c r="AC412" s="28" t="str">
        <x:f>IF($A412="","",IF(AB412&gt;=70,"P0 - Immediate",IF(AB412&gt;=50,"P1 - High",IF(AB412&gt;=30,"P2 - Medium",IF(AB412&gt;=15,"P3 - Low","P4 - Monitor")))))</x:f>
      </x:c>
      <x:c r="AD412" s="28"/>
      <x:c r="AE412" s="28"/>
      <x:c r="AF412" s="28"/>
      <x:c r="AG412" s="58"/>
      <x:c r="AH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56"/>
      <x:c r="J413" s="28"/>
      <x:c r="K413" s="28"/>
      <x:c r="L413" s="56"/>
      <x:c r="M413" s="28"/>
      <x:c r="N413" s="28"/>
      <x:c r="O413" s="28"/>
      <x:c r="P413" s="28"/>
      <x:c r="Q413" s="28"/>
      <x:c r="R413" s="28"/>
      <x:c r="S413" s="28"/>
      <x:c r="T413" s="28"/>
      <x:c r="U413" s="28"/>
      <x:c r="V413" s="28"/>
      <x:c r="W413" s="28"/>
      <x:c r="X413" s="28"/>
      <x:c r="Y413" s="28"/>
      <x:c r="Z413" s="28"/>
      <x:c r="AA413" s="28"/>
      <x:c r="AB413" s="56" t="str">
        <x:f>IF($A413="","",IF(Z413="Y",20,IF(Z413="Unknown",10,0))+$L413*5+IF(AA413="Y",15,IF(AA413="Unknown",5,0))+IF($J413="Public",10,IF($J413="Partner",7,IF($J413="Internal",3,0)))+IF($W413="Hard-coded",10,IF($W413="Unknown",7,IF($W413="Configurable",3,0)))+IF($I413&gt;=10,10,IF($I413&gt;=5,7,IF($I413&gt;=2,3,0)))+IF($K413="High",10,IF($K413="Medium",5,0)))</x:f>
      </x:c>
      <x:c r="AC413" s="28" t="str">
        <x:f>IF($A413="","",IF(AB413&gt;=70,"P0 - Immediate",IF(AB413&gt;=50,"P1 - High",IF(AB413&gt;=30,"P2 - Medium",IF(AB413&gt;=15,"P3 - Low","P4 - Monitor")))))</x:f>
      </x:c>
      <x:c r="AD413" s="28"/>
      <x:c r="AE413" s="28"/>
      <x:c r="AF413" s="28"/>
      <x:c r="AG413" s="58"/>
      <x:c r="AH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56"/>
      <x:c r="J414" s="28"/>
      <x:c r="K414" s="28"/>
      <x:c r="L414" s="56"/>
      <x:c r="M414" s="28"/>
      <x:c r="N414" s="28"/>
      <x:c r="O414" s="28"/>
      <x:c r="P414" s="28"/>
      <x:c r="Q414" s="28"/>
      <x:c r="R414" s="28"/>
      <x:c r="S414" s="28"/>
      <x:c r="T414" s="28"/>
      <x:c r="U414" s="28"/>
      <x:c r="V414" s="28"/>
      <x:c r="W414" s="28"/>
      <x:c r="X414" s="28"/>
      <x:c r="Y414" s="28"/>
      <x:c r="Z414" s="28"/>
      <x:c r="AA414" s="28"/>
      <x:c r="AB414" s="56" t="str">
        <x:f>IF($A414="","",IF(Z414="Y",20,IF(Z414="Unknown",10,0))+$L414*5+IF(AA414="Y",15,IF(AA414="Unknown",5,0))+IF($J414="Public",10,IF($J414="Partner",7,IF($J414="Internal",3,0)))+IF($W414="Hard-coded",10,IF($W414="Unknown",7,IF($W414="Configurable",3,0)))+IF($I414&gt;=10,10,IF($I414&gt;=5,7,IF($I414&gt;=2,3,0)))+IF($K414="High",10,IF($K414="Medium",5,0)))</x:f>
      </x:c>
      <x:c r="AC414" s="28" t="str">
        <x:f>IF($A414="","",IF(AB414&gt;=70,"P0 - Immediate",IF(AB414&gt;=50,"P1 - High",IF(AB414&gt;=30,"P2 - Medium",IF(AB414&gt;=15,"P3 - Low","P4 - Monitor")))))</x:f>
      </x:c>
      <x:c r="AD414" s="28"/>
      <x:c r="AE414" s="28"/>
      <x:c r="AF414" s="28"/>
      <x:c r="AG414" s="58"/>
      <x:c r="AH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56"/>
      <x:c r="J415" s="28"/>
      <x:c r="K415" s="28"/>
      <x:c r="L415" s="56"/>
      <x:c r="M415" s="28"/>
      <x:c r="N415" s="28"/>
      <x:c r="O415" s="28"/>
      <x:c r="P415" s="28"/>
      <x:c r="Q415" s="28"/>
      <x:c r="R415" s="28"/>
      <x:c r="S415" s="28"/>
      <x:c r="T415" s="28"/>
      <x:c r="U415" s="28"/>
      <x:c r="V415" s="28"/>
      <x:c r="W415" s="28"/>
      <x:c r="X415" s="28"/>
      <x:c r="Y415" s="28"/>
      <x:c r="Z415" s="28"/>
      <x:c r="AA415" s="28"/>
      <x:c r="AB415" s="56" t="str">
        <x:f>IF($A415="","",IF(Z415="Y",20,IF(Z415="Unknown",10,0))+$L415*5+IF(AA415="Y",15,IF(AA415="Unknown",5,0))+IF($J415="Public",10,IF($J415="Partner",7,IF($J415="Internal",3,0)))+IF($W415="Hard-coded",10,IF($W415="Unknown",7,IF($W415="Configurable",3,0)))+IF($I415&gt;=10,10,IF($I415&gt;=5,7,IF($I415&gt;=2,3,0)))+IF($K415="High",10,IF($K415="Medium",5,0)))</x:f>
      </x:c>
      <x:c r="AC415" s="28" t="str">
        <x:f>IF($A415="","",IF(AB415&gt;=70,"P0 - Immediate",IF(AB415&gt;=50,"P1 - High",IF(AB415&gt;=30,"P2 - Medium",IF(AB415&gt;=15,"P3 - Low","P4 - Monitor")))))</x:f>
      </x:c>
      <x:c r="AD415" s="28"/>
      <x:c r="AE415" s="28"/>
      <x:c r="AF415" s="28"/>
      <x:c r="AG415" s="58"/>
      <x:c r="AH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56"/>
      <x:c r="J416" s="28"/>
      <x:c r="K416" s="28"/>
      <x:c r="L416" s="56"/>
      <x:c r="M416" s="28"/>
      <x:c r="N416" s="28"/>
      <x:c r="O416" s="28"/>
      <x:c r="P416" s="28"/>
      <x:c r="Q416" s="28"/>
      <x:c r="R416" s="28"/>
      <x:c r="S416" s="28"/>
      <x:c r="T416" s="28"/>
      <x:c r="U416" s="28"/>
      <x:c r="V416" s="28"/>
      <x:c r="W416" s="28"/>
      <x:c r="X416" s="28"/>
      <x:c r="Y416" s="28"/>
      <x:c r="Z416" s="28"/>
      <x:c r="AA416" s="28"/>
      <x:c r="AB416" s="56" t="str">
        <x:f>IF($A416="","",IF(Z416="Y",20,IF(Z416="Unknown",10,0))+$L416*5+IF(AA416="Y",15,IF(AA416="Unknown",5,0))+IF($J416="Public",10,IF($J416="Partner",7,IF($J416="Internal",3,0)))+IF($W416="Hard-coded",10,IF($W416="Unknown",7,IF($W416="Configurable",3,0)))+IF($I416&gt;=10,10,IF($I416&gt;=5,7,IF($I416&gt;=2,3,0)))+IF($K416="High",10,IF($K416="Medium",5,0)))</x:f>
      </x:c>
      <x:c r="AC416" s="28" t="str">
        <x:f>IF($A416="","",IF(AB416&gt;=70,"P0 - Immediate",IF(AB416&gt;=50,"P1 - High",IF(AB416&gt;=30,"P2 - Medium",IF(AB416&gt;=15,"P3 - Low","P4 - Monitor")))))</x:f>
      </x:c>
      <x:c r="AD416" s="28"/>
      <x:c r="AE416" s="28"/>
      <x:c r="AF416" s="28"/>
      <x:c r="AG416" s="58"/>
      <x:c r="AH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56"/>
      <x:c r="J417" s="28"/>
      <x:c r="K417" s="28"/>
      <x:c r="L417" s="56"/>
      <x:c r="M417" s="28"/>
      <x:c r="N417" s="28"/>
      <x:c r="O417" s="28"/>
      <x:c r="P417" s="28"/>
      <x:c r="Q417" s="28"/>
      <x:c r="R417" s="28"/>
      <x:c r="S417" s="28"/>
      <x:c r="T417" s="28"/>
      <x:c r="U417" s="28"/>
      <x:c r="V417" s="28"/>
      <x:c r="W417" s="28"/>
      <x:c r="X417" s="28"/>
      <x:c r="Y417" s="28"/>
      <x:c r="Z417" s="28"/>
      <x:c r="AA417" s="28"/>
      <x:c r="AB417" s="56" t="str">
        <x:f>IF($A417="","",IF(Z417="Y",20,IF(Z417="Unknown",10,0))+$L417*5+IF(AA417="Y",15,IF(AA417="Unknown",5,0))+IF($J417="Public",10,IF($J417="Partner",7,IF($J417="Internal",3,0)))+IF($W417="Hard-coded",10,IF($W417="Unknown",7,IF($W417="Configurable",3,0)))+IF($I417&gt;=10,10,IF($I417&gt;=5,7,IF($I417&gt;=2,3,0)))+IF($K417="High",10,IF($K417="Medium",5,0)))</x:f>
      </x:c>
      <x:c r="AC417" s="28" t="str">
        <x:f>IF($A417="","",IF(AB417&gt;=70,"P0 - Immediate",IF(AB417&gt;=50,"P1 - High",IF(AB417&gt;=30,"P2 - Medium",IF(AB417&gt;=15,"P3 - Low","P4 - Monitor")))))</x:f>
      </x:c>
      <x:c r="AD417" s="28"/>
      <x:c r="AE417" s="28"/>
      <x:c r="AF417" s="28"/>
      <x:c r="AG417" s="58"/>
      <x:c r="AH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56"/>
      <x:c r="J418" s="28"/>
      <x:c r="K418" s="28"/>
      <x:c r="L418" s="56"/>
      <x:c r="M418" s="28"/>
      <x:c r="N418" s="28"/>
      <x:c r="O418" s="28"/>
      <x:c r="P418" s="28"/>
      <x:c r="Q418" s="28"/>
      <x:c r="R418" s="28"/>
      <x:c r="S418" s="28"/>
      <x:c r="T418" s="28"/>
      <x:c r="U418" s="28"/>
      <x:c r="V418" s="28"/>
      <x:c r="W418" s="28"/>
      <x:c r="X418" s="28"/>
      <x:c r="Y418" s="28"/>
      <x:c r="Z418" s="28"/>
      <x:c r="AA418" s="28"/>
      <x:c r="AB418" s="56" t="str">
        <x:f>IF($A418="","",IF(Z418="Y",20,IF(Z418="Unknown",10,0))+$L418*5+IF(AA418="Y",15,IF(AA418="Unknown",5,0))+IF($J418="Public",10,IF($J418="Partner",7,IF($J418="Internal",3,0)))+IF($W418="Hard-coded",10,IF($W418="Unknown",7,IF($W418="Configurable",3,0)))+IF($I418&gt;=10,10,IF($I418&gt;=5,7,IF($I418&gt;=2,3,0)))+IF($K418="High",10,IF($K418="Medium",5,0)))</x:f>
      </x:c>
      <x:c r="AC418" s="28" t="str">
        <x:f>IF($A418="","",IF(AB418&gt;=70,"P0 - Immediate",IF(AB418&gt;=50,"P1 - High",IF(AB418&gt;=30,"P2 - Medium",IF(AB418&gt;=15,"P3 - Low","P4 - Monitor")))))</x:f>
      </x:c>
      <x:c r="AD418" s="28"/>
      <x:c r="AE418" s="28"/>
      <x:c r="AF418" s="28"/>
      <x:c r="AG418" s="58"/>
      <x:c r="AH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56"/>
      <x:c r="J419" s="28"/>
      <x:c r="K419" s="28"/>
      <x:c r="L419" s="56"/>
      <x:c r="M419" s="28"/>
      <x:c r="N419" s="28"/>
      <x:c r="O419" s="28"/>
      <x:c r="P419" s="28"/>
      <x:c r="Q419" s="28"/>
      <x:c r="R419" s="28"/>
      <x:c r="S419" s="28"/>
      <x:c r="T419" s="28"/>
      <x:c r="U419" s="28"/>
      <x:c r="V419" s="28"/>
      <x:c r="W419" s="28"/>
      <x:c r="X419" s="28"/>
      <x:c r="Y419" s="28"/>
      <x:c r="Z419" s="28"/>
      <x:c r="AA419" s="28"/>
      <x:c r="AB419" s="56" t="str">
        <x:f>IF($A419="","",IF(Z419="Y",20,IF(Z419="Unknown",10,0))+$L419*5+IF(AA419="Y",15,IF(AA419="Unknown",5,0))+IF($J419="Public",10,IF($J419="Partner",7,IF($J419="Internal",3,0)))+IF($W419="Hard-coded",10,IF($W419="Unknown",7,IF($W419="Configurable",3,0)))+IF($I419&gt;=10,10,IF($I419&gt;=5,7,IF($I419&gt;=2,3,0)))+IF($K419="High",10,IF($K419="Medium",5,0)))</x:f>
      </x:c>
      <x:c r="AC419" s="28" t="str">
        <x:f>IF($A419="","",IF(AB419&gt;=70,"P0 - Immediate",IF(AB419&gt;=50,"P1 - High",IF(AB419&gt;=30,"P2 - Medium",IF(AB419&gt;=15,"P3 - Low","P4 - Monitor")))))</x:f>
      </x:c>
      <x:c r="AD419" s="28"/>
      <x:c r="AE419" s="28"/>
      <x:c r="AF419" s="28"/>
      <x:c r="AG419" s="58"/>
      <x:c r="AH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56"/>
      <x:c r="J420" s="28"/>
      <x:c r="K420" s="28"/>
      <x:c r="L420" s="56"/>
      <x:c r="M420" s="28"/>
      <x:c r="N420" s="28"/>
      <x:c r="O420" s="28"/>
      <x:c r="P420" s="28"/>
      <x:c r="Q420" s="28"/>
      <x:c r="R420" s="28"/>
      <x:c r="S420" s="28"/>
      <x:c r="T420" s="28"/>
      <x:c r="U420" s="28"/>
      <x:c r="V420" s="28"/>
      <x:c r="W420" s="28"/>
      <x:c r="X420" s="28"/>
      <x:c r="Y420" s="28"/>
      <x:c r="Z420" s="28"/>
      <x:c r="AA420" s="28"/>
      <x:c r="AB420" s="56" t="str">
        <x:f>IF($A420="","",IF(Z420="Y",20,IF(Z420="Unknown",10,0))+$L420*5+IF(AA420="Y",15,IF(AA420="Unknown",5,0))+IF($J420="Public",10,IF($J420="Partner",7,IF($J420="Internal",3,0)))+IF($W420="Hard-coded",10,IF($W420="Unknown",7,IF($W420="Configurable",3,0)))+IF($I420&gt;=10,10,IF($I420&gt;=5,7,IF($I420&gt;=2,3,0)))+IF($K420="High",10,IF($K420="Medium",5,0)))</x:f>
      </x:c>
      <x:c r="AC420" s="28" t="str">
        <x:f>IF($A420="","",IF(AB420&gt;=70,"P0 - Immediate",IF(AB420&gt;=50,"P1 - High",IF(AB420&gt;=30,"P2 - Medium",IF(AB420&gt;=15,"P3 - Low","P4 - Monitor")))))</x:f>
      </x:c>
      <x:c r="AD420" s="28"/>
      <x:c r="AE420" s="28"/>
      <x:c r="AF420" s="28"/>
      <x:c r="AG420" s="58"/>
      <x:c r="AH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56"/>
      <x:c r="J421" s="28"/>
      <x:c r="K421" s="28"/>
      <x:c r="L421" s="56"/>
      <x:c r="M421" s="28"/>
      <x:c r="N421" s="28"/>
      <x:c r="O421" s="28"/>
      <x:c r="P421" s="28"/>
      <x:c r="Q421" s="28"/>
      <x:c r="R421" s="28"/>
      <x:c r="S421" s="28"/>
      <x:c r="T421" s="28"/>
      <x:c r="U421" s="28"/>
      <x:c r="V421" s="28"/>
      <x:c r="W421" s="28"/>
      <x:c r="X421" s="28"/>
      <x:c r="Y421" s="28"/>
      <x:c r="Z421" s="28"/>
      <x:c r="AA421" s="28"/>
      <x:c r="AB421" s="56" t="str">
        <x:f>IF($A421="","",IF(Z421="Y",20,IF(Z421="Unknown",10,0))+$L421*5+IF(AA421="Y",15,IF(AA421="Unknown",5,0))+IF($J421="Public",10,IF($J421="Partner",7,IF($J421="Internal",3,0)))+IF($W421="Hard-coded",10,IF($W421="Unknown",7,IF($W421="Configurable",3,0)))+IF($I421&gt;=10,10,IF($I421&gt;=5,7,IF($I421&gt;=2,3,0)))+IF($K421="High",10,IF($K421="Medium",5,0)))</x:f>
      </x:c>
      <x:c r="AC421" s="28" t="str">
        <x:f>IF($A421="","",IF(AB421&gt;=70,"P0 - Immediate",IF(AB421&gt;=50,"P1 - High",IF(AB421&gt;=30,"P2 - Medium",IF(AB421&gt;=15,"P3 - Low","P4 - Monitor")))))</x:f>
      </x:c>
      <x:c r="AD421" s="28"/>
      <x:c r="AE421" s="28"/>
      <x:c r="AF421" s="28"/>
      <x:c r="AG421" s="58"/>
      <x:c r="AH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56"/>
      <x:c r="J422" s="28"/>
      <x:c r="K422" s="28"/>
      <x:c r="L422" s="56"/>
      <x:c r="M422" s="28"/>
      <x:c r="N422" s="28"/>
      <x:c r="O422" s="28"/>
      <x:c r="P422" s="28"/>
      <x:c r="Q422" s="28"/>
      <x:c r="R422" s="28"/>
      <x:c r="S422" s="28"/>
      <x:c r="T422" s="28"/>
      <x:c r="U422" s="28"/>
      <x:c r="V422" s="28"/>
      <x:c r="W422" s="28"/>
      <x:c r="X422" s="28"/>
      <x:c r="Y422" s="28"/>
      <x:c r="Z422" s="28"/>
      <x:c r="AA422" s="28"/>
      <x:c r="AB422" s="56" t="str">
        <x:f>IF($A422="","",IF(Z422="Y",20,IF(Z422="Unknown",10,0))+$L422*5+IF(AA422="Y",15,IF(AA422="Unknown",5,0))+IF($J422="Public",10,IF($J422="Partner",7,IF($J422="Internal",3,0)))+IF($W422="Hard-coded",10,IF($W422="Unknown",7,IF($W422="Configurable",3,0)))+IF($I422&gt;=10,10,IF($I422&gt;=5,7,IF($I422&gt;=2,3,0)))+IF($K422="High",10,IF($K422="Medium",5,0)))</x:f>
      </x:c>
      <x:c r="AC422" s="28" t="str">
        <x:f>IF($A422="","",IF(AB422&gt;=70,"P0 - Immediate",IF(AB422&gt;=50,"P1 - High",IF(AB422&gt;=30,"P2 - Medium",IF(AB422&gt;=15,"P3 - Low","P4 - Monitor")))))</x:f>
      </x:c>
      <x:c r="AD422" s="28"/>
      <x:c r="AE422" s="28"/>
      <x:c r="AF422" s="28"/>
      <x:c r="AG422" s="58"/>
      <x:c r="AH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56"/>
      <x:c r="J423" s="28"/>
      <x:c r="K423" s="28"/>
      <x:c r="L423" s="56"/>
      <x:c r="M423" s="28"/>
      <x:c r="N423" s="28"/>
      <x:c r="O423" s="28"/>
      <x:c r="P423" s="28"/>
      <x:c r="Q423" s="28"/>
      <x:c r="R423" s="28"/>
      <x:c r="S423" s="28"/>
      <x:c r="T423" s="28"/>
      <x:c r="U423" s="28"/>
      <x:c r="V423" s="28"/>
      <x:c r="W423" s="28"/>
      <x:c r="X423" s="28"/>
      <x:c r="Y423" s="28"/>
      <x:c r="Z423" s="28"/>
      <x:c r="AA423" s="28"/>
      <x:c r="AB423" s="56" t="str">
        <x:f>IF($A423="","",IF(Z423="Y",20,IF(Z423="Unknown",10,0))+$L423*5+IF(AA423="Y",15,IF(AA423="Unknown",5,0))+IF($J423="Public",10,IF($J423="Partner",7,IF($J423="Internal",3,0)))+IF($W423="Hard-coded",10,IF($W423="Unknown",7,IF($W423="Configurable",3,0)))+IF($I423&gt;=10,10,IF($I423&gt;=5,7,IF($I423&gt;=2,3,0)))+IF($K423="High",10,IF($K423="Medium",5,0)))</x:f>
      </x:c>
      <x:c r="AC423" s="28" t="str">
        <x:f>IF($A423="","",IF(AB423&gt;=70,"P0 - Immediate",IF(AB423&gt;=50,"P1 - High",IF(AB423&gt;=30,"P2 - Medium",IF(AB423&gt;=15,"P3 - Low","P4 - Monitor")))))</x:f>
      </x:c>
      <x:c r="AD423" s="28"/>
      <x:c r="AE423" s="28"/>
      <x:c r="AF423" s="28"/>
      <x:c r="AG423" s="58"/>
      <x:c r="AH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56"/>
      <x:c r="J424" s="28"/>
      <x:c r="K424" s="28"/>
      <x:c r="L424" s="56"/>
      <x:c r="M424" s="28"/>
      <x:c r="N424" s="28"/>
      <x:c r="O424" s="28"/>
      <x:c r="P424" s="28"/>
      <x:c r="Q424" s="28"/>
      <x:c r="R424" s="28"/>
      <x:c r="S424" s="28"/>
      <x:c r="T424" s="28"/>
      <x:c r="U424" s="28"/>
      <x:c r="V424" s="28"/>
      <x:c r="W424" s="28"/>
      <x:c r="X424" s="28"/>
      <x:c r="Y424" s="28"/>
      <x:c r="Z424" s="28"/>
      <x:c r="AA424" s="28"/>
      <x:c r="AB424" s="56" t="str">
        <x:f>IF($A424="","",IF(Z424="Y",20,IF(Z424="Unknown",10,0))+$L424*5+IF(AA424="Y",15,IF(AA424="Unknown",5,0))+IF($J424="Public",10,IF($J424="Partner",7,IF($J424="Internal",3,0)))+IF($W424="Hard-coded",10,IF($W424="Unknown",7,IF($W424="Configurable",3,0)))+IF($I424&gt;=10,10,IF($I424&gt;=5,7,IF($I424&gt;=2,3,0)))+IF($K424="High",10,IF($K424="Medium",5,0)))</x:f>
      </x:c>
      <x:c r="AC424" s="28" t="str">
        <x:f>IF($A424="","",IF(AB424&gt;=70,"P0 - Immediate",IF(AB424&gt;=50,"P1 - High",IF(AB424&gt;=30,"P2 - Medium",IF(AB424&gt;=15,"P3 - Low","P4 - Monitor")))))</x:f>
      </x:c>
      <x:c r="AD424" s="28"/>
      <x:c r="AE424" s="28"/>
      <x:c r="AF424" s="28"/>
      <x:c r="AG424" s="58"/>
      <x:c r="AH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56"/>
      <x:c r="J425" s="28"/>
      <x:c r="K425" s="28"/>
      <x:c r="L425" s="56"/>
      <x:c r="M425" s="28"/>
      <x:c r="N425" s="28"/>
      <x:c r="O425" s="28"/>
      <x:c r="P425" s="28"/>
      <x:c r="Q425" s="28"/>
      <x:c r="R425" s="28"/>
      <x:c r="S425" s="28"/>
      <x:c r="T425" s="28"/>
      <x:c r="U425" s="28"/>
      <x:c r="V425" s="28"/>
      <x:c r="W425" s="28"/>
      <x:c r="X425" s="28"/>
      <x:c r="Y425" s="28"/>
      <x:c r="Z425" s="28"/>
      <x:c r="AA425" s="28"/>
      <x:c r="AB425" s="56" t="str">
        <x:f>IF($A425="","",IF(Z425="Y",20,IF(Z425="Unknown",10,0))+$L425*5+IF(AA425="Y",15,IF(AA425="Unknown",5,0))+IF($J425="Public",10,IF($J425="Partner",7,IF($J425="Internal",3,0)))+IF($W425="Hard-coded",10,IF($W425="Unknown",7,IF($W425="Configurable",3,0)))+IF($I425&gt;=10,10,IF($I425&gt;=5,7,IF($I425&gt;=2,3,0)))+IF($K425="High",10,IF($K425="Medium",5,0)))</x:f>
      </x:c>
      <x:c r="AC425" s="28" t="str">
        <x:f>IF($A425="","",IF(AB425&gt;=70,"P0 - Immediate",IF(AB425&gt;=50,"P1 - High",IF(AB425&gt;=30,"P2 - Medium",IF(AB425&gt;=15,"P3 - Low","P4 - Monitor")))))</x:f>
      </x:c>
      <x:c r="AD425" s="28"/>
      <x:c r="AE425" s="28"/>
      <x:c r="AF425" s="28"/>
      <x:c r="AG425" s="58"/>
      <x:c r="AH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56"/>
      <x:c r="J426" s="28"/>
      <x:c r="K426" s="28"/>
      <x:c r="L426" s="56"/>
      <x:c r="M426" s="28"/>
      <x:c r="N426" s="28"/>
      <x:c r="O426" s="28"/>
      <x:c r="P426" s="28"/>
      <x:c r="Q426" s="28"/>
      <x:c r="R426" s="28"/>
      <x:c r="S426" s="28"/>
      <x:c r="T426" s="28"/>
      <x:c r="U426" s="28"/>
      <x:c r="V426" s="28"/>
      <x:c r="W426" s="28"/>
      <x:c r="X426" s="28"/>
      <x:c r="Y426" s="28"/>
      <x:c r="Z426" s="28"/>
      <x:c r="AA426" s="28"/>
      <x:c r="AB426" s="56" t="str">
        <x:f>IF($A426="","",IF(Z426="Y",20,IF(Z426="Unknown",10,0))+$L426*5+IF(AA426="Y",15,IF(AA426="Unknown",5,0))+IF($J426="Public",10,IF($J426="Partner",7,IF($J426="Internal",3,0)))+IF($W426="Hard-coded",10,IF($W426="Unknown",7,IF($W426="Configurable",3,0)))+IF($I426&gt;=10,10,IF($I426&gt;=5,7,IF($I426&gt;=2,3,0)))+IF($K426="High",10,IF($K426="Medium",5,0)))</x:f>
      </x:c>
      <x:c r="AC426" s="28" t="str">
        <x:f>IF($A426="","",IF(AB426&gt;=70,"P0 - Immediate",IF(AB426&gt;=50,"P1 - High",IF(AB426&gt;=30,"P2 - Medium",IF(AB426&gt;=15,"P3 - Low","P4 - Monitor")))))</x:f>
      </x:c>
      <x:c r="AD426" s="28"/>
      <x:c r="AE426" s="28"/>
      <x:c r="AF426" s="28"/>
      <x:c r="AG426" s="58"/>
      <x:c r="AH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56"/>
      <x:c r="J427" s="28"/>
      <x:c r="K427" s="28"/>
      <x:c r="L427" s="56"/>
      <x:c r="M427" s="28"/>
      <x:c r="N427" s="28"/>
      <x:c r="O427" s="28"/>
      <x:c r="P427" s="28"/>
      <x:c r="Q427" s="28"/>
      <x:c r="R427" s="28"/>
      <x:c r="S427" s="28"/>
      <x:c r="T427" s="28"/>
      <x:c r="U427" s="28"/>
      <x:c r="V427" s="28"/>
      <x:c r="W427" s="28"/>
      <x:c r="X427" s="28"/>
      <x:c r="Y427" s="28"/>
      <x:c r="Z427" s="28"/>
      <x:c r="AA427" s="28"/>
      <x:c r="AB427" s="56" t="str">
        <x:f>IF($A427="","",IF(Z427="Y",20,IF(Z427="Unknown",10,0))+$L427*5+IF(AA427="Y",15,IF(AA427="Unknown",5,0))+IF($J427="Public",10,IF($J427="Partner",7,IF($J427="Internal",3,0)))+IF($W427="Hard-coded",10,IF($W427="Unknown",7,IF($W427="Configurable",3,0)))+IF($I427&gt;=10,10,IF($I427&gt;=5,7,IF($I427&gt;=2,3,0)))+IF($K427="High",10,IF($K427="Medium",5,0)))</x:f>
      </x:c>
      <x:c r="AC427" s="28" t="str">
        <x:f>IF($A427="","",IF(AB427&gt;=70,"P0 - Immediate",IF(AB427&gt;=50,"P1 - High",IF(AB427&gt;=30,"P2 - Medium",IF(AB427&gt;=15,"P3 - Low","P4 - Monitor")))))</x:f>
      </x:c>
      <x:c r="AD427" s="28"/>
      <x:c r="AE427" s="28"/>
      <x:c r="AF427" s="28"/>
      <x:c r="AG427" s="58"/>
      <x:c r="AH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56"/>
      <x:c r="J428" s="28"/>
      <x:c r="K428" s="28"/>
      <x:c r="L428" s="56"/>
      <x:c r="M428" s="28"/>
      <x:c r="N428" s="28"/>
      <x:c r="O428" s="28"/>
      <x:c r="P428" s="28"/>
      <x:c r="Q428" s="28"/>
      <x:c r="R428" s="28"/>
      <x:c r="S428" s="28"/>
      <x:c r="T428" s="28"/>
      <x:c r="U428" s="28"/>
      <x:c r="V428" s="28"/>
      <x:c r="W428" s="28"/>
      <x:c r="X428" s="28"/>
      <x:c r="Y428" s="28"/>
      <x:c r="Z428" s="28"/>
      <x:c r="AA428" s="28"/>
      <x:c r="AB428" s="56" t="str">
        <x:f>IF($A428="","",IF(Z428="Y",20,IF(Z428="Unknown",10,0))+$L428*5+IF(AA428="Y",15,IF(AA428="Unknown",5,0))+IF($J428="Public",10,IF($J428="Partner",7,IF($J428="Internal",3,0)))+IF($W428="Hard-coded",10,IF($W428="Unknown",7,IF($W428="Configurable",3,0)))+IF($I428&gt;=10,10,IF($I428&gt;=5,7,IF($I428&gt;=2,3,0)))+IF($K428="High",10,IF($K428="Medium",5,0)))</x:f>
      </x:c>
      <x:c r="AC428" s="28" t="str">
        <x:f>IF($A428="","",IF(AB428&gt;=70,"P0 - Immediate",IF(AB428&gt;=50,"P1 - High",IF(AB428&gt;=30,"P2 - Medium",IF(AB428&gt;=15,"P3 - Low","P4 - Monitor")))))</x:f>
      </x:c>
      <x:c r="AD428" s="28"/>
      <x:c r="AE428" s="28"/>
      <x:c r="AF428" s="28"/>
      <x:c r="AG428" s="58"/>
      <x:c r="AH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56"/>
      <x:c r="J429" s="28"/>
      <x:c r="K429" s="28"/>
      <x:c r="L429" s="56"/>
      <x:c r="M429" s="28"/>
      <x:c r="N429" s="28"/>
      <x:c r="O429" s="28"/>
      <x:c r="P429" s="28"/>
      <x:c r="Q429" s="28"/>
      <x:c r="R429" s="28"/>
      <x:c r="S429" s="28"/>
      <x:c r="T429" s="28"/>
      <x:c r="U429" s="28"/>
      <x:c r="V429" s="28"/>
      <x:c r="W429" s="28"/>
      <x:c r="X429" s="28"/>
      <x:c r="Y429" s="28"/>
      <x:c r="Z429" s="28"/>
      <x:c r="AA429" s="28"/>
      <x:c r="AB429" s="56" t="str">
        <x:f>IF($A429="","",IF(Z429="Y",20,IF(Z429="Unknown",10,0))+$L429*5+IF(AA429="Y",15,IF(AA429="Unknown",5,0))+IF($J429="Public",10,IF($J429="Partner",7,IF($J429="Internal",3,0)))+IF($W429="Hard-coded",10,IF($W429="Unknown",7,IF($W429="Configurable",3,0)))+IF($I429&gt;=10,10,IF($I429&gt;=5,7,IF($I429&gt;=2,3,0)))+IF($K429="High",10,IF($K429="Medium",5,0)))</x:f>
      </x:c>
      <x:c r="AC429" s="28" t="str">
        <x:f>IF($A429="","",IF(AB429&gt;=70,"P0 - Immediate",IF(AB429&gt;=50,"P1 - High",IF(AB429&gt;=30,"P2 - Medium",IF(AB429&gt;=15,"P3 - Low","P4 - Monitor")))))</x:f>
      </x:c>
      <x:c r="AD429" s="28"/>
      <x:c r="AE429" s="28"/>
      <x:c r="AF429" s="28"/>
      <x:c r="AG429" s="58"/>
      <x:c r="AH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56"/>
      <x:c r="J430" s="28"/>
      <x:c r="K430" s="28"/>
      <x:c r="L430" s="56"/>
      <x:c r="M430" s="28"/>
      <x:c r="N430" s="28"/>
      <x:c r="O430" s="28"/>
      <x:c r="P430" s="28"/>
      <x:c r="Q430" s="28"/>
      <x:c r="R430" s="28"/>
      <x:c r="S430" s="28"/>
      <x:c r="T430" s="28"/>
      <x:c r="U430" s="28"/>
      <x:c r="V430" s="28"/>
      <x:c r="W430" s="28"/>
      <x:c r="X430" s="28"/>
      <x:c r="Y430" s="28"/>
      <x:c r="Z430" s="28"/>
      <x:c r="AA430" s="28"/>
      <x:c r="AB430" s="56" t="str">
        <x:f>IF($A430="","",IF(Z430="Y",20,IF(Z430="Unknown",10,0))+$L430*5+IF(AA430="Y",15,IF(AA430="Unknown",5,0))+IF($J430="Public",10,IF($J430="Partner",7,IF($J430="Internal",3,0)))+IF($W430="Hard-coded",10,IF($W430="Unknown",7,IF($W430="Configurable",3,0)))+IF($I430&gt;=10,10,IF($I430&gt;=5,7,IF($I430&gt;=2,3,0)))+IF($K430="High",10,IF($K430="Medium",5,0)))</x:f>
      </x:c>
      <x:c r="AC430" s="28" t="str">
        <x:f>IF($A430="","",IF(AB430&gt;=70,"P0 - Immediate",IF(AB430&gt;=50,"P1 - High",IF(AB430&gt;=30,"P2 - Medium",IF(AB430&gt;=15,"P3 - Low","P4 - Monitor")))))</x:f>
      </x:c>
      <x:c r="AD430" s="28"/>
      <x:c r="AE430" s="28"/>
      <x:c r="AF430" s="28"/>
      <x:c r="AG430" s="58"/>
      <x:c r="AH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56"/>
      <x:c r="J431" s="28"/>
      <x:c r="K431" s="28"/>
      <x:c r="L431" s="56"/>
      <x:c r="M431" s="28"/>
      <x:c r="N431" s="28"/>
      <x:c r="O431" s="28"/>
      <x:c r="P431" s="28"/>
      <x:c r="Q431" s="28"/>
      <x:c r="R431" s="28"/>
      <x:c r="S431" s="28"/>
      <x:c r="T431" s="28"/>
      <x:c r="U431" s="28"/>
      <x:c r="V431" s="28"/>
      <x:c r="W431" s="28"/>
      <x:c r="X431" s="28"/>
      <x:c r="Y431" s="28"/>
      <x:c r="Z431" s="28"/>
      <x:c r="AA431" s="28"/>
      <x:c r="AB431" s="56" t="str">
        <x:f>IF($A431="","",IF(Z431="Y",20,IF(Z431="Unknown",10,0))+$L431*5+IF(AA431="Y",15,IF(AA431="Unknown",5,0))+IF($J431="Public",10,IF($J431="Partner",7,IF($J431="Internal",3,0)))+IF($W431="Hard-coded",10,IF($W431="Unknown",7,IF($W431="Configurable",3,0)))+IF($I431&gt;=10,10,IF($I431&gt;=5,7,IF($I431&gt;=2,3,0)))+IF($K431="High",10,IF($K431="Medium",5,0)))</x:f>
      </x:c>
      <x:c r="AC431" s="28" t="str">
        <x:f>IF($A431="","",IF(AB431&gt;=70,"P0 - Immediate",IF(AB431&gt;=50,"P1 - High",IF(AB431&gt;=30,"P2 - Medium",IF(AB431&gt;=15,"P3 - Low","P4 - Monitor")))))</x:f>
      </x:c>
      <x:c r="AD431" s="28"/>
      <x:c r="AE431" s="28"/>
      <x:c r="AF431" s="28"/>
      <x:c r="AG431" s="58"/>
      <x:c r="AH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56"/>
      <x:c r="J432" s="28"/>
      <x:c r="K432" s="28"/>
      <x:c r="L432" s="56"/>
      <x:c r="M432" s="28"/>
      <x:c r="N432" s="28"/>
      <x:c r="O432" s="28"/>
      <x:c r="P432" s="28"/>
      <x:c r="Q432" s="28"/>
      <x:c r="R432" s="28"/>
      <x:c r="S432" s="28"/>
      <x:c r="T432" s="28"/>
      <x:c r="U432" s="28"/>
      <x:c r="V432" s="28"/>
      <x:c r="W432" s="28"/>
      <x:c r="X432" s="28"/>
      <x:c r="Y432" s="28"/>
      <x:c r="Z432" s="28"/>
      <x:c r="AA432" s="28"/>
      <x:c r="AB432" s="56" t="str">
        <x:f>IF($A432="","",IF(Z432="Y",20,IF(Z432="Unknown",10,0))+$L432*5+IF(AA432="Y",15,IF(AA432="Unknown",5,0))+IF($J432="Public",10,IF($J432="Partner",7,IF($J432="Internal",3,0)))+IF($W432="Hard-coded",10,IF($W432="Unknown",7,IF($W432="Configurable",3,0)))+IF($I432&gt;=10,10,IF($I432&gt;=5,7,IF($I432&gt;=2,3,0)))+IF($K432="High",10,IF($K432="Medium",5,0)))</x:f>
      </x:c>
      <x:c r="AC432" s="28" t="str">
        <x:f>IF($A432="","",IF(AB432&gt;=70,"P0 - Immediate",IF(AB432&gt;=50,"P1 - High",IF(AB432&gt;=30,"P2 - Medium",IF(AB432&gt;=15,"P3 - Low","P4 - Monitor")))))</x:f>
      </x:c>
      <x:c r="AD432" s="28"/>
      <x:c r="AE432" s="28"/>
      <x:c r="AF432" s="28"/>
      <x:c r="AG432" s="58"/>
      <x:c r="AH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56"/>
      <x:c r="J433" s="28"/>
      <x:c r="K433" s="28"/>
      <x:c r="L433" s="56"/>
      <x:c r="M433" s="28"/>
      <x:c r="N433" s="28"/>
      <x:c r="O433" s="28"/>
      <x:c r="P433" s="28"/>
      <x:c r="Q433" s="28"/>
      <x:c r="R433" s="28"/>
      <x:c r="S433" s="28"/>
      <x:c r="T433" s="28"/>
      <x:c r="U433" s="28"/>
      <x:c r="V433" s="28"/>
      <x:c r="W433" s="28"/>
      <x:c r="X433" s="28"/>
      <x:c r="Y433" s="28"/>
      <x:c r="Z433" s="28"/>
      <x:c r="AA433" s="28"/>
      <x:c r="AB433" s="56" t="str">
        <x:f>IF($A433="","",IF(Z433="Y",20,IF(Z433="Unknown",10,0))+$L433*5+IF(AA433="Y",15,IF(AA433="Unknown",5,0))+IF($J433="Public",10,IF($J433="Partner",7,IF($J433="Internal",3,0)))+IF($W433="Hard-coded",10,IF($W433="Unknown",7,IF($W433="Configurable",3,0)))+IF($I433&gt;=10,10,IF($I433&gt;=5,7,IF($I433&gt;=2,3,0)))+IF($K433="High",10,IF($K433="Medium",5,0)))</x:f>
      </x:c>
      <x:c r="AC433" s="28" t="str">
        <x:f>IF($A433="","",IF(AB433&gt;=70,"P0 - Immediate",IF(AB433&gt;=50,"P1 - High",IF(AB433&gt;=30,"P2 - Medium",IF(AB433&gt;=15,"P3 - Low","P4 - Monitor")))))</x:f>
      </x:c>
      <x:c r="AD433" s="28"/>
      <x:c r="AE433" s="28"/>
      <x:c r="AF433" s="28"/>
      <x:c r="AG433" s="58"/>
      <x:c r="AH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56"/>
      <x:c r="J434" s="28"/>
      <x:c r="K434" s="28"/>
      <x:c r="L434" s="56"/>
      <x:c r="M434" s="28"/>
      <x:c r="N434" s="28"/>
      <x:c r="O434" s="28"/>
      <x:c r="P434" s="28"/>
      <x:c r="Q434" s="28"/>
      <x:c r="R434" s="28"/>
      <x:c r="S434" s="28"/>
      <x:c r="T434" s="28"/>
      <x:c r="U434" s="28"/>
      <x:c r="V434" s="28"/>
      <x:c r="W434" s="28"/>
      <x:c r="X434" s="28"/>
      <x:c r="Y434" s="28"/>
      <x:c r="Z434" s="28"/>
      <x:c r="AA434" s="28"/>
      <x:c r="AB434" s="56" t="str">
        <x:f>IF($A434="","",IF(Z434="Y",20,IF(Z434="Unknown",10,0))+$L434*5+IF(AA434="Y",15,IF(AA434="Unknown",5,0))+IF($J434="Public",10,IF($J434="Partner",7,IF($J434="Internal",3,0)))+IF($W434="Hard-coded",10,IF($W434="Unknown",7,IF($W434="Configurable",3,0)))+IF($I434&gt;=10,10,IF($I434&gt;=5,7,IF($I434&gt;=2,3,0)))+IF($K434="High",10,IF($K434="Medium",5,0)))</x:f>
      </x:c>
      <x:c r="AC434" s="28" t="str">
        <x:f>IF($A434="","",IF(AB434&gt;=70,"P0 - Immediate",IF(AB434&gt;=50,"P1 - High",IF(AB434&gt;=30,"P2 - Medium",IF(AB434&gt;=15,"P3 - Low","P4 - Monitor")))))</x:f>
      </x:c>
      <x:c r="AD434" s="28"/>
      <x:c r="AE434" s="28"/>
      <x:c r="AF434" s="28"/>
      <x:c r="AG434" s="58"/>
      <x:c r="AH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56"/>
      <x:c r="J435" s="28"/>
      <x:c r="K435" s="28"/>
      <x:c r="L435" s="56"/>
      <x:c r="M435" s="28"/>
      <x:c r="N435" s="28"/>
      <x:c r="O435" s="28"/>
      <x:c r="P435" s="28"/>
      <x:c r="Q435" s="28"/>
      <x:c r="R435" s="28"/>
      <x:c r="S435" s="28"/>
      <x:c r="T435" s="28"/>
      <x:c r="U435" s="28"/>
      <x:c r="V435" s="28"/>
      <x:c r="W435" s="28"/>
      <x:c r="X435" s="28"/>
      <x:c r="Y435" s="28"/>
      <x:c r="Z435" s="28"/>
      <x:c r="AA435" s="28"/>
      <x:c r="AB435" s="56" t="str">
        <x:f>IF($A435="","",IF(Z435="Y",20,IF(Z435="Unknown",10,0))+$L435*5+IF(AA435="Y",15,IF(AA435="Unknown",5,0))+IF($J435="Public",10,IF($J435="Partner",7,IF($J435="Internal",3,0)))+IF($W435="Hard-coded",10,IF($W435="Unknown",7,IF($W435="Configurable",3,0)))+IF($I435&gt;=10,10,IF($I435&gt;=5,7,IF($I435&gt;=2,3,0)))+IF($K435="High",10,IF($K435="Medium",5,0)))</x:f>
      </x:c>
      <x:c r="AC435" s="28" t="str">
        <x:f>IF($A435="","",IF(AB435&gt;=70,"P0 - Immediate",IF(AB435&gt;=50,"P1 - High",IF(AB435&gt;=30,"P2 - Medium",IF(AB435&gt;=15,"P3 - Low","P4 - Monitor")))))</x:f>
      </x:c>
      <x:c r="AD435" s="28"/>
      <x:c r="AE435" s="28"/>
      <x:c r="AF435" s="28"/>
      <x:c r="AG435" s="58"/>
      <x:c r="AH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56"/>
      <x:c r="J436" s="28"/>
      <x:c r="K436" s="28"/>
      <x:c r="L436" s="56"/>
      <x:c r="M436" s="28"/>
      <x:c r="N436" s="28"/>
      <x:c r="O436" s="28"/>
      <x:c r="P436" s="28"/>
      <x:c r="Q436" s="28"/>
      <x:c r="R436" s="28"/>
      <x:c r="S436" s="28"/>
      <x:c r="T436" s="28"/>
      <x:c r="U436" s="28"/>
      <x:c r="V436" s="28"/>
      <x:c r="W436" s="28"/>
      <x:c r="X436" s="28"/>
      <x:c r="Y436" s="28"/>
      <x:c r="Z436" s="28"/>
      <x:c r="AA436" s="28"/>
      <x:c r="AB436" s="56" t="str">
        <x:f>IF($A436="","",IF(Z436="Y",20,IF(Z436="Unknown",10,0))+$L436*5+IF(AA436="Y",15,IF(AA436="Unknown",5,0))+IF($J436="Public",10,IF($J436="Partner",7,IF($J436="Internal",3,0)))+IF($W436="Hard-coded",10,IF($W436="Unknown",7,IF($W436="Configurable",3,0)))+IF($I436&gt;=10,10,IF($I436&gt;=5,7,IF($I436&gt;=2,3,0)))+IF($K436="High",10,IF($K436="Medium",5,0)))</x:f>
      </x:c>
      <x:c r="AC436" s="28" t="str">
        <x:f>IF($A436="","",IF(AB436&gt;=70,"P0 - Immediate",IF(AB436&gt;=50,"P1 - High",IF(AB436&gt;=30,"P2 - Medium",IF(AB436&gt;=15,"P3 - Low","P4 - Monitor")))))</x:f>
      </x:c>
      <x:c r="AD436" s="28"/>
      <x:c r="AE436" s="28"/>
      <x:c r="AF436" s="28"/>
      <x:c r="AG436" s="58"/>
      <x:c r="AH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56"/>
      <x:c r="J437" s="28"/>
      <x:c r="K437" s="28"/>
      <x:c r="L437" s="56"/>
      <x:c r="M437" s="28"/>
      <x:c r="N437" s="28"/>
      <x:c r="O437" s="28"/>
      <x:c r="P437" s="28"/>
      <x:c r="Q437" s="28"/>
      <x:c r="R437" s="28"/>
      <x:c r="S437" s="28"/>
      <x:c r="T437" s="28"/>
      <x:c r="U437" s="28"/>
      <x:c r="V437" s="28"/>
      <x:c r="W437" s="28"/>
      <x:c r="X437" s="28"/>
      <x:c r="Y437" s="28"/>
      <x:c r="Z437" s="28"/>
      <x:c r="AA437" s="28"/>
      <x:c r="AB437" s="56" t="str">
        <x:f>IF($A437="","",IF(Z437="Y",20,IF(Z437="Unknown",10,0))+$L437*5+IF(AA437="Y",15,IF(AA437="Unknown",5,0))+IF($J437="Public",10,IF($J437="Partner",7,IF($J437="Internal",3,0)))+IF($W437="Hard-coded",10,IF($W437="Unknown",7,IF($W437="Configurable",3,0)))+IF($I437&gt;=10,10,IF($I437&gt;=5,7,IF($I437&gt;=2,3,0)))+IF($K437="High",10,IF($K437="Medium",5,0)))</x:f>
      </x:c>
      <x:c r="AC437" s="28" t="str">
        <x:f>IF($A437="","",IF(AB437&gt;=70,"P0 - Immediate",IF(AB437&gt;=50,"P1 - High",IF(AB437&gt;=30,"P2 - Medium",IF(AB437&gt;=15,"P3 - Low","P4 - Monitor")))))</x:f>
      </x:c>
      <x:c r="AD437" s="28"/>
      <x:c r="AE437" s="28"/>
      <x:c r="AF437" s="28"/>
      <x:c r="AG437" s="58"/>
      <x:c r="AH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56"/>
      <x:c r="J438" s="28"/>
      <x:c r="K438" s="28"/>
      <x:c r="L438" s="56"/>
      <x:c r="M438" s="28"/>
      <x:c r="N438" s="28"/>
      <x:c r="O438" s="28"/>
      <x:c r="P438" s="28"/>
      <x:c r="Q438" s="28"/>
      <x:c r="R438" s="28"/>
      <x:c r="S438" s="28"/>
      <x:c r="T438" s="28"/>
      <x:c r="U438" s="28"/>
      <x:c r="V438" s="28"/>
      <x:c r="W438" s="28"/>
      <x:c r="X438" s="28"/>
      <x:c r="Y438" s="28"/>
      <x:c r="Z438" s="28"/>
      <x:c r="AA438" s="28"/>
      <x:c r="AB438" s="56" t="str">
        <x:f>IF($A438="","",IF(Z438="Y",20,IF(Z438="Unknown",10,0))+$L438*5+IF(AA438="Y",15,IF(AA438="Unknown",5,0))+IF($J438="Public",10,IF($J438="Partner",7,IF($J438="Internal",3,0)))+IF($W438="Hard-coded",10,IF($W438="Unknown",7,IF($W438="Configurable",3,0)))+IF($I438&gt;=10,10,IF($I438&gt;=5,7,IF($I438&gt;=2,3,0)))+IF($K438="High",10,IF($K438="Medium",5,0)))</x:f>
      </x:c>
      <x:c r="AC438" s="28" t="str">
        <x:f>IF($A438="","",IF(AB438&gt;=70,"P0 - Immediate",IF(AB438&gt;=50,"P1 - High",IF(AB438&gt;=30,"P2 - Medium",IF(AB438&gt;=15,"P3 - Low","P4 - Monitor")))))</x:f>
      </x:c>
      <x:c r="AD438" s="28"/>
      <x:c r="AE438" s="28"/>
      <x:c r="AF438" s="28"/>
      <x:c r="AG438" s="58"/>
      <x:c r="AH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56"/>
      <x:c r="J439" s="28"/>
      <x:c r="K439" s="28"/>
      <x:c r="L439" s="56"/>
      <x:c r="M439" s="28"/>
      <x:c r="N439" s="28"/>
      <x:c r="O439" s="28"/>
      <x:c r="P439" s="28"/>
      <x:c r="Q439" s="28"/>
      <x:c r="R439" s="28"/>
      <x:c r="S439" s="28"/>
      <x:c r="T439" s="28"/>
      <x:c r="U439" s="28"/>
      <x:c r="V439" s="28"/>
      <x:c r="W439" s="28"/>
      <x:c r="X439" s="28"/>
      <x:c r="Y439" s="28"/>
      <x:c r="Z439" s="28"/>
      <x:c r="AA439" s="28"/>
      <x:c r="AB439" s="56" t="str">
        <x:f>IF($A439="","",IF(Z439="Y",20,IF(Z439="Unknown",10,0))+$L439*5+IF(AA439="Y",15,IF(AA439="Unknown",5,0))+IF($J439="Public",10,IF($J439="Partner",7,IF($J439="Internal",3,0)))+IF($W439="Hard-coded",10,IF($W439="Unknown",7,IF($W439="Configurable",3,0)))+IF($I439&gt;=10,10,IF($I439&gt;=5,7,IF($I439&gt;=2,3,0)))+IF($K439="High",10,IF($K439="Medium",5,0)))</x:f>
      </x:c>
      <x:c r="AC439" s="28" t="str">
        <x:f>IF($A439="","",IF(AB439&gt;=70,"P0 - Immediate",IF(AB439&gt;=50,"P1 - High",IF(AB439&gt;=30,"P2 - Medium",IF(AB439&gt;=15,"P3 - Low","P4 - Monitor")))))</x:f>
      </x:c>
      <x:c r="AD439" s="28"/>
      <x:c r="AE439" s="28"/>
      <x:c r="AF439" s="28"/>
      <x:c r="AG439" s="58"/>
      <x:c r="AH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56"/>
      <x:c r="J440" s="28"/>
      <x:c r="K440" s="28"/>
      <x:c r="L440" s="56"/>
      <x:c r="M440" s="28"/>
      <x:c r="N440" s="28"/>
      <x:c r="O440" s="28"/>
      <x:c r="P440" s="28"/>
      <x:c r="Q440" s="28"/>
      <x:c r="R440" s="28"/>
      <x:c r="S440" s="28"/>
      <x:c r="T440" s="28"/>
      <x:c r="U440" s="28"/>
      <x:c r="V440" s="28"/>
      <x:c r="W440" s="28"/>
      <x:c r="X440" s="28"/>
      <x:c r="Y440" s="28"/>
      <x:c r="Z440" s="28"/>
      <x:c r="AA440" s="28"/>
      <x:c r="AB440" s="56" t="str">
        <x:f>IF($A440="","",IF(Z440="Y",20,IF(Z440="Unknown",10,0))+$L440*5+IF(AA440="Y",15,IF(AA440="Unknown",5,0))+IF($J440="Public",10,IF($J440="Partner",7,IF($J440="Internal",3,0)))+IF($W440="Hard-coded",10,IF($W440="Unknown",7,IF($W440="Configurable",3,0)))+IF($I440&gt;=10,10,IF($I440&gt;=5,7,IF($I440&gt;=2,3,0)))+IF($K440="High",10,IF($K440="Medium",5,0)))</x:f>
      </x:c>
      <x:c r="AC440" s="28" t="str">
        <x:f>IF($A440="","",IF(AB440&gt;=70,"P0 - Immediate",IF(AB440&gt;=50,"P1 - High",IF(AB440&gt;=30,"P2 - Medium",IF(AB440&gt;=15,"P3 - Low","P4 - Monitor")))))</x:f>
      </x:c>
      <x:c r="AD440" s="28"/>
      <x:c r="AE440" s="28"/>
      <x:c r="AF440" s="28"/>
      <x:c r="AG440" s="58"/>
      <x:c r="AH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56"/>
      <x:c r="J441" s="28"/>
      <x:c r="K441" s="28"/>
      <x:c r="L441" s="56"/>
      <x:c r="M441" s="28"/>
      <x:c r="N441" s="28"/>
      <x:c r="O441" s="28"/>
      <x:c r="P441" s="28"/>
      <x:c r="Q441" s="28"/>
      <x:c r="R441" s="28"/>
      <x:c r="S441" s="28"/>
      <x:c r="T441" s="28"/>
      <x:c r="U441" s="28"/>
      <x:c r="V441" s="28"/>
      <x:c r="W441" s="28"/>
      <x:c r="X441" s="28"/>
      <x:c r="Y441" s="28"/>
      <x:c r="Z441" s="28"/>
      <x:c r="AA441" s="28"/>
      <x:c r="AB441" s="56" t="str">
        <x:f>IF($A441="","",IF(Z441="Y",20,IF(Z441="Unknown",10,0))+$L441*5+IF(AA441="Y",15,IF(AA441="Unknown",5,0))+IF($J441="Public",10,IF($J441="Partner",7,IF($J441="Internal",3,0)))+IF($W441="Hard-coded",10,IF($W441="Unknown",7,IF($W441="Configurable",3,0)))+IF($I441&gt;=10,10,IF($I441&gt;=5,7,IF($I441&gt;=2,3,0)))+IF($K441="High",10,IF($K441="Medium",5,0)))</x:f>
      </x:c>
      <x:c r="AC441" s="28" t="str">
        <x:f>IF($A441="","",IF(AB441&gt;=70,"P0 - Immediate",IF(AB441&gt;=50,"P1 - High",IF(AB441&gt;=30,"P2 - Medium",IF(AB441&gt;=15,"P3 - Low","P4 - Monitor")))))</x:f>
      </x:c>
      <x:c r="AD441" s="28"/>
      <x:c r="AE441" s="28"/>
      <x:c r="AF441" s="28"/>
      <x:c r="AG441" s="58"/>
      <x:c r="AH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56"/>
      <x:c r="J442" s="28"/>
      <x:c r="K442" s="28"/>
      <x:c r="L442" s="56"/>
      <x:c r="M442" s="28"/>
      <x:c r="N442" s="28"/>
      <x:c r="O442" s="28"/>
      <x:c r="P442" s="28"/>
      <x:c r="Q442" s="28"/>
      <x:c r="R442" s="28"/>
      <x:c r="S442" s="28"/>
      <x:c r="T442" s="28"/>
      <x:c r="U442" s="28"/>
      <x:c r="V442" s="28"/>
      <x:c r="W442" s="28"/>
      <x:c r="X442" s="28"/>
      <x:c r="Y442" s="28"/>
      <x:c r="Z442" s="28"/>
      <x:c r="AA442" s="28"/>
      <x:c r="AB442" s="56" t="str">
        <x:f>IF($A442="","",IF(Z442="Y",20,IF(Z442="Unknown",10,0))+$L442*5+IF(AA442="Y",15,IF(AA442="Unknown",5,0))+IF($J442="Public",10,IF($J442="Partner",7,IF($J442="Internal",3,0)))+IF($W442="Hard-coded",10,IF($W442="Unknown",7,IF($W442="Configurable",3,0)))+IF($I442&gt;=10,10,IF($I442&gt;=5,7,IF($I442&gt;=2,3,0)))+IF($K442="High",10,IF($K442="Medium",5,0)))</x:f>
      </x:c>
      <x:c r="AC442" s="28" t="str">
        <x:f>IF($A442="","",IF(AB442&gt;=70,"P0 - Immediate",IF(AB442&gt;=50,"P1 - High",IF(AB442&gt;=30,"P2 - Medium",IF(AB442&gt;=15,"P3 - Low","P4 - Monitor")))))</x:f>
      </x:c>
      <x:c r="AD442" s="28"/>
      <x:c r="AE442" s="28"/>
      <x:c r="AF442" s="28"/>
      <x:c r="AG442" s="58"/>
      <x:c r="AH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56"/>
      <x:c r="J443" s="28"/>
      <x:c r="K443" s="28"/>
      <x:c r="L443" s="56"/>
      <x:c r="M443" s="28"/>
      <x:c r="N443" s="28"/>
      <x:c r="O443" s="28"/>
      <x:c r="P443" s="28"/>
      <x:c r="Q443" s="28"/>
      <x:c r="R443" s="28"/>
      <x:c r="S443" s="28"/>
      <x:c r="T443" s="28"/>
      <x:c r="U443" s="28"/>
      <x:c r="V443" s="28"/>
      <x:c r="W443" s="28"/>
      <x:c r="X443" s="28"/>
      <x:c r="Y443" s="28"/>
      <x:c r="Z443" s="28"/>
      <x:c r="AA443" s="28"/>
      <x:c r="AB443" s="56" t="str">
        <x:f>IF($A443="","",IF(Z443="Y",20,IF(Z443="Unknown",10,0))+$L443*5+IF(AA443="Y",15,IF(AA443="Unknown",5,0))+IF($J443="Public",10,IF($J443="Partner",7,IF($J443="Internal",3,0)))+IF($W443="Hard-coded",10,IF($W443="Unknown",7,IF($W443="Configurable",3,0)))+IF($I443&gt;=10,10,IF($I443&gt;=5,7,IF($I443&gt;=2,3,0)))+IF($K443="High",10,IF($K443="Medium",5,0)))</x:f>
      </x:c>
      <x:c r="AC443" s="28" t="str">
        <x:f>IF($A443="","",IF(AB443&gt;=70,"P0 - Immediate",IF(AB443&gt;=50,"P1 - High",IF(AB443&gt;=30,"P2 - Medium",IF(AB443&gt;=15,"P3 - Low","P4 - Monitor")))))</x:f>
      </x:c>
      <x:c r="AD443" s="28"/>
      <x:c r="AE443" s="28"/>
      <x:c r="AF443" s="28"/>
      <x:c r="AG443" s="58"/>
      <x:c r="AH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56"/>
      <x:c r="J444" s="28"/>
      <x:c r="K444" s="28"/>
      <x:c r="L444" s="56"/>
      <x:c r="M444" s="28"/>
      <x:c r="N444" s="28"/>
      <x:c r="O444" s="28"/>
      <x:c r="P444" s="28"/>
      <x:c r="Q444" s="28"/>
      <x:c r="R444" s="28"/>
      <x:c r="S444" s="28"/>
      <x:c r="T444" s="28"/>
      <x:c r="U444" s="28"/>
      <x:c r="V444" s="28"/>
      <x:c r="W444" s="28"/>
      <x:c r="X444" s="28"/>
      <x:c r="Y444" s="28"/>
      <x:c r="Z444" s="28"/>
      <x:c r="AA444" s="28"/>
      <x:c r="AB444" s="56" t="str">
        <x:f>IF($A444="","",IF(Z444="Y",20,IF(Z444="Unknown",10,0))+$L444*5+IF(AA444="Y",15,IF(AA444="Unknown",5,0))+IF($J444="Public",10,IF($J444="Partner",7,IF($J444="Internal",3,0)))+IF($W444="Hard-coded",10,IF($W444="Unknown",7,IF($W444="Configurable",3,0)))+IF($I444&gt;=10,10,IF($I444&gt;=5,7,IF($I444&gt;=2,3,0)))+IF($K444="High",10,IF($K444="Medium",5,0)))</x:f>
      </x:c>
      <x:c r="AC444" s="28" t="str">
        <x:f>IF($A444="","",IF(AB444&gt;=70,"P0 - Immediate",IF(AB444&gt;=50,"P1 - High",IF(AB444&gt;=30,"P2 - Medium",IF(AB444&gt;=15,"P3 - Low","P4 - Monitor")))))</x:f>
      </x:c>
      <x:c r="AD444" s="28"/>
      <x:c r="AE444" s="28"/>
      <x:c r="AF444" s="28"/>
      <x:c r="AG444" s="58"/>
      <x:c r="AH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56"/>
      <x:c r="J445" s="28"/>
      <x:c r="K445" s="28"/>
      <x:c r="L445" s="56"/>
      <x:c r="M445" s="28"/>
      <x:c r="N445" s="28"/>
      <x:c r="O445" s="28"/>
      <x:c r="P445" s="28"/>
      <x:c r="Q445" s="28"/>
      <x:c r="R445" s="28"/>
      <x:c r="S445" s="28"/>
      <x:c r="T445" s="28"/>
      <x:c r="U445" s="28"/>
      <x:c r="V445" s="28"/>
      <x:c r="W445" s="28"/>
      <x:c r="X445" s="28"/>
      <x:c r="Y445" s="28"/>
      <x:c r="Z445" s="28"/>
      <x:c r="AA445" s="28"/>
      <x:c r="AB445" s="56" t="str">
        <x:f>IF($A445="","",IF(Z445="Y",20,IF(Z445="Unknown",10,0))+$L445*5+IF(AA445="Y",15,IF(AA445="Unknown",5,0))+IF($J445="Public",10,IF($J445="Partner",7,IF($J445="Internal",3,0)))+IF($W445="Hard-coded",10,IF($W445="Unknown",7,IF($W445="Configurable",3,0)))+IF($I445&gt;=10,10,IF($I445&gt;=5,7,IF($I445&gt;=2,3,0)))+IF($K445="High",10,IF($K445="Medium",5,0)))</x:f>
      </x:c>
      <x:c r="AC445" s="28" t="str">
        <x:f>IF($A445="","",IF(AB445&gt;=70,"P0 - Immediate",IF(AB445&gt;=50,"P1 - High",IF(AB445&gt;=30,"P2 - Medium",IF(AB445&gt;=15,"P3 - Low","P4 - Monitor")))))</x:f>
      </x:c>
      <x:c r="AD445" s="28"/>
      <x:c r="AE445" s="28"/>
      <x:c r="AF445" s="28"/>
      <x:c r="AG445" s="58"/>
      <x:c r="AH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56"/>
      <x:c r="J446" s="28"/>
      <x:c r="K446" s="28"/>
      <x:c r="L446" s="56"/>
      <x:c r="M446" s="28"/>
      <x:c r="N446" s="28"/>
      <x:c r="O446" s="28"/>
      <x:c r="P446" s="28"/>
      <x:c r="Q446" s="28"/>
      <x:c r="R446" s="28"/>
      <x:c r="S446" s="28"/>
      <x:c r="T446" s="28"/>
      <x:c r="U446" s="28"/>
      <x:c r="V446" s="28"/>
      <x:c r="W446" s="28"/>
      <x:c r="X446" s="28"/>
      <x:c r="Y446" s="28"/>
      <x:c r="Z446" s="28"/>
      <x:c r="AA446" s="28"/>
      <x:c r="AB446" s="56" t="str">
        <x:f>IF($A446="","",IF(Z446="Y",20,IF(Z446="Unknown",10,0))+$L446*5+IF(AA446="Y",15,IF(AA446="Unknown",5,0))+IF($J446="Public",10,IF($J446="Partner",7,IF($J446="Internal",3,0)))+IF($W446="Hard-coded",10,IF($W446="Unknown",7,IF($W446="Configurable",3,0)))+IF($I446&gt;=10,10,IF($I446&gt;=5,7,IF($I446&gt;=2,3,0)))+IF($K446="High",10,IF($K446="Medium",5,0)))</x:f>
      </x:c>
      <x:c r="AC446" s="28" t="str">
        <x:f>IF($A446="","",IF(AB446&gt;=70,"P0 - Immediate",IF(AB446&gt;=50,"P1 - High",IF(AB446&gt;=30,"P2 - Medium",IF(AB446&gt;=15,"P3 - Low","P4 - Monitor")))))</x:f>
      </x:c>
      <x:c r="AD446" s="28"/>
      <x:c r="AE446" s="28"/>
      <x:c r="AF446" s="28"/>
      <x:c r="AG446" s="58"/>
      <x:c r="AH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56"/>
      <x:c r="J447" s="28"/>
      <x:c r="K447" s="28"/>
      <x:c r="L447" s="56"/>
      <x:c r="M447" s="28"/>
      <x:c r="N447" s="28"/>
      <x:c r="O447" s="28"/>
      <x:c r="P447" s="28"/>
      <x:c r="Q447" s="28"/>
      <x:c r="R447" s="28"/>
      <x:c r="S447" s="28"/>
      <x:c r="T447" s="28"/>
      <x:c r="U447" s="28"/>
      <x:c r="V447" s="28"/>
      <x:c r="W447" s="28"/>
      <x:c r="X447" s="28"/>
      <x:c r="Y447" s="28"/>
      <x:c r="Z447" s="28"/>
      <x:c r="AA447" s="28"/>
      <x:c r="AB447" s="56" t="str">
        <x:f>IF($A447="","",IF(Z447="Y",20,IF(Z447="Unknown",10,0))+$L447*5+IF(AA447="Y",15,IF(AA447="Unknown",5,0))+IF($J447="Public",10,IF($J447="Partner",7,IF($J447="Internal",3,0)))+IF($W447="Hard-coded",10,IF($W447="Unknown",7,IF($W447="Configurable",3,0)))+IF($I447&gt;=10,10,IF($I447&gt;=5,7,IF($I447&gt;=2,3,0)))+IF($K447="High",10,IF($K447="Medium",5,0)))</x:f>
      </x:c>
      <x:c r="AC447" s="28" t="str">
        <x:f>IF($A447="","",IF(AB447&gt;=70,"P0 - Immediate",IF(AB447&gt;=50,"P1 - High",IF(AB447&gt;=30,"P2 - Medium",IF(AB447&gt;=15,"P3 - Low","P4 - Monitor")))))</x:f>
      </x:c>
      <x:c r="AD447" s="28"/>
      <x:c r="AE447" s="28"/>
      <x:c r="AF447" s="28"/>
      <x:c r="AG447" s="58"/>
      <x:c r="AH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56"/>
      <x:c r="J448" s="28"/>
      <x:c r="K448" s="28"/>
      <x:c r="L448" s="56"/>
      <x:c r="M448" s="28"/>
      <x:c r="N448" s="28"/>
      <x:c r="O448" s="28"/>
      <x:c r="P448" s="28"/>
      <x:c r="Q448" s="28"/>
      <x:c r="R448" s="28"/>
      <x:c r="S448" s="28"/>
      <x:c r="T448" s="28"/>
      <x:c r="U448" s="28"/>
      <x:c r="V448" s="28"/>
      <x:c r="W448" s="28"/>
      <x:c r="X448" s="28"/>
      <x:c r="Y448" s="28"/>
      <x:c r="Z448" s="28"/>
      <x:c r="AA448" s="28"/>
      <x:c r="AB448" s="56" t="str">
        <x:f>IF($A448="","",IF(Z448="Y",20,IF(Z448="Unknown",10,0))+$L448*5+IF(AA448="Y",15,IF(AA448="Unknown",5,0))+IF($J448="Public",10,IF($J448="Partner",7,IF($J448="Internal",3,0)))+IF($W448="Hard-coded",10,IF($W448="Unknown",7,IF($W448="Configurable",3,0)))+IF($I448&gt;=10,10,IF($I448&gt;=5,7,IF($I448&gt;=2,3,0)))+IF($K448="High",10,IF($K448="Medium",5,0)))</x:f>
      </x:c>
      <x:c r="AC448" s="28" t="str">
        <x:f>IF($A448="","",IF(AB448&gt;=70,"P0 - Immediate",IF(AB448&gt;=50,"P1 - High",IF(AB448&gt;=30,"P2 - Medium",IF(AB448&gt;=15,"P3 - Low","P4 - Monitor")))))</x:f>
      </x:c>
      <x:c r="AD448" s="28"/>
      <x:c r="AE448" s="28"/>
      <x:c r="AF448" s="28"/>
      <x:c r="AG448" s="58"/>
      <x:c r="AH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56"/>
      <x:c r="J449" s="28"/>
      <x:c r="K449" s="28"/>
      <x:c r="L449" s="56"/>
      <x:c r="M449" s="28"/>
      <x:c r="N449" s="28"/>
      <x:c r="O449" s="28"/>
      <x:c r="P449" s="28"/>
      <x:c r="Q449" s="28"/>
      <x:c r="R449" s="28"/>
      <x:c r="S449" s="28"/>
      <x:c r="T449" s="28"/>
      <x:c r="U449" s="28"/>
      <x:c r="V449" s="28"/>
      <x:c r="W449" s="28"/>
      <x:c r="X449" s="28"/>
      <x:c r="Y449" s="28"/>
      <x:c r="Z449" s="28"/>
      <x:c r="AA449" s="28"/>
      <x:c r="AB449" s="56" t="str">
        <x:f>IF($A449="","",IF(Z449="Y",20,IF(Z449="Unknown",10,0))+$L449*5+IF(AA449="Y",15,IF(AA449="Unknown",5,0))+IF($J449="Public",10,IF($J449="Partner",7,IF($J449="Internal",3,0)))+IF($W449="Hard-coded",10,IF($W449="Unknown",7,IF($W449="Configurable",3,0)))+IF($I449&gt;=10,10,IF($I449&gt;=5,7,IF($I449&gt;=2,3,0)))+IF($K449="High",10,IF($K449="Medium",5,0)))</x:f>
      </x:c>
      <x:c r="AC449" s="28" t="str">
        <x:f>IF($A449="","",IF(AB449&gt;=70,"P0 - Immediate",IF(AB449&gt;=50,"P1 - High",IF(AB449&gt;=30,"P2 - Medium",IF(AB449&gt;=15,"P3 - Low","P4 - Monitor")))))</x:f>
      </x:c>
      <x:c r="AD449" s="28"/>
      <x:c r="AE449" s="28"/>
      <x:c r="AF449" s="28"/>
      <x:c r="AG449" s="58"/>
      <x:c r="AH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56"/>
      <x:c r="J450" s="28"/>
      <x:c r="K450" s="28"/>
      <x:c r="L450" s="56"/>
      <x:c r="M450" s="28"/>
      <x:c r="N450" s="28"/>
      <x:c r="O450" s="28"/>
      <x:c r="P450" s="28"/>
      <x:c r="Q450" s="28"/>
      <x:c r="R450" s="28"/>
      <x:c r="S450" s="28"/>
      <x:c r="T450" s="28"/>
      <x:c r="U450" s="28"/>
      <x:c r="V450" s="28"/>
      <x:c r="W450" s="28"/>
      <x:c r="X450" s="28"/>
      <x:c r="Y450" s="28"/>
      <x:c r="Z450" s="28"/>
      <x:c r="AA450" s="28"/>
      <x:c r="AB450" s="56" t="str">
        <x:f>IF($A450="","",IF(Z450="Y",20,IF(Z450="Unknown",10,0))+$L450*5+IF(AA450="Y",15,IF(AA450="Unknown",5,0))+IF($J450="Public",10,IF($J450="Partner",7,IF($J450="Internal",3,0)))+IF($W450="Hard-coded",10,IF($W450="Unknown",7,IF($W450="Configurable",3,0)))+IF($I450&gt;=10,10,IF($I450&gt;=5,7,IF($I450&gt;=2,3,0)))+IF($K450="High",10,IF($K450="Medium",5,0)))</x:f>
      </x:c>
      <x:c r="AC450" s="28" t="str">
        <x:f>IF($A450="","",IF(AB450&gt;=70,"P0 - Immediate",IF(AB450&gt;=50,"P1 - High",IF(AB450&gt;=30,"P2 - Medium",IF(AB450&gt;=15,"P3 - Low","P4 - Monitor")))))</x:f>
      </x:c>
      <x:c r="AD450" s="28"/>
      <x:c r="AE450" s="28"/>
      <x:c r="AF450" s="28"/>
      <x:c r="AG450" s="58"/>
      <x:c r="AH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56"/>
      <x:c r="J451" s="28"/>
      <x:c r="K451" s="28"/>
      <x:c r="L451" s="56"/>
      <x:c r="M451" s="28"/>
      <x:c r="N451" s="28"/>
      <x:c r="O451" s="28"/>
      <x:c r="P451" s="28"/>
      <x:c r="Q451" s="28"/>
      <x:c r="R451" s="28"/>
      <x:c r="S451" s="28"/>
      <x:c r="T451" s="28"/>
      <x:c r="U451" s="28"/>
      <x:c r="V451" s="28"/>
      <x:c r="W451" s="28"/>
      <x:c r="X451" s="28"/>
      <x:c r="Y451" s="28"/>
      <x:c r="Z451" s="28"/>
      <x:c r="AA451" s="28"/>
      <x:c r="AB451" s="56" t="str">
        <x:f>IF($A451="","",IF(Z451="Y",20,IF(Z451="Unknown",10,0))+$L451*5+IF(AA451="Y",15,IF(AA451="Unknown",5,0))+IF($J451="Public",10,IF($J451="Partner",7,IF($J451="Internal",3,0)))+IF($W451="Hard-coded",10,IF($W451="Unknown",7,IF($W451="Configurable",3,0)))+IF($I451&gt;=10,10,IF($I451&gt;=5,7,IF($I451&gt;=2,3,0)))+IF($K451="High",10,IF($K451="Medium",5,0)))</x:f>
      </x:c>
      <x:c r="AC451" s="28" t="str">
        <x:f>IF($A451="","",IF(AB451&gt;=70,"P0 - Immediate",IF(AB451&gt;=50,"P1 - High",IF(AB451&gt;=30,"P2 - Medium",IF(AB451&gt;=15,"P3 - Low","P4 - Monitor")))))</x:f>
      </x:c>
      <x:c r="AD451" s="28"/>
      <x:c r="AE451" s="28"/>
      <x:c r="AF451" s="28"/>
      <x:c r="AG451" s="58"/>
      <x:c r="AH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56"/>
      <x:c r="J452" s="28"/>
      <x:c r="K452" s="28"/>
      <x:c r="L452" s="56"/>
      <x:c r="M452" s="28"/>
      <x:c r="N452" s="28"/>
      <x:c r="O452" s="28"/>
      <x:c r="P452" s="28"/>
      <x:c r="Q452" s="28"/>
      <x:c r="R452" s="28"/>
      <x:c r="S452" s="28"/>
      <x:c r="T452" s="28"/>
      <x:c r="U452" s="28"/>
      <x:c r="V452" s="28"/>
      <x:c r="W452" s="28"/>
      <x:c r="X452" s="28"/>
      <x:c r="Y452" s="28"/>
      <x:c r="Z452" s="28"/>
      <x:c r="AA452" s="28"/>
      <x:c r="AB452" s="56" t="str">
        <x:f>IF($A452="","",IF(Z452="Y",20,IF(Z452="Unknown",10,0))+$L452*5+IF(AA452="Y",15,IF(AA452="Unknown",5,0))+IF($J452="Public",10,IF($J452="Partner",7,IF($J452="Internal",3,0)))+IF($W452="Hard-coded",10,IF($W452="Unknown",7,IF($W452="Configurable",3,0)))+IF($I452&gt;=10,10,IF($I452&gt;=5,7,IF($I452&gt;=2,3,0)))+IF($K452="High",10,IF($K452="Medium",5,0)))</x:f>
      </x:c>
      <x:c r="AC452" s="28" t="str">
        <x:f>IF($A452="","",IF(AB452&gt;=70,"P0 - Immediate",IF(AB452&gt;=50,"P1 - High",IF(AB452&gt;=30,"P2 - Medium",IF(AB452&gt;=15,"P3 - Low","P4 - Monitor")))))</x:f>
      </x:c>
      <x:c r="AD452" s="28"/>
      <x:c r="AE452" s="28"/>
      <x:c r="AF452" s="28"/>
      <x:c r="AG452" s="58"/>
      <x:c r="AH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56"/>
      <x:c r="J453" s="28"/>
      <x:c r="K453" s="28"/>
      <x:c r="L453" s="56"/>
      <x:c r="M453" s="28"/>
      <x:c r="N453" s="28"/>
      <x:c r="O453" s="28"/>
      <x:c r="P453" s="28"/>
      <x:c r="Q453" s="28"/>
      <x:c r="R453" s="28"/>
      <x:c r="S453" s="28"/>
      <x:c r="T453" s="28"/>
      <x:c r="U453" s="28"/>
      <x:c r="V453" s="28"/>
      <x:c r="W453" s="28"/>
      <x:c r="X453" s="28"/>
      <x:c r="Y453" s="28"/>
      <x:c r="Z453" s="28"/>
      <x:c r="AA453" s="28"/>
      <x:c r="AB453" s="56" t="str">
        <x:f>IF($A453="","",IF(Z453="Y",20,IF(Z453="Unknown",10,0))+$L453*5+IF(AA453="Y",15,IF(AA453="Unknown",5,0))+IF($J453="Public",10,IF($J453="Partner",7,IF($J453="Internal",3,0)))+IF($W453="Hard-coded",10,IF($W453="Unknown",7,IF($W453="Configurable",3,0)))+IF($I453&gt;=10,10,IF($I453&gt;=5,7,IF($I453&gt;=2,3,0)))+IF($K453="High",10,IF($K453="Medium",5,0)))</x:f>
      </x:c>
      <x:c r="AC453" s="28" t="str">
        <x:f>IF($A453="","",IF(AB453&gt;=70,"P0 - Immediate",IF(AB453&gt;=50,"P1 - High",IF(AB453&gt;=30,"P2 - Medium",IF(AB453&gt;=15,"P3 - Low","P4 - Monitor")))))</x:f>
      </x:c>
      <x:c r="AD453" s="28"/>
      <x:c r="AE453" s="28"/>
      <x:c r="AF453" s="28"/>
      <x:c r="AG453" s="58"/>
      <x:c r="AH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56"/>
      <x:c r="J454" s="28"/>
      <x:c r="K454" s="28"/>
      <x:c r="L454" s="56"/>
      <x:c r="M454" s="28"/>
      <x:c r="N454" s="28"/>
      <x:c r="O454" s="28"/>
      <x:c r="P454" s="28"/>
      <x:c r="Q454" s="28"/>
      <x:c r="R454" s="28"/>
      <x:c r="S454" s="28"/>
      <x:c r="T454" s="28"/>
      <x:c r="U454" s="28"/>
      <x:c r="V454" s="28"/>
      <x:c r="W454" s="28"/>
      <x:c r="X454" s="28"/>
      <x:c r="Y454" s="28"/>
      <x:c r="Z454" s="28"/>
      <x:c r="AA454" s="28"/>
      <x:c r="AB454" s="56" t="str">
        <x:f>IF($A454="","",IF(Z454="Y",20,IF(Z454="Unknown",10,0))+$L454*5+IF(AA454="Y",15,IF(AA454="Unknown",5,0))+IF($J454="Public",10,IF($J454="Partner",7,IF($J454="Internal",3,0)))+IF($W454="Hard-coded",10,IF($W454="Unknown",7,IF($W454="Configurable",3,0)))+IF($I454&gt;=10,10,IF($I454&gt;=5,7,IF($I454&gt;=2,3,0)))+IF($K454="High",10,IF($K454="Medium",5,0)))</x:f>
      </x:c>
      <x:c r="AC454" s="28" t="str">
        <x:f>IF($A454="","",IF(AB454&gt;=70,"P0 - Immediate",IF(AB454&gt;=50,"P1 - High",IF(AB454&gt;=30,"P2 - Medium",IF(AB454&gt;=15,"P3 - Low","P4 - Monitor")))))</x:f>
      </x:c>
      <x:c r="AD454" s="28"/>
      <x:c r="AE454" s="28"/>
      <x:c r="AF454" s="28"/>
      <x:c r="AG454" s="58"/>
      <x:c r="AH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56"/>
      <x:c r="J455" s="28"/>
      <x:c r="K455" s="28"/>
      <x:c r="L455" s="56"/>
      <x:c r="M455" s="28"/>
      <x:c r="N455" s="28"/>
      <x:c r="O455" s="28"/>
      <x:c r="P455" s="28"/>
      <x:c r="Q455" s="28"/>
      <x:c r="R455" s="28"/>
      <x:c r="S455" s="28"/>
      <x:c r="T455" s="28"/>
      <x:c r="U455" s="28"/>
      <x:c r="V455" s="28"/>
      <x:c r="W455" s="28"/>
      <x:c r="X455" s="28"/>
      <x:c r="Y455" s="28"/>
      <x:c r="Z455" s="28"/>
      <x:c r="AA455" s="28"/>
      <x:c r="AB455" s="56" t="str">
        <x:f>IF($A455="","",IF(Z455="Y",20,IF(Z455="Unknown",10,0))+$L455*5+IF(AA455="Y",15,IF(AA455="Unknown",5,0))+IF($J455="Public",10,IF($J455="Partner",7,IF($J455="Internal",3,0)))+IF($W455="Hard-coded",10,IF($W455="Unknown",7,IF($W455="Configurable",3,0)))+IF($I455&gt;=10,10,IF($I455&gt;=5,7,IF($I455&gt;=2,3,0)))+IF($K455="High",10,IF($K455="Medium",5,0)))</x:f>
      </x:c>
      <x:c r="AC455" s="28" t="str">
        <x:f>IF($A455="","",IF(AB455&gt;=70,"P0 - Immediate",IF(AB455&gt;=50,"P1 - High",IF(AB455&gt;=30,"P2 - Medium",IF(AB455&gt;=15,"P3 - Low","P4 - Monitor")))))</x:f>
      </x:c>
      <x:c r="AD455" s="28"/>
      <x:c r="AE455" s="28"/>
      <x:c r="AF455" s="28"/>
      <x:c r="AG455" s="58"/>
      <x:c r="AH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56"/>
      <x:c r="J456" s="28"/>
      <x:c r="K456" s="28"/>
      <x:c r="L456" s="56"/>
      <x:c r="M456" s="28"/>
      <x:c r="N456" s="28"/>
      <x:c r="O456" s="28"/>
      <x:c r="P456" s="28"/>
      <x:c r="Q456" s="28"/>
      <x:c r="R456" s="28"/>
      <x:c r="S456" s="28"/>
      <x:c r="T456" s="28"/>
      <x:c r="U456" s="28"/>
      <x:c r="V456" s="28"/>
      <x:c r="W456" s="28"/>
      <x:c r="X456" s="28"/>
      <x:c r="Y456" s="28"/>
      <x:c r="Z456" s="28"/>
      <x:c r="AA456" s="28"/>
      <x:c r="AB456" s="56" t="str">
        <x:f>IF($A456="","",IF(Z456="Y",20,IF(Z456="Unknown",10,0))+$L456*5+IF(AA456="Y",15,IF(AA456="Unknown",5,0))+IF($J456="Public",10,IF($J456="Partner",7,IF($J456="Internal",3,0)))+IF($W456="Hard-coded",10,IF($W456="Unknown",7,IF($W456="Configurable",3,0)))+IF($I456&gt;=10,10,IF($I456&gt;=5,7,IF($I456&gt;=2,3,0)))+IF($K456="High",10,IF($K456="Medium",5,0)))</x:f>
      </x:c>
      <x:c r="AC456" s="28" t="str">
        <x:f>IF($A456="","",IF(AB456&gt;=70,"P0 - Immediate",IF(AB456&gt;=50,"P1 - High",IF(AB456&gt;=30,"P2 - Medium",IF(AB456&gt;=15,"P3 - Low","P4 - Monitor")))))</x:f>
      </x:c>
      <x:c r="AD456" s="28"/>
      <x:c r="AE456" s="28"/>
      <x:c r="AF456" s="28"/>
      <x:c r="AG456" s="58"/>
      <x:c r="AH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56"/>
      <x:c r="J457" s="28"/>
      <x:c r="K457" s="28"/>
      <x:c r="L457" s="56"/>
      <x:c r="M457" s="28"/>
      <x:c r="N457" s="28"/>
      <x:c r="O457" s="28"/>
      <x:c r="P457" s="28"/>
      <x:c r="Q457" s="28"/>
      <x:c r="R457" s="28"/>
      <x:c r="S457" s="28"/>
      <x:c r="T457" s="28"/>
      <x:c r="U457" s="28"/>
      <x:c r="V457" s="28"/>
      <x:c r="W457" s="28"/>
      <x:c r="X457" s="28"/>
      <x:c r="Y457" s="28"/>
      <x:c r="Z457" s="28"/>
      <x:c r="AA457" s="28"/>
      <x:c r="AB457" s="56" t="str">
        <x:f>IF($A457="","",IF(Z457="Y",20,IF(Z457="Unknown",10,0))+$L457*5+IF(AA457="Y",15,IF(AA457="Unknown",5,0))+IF($J457="Public",10,IF($J457="Partner",7,IF($J457="Internal",3,0)))+IF($W457="Hard-coded",10,IF($W457="Unknown",7,IF($W457="Configurable",3,0)))+IF($I457&gt;=10,10,IF($I457&gt;=5,7,IF($I457&gt;=2,3,0)))+IF($K457="High",10,IF($K457="Medium",5,0)))</x:f>
      </x:c>
      <x:c r="AC457" s="28" t="str">
        <x:f>IF($A457="","",IF(AB457&gt;=70,"P0 - Immediate",IF(AB457&gt;=50,"P1 - High",IF(AB457&gt;=30,"P2 - Medium",IF(AB457&gt;=15,"P3 - Low","P4 - Monitor")))))</x:f>
      </x:c>
      <x:c r="AD457" s="28"/>
      <x:c r="AE457" s="28"/>
      <x:c r="AF457" s="28"/>
      <x:c r="AG457" s="58"/>
      <x:c r="AH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56"/>
      <x:c r="J458" s="28"/>
      <x:c r="K458" s="28"/>
      <x:c r="L458" s="56"/>
      <x:c r="M458" s="28"/>
      <x:c r="N458" s="28"/>
      <x:c r="O458" s="28"/>
      <x:c r="P458" s="28"/>
      <x:c r="Q458" s="28"/>
      <x:c r="R458" s="28"/>
      <x:c r="S458" s="28"/>
      <x:c r="T458" s="28"/>
      <x:c r="U458" s="28"/>
      <x:c r="V458" s="28"/>
      <x:c r="W458" s="28"/>
      <x:c r="X458" s="28"/>
      <x:c r="Y458" s="28"/>
      <x:c r="Z458" s="28"/>
      <x:c r="AA458" s="28"/>
      <x:c r="AB458" s="56" t="str">
        <x:f>IF($A458="","",IF(Z458="Y",20,IF(Z458="Unknown",10,0))+$L458*5+IF(AA458="Y",15,IF(AA458="Unknown",5,0))+IF($J458="Public",10,IF($J458="Partner",7,IF($J458="Internal",3,0)))+IF($W458="Hard-coded",10,IF($W458="Unknown",7,IF($W458="Configurable",3,0)))+IF($I458&gt;=10,10,IF($I458&gt;=5,7,IF($I458&gt;=2,3,0)))+IF($K458="High",10,IF($K458="Medium",5,0)))</x:f>
      </x:c>
      <x:c r="AC458" s="28" t="str">
        <x:f>IF($A458="","",IF(AB458&gt;=70,"P0 - Immediate",IF(AB458&gt;=50,"P1 - High",IF(AB458&gt;=30,"P2 - Medium",IF(AB458&gt;=15,"P3 - Low","P4 - Monitor")))))</x:f>
      </x:c>
      <x:c r="AD458" s="28"/>
      <x:c r="AE458" s="28"/>
      <x:c r="AF458" s="28"/>
      <x:c r="AG458" s="58"/>
      <x:c r="AH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56"/>
      <x:c r="J459" s="28"/>
      <x:c r="K459" s="28"/>
      <x:c r="L459" s="56"/>
      <x:c r="M459" s="28"/>
      <x:c r="N459" s="28"/>
      <x:c r="O459" s="28"/>
      <x:c r="P459" s="28"/>
      <x:c r="Q459" s="28"/>
      <x:c r="R459" s="28"/>
      <x:c r="S459" s="28"/>
      <x:c r="T459" s="28"/>
      <x:c r="U459" s="28"/>
      <x:c r="V459" s="28"/>
      <x:c r="W459" s="28"/>
      <x:c r="X459" s="28"/>
      <x:c r="Y459" s="28"/>
      <x:c r="Z459" s="28"/>
      <x:c r="AA459" s="28"/>
      <x:c r="AB459" s="56" t="str">
        <x:f>IF($A459="","",IF(Z459="Y",20,IF(Z459="Unknown",10,0))+$L459*5+IF(AA459="Y",15,IF(AA459="Unknown",5,0))+IF($J459="Public",10,IF($J459="Partner",7,IF($J459="Internal",3,0)))+IF($W459="Hard-coded",10,IF($W459="Unknown",7,IF($W459="Configurable",3,0)))+IF($I459&gt;=10,10,IF($I459&gt;=5,7,IF($I459&gt;=2,3,0)))+IF($K459="High",10,IF($K459="Medium",5,0)))</x:f>
      </x:c>
      <x:c r="AC459" s="28" t="str">
        <x:f>IF($A459="","",IF(AB459&gt;=70,"P0 - Immediate",IF(AB459&gt;=50,"P1 - High",IF(AB459&gt;=30,"P2 - Medium",IF(AB459&gt;=15,"P3 - Low","P4 - Monitor")))))</x:f>
      </x:c>
      <x:c r="AD459" s="28"/>
      <x:c r="AE459" s="28"/>
      <x:c r="AF459" s="28"/>
      <x:c r="AG459" s="58"/>
      <x:c r="AH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56"/>
      <x:c r="J460" s="28"/>
      <x:c r="K460" s="28"/>
      <x:c r="L460" s="56"/>
      <x:c r="M460" s="28"/>
      <x:c r="N460" s="28"/>
      <x:c r="O460" s="28"/>
      <x:c r="P460" s="28"/>
      <x:c r="Q460" s="28"/>
      <x:c r="R460" s="28"/>
      <x:c r="S460" s="28"/>
      <x:c r="T460" s="28"/>
      <x:c r="U460" s="28"/>
      <x:c r="V460" s="28"/>
      <x:c r="W460" s="28"/>
      <x:c r="X460" s="28"/>
      <x:c r="Y460" s="28"/>
      <x:c r="Z460" s="28"/>
      <x:c r="AA460" s="28"/>
      <x:c r="AB460" s="56" t="str">
        <x:f>IF($A460="","",IF(Z460="Y",20,IF(Z460="Unknown",10,0))+$L460*5+IF(AA460="Y",15,IF(AA460="Unknown",5,0))+IF($J460="Public",10,IF($J460="Partner",7,IF($J460="Internal",3,0)))+IF($W460="Hard-coded",10,IF($W460="Unknown",7,IF($W460="Configurable",3,0)))+IF($I460&gt;=10,10,IF($I460&gt;=5,7,IF($I460&gt;=2,3,0)))+IF($K460="High",10,IF($K460="Medium",5,0)))</x:f>
      </x:c>
      <x:c r="AC460" s="28" t="str">
        <x:f>IF($A460="","",IF(AB460&gt;=70,"P0 - Immediate",IF(AB460&gt;=50,"P1 - High",IF(AB460&gt;=30,"P2 - Medium",IF(AB460&gt;=15,"P3 - Low","P4 - Monitor")))))</x:f>
      </x:c>
      <x:c r="AD460" s="28"/>
      <x:c r="AE460" s="28"/>
      <x:c r="AF460" s="28"/>
      <x:c r="AG460" s="58"/>
      <x:c r="AH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56"/>
      <x:c r="J461" s="28"/>
      <x:c r="K461" s="28"/>
      <x:c r="L461" s="56"/>
      <x:c r="M461" s="28"/>
      <x:c r="N461" s="28"/>
      <x:c r="O461" s="28"/>
      <x:c r="P461" s="28"/>
      <x:c r="Q461" s="28"/>
      <x:c r="R461" s="28"/>
      <x:c r="S461" s="28"/>
      <x:c r="T461" s="28"/>
      <x:c r="U461" s="28"/>
      <x:c r="V461" s="28"/>
      <x:c r="W461" s="28"/>
      <x:c r="X461" s="28"/>
      <x:c r="Y461" s="28"/>
      <x:c r="Z461" s="28"/>
      <x:c r="AA461" s="28"/>
      <x:c r="AB461" s="56" t="str">
        <x:f>IF($A461="","",IF(Z461="Y",20,IF(Z461="Unknown",10,0))+$L461*5+IF(AA461="Y",15,IF(AA461="Unknown",5,0))+IF($J461="Public",10,IF($J461="Partner",7,IF($J461="Internal",3,0)))+IF($W461="Hard-coded",10,IF($W461="Unknown",7,IF($W461="Configurable",3,0)))+IF($I461&gt;=10,10,IF($I461&gt;=5,7,IF($I461&gt;=2,3,0)))+IF($K461="High",10,IF($K461="Medium",5,0)))</x:f>
      </x:c>
      <x:c r="AC461" s="28" t="str">
        <x:f>IF($A461="","",IF(AB461&gt;=70,"P0 - Immediate",IF(AB461&gt;=50,"P1 - High",IF(AB461&gt;=30,"P2 - Medium",IF(AB461&gt;=15,"P3 - Low","P4 - Monitor")))))</x:f>
      </x:c>
      <x:c r="AD461" s="28"/>
      <x:c r="AE461" s="28"/>
      <x:c r="AF461" s="28"/>
      <x:c r="AG461" s="58"/>
      <x:c r="AH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56"/>
      <x:c r="J462" s="28"/>
      <x:c r="K462" s="28"/>
      <x:c r="L462" s="56"/>
      <x:c r="M462" s="28"/>
      <x:c r="N462" s="28"/>
      <x:c r="O462" s="28"/>
      <x:c r="P462" s="28"/>
      <x:c r="Q462" s="28"/>
      <x:c r="R462" s="28"/>
      <x:c r="S462" s="28"/>
      <x:c r="T462" s="28"/>
      <x:c r="U462" s="28"/>
      <x:c r="V462" s="28"/>
      <x:c r="W462" s="28"/>
      <x:c r="X462" s="28"/>
      <x:c r="Y462" s="28"/>
      <x:c r="Z462" s="28"/>
      <x:c r="AA462" s="28"/>
      <x:c r="AB462" s="56" t="str">
        <x:f>IF($A462="","",IF(Z462="Y",20,IF(Z462="Unknown",10,0))+$L462*5+IF(AA462="Y",15,IF(AA462="Unknown",5,0))+IF($J462="Public",10,IF($J462="Partner",7,IF($J462="Internal",3,0)))+IF($W462="Hard-coded",10,IF($W462="Unknown",7,IF($W462="Configurable",3,0)))+IF($I462&gt;=10,10,IF($I462&gt;=5,7,IF($I462&gt;=2,3,0)))+IF($K462="High",10,IF($K462="Medium",5,0)))</x:f>
      </x:c>
      <x:c r="AC462" s="28" t="str">
        <x:f>IF($A462="","",IF(AB462&gt;=70,"P0 - Immediate",IF(AB462&gt;=50,"P1 - High",IF(AB462&gt;=30,"P2 - Medium",IF(AB462&gt;=15,"P3 - Low","P4 - Monitor")))))</x:f>
      </x:c>
      <x:c r="AD462" s="28"/>
      <x:c r="AE462" s="28"/>
      <x:c r="AF462" s="28"/>
      <x:c r="AG462" s="58"/>
      <x:c r="AH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56"/>
      <x:c r="J463" s="28"/>
      <x:c r="K463" s="28"/>
      <x:c r="L463" s="56"/>
      <x:c r="M463" s="28"/>
      <x:c r="N463" s="28"/>
      <x:c r="O463" s="28"/>
      <x:c r="P463" s="28"/>
      <x:c r="Q463" s="28"/>
      <x:c r="R463" s="28"/>
      <x:c r="S463" s="28"/>
      <x:c r="T463" s="28"/>
      <x:c r="U463" s="28"/>
      <x:c r="V463" s="28"/>
      <x:c r="W463" s="28"/>
      <x:c r="X463" s="28"/>
      <x:c r="Y463" s="28"/>
      <x:c r="Z463" s="28"/>
      <x:c r="AA463" s="28"/>
      <x:c r="AB463" s="56" t="str">
        <x:f>IF($A463="","",IF(Z463="Y",20,IF(Z463="Unknown",10,0))+$L463*5+IF(AA463="Y",15,IF(AA463="Unknown",5,0))+IF($J463="Public",10,IF($J463="Partner",7,IF($J463="Internal",3,0)))+IF($W463="Hard-coded",10,IF($W463="Unknown",7,IF($W463="Configurable",3,0)))+IF($I463&gt;=10,10,IF($I463&gt;=5,7,IF($I463&gt;=2,3,0)))+IF($K463="High",10,IF($K463="Medium",5,0)))</x:f>
      </x:c>
      <x:c r="AC463" s="28" t="str">
        <x:f>IF($A463="","",IF(AB463&gt;=70,"P0 - Immediate",IF(AB463&gt;=50,"P1 - High",IF(AB463&gt;=30,"P2 - Medium",IF(AB463&gt;=15,"P3 - Low","P4 - Monitor")))))</x:f>
      </x:c>
      <x:c r="AD463" s="28"/>
      <x:c r="AE463" s="28"/>
      <x:c r="AF463" s="28"/>
      <x:c r="AG463" s="58"/>
      <x:c r="AH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56"/>
      <x:c r="J464" s="28"/>
      <x:c r="K464" s="28"/>
      <x:c r="L464" s="56"/>
      <x:c r="M464" s="28"/>
      <x:c r="N464" s="28"/>
      <x:c r="O464" s="28"/>
      <x:c r="P464" s="28"/>
      <x:c r="Q464" s="28"/>
      <x:c r="R464" s="28"/>
      <x:c r="S464" s="28"/>
      <x:c r="T464" s="28"/>
      <x:c r="U464" s="28"/>
      <x:c r="V464" s="28"/>
      <x:c r="W464" s="28"/>
      <x:c r="X464" s="28"/>
      <x:c r="Y464" s="28"/>
      <x:c r="Z464" s="28"/>
      <x:c r="AA464" s="28"/>
      <x:c r="AB464" s="56" t="str">
        <x:f>IF($A464="","",IF(Z464="Y",20,IF(Z464="Unknown",10,0))+$L464*5+IF(AA464="Y",15,IF(AA464="Unknown",5,0))+IF($J464="Public",10,IF($J464="Partner",7,IF($J464="Internal",3,0)))+IF($W464="Hard-coded",10,IF($W464="Unknown",7,IF($W464="Configurable",3,0)))+IF($I464&gt;=10,10,IF($I464&gt;=5,7,IF($I464&gt;=2,3,0)))+IF($K464="High",10,IF($K464="Medium",5,0)))</x:f>
      </x:c>
      <x:c r="AC464" s="28" t="str">
        <x:f>IF($A464="","",IF(AB464&gt;=70,"P0 - Immediate",IF(AB464&gt;=50,"P1 - High",IF(AB464&gt;=30,"P2 - Medium",IF(AB464&gt;=15,"P3 - Low","P4 - Monitor")))))</x:f>
      </x:c>
      <x:c r="AD464" s="28"/>
      <x:c r="AE464" s="28"/>
      <x:c r="AF464" s="28"/>
      <x:c r="AG464" s="58"/>
      <x:c r="AH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56"/>
      <x:c r="J465" s="28"/>
      <x:c r="K465" s="28"/>
      <x:c r="L465" s="56"/>
      <x:c r="M465" s="28"/>
      <x:c r="N465" s="28"/>
      <x:c r="O465" s="28"/>
      <x:c r="P465" s="28"/>
      <x:c r="Q465" s="28"/>
      <x:c r="R465" s="28"/>
      <x:c r="S465" s="28"/>
      <x:c r="T465" s="28"/>
      <x:c r="U465" s="28"/>
      <x:c r="V465" s="28"/>
      <x:c r="W465" s="28"/>
      <x:c r="X465" s="28"/>
      <x:c r="Y465" s="28"/>
      <x:c r="Z465" s="28"/>
      <x:c r="AA465" s="28"/>
      <x:c r="AB465" s="56" t="str">
        <x:f>IF($A465="","",IF(Z465="Y",20,IF(Z465="Unknown",10,0))+$L465*5+IF(AA465="Y",15,IF(AA465="Unknown",5,0))+IF($J465="Public",10,IF($J465="Partner",7,IF($J465="Internal",3,0)))+IF($W465="Hard-coded",10,IF($W465="Unknown",7,IF($W465="Configurable",3,0)))+IF($I465&gt;=10,10,IF($I465&gt;=5,7,IF($I465&gt;=2,3,0)))+IF($K465="High",10,IF($K465="Medium",5,0)))</x:f>
      </x:c>
      <x:c r="AC465" s="28" t="str">
        <x:f>IF($A465="","",IF(AB465&gt;=70,"P0 - Immediate",IF(AB465&gt;=50,"P1 - High",IF(AB465&gt;=30,"P2 - Medium",IF(AB465&gt;=15,"P3 - Low","P4 - Monitor")))))</x:f>
      </x:c>
      <x:c r="AD465" s="28"/>
      <x:c r="AE465" s="28"/>
      <x:c r="AF465" s="28"/>
      <x:c r="AG465" s="58"/>
      <x:c r="AH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56"/>
      <x:c r="J466" s="28"/>
      <x:c r="K466" s="28"/>
      <x:c r="L466" s="56"/>
      <x:c r="M466" s="28"/>
      <x:c r="N466" s="28"/>
      <x:c r="O466" s="28"/>
      <x:c r="P466" s="28"/>
      <x:c r="Q466" s="28"/>
      <x:c r="R466" s="28"/>
      <x:c r="S466" s="28"/>
      <x:c r="T466" s="28"/>
      <x:c r="U466" s="28"/>
      <x:c r="V466" s="28"/>
      <x:c r="W466" s="28"/>
      <x:c r="X466" s="28"/>
      <x:c r="Y466" s="28"/>
      <x:c r="Z466" s="28"/>
      <x:c r="AA466" s="28"/>
      <x:c r="AB466" s="56" t="str">
        <x:f>IF($A466="","",IF(Z466="Y",20,IF(Z466="Unknown",10,0))+$L466*5+IF(AA466="Y",15,IF(AA466="Unknown",5,0))+IF($J466="Public",10,IF($J466="Partner",7,IF($J466="Internal",3,0)))+IF($W466="Hard-coded",10,IF($W466="Unknown",7,IF($W466="Configurable",3,0)))+IF($I466&gt;=10,10,IF($I466&gt;=5,7,IF($I466&gt;=2,3,0)))+IF($K466="High",10,IF($K466="Medium",5,0)))</x:f>
      </x:c>
      <x:c r="AC466" s="28" t="str">
        <x:f>IF($A466="","",IF(AB466&gt;=70,"P0 - Immediate",IF(AB466&gt;=50,"P1 - High",IF(AB466&gt;=30,"P2 - Medium",IF(AB466&gt;=15,"P3 - Low","P4 - Monitor")))))</x:f>
      </x:c>
      <x:c r="AD466" s="28"/>
      <x:c r="AE466" s="28"/>
      <x:c r="AF466" s="28"/>
      <x:c r="AG466" s="58"/>
      <x:c r="AH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56"/>
      <x:c r="J467" s="28"/>
      <x:c r="K467" s="28"/>
      <x:c r="L467" s="56"/>
      <x:c r="M467" s="28"/>
      <x:c r="N467" s="28"/>
      <x:c r="O467" s="28"/>
      <x:c r="P467" s="28"/>
      <x:c r="Q467" s="28"/>
      <x:c r="R467" s="28"/>
      <x:c r="S467" s="28"/>
      <x:c r="T467" s="28"/>
      <x:c r="U467" s="28"/>
      <x:c r="V467" s="28"/>
      <x:c r="W467" s="28"/>
      <x:c r="X467" s="28"/>
      <x:c r="Y467" s="28"/>
      <x:c r="Z467" s="28"/>
      <x:c r="AA467" s="28"/>
      <x:c r="AB467" s="56" t="str">
        <x:f>IF($A467="","",IF(Z467="Y",20,IF(Z467="Unknown",10,0))+$L467*5+IF(AA467="Y",15,IF(AA467="Unknown",5,0))+IF($J467="Public",10,IF($J467="Partner",7,IF($J467="Internal",3,0)))+IF($W467="Hard-coded",10,IF($W467="Unknown",7,IF($W467="Configurable",3,0)))+IF($I467&gt;=10,10,IF($I467&gt;=5,7,IF($I467&gt;=2,3,0)))+IF($K467="High",10,IF($K467="Medium",5,0)))</x:f>
      </x:c>
      <x:c r="AC467" s="28" t="str">
        <x:f>IF($A467="","",IF(AB467&gt;=70,"P0 - Immediate",IF(AB467&gt;=50,"P1 - High",IF(AB467&gt;=30,"P2 - Medium",IF(AB467&gt;=15,"P3 - Low","P4 - Monitor")))))</x:f>
      </x:c>
      <x:c r="AD467" s="28"/>
      <x:c r="AE467" s="28"/>
      <x:c r="AF467" s="28"/>
      <x:c r="AG467" s="58"/>
      <x:c r="AH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56"/>
      <x:c r="J468" s="28"/>
      <x:c r="K468" s="28"/>
      <x:c r="L468" s="56"/>
      <x:c r="M468" s="28"/>
      <x:c r="N468" s="28"/>
      <x:c r="O468" s="28"/>
      <x:c r="P468" s="28"/>
      <x:c r="Q468" s="28"/>
      <x:c r="R468" s="28"/>
      <x:c r="S468" s="28"/>
      <x:c r="T468" s="28"/>
      <x:c r="U468" s="28"/>
      <x:c r="V468" s="28"/>
      <x:c r="W468" s="28"/>
      <x:c r="X468" s="28"/>
      <x:c r="Y468" s="28"/>
      <x:c r="Z468" s="28"/>
      <x:c r="AA468" s="28"/>
      <x:c r="AB468" s="56" t="str">
        <x:f>IF($A468="","",IF(Z468="Y",20,IF(Z468="Unknown",10,0))+$L468*5+IF(AA468="Y",15,IF(AA468="Unknown",5,0))+IF($J468="Public",10,IF($J468="Partner",7,IF($J468="Internal",3,0)))+IF($W468="Hard-coded",10,IF($W468="Unknown",7,IF($W468="Configurable",3,0)))+IF($I468&gt;=10,10,IF($I468&gt;=5,7,IF($I468&gt;=2,3,0)))+IF($K468="High",10,IF($K468="Medium",5,0)))</x:f>
      </x:c>
      <x:c r="AC468" s="28" t="str">
        <x:f>IF($A468="","",IF(AB468&gt;=70,"P0 - Immediate",IF(AB468&gt;=50,"P1 - High",IF(AB468&gt;=30,"P2 - Medium",IF(AB468&gt;=15,"P3 - Low","P4 - Monitor")))))</x:f>
      </x:c>
      <x:c r="AD468" s="28"/>
      <x:c r="AE468" s="28"/>
      <x:c r="AF468" s="28"/>
      <x:c r="AG468" s="58"/>
      <x:c r="AH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56"/>
      <x:c r="J469" s="28"/>
      <x:c r="K469" s="28"/>
      <x:c r="L469" s="56"/>
      <x:c r="M469" s="28"/>
      <x:c r="N469" s="28"/>
      <x:c r="O469" s="28"/>
      <x:c r="P469" s="28"/>
      <x:c r="Q469" s="28"/>
      <x:c r="R469" s="28"/>
      <x:c r="S469" s="28"/>
      <x:c r="T469" s="28"/>
      <x:c r="U469" s="28"/>
      <x:c r="V469" s="28"/>
      <x:c r="W469" s="28"/>
      <x:c r="X469" s="28"/>
      <x:c r="Y469" s="28"/>
      <x:c r="Z469" s="28"/>
      <x:c r="AA469" s="28"/>
      <x:c r="AB469" s="56" t="str">
        <x:f>IF($A469="","",IF(Z469="Y",20,IF(Z469="Unknown",10,0))+$L469*5+IF(AA469="Y",15,IF(AA469="Unknown",5,0))+IF($J469="Public",10,IF($J469="Partner",7,IF($J469="Internal",3,0)))+IF($W469="Hard-coded",10,IF($W469="Unknown",7,IF($W469="Configurable",3,0)))+IF($I469&gt;=10,10,IF($I469&gt;=5,7,IF($I469&gt;=2,3,0)))+IF($K469="High",10,IF($K469="Medium",5,0)))</x:f>
      </x:c>
      <x:c r="AC469" s="28" t="str">
        <x:f>IF($A469="","",IF(AB469&gt;=70,"P0 - Immediate",IF(AB469&gt;=50,"P1 - High",IF(AB469&gt;=30,"P2 - Medium",IF(AB469&gt;=15,"P3 - Low","P4 - Monitor")))))</x:f>
      </x:c>
      <x:c r="AD469" s="28"/>
      <x:c r="AE469" s="28"/>
      <x:c r="AF469" s="28"/>
      <x:c r="AG469" s="58"/>
      <x:c r="AH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56"/>
      <x:c r="J470" s="28"/>
      <x:c r="K470" s="28"/>
      <x:c r="L470" s="56"/>
      <x:c r="M470" s="28"/>
      <x:c r="N470" s="28"/>
      <x:c r="O470" s="28"/>
      <x:c r="P470" s="28"/>
      <x:c r="Q470" s="28"/>
      <x:c r="R470" s="28"/>
      <x:c r="S470" s="28"/>
      <x:c r="T470" s="28"/>
      <x:c r="U470" s="28"/>
      <x:c r="V470" s="28"/>
      <x:c r="W470" s="28"/>
      <x:c r="X470" s="28"/>
      <x:c r="Y470" s="28"/>
      <x:c r="Z470" s="28"/>
      <x:c r="AA470" s="28"/>
      <x:c r="AB470" s="56" t="str">
        <x:f>IF($A470="","",IF(Z470="Y",20,IF(Z470="Unknown",10,0))+$L470*5+IF(AA470="Y",15,IF(AA470="Unknown",5,0))+IF($J470="Public",10,IF($J470="Partner",7,IF($J470="Internal",3,0)))+IF($W470="Hard-coded",10,IF($W470="Unknown",7,IF($W470="Configurable",3,0)))+IF($I470&gt;=10,10,IF($I470&gt;=5,7,IF($I470&gt;=2,3,0)))+IF($K470="High",10,IF($K470="Medium",5,0)))</x:f>
      </x:c>
      <x:c r="AC470" s="28" t="str">
        <x:f>IF($A470="","",IF(AB470&gt;=70,"P0 - Immediate",IF(AB470&gt;=50,"P1 - High",IF(AB470&gt;=30,"P2 - Medium",IF(AB470&gt;=15,"P3 - Low","P4 - Monitor")))))</x:f>
      </x:c>
      <x:c r="AD470" s="28"/>
      <x:c r="AE470" s="28"/>
      <x:c r="AF470" s="28"/>
      <x:c r="AG470" s="58"/>
      <x:c r="AH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56"/>
      <x:c r="J471" s="28"/>
      <x:c r="K471" s="28"/>
      <x:c r="L471" s="56"/>
      <x:c r="M471" s="28"/>
      <x:c r="N471" s="28"/>
      <x:c r="O471" s="28"/>
      <x:c r="P471" s="28"/>
      <x:c r="Q471" s="28"/>
      <x:c r="R471" s="28"/>
      <x:c r="S471" s="28"/>
      <x:c r="T471" s="28"/>
      <x:c r="U471" s="28"/>
      <x:c r="V471" s="28"/>
      <x:c r="W471" s="28"/>
      <x:c r="X471" s="28"/>
      <x:c r="Y471" s="28"/>
      <x:c r="Z471" s="28"/>
      <x:c r="AA471" s="28"/>
      <x:c r="AB471" s="56" t="str">
        <x:f>IF($A471="","",IF(Z471="Y",20,IF(Z471="Unknown",10,0))+$L471*5+IF(AA471="Y",15,IF(AA471="Unknown",5,0))+IF($J471="Public",10,IF($J471="Partner",7,IF($J471="Internal",3,0)))+IF($W471="Hard-coded",10,IF($W471="Unknown",7,IF($W471="Configurable",3,0)))+IF($I471&gt;=10,10,IF($I471&gt;=5,7,IF($I471&gt;=2,3,0)))+IF($K471="High",10,IF($K471="Medium",5,0)))</x:f>
      </x:c>
      <x:c r="AC471" s="28" t="str">
        <x:f>IF($A471="","",IF(AB471&gt;=70,"P0 - Immediate",IF(AB471&gt;=50,"P1 - High",IF(AB471&gt;=30,"P2 - Medium",IF(AB471&gt;=15,"P3 - Low","P4 - Monitor")))))</x:f>
      </x:c>
      <x:c r="AD471" s="28"/>
      <x:c r="AE471" s="28"/>
      <x:c r="AF471" s="28"/>
      <x:c r="AG471" s="58"/>
      <x:c r="AH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56"/>
      <x:c r="J472" s="28"/>
      <x:c r="K472" s="28"/>
      <x:c r="L472" s="56"/>
      <x:c r="M472" s="28"/>
      <x:c r="N472" s="28"/>
      <x:c r="O472" s="28"/>
      <x:c r="P472" s="28"/>
      <x:c r="Q472" s="28"/>
      <x:c r="R472" s="28"/>
      <x:c r="S472" s="28"/>
      <x:c r="T472" s="28"/>
      <x:c r="U472" s="28"/>
      <x:c r="V472" s="28"/>
      <x:c r="W472" s="28"/>
      <x:c r="X472" s="28"/>
      <x:c r="Y472" s="28"/>
      <x:c r="Z472" s="28"/>
      <x:c r="AA472" s="28"/>
      <x:c r="AB472" s="56" t="str">
        <x:f>IF($A472="","",IF(Z472="Y",20,IF(Z472="Unknown",10,0))+$L472*5+IF(AA472="Y",15,IF(AA472="Unknown",5,0))+IF($J472="Public",10,IF($J472="Partner",7,IF($J472="Internal",3,0)))+IF($W472="Hard-coded",10,IF($W472="Unknown",7,IF($W472="Configurable",3,0)))+IF($I472&gt;=10,10,IF($I472&gt;=5,7,IF($I472&gt;=2,3,0)))+IF($K472="High",10,IF($K472="Medium",5,0)))</x:f>
      </x:c>
      <x:c r="AC472" s="28" t="str">
        <x:f>IF($A472="","",IF(AB472&gt;=70,"P0 - Immediate",IF(AB472&gt;=50,"P1 - High",IF(AB472&gt;=30,"P2 - Medium",IF(AB472&gt;=15,"P3 - Low","P4 - Monitor")))))</x:f>
      </x:c>
      <x:c r="AD472" s="28"/>
      <x:c r="AE472" s="28"/>
      <x:c r="AF472" s="28"/>
      <x:c r="AG472" s="58"/>
      <x:c r="AH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56"/>
      <x:c r="J473" s="28"/>
      <x:c r="K473" s="28"/>
      <x:c r="L473" s="56"/>
      <x:c r="M473" s="28"/>
      <x:c r="N473" s="28"/>
      <x:c r="O473" s="28"/>
      <x:c r="P473" s="28"/>
      <x:c r="Q473" s="28"/>
      <x:c r="R473" s="28"/>
      <x:c r="S473" s="28"/>
      <x:c r="T473" s="28"/>
      <x:c r="U473" s="28"/>
      <x:c r="V473" s="28"/>
      <x:c r="W473" s="28"/>
      <x:c r="X473" s="28"/>
      <x:c r="Y473" s="28"/>
      <x:c r="Z473" s="28"/>
      <x:c r="AA473" s="28"/>
      <x:c r="AB473" s="56" t="str">
        <x:f>IF($A473="","",IF(Z473="Y",20,IF(Z473="Unknown",10,0))+$L473*5+IF(AA473="Y",15,IF(AA473="Unknown",5,0))+IF($J473="Public",10,IF($J473="Partner",7,IF($J473="Internal",3,0)))+IF($W473="Hard-coded",10,IF($W473="Unknown",7,IF($W473="Configurable",3,0)))+IF($I473&gt;=10,10,IF($I473&gt;=5,7,IF($I473&gt;=2,3,0)))+IF($K473="High",10,IF($K473="Medium",5,0)))</x:f>
      </x:c>
      <x:c r="AC473" s="28" t="str">
        <x:f>IF($A473="","",IF(AB473&gt;=70,"P0 - Immediate",IF(AB473&gt;=50,"P1 - High",IF(AB473&gt;=30,"P2 - Medium",IF(AB473&gt;=15,"P3 - Low","P4 - Monitor")))))</x:f>
      </x:c>
      <x:c r="AD473" s="28"/>
      <x:c r="AE473" s="28"/>
      <x:c r="AF473" s="28"/>
      <x:c r="AG473" s="58"/>
      <x:c r="AH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56"/>
      <x:c r="J474" s="28"/>
      <x:c r="K474" s="28"/>
      <x:c r="L474" s="56"/>
      <x:c r="M474" s="28"/>
      <x:c r="N474" s="28"/>
      <x:c r="O474" s="28"/>
      <x:c r="P474" s="28"/>
      <x:c r="Q474" s="28"/>
      <x:c r="R474" s="28"/>
      <x:c r="S474" s="28"/>
      <x:c r="T474" s="28"/>
      <x:c r="U474" s="28"/>
      <x:c r="V474" s="28"/>
      <x:c r="W474" s="28"/>
      <x:c r="X474" s="28"/>
      <x:c r="Y474" s="28"/>
      <x:c r="Z474" s="28"/>
      <x:c r="AA474" s="28"/>
      <x:c r="AB474" s="56" t="str">
        <x:f>IF($A474="","",IF(Z474="Y",20,IF(Z474="Unknown",10,0))+$L474*5+IF(AA474="Y",15,IF(AA474="Unknown",5,0))+IF($J474="Public",10,IF($J474="Partner",7,IF($J474="Internal",3,0)))+IF($W474="Hard-coded",10,IF($W474="Unknown",7,IF($W474="Configurable",3,0)))+IF($I474&gt;=10,10,IF($I474&gt;=5,7,IF($I474&gt;=2,3,0)))+IF($K474="High",10,IF($K474="Medium",5,0)))</x:f>
      </x:c>
      <x:c r="AC474" s="28" t="str">
        <x:f>IF($A474="","",IF(AB474&gt;=70,"P0 - Immediate",IF(AB474&gt;=50,"P1 - High",IF(AB474&gt;=30,"P2 - Medium",IF(AB474&gt;=15,"P3 - Low","P4 - Monitor")))))</x:f>
      </x:c>
      <x:c r="AD474" s="28"/>
      <x:c r="AE474" s="28"/>
      <x:c r="AF474" s="28"/>
      <x:c r="AG474" s="58"/>
      <x:c r="AH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56"/>
      <x:c r="J475" s="28"/>
      <x:c r="K475" s="28"/>
      <x:c r="L475" s="56"/>
      <x:c r="M475" s="28"/>
      <x:c r="N475" s="28"/>
      <x:c r="O475" s="28"/>
      <x:c r="P475" s="28"/>
      <x:c r="Q475" s="28"/>
      <x:c r="R475" s="28"/>
      <x:c r="S475" s="28"/>
      <x:c r="T475" s="28"/>
      <x:c r="U475" s="28"/>
      <x:c r="V475" s="28"/>
      <x:c r="W475" s="28"/>
      <x:c r="X475" s="28"/>
      <x:c r="Y475" s="28"/>
      <x:c r="Z475" s="28"/>
      <x:c r="AA475" s="28"/>
      <x:c r="AB475" s="56" t="str">
        <x:f>IF($A475="","",IF(Z475="Y",20,IF(Z475="Unknown",10,0))+$L475*5+IF(AA475="Y",15,IF(AA475="Unknown",5,0))+IF($J475="Public",10,IF($J475="Partner",7,IF($J475="Internal",3,0)))+IF($W475="Hard-coded",10,IF($W475="Unknown",7,IF($W475="Configurable",3,0)))+IF($I475&gt;=10,10,IF($I475&gt;=5,7,IF($I475&gt;=2,3,0)))+IF($K475="High",10,IF($K475="Medium",5,0)))</x:f>
      </x:c>
      <x:c r="AC475" s="28" t="str">
        <x:f>IF($A475="","",IF(AB475&gt;=70,"P0 - Immediate",IF(AB475&gt;=50,"P1 - High",IF(AB475&gt;=30,"P2 - Medium",IF(AB475&gt;=15,"P3 - Low","P4 - Monitor")))))</x:f>
      </x:c>
      <x:c r="AD475" s="28"/>
      <x:c r="AE475" s="28"/>
      <x:c r="AF475" s="28"/>
      <x:c r="AG475" s="58"/>
      <x:c r="AH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56"/>
      <x:c r="J476" s="28"/>
      <x:c r="K476" s="28"/>
      <x:c r="L476" s="56"/>
      <x:c r="M476" s="28"/>
      <x:c r="N476" s="28"/>
      <x:c r="O476" s="28"/>
      <x:c r="P476" s="28"/>
      <x:c r="Q476" s="28"/>
      <x:c r="R476" s="28"/>
      <x:c r="S476" s="28"/>
      <x:c r="T476" s="28"/>
      <x:c r="U476" s="28"/>
      <x:c r="V476" s="28"/>
      <x:c r="W476" s="28"/>
      <x:c r="X476" s="28"/>
      <x:c r="Y476" s="28"/>
      <x:c r="Z476" s="28"/>
      <x:c r="AA476" s="28"/>
      <x:c r="AB476" s="56" t="str">
        <x:f>IF($A476="","",IF(Z476="Y",20,IF(Z476="Unknown",10,0))+$L476*5+IF(AA476="Y",15,IF(AA476="Unknown",5,0))+IF($J476="Public",10,IF($J476="Partner",7,IF($J476="Internal",3,0)))+IF($W476="Hard-coded",10,IF($W476="Unknown",7,IF($W476="Configurable",3,0)))+IF($I476&gt;=10,10,IF($I476&gt;=5,7,IF($I476&gt;=2,3,0)))+IF($K476="High",10,IF($K476="Medium",5,0)))</x:f>
      </x:c>
      <x:c r="AC476" s="28" t="str">
        <x:f>IF($A476="","",IF(AB476&gt;=70,"P0 - Immediate",IF(AB476&gt;=50,"P1 - High",IF(AB476&gt;=30,"P2 - Medium",IF(AB476&gt;=15,"P3 - Low","P4 - Monitor")))))</x:f>
      </x:c>
      <x:c r="AD476" s="28"/>
      <x:c r="AE476" s="28"/>
      <x:c r="AF476" s="28"/>
      <x:c r="AG476" s="58"/>
      <x:c r="AH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56"/>
      <x:c r="J477" s="28"/>
      <x:c r="K477" s="28"/>
      <x:c r="L477" s="56"/>
      <x:c r="M477" s="28"/>
      <x:c r="N477" s="28"/>
      <x:c r="O477" s="28"/>
      <x:c r="P477" s="28"/>
      <x:c r="Q477" s="28"/>
      <x:c r="R477" s="28"/>
      <x:c r="S477" s="28"/>
      <x:c r="T477" s="28"/>
      <x:c r="U477" s="28"/>
      <x:c r="V477" s="28"/>
      <x:c r="W477" s="28"/>
      <x:c r="X477" s="28"/>
      <x:c r="Y477" s="28"/>
      <x:c r="Z477" s="28"/>
      <x:c r="AA477" s="28"/>
      <x:c r="AB477" s="56" t="str">
        <x:f>IF($A477="","",IF(Z477="Y",20,IF(Z477="Unknown",10,0))+$L477*5+IF(AA477="Y",15,IF(AA477="Unknown",5,0))+IF($J477="Public",10,IF($J477="Partner",7,IF($J477="Internal",3,0)))+IF($W477="Hard-coded",10,IF($W477="Unknown",7,IF($W477="Configurable",3,0)))+IF($I477&gt;=10,10,IF($I477&gt;=5,7,IF($I477&gt;=2,3,0)))+IF($K477="High",10,IF($K477="Medium",5,0)))</x:f>
      </x:c>
      <x:c r="AC477" s="28" t="str">
        <x:f>IF($A477="","",IF(AB477&gt;=70,"P0 - Immediate",IF(AB477&gt;=50,"P1 - High",IF(AB477&gt;=30,"P2 - Medium",IF(AB477&gt;=15,"P3 - Low","P4 - Monitor")))))</x:f>
      </x:c>
      <x:c r="AD477" s="28"/>
      <x:c r="AE477" s="28"/>
      <x:c r="AF477" s="28"/>
      <x:c r="AG477" s="58"/>
      <x:c r="AH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56"/>
      <x:c r="J478" s="28"/>
      <x:c r="K478" s="28"/>
      <x:c r="L478" s="56"/>
      <x:c r="M478" s="28"/>
      <x:c r="N478" s="28"/>
      <x:c r="O478" s="28"/>
      <x:c r="P478" s="28"/>
      <x:c r="Q478" s="28"/>
      <x:c r="R478" s="28"/>
      <x:c r="S478" s="28"/>
      <x:c r="T478" s="28"/>
      <x:c r="U478" s="28"/>
      <x:c r="V478" s="28"/>
      <x:c r="W478" s="28"/>
      <x:c r="X478" s="28"/>
      <x:c r="Y478" s="28"/>
      <x:c r="Z478" s="28"/>
      <x:c r="AA478" s="28"/>
      <x:c r="AB478" s="56" t="str">
        <x:f>IF($A478="","",IF(Z478="Y",20,IF(Z478="Unknown",10,0))+$L478*5+IF(AA478="Y",15,IF(AA478="Unknown",5,0))+IF($J478="Public",10,IF($J478="Partner",7,IF($J478="Internal",3,0)))+IF($W478="Hard-coded",10,IF($W478="Unknown",7,IF($W478="Configurable",3,0)))+IF($I478&gt;=10,10,IF($I478&gt;=5,7,IF($I478&gt;=2,3,0)))+IF($K478="High",10,IF($K478="Medium",5,0)))</x:f>
      </x:c>
      <x:c r="AC478" s="28" t="str">
        <x:f>IF($A478="","",IF(AB478&gt;=70,"P0 - Immediate",IF(AB478&gt;=50,"P1 - High",IF(AB478&gt;=30,"P2 - Medium",IF(AB478&gt;=15,"P3 - Low","P4 - Monitor")))))</x:f>
      </x:c>
      <x:c r="AD478" s="28"/>
      <x:c r="AE478" s="28"/>
      <x:c r="AF478" s="28"/>
      <x:c r="AG478" s="58"/>
      <x:c r="AH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56"/>
      <x:c r="J479" s="28"/>
      <x:c r="K479" s="28"/>
      <x:c r="L479" s="56"/>
      <x:c r="M479" s="28"/>
      <x:c r="N479" s="28"/>
      <x:c r="O479" s="28"/>
      <x:c r="P479" s="28"/>
      <x:c r="Q479" s="28"/>
      <x:c r="R479" s="28"/>
      <x:c r="S479" s="28"/>
      <x:c r="T479" s="28"/>
      <x:c r="U479" s="28"/>
      <x:c r="V479" s="28"/>
      <x:c r="W479" s="28"/>
      <x:c r="X479" s="28"/>
      <x:c r="Y479" s="28"/>
      <x:c r="Z479" s="28"/>
      <x:c r="AA479" s="28"/>
      <x:c r="AB479" s="56" t="str">
        <x:f>IF($A479="","",IF(Z479="Y",20,IF(Z479="Unknown",10,0))+$L479*5+IF(AA479="Y",15,IF(AA479="Unknown",5,0))+IF($J479="Public",10,IF($J479="Partner",7,IF($J479="Internal",3,0)))+IF($W479="Hard-coded",10,IF($W479="Unknown",7,IF($W479="Configurable",3,0)))+IF($I479&gt;=10,10,IF($I479&gt;=5,7,IF($I479&gt;=2,3,0)))+IF($K479="High",10,IF($K479="Medium",5,0)))</x:f>
      </x:c>
      <x:c r="AC479" s="28" t="str">
        <x:f>IF($A479="","",IF(AB479&gt;=70,"P0 - Immediate",IF(AB479&gt;=50,"P1 - High",IF(AB479&gt;=30,"P2 - Medium",IF(AB479&gt;=15,"P3 - Low","P4 - Monitor")))))</x:f>
      </x:c>
      <x:c r="AD479" s="28"/>
      <x:c r="AE479" s="28"/>
      <x:c r="AF479" s="28"/>
      <x:c r="AG479" s="58"/>
      <x:c r="AH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56"/>
      <x:c r="J480" s="28"/>
      <x:c r="K480" s="28"/>
      <x:c r="L480" s="56"/>
      <x:c r="M480" s="28"/>
      <x:c r="N480" s="28"/>
      <x:c r="O480" s="28"/>
      <x:c r="P480" s="28"/>
      <x:c r="Q480" s="28"/>
      <x:c r="R480" s="28"/>
      <x:c r="S480" s="28"/>
      <x:c r="T480" s="28"/>
      <x:c r="U480" s="28"/>
      <x:c r="V480" s="28"/>
      <x:c r="W480" s="28"/>
      <x:c r="X480" s="28"/>
      <x:c r="Y480" s="28"/>
      <x:c r="Z480" s="28"/>
      <x:c r="AA480" s="28"/>
      <x:c r="AB480" s="56" t="str">
        <x:f>IF($A480="","",IF(Z480="Y",20,IF(Z480="Unknown",10,0))+$L480*5+IF(AA480="Y",15,IF(AA480="Unknown",5,0))+IF($J480="Public",10,IF($J480="Partner",7,IF($J480="Internal",3,0)))+IF($W480="Hard-coded",10,IF($W480="Unknown",7,IF($W480="Configurable",3,0)))+IF($I480&gt;=10,10,IF($I480&gt;=5,7,IF($I480&gt;=2,3,0)))+IF($K480="High",10,IF($K480="Medium",5,0)))</x:f>
      </x:c>
      <x:c r="AC480" s="28" t="str">
        <x:f>IF($A480="","",IF(AB480&gt;=70,"P0 - Immediate",IF(AB480&gt;=50,"P1 - High",IF(AB480&gt;=30,"P2 - Medium",IF(AB480&gt;=15,"P3 - Low","P4 - Monitor")))))</x:f>
      </x:c>
      <x:c r="AD480" s="28"/>
      <x:c r="AE480" s="28"/>
      <x:c r="AF480" s="28"/>
      <x:c r="AG480" s="58"/>
      <x:c r="AH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56"/>
      <x:c r="J481" s="28"/>
      <x:c r="K481" s="28"/>
      <x:c r="L481" s="56"/>
      <x:c r="M481" s="28"/>
      <x:c r="N481" s="28"/>
      <x:c r="O481" s="28"/>
      <x:c r="P481" s="28"/>
      <x:c r="Q481" s="28"/>
      <x:c r="R481" s="28"/>
      <x:c r="S481" s="28"/>
      <x:c r="T481" s="28"/>
      <x:c r="U481" s="28"/>
      <x:c r="V481" s="28"/>
      <x:c r="W481" s="28"/>
      <x:c r="X481" s="28"/>
      <x:c r="Y481" s="28"/>
      <x:c r="Z481" s="28"/>
      <x:c r="AA481" s="28"/>
      <x:c r="AB481" s="56" t="str">
        <x:f>IF($A481="","",IF(Z481="Y",20,IF(Z481="Unknown",10,0))+$L481*5+IF(AA481="Y",15,IF(AA481="Unknown",5,0))+IF($J481="Public",10,IF($J481="Partner",7,IF($J481="Internal",3,0)))+IF($W481="Hard-coded",10,IF($W481="Unknown",7,IF($W481="Configurable",3,0)))+IF($I481&gt;=10,10,IF($I481&gt;=5,7,IF($I481&gt;=2,3,0)))+IF($K481="High",10,IF($K481="Medium",5,0)))</x:f>
      </x:c>
      <x:c r="AC481" s="28" t="str">
        <x:f>IF($A481="","",IF(AB481&gt;=70,"P0 - Immediate",IF(AB481&gt;=50,"P1 - High",IF(AB481&gt;=30,"P2 - Medium",IF(AB481&gt;=15,"P3 - Low","P4 - Monitor")))))</x:f>
      </x:c>
      <x:c r="AD481" s="28"/>
      <x:c r="AE481" s="28"/>
      <x:c r="AF481" s="28"/>
      <x:c r="AG481" s="58"/>
      <x:c r="AH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56"/>
      <x:c r="J482" s="28"/>
      <x:c r="K482" s="28"/>
      <x:c r="L482" s="56"/>
      <x:c r="M482" s="28"/>
      <x:c r="N482" s="28"/>
      <x:c r="O482" s="28"/>
      <x:c r="P482" s="28"/>
      <x:c r="Q482" s="28"/>
      <x:c r="R482" s="28"/>
      <x:c r="S482" s="28"/>
      <x:c r="T482" s="28"/>
      <x:c r="U482" s="28"/>
      <x:c r="V482" s="28"/>
      <x:c r="W482" s="28"/>
      <x:c r="X482" s="28"/>
      <x:c r="Y482" s="28"/>
      <x:c r="Z482" s="28"/>
      <x:c r="AA482" s="28"/>
      <x:c r="AB482" s="56" t="str">
        <x:f>IF($A482="","",IF(Z482="Y",20,IF(Z482="Unknown",10,0))+$L482*5+IF(AA482="Y",15,IF(AA482="Unknown",5,0))+IF($J482="Public",10,IF($J482="Partner",7,IF($J482="Internal",3,0)))+IF($W482="Hard-coded",10,IF($W482="Unknown",7,IF($W482="Configurable",3,0)))+IF($I482&gt;=10,10,IF($I482&gt;=5,7,IF($I482&gt;=2,3,0)))+IF($K482="High",10,IF($K482="Medium",5,0)))</x:f>
      </x:c>
      <x:c r="AC482" s="28" t="str">
        <x:f>IF($A482="","",IF(AB482&gt;=70,"P0 - Immediate",IF(AB482&gt;=50,"P1 - High",IF(AB482&gt;=30,"P2 - Medium",IF(AB482&gt;=15,"P3 - Low","P4 - Monitor")))))</x:f>
      </x:c>
      <x:c r="AD482" s="28"/>
      <x:c r="AE482" s="28"/>
      <x:c r="AF482" s="28"/>
      <x:c r="AG482" s="58"/>
      <x:c r="AH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56"/>
      <x:c r="J483" s="28"/>
      <x:c r="K483" s="28"/>
      <x:c r="L483" s="56"/>
      <x:c r="M483" s="28"/>
      <x:c r="N483" s="28"/>
      <x:c r="O483" s="28"/>
      <x:c r="P483" s="28"/>
      <x:c r="Q483" s="28"/>
      <x:c r="R483" s="28"/>
      <x:c r="S483" s="28"/>
      <x:c r="T483" s="28"/>
      <x:c r="U483" s="28"/>
      <x:c r="V483" s="28"/>
      <x:c r="W483" s="28"/>
      <x:c r="X483" s="28"/>
      <x:c r="Y483" s="28"/>
      <x:c r="Z483" s="28"/>
      <x:c r="AA483" s="28"/>
      <x:c r="AB483" s="56" t="str">
        <x:f>IF($A483="","",IF(Z483="Y",20,IF(Z483="Unknown",10,0))+$L483*5+IF(AA483="Y",15,IF(AA483="Unknown",5,0))+IF($J483="Public",10,IF($J483="Partner",7,IF($J483="Internal",3,0)))+IF($W483="Hard-coded",10,IF($W483="Unknown",7,IF($W483="Configurable",3,0)))+IF($I483&gt;=10,10,IF($I483&gt;=5,7,IF($I483&gt;=2,3,0)))+IF($K483="High",10,IF($K483="Medium",5,0)))</x:f>
      </x:c>
      <x:c r="AC483" s="28" t="str">
        <x:f>IF($A483="","",IF(AB483&gt;=70,"P0 - Immediate",IF(AB483&gt;=50,"P1 - High",IF(AB483&gt;=30,"P2 - Medium",IF(AB483&gt;=15,"P3 - Low","P4 - Monitor")))))</x:f>
      </x:c>
      <x:c r="AD483" s="28"/>
      <x:c r="AE483" s="28"/>
      <x:c r="AF483" s="28"/>
      <x:c r="AG483" s="58"/>
      <x:c r="AH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56"/>
      <x:c r="J484" s="28"/>
      <x:c r="K484" s="28"/>
      <x:c r="L484" s="56"/>
      <x:c r="M484" s="28"/>
      <x:c r="N484" s="28"/>
      <x:c r="O484" s="28"/>
      <x:c r="P484" s="28"/>
      <x:c r="Q484" s="28"/>
      <x:c r="R484" s="28"/>
      <x:c r="S484" s="28"/>
      <x:c r="T484" s="28"/>
      <x:c r="U484" s="28"/>
      <x:c r="V484" s="28"/>
      <x:c r="W484" s="28"/>
      <x:c r="X484" s="28"/>
      <x:c r="Y484" s="28"/>
      <x:c r="Z484" s="28"/>
      <x:c r="AA484" s="28"/>
      <x:c r="AB484" s="56" t="str">
        <x:f>IF($A484="","",IF(Z484="Y",20,IF(Z484="Unknown",10,0))+$L484*5+IF(AA484="Y",15,IF(AA484="Unknown",5,0))+IF($J484="Public",10,IF($J484="Partner",7,IF($J484="Internal",3,0)))+IF($W484="Hard-coded",10,IF($W484="Unknown",7,IF($W484="Configurable",3,0)))+IF($I484&gt;=10,10,IF($I484&gt;=5,7,IF($I484&gt;=2,3,0)))+IF($K484="High",10,IF($K484="Medium",5,0)))</x:f>
      </x:c>
      <x:c r="AC484" s="28" t="str">
        <x:f>IF($A484="","",IF(AB484&gt;=70,"P0 - Immediate",IF(AB484&gt;=50,"P1 - High",IF(AB484&gt;=30,"P2 - Medium",IF(AB484&gt;=15,"P3 - Low","P4 - Monitor")))))</x:f>
      </x:c>
      <x:c r="AD484" s="28"/>
      <x:c r="AE484" s="28"/>
      <x:c r="AF484" s="28"/>
      <x:c r="AG484" s="58"/>
      <x:c r="AH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56"/>
      <x:c r="J485" s="28"/>
      <x:c r="K485" s="28"/>
      <x:c r="L485" s="56"/>
      <x:c r="M485" s="28"/>
      <x:c r="N485" s="28"/>
      <x:c r="O485" s="28"/>
      <x:c r="P485" s="28"/>
      <x:c r="Q485" s="28"/>
      <x:c r="R485" s="28"/>
      <x:c r="S485" s="28"/>
      <x:c r="T485" s="28"/>
      <x:c r="U485" s="28"/>
      <x:c r="V485" s="28"/>
      <x:c r="W485" s="28"/>
      <x:c r="X485" s="28"/>
      <x:c r="Y485" s="28"/>
      <x:c r="Z485" s="28"/>
      <x:c r="AA485" s="28"/>
      <x:c r="AB485" s="56" t="str">
        <x:f>IF($A485="","",IF(Z485="Y",20,IF(Z485="Unknown",10,0))+$L485*5+IF(AA485="Y",15,IF(AA485="Unknown",5,0))+IF($J485="Public",10,IF($J485="Partner",7,IF($J485="Internal",3,0)))+IF($W485="Hard-coded",10,IF($W485="Unknown",7,IF($W485="Configurable",3,0)))+IF($I485&gt;=10,10,IF($I485&gt;=5,7,IF($I485&gt;=2,3,0)))+IF($K485="High",10,IF($K485="Medium",5,0)))</x:f>
      </x:c>
      <x:c r="AC485" s="28" t="str">
        <x:f>IF($A485="","",IF(AB485&gt;=70,"P0 - Immediate",IF(AB485&gt;=50,"P1 - High",IF(AB485&gt;=30,"P2 - Medium",IF(AB485&gt;=15,"P3 - Low","P4 - Monitor")))))</x:f>
      </x:c>
      <x:c r="AD485" s="28"/>
      <x:c r="AE485" s="28"/>
      <x:c r="AF485" s="28"/>
      <x:c r="AG485" s="58"/>
      <x:c r="AH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56"/>
      <x:c r="J486" s="28"/>
      <x:c r="K486" s="28"/>
      <x:c r="L486" s="56"/>
      <x:c r="M486" s="28"/>
      <x:c r="N486" s="28"/>
      <x:c r="O486" s="28"/>
      <x:c r="P486" s="28"/>
      <x:c r="Q486" s="28"/>
      <x:c r="R486" s="28"/>
      <x:c r="S486" s="28"/>
      <x:c r="T486" s="28"/>
      <x:c r="U486" s="28"/>
      <x:c r="V486" s="28"/>
      <x:c r="W486" s="28"/>
      <x:c r="X486" s="28"/>
      <x:c r="Y486" s="28"/>
      <x:c r="Z486" s="28"/>
      <x:c r="AA486" s="28"/>
      <x:c r="AB486" s="56" t="str">
        <x:f>IF($A486="","",IF(Z486="Y",20,IF(Z486="Unknown",10,0))+$L486*5+IF(AA486="Y",15,IF(AA486="Unknown",5,0))+IF($J486="Public",10,IF($J486="Partner",7,IF($J486="Internal",3,0)))+IF($W486="Hard-coded",10,IF($W486="Unknown",7,IF($W486="Configurable",3,0)))+IF($I486&gt;=10,10,IF($I486&gt;=5,7,IF($I486&gt;=2,3,0)))+IF($K486="High",10,IF($K486="Medium",5,0)))</x:f>
      </x:c>
      <x:c r="AC486" s="28" t="str">
        <x:f>IF($A486="","",IF(AB486&gt;=70,"P0 - Immediate",IF(AB486&gt;=50,"P1 - High",IF(AB486&gt;=30,"P2 - Medium",IF(AB486&gt;=15,"P3 - Low","P4 - Monitor")))))</x:f>
      </x:c>
      <x:c r="AD486" s="28"/>
      <x:c r="AE486" s="28"/>
      <x:c r="AF486" s="28"/>
      <x:c r="AG486" s="58"/>
      <x:c r="AH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56"/>
      <x:c r="J487" s="28"/>
      <x:c r="K487" s="28"/>
      <x:c r="L487" s="56"/>
      <x:c r="M487" s="28"/>
      <x:c r="N487" s="28"/>
      <x:c r="O487" s="28"/>
      <x:c r="P487" s="28"/>
      <x:c r="Q487" s="28"/>
      <x:c r="R487" s="28"/>
      <x:c r="S487" s="28"/>
      <x:c r="T487" s="28"/>
      <x:c r="U487" s="28"/>
      <x:c r="V487" s="28"/>
      <x:c r="W487" s="28"/>
      <x:c r="X487" s="28"/>
      <x:c r="Y487" s="28"/>
      <x:c r="Z487" s="28"/>
      <x:c r="AA487" s="28"/>
      <x:c r="AB487" s="56" t="str">
        <x:f>IF($A487="","",IF(Z487="Y",20,IF(Z487="Unknown",10,0))+$L487*5+IF(AA487="Y",15,IF(AA487="Unknown",5,0))+IF($J487="Public",10,IF($J487="Partner",7,IF($J487="Internal",3,0)))+IF($W487="Hard-coded",10,IF($W487="Unknown",7,IF($W487="Configurable",3,0)))+IF($I487&gt;=10,10,IF($I487&gt;=5,7,IF($I487&gt;=2,3,0)))+IF($K487="High",10,IF($K487="Medium",5,0)))</x:f>
      </x:c>
      <x:c r="AC487" s="28" t="str">
        <x:f>IF($A487="","",IF(AB487&gt;=70,"P0 - Immediate",IF(AB487&gt;=50,"P1 - High",IF(AB487&gt;=30,"P2 - Medium",IF(AB487&gt;=15,"P3 - Low","P4 - Monitor")))))</x:f>
      </x:c>
      <x:c r="AD487" s="28"/>
      <x:c r="AE487" s="28"/>
      <x:c r="AF487" s="28"/>
      <x:c r="AG487" s="58"/>
      <x:c r="AH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56"/>
      <x:c r="J488" s="28"/>
      <x:c r="K488" s="28"/>
      <x:c r="L488" s="56"/>
      <x:c r="M488" s="28"/>
      <x:c r="N488" s="28"/>
      <x:c r="O488" s="28"/>
      <x:c r="P488" s="28"/>
      <x:c r="Q488" s="28"/>
      <x:c r="R488" s="28"/>
      <x:c r="S488" s="28"/>
      <x:c r="T488" s="28"/>
      <x:c r="U488" s="28"/>
      <x:c r="V488" s="28"/>
      <x:c r="W488" s="28"/>
      <x:c r="X488" s="28"/>
      <x:c r="Y488" s="28"/>
      <x:c r="Z488" s="28"/>
      <x:c r="AA488" s="28"/>
      <x:c r="AB488" s="56" t="str">
        <x:f>IF($A488="","",IF(Z488="Y",20,IF(Z488="Unknown",10,0))+$L488*5+IF(AA488="Y",15,IF(AA488="Unknown",5,0))+IF($J488="Public",10,IF($J488="Partner",7,IF($J488="Internal",3,0)))+IF($W488="Hard-coded",10,IF($W488="Unknown",7,IF($W488="Configurable",3,0)))+IF($I488&gt;=10,10,IF($I488&gt;=5,7,IF($I488&gt;=2,3,0)))+IF($K488="High",10,IF($K488="Medium",5,0)))</x:f>
      </x:c>
      <x:c r="AC488" s="28" t="str">
        <x:f>IF($A488="","",IF(AB488&gt;=70,"P0 - Immediate",IF(AB488&gt;=50,"P1 - High",IF(AB488&gt;=30,"P2 - Medium",IF(AB488&gt;=15,"P3 - Low","P4 - Monitor")))))</x:f>
      </x:c>
      <x:c r="AD488" s="28"/>
      <x:c r="AE488" s="28"/>
      <x:c r="AF488" s="28"/>
      <x:c r="AG488" s="58"/>
      <x:c r="AH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56"/>
      <x:c r="J489" s="28"/>
      <x:c r="K489" s="28"/>
      <x:c r="L489" s="56"/>
      <x:c r="M489" s="28"/>
      <x:c r="N489" s="28"/>
      <x:c r="O489" s="28"/>
      <x:c r="P489" s="28"/>
      <x:c r="Q489" s="28"/>
      <x:c r="R489" s="28"/>
      <x:c r="S489" s="28"/>
      <x:c r="T489" s="28"/>
      <x:c r="U489" s="28"/>
      <x:c r="V489" s="28"/>
      <x:c r="W489" s="28"/>
      <x:c r="X489" s="28"/>
      <x:c r="Y489" s="28"/>
      <x:c r="Z489" s="28"/>
      <x:c r="AA489" s="28"/>
      <x:c r="AB489" s="56" t="str">
        <x:f>IF($A489="","",IF(Z489="Y",20,IF(Z489="Unknown",10,0))+$L489*5+IF(AA489="Y",15,IF(AA489="Unknown",5,0))+IF($J489="Public",10,IF($J489="Partner",7,IF($J489="Internal",3,0)))+IF($W489="Hard-coded",10,IF($W489="Unknown",7,IF($W489="Configurable",3,0)))+IF($I489&gt;=10,10,IF($I489&gt;=5,7,IF($I489&gt;=2,3,0)))+IF($K489="High",10,IF($K489="Medium",5,0)))</x:f>
      </x:c>
      <x:c r="AC489" s="28" t="str">
        <x:f>IF($A489="","",IF(AB489&gt;=70,"P0 - Immediate",IF(AB489&gt;=50,"P1 - High",IF(AB489&gt;=30,"P2 - Medium",IF(AB489&gt;=15,"P3 - Low","P4 - Monitor")))))</x:f>
      </x:c>
      <x:c r="AD489" s="28"/>
      <x:c r="AE489" s="28"/>
      <x:c r="AF489" s="28"/>
      <x:c r="AG489" s="58"/>
      <x:c r="AH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56"/>
      <x:c r="J490" s="28"/>
      <x:c r="K490" s="28"/>
      <x:c r="L490" s="56"/>
      <x:c r="M490" s="28"/>
      <x:c r="N490" s="28"/>
      <x:c r="O490" s="28"/>
      <x:c r="P490" s="28"/>
      <x:c r="Q490" s="28"/>
      <x:c r="R490" s="28"/>
      <x:c r="S490" s="28"/>
      <x:c r="T490" s="28"/>
      <x:c r="U490" s="28"/>
      <x:c r="V490" s="28"/>
      <x:c r="W490" s="28"/>
      <x:c r="X490" s="28"/>
      <x:c r="Y490" s="28"/>
      <x:c r="Z490" s="28"/>
      <x:c r="AA490" s="28"/>
      <x:c r="AB490" s="56" t="str">
        <x:f>IF($A490="","",IF(Z490="Y",20,IF(Z490="Unknown",10,0))+$L490*5+IF(AA490="Y",15,IF(AA490="Unknown",5,0))+IF($J490="Public",10,IF($J490="Partner",7,IF($J490="Internal",3,0)))+IF($W490="Hard-coded",10,IF($W490="Unknown",7,IF($W490="Configurable",3,0)))+IF($I490&gt;=10,10,IF($I490&gt;=5,7,IF($I490&gt;=2,3,0)))+IF($K490="High",10,IF($K490="Medium",5,0)))</x:f>
      </x:c>
      <x:c r="AC490" s="28" t="str">
        <x:f>IF($A490="","",IF(AB490&gt;=70,"P0 - Immediate",IF(AB490&gt;=50,"P1 - High",IF(AB490&gt;=30,"P2 - Medium",IF(AB490&gt;=15,"P3 - Low","P4 - Monitor")))))</x:f>
      </x:c>
      <x:c r="AD490" s="28"/>
      <x:c r="AE490" s="28"/>
      <x:c r="AF490" s="28"/>
      <x:c r="AG490" s="58"/>
      <x:c r="AH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56"/>
      <x:c r="J491" s="28"/>
      <x:c r="K491" s="28"/>
      <x:c r="L491" s="56"/>
      <x:c r="M491" s="28"/>
      <x:c r="N491" s="28"/>
      <x:c r="O491" s="28"/>
      <x:c r="P491" s="28"/>
      <x:c r="Q491" s="28"/>
      <x:c r="R491" s="28"/>
      <x:c r="S491" s="28"/>
      <x:c r="T491" s="28"/>
      <x:c r="U491" s="28"/>
      <x:c r="V491" s="28"/>
      <x:c r="W491" s="28"/>
      <x:c r="X491" s="28"/>
      <x:c r="Y491" s="28"/>
      <x:c r="Z491" s="28"/>
      <x:c r="AA491" s="28"/>
      <x:c r="AB491" s="56" t="str">
        <x:f>IF($A491="","",IF(Z491="Y",20,IF(Z491="Unknown",10,0))+$L491*5+IF(AA491="Y",15,IF(AA491="Unknown",5,0))+IF($J491="Public",10,IF($J491="Partner",7,IF($J491="Internal",3,0)))+IF($W491="Hard-coded",10,IF($W491="Unknown",7,IF($W491="Configurable",3,0)))+IF($I491&gt;=10,10,IF($I491&gt;=5,7,IF($I491&gt;=2,3,0)))+IF($K491="High",10,IF($K491="Medium",5,0)))</x:f>
      </x:c>
      <x:c r="AC491" s="28" t="str">
        <x:f>IF($A491="","",IF(AB491&gt;=70,"P0 - Immediate",IF(AB491&gt;=50,"P1 - High",IF(AB491&gt;=30,"P2 - Medium",IF(AB491&gt;=15,"P3 - Low","P4 - Monitor")))))</x:f>
      </x:c>
      <x:c r="AD491" s="28"/>
      <x:c r="AE491" s="28"/>
      <x:c r="AF491" s="28"/>
      <x:c r="AG491" s="58"/>
      <x:c r="AH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56"/>
      <x:c r="J492" s="28"/>
      <x:c r="K492" s="28"/>
      <x:c r="L492" s="56"/>
      <x:c r="M492" s="28"/>
      <x:c r="N492" s="28"/>
      <x:c r="O492" s="28"/>
      <x:c r="P492" s="28"/>
      <x:c r="Q492" s="28"/>
      <x:c r="R492" s="28"/>
      <x:c r="S492" s="28"/>
      <x:c r="T492" s="28"/>
      <x:c r="U492" s="28"/>
      <x:c r="V492" s="28"/>
      <x:c r="W492" s="28"/>
      <x:c r="X492" s="28"/>
      <x:c r="Y492" s="28"/>
      <x:c r="Z492" s="28"/>
      <x:c r="AA492" s="28"/>
      <x:c r="AB492" s="56" t="str">
        <x:f>IF($A492="","",IF(Z492="Y",20,IF(Z492="Unknown",10,0))+$L492*5+IF(AA492="Y",15,IF(AA492="Unknown",5,0))+IF($J492="Public",10,IF($J492="Partner",7,IF($J492="Internal",3,0)))+IF($W492="Hard-coded",10,IF($W492="Unknown",7,IF($W492="Configurable",3,0)))+IF($I492&gt;=10,10,IF($I492&gt;=5,7,IF($I492&gt;=2,3,0)))+IF($K492="High",10,IF($K492="Medium",5,0)))</x:f>
      </x:c>
      <x:c r="AC492" s="28" t="str">
        <x:f>IF($A492="","",IF(AB492&gt;=70,"P0 - Immediate",IF(AB492&gt;=50,"P1 - High",IF(AB492&gt;=30,"P2 - Medium",IF(AB492&gt;=15,"P3 - Low","P4 - Monitor")))))</x:f>
      </x:c>
      <x:c r="AD492" s="28"/>
      <x:c r="AE492" s="28"/>
      <x:c r="AF492" s="28"/>
      <x:c r="AG492" s="58"/>
      <x:c r="AH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56"/>
      <x:c r="J493" s="28"/>
      <x:c r="K493" s="28"/>
      <x:c r="L493" s="56"/>
      <x:c r="M493" s="28"/>
      <x:c r="N493" s="28"/>
      <x:c r="O493" s="28"/>
      <x:c r="P493" s="28"/>
      <x:c r="Q493" s="28"/>
      <x:c r="R493" s="28"/>
      <x:c r="S493" s="28"/>
      <x:c r="T493" s="28"/>
      <x:c r="U493" s="28"/>
      <x:c r="V493" s="28"/>
      <x:c r="W493" s="28"/>
      <x:c r="X493" s="28"/>
      <x:c r="Y493" s="28"/>
      <x:c r="Z493" s="28"/>
      <x:c r="AA493" s="28"/>
      <x:c r="AB493" s="56" t="str">
        <x:f>IF($A493="","",IF(Z493="Y",20,IF(Z493="Unknown",10,0))+$L493*5+IF(AA493="Y",15,IF(AA493="Unknown",5,0))+IF($J493="Public",10,IF($J493="Partner",7,IF($J493="Internal",3,0)))+IF($W493="Hard-coded",10,IF($W493="Unknown",7,IF($W493="Configurable",3,0)))+IF($I493&gt;=10,10,IF($I493&gt;=5,7,IF($I493&gt;=2,3,0)))+IF($K493="High",10,IF($K493="Medium",5,0)))</x:f>
      </x:c>
      <x:c r="AC493" s="28" t="str">
        <x:f>IF($A493="","",IF(AB493&gt;=70,"P0 - Immediate",IF(AB493&gt;=50,"P1 - High",IF(AB493&gt;=30,"P2 - Medium",IF(AB493&gt;=15,"P3 - Low","P4 - Monitor")))))</x:f>
      </x:c>
      <x:c r="AD493" s="28"/>
      <x:c r="AE493" s="28"/>
      <x:c r="AF493" s="28"/>
      <x:c r="AG493" s="58"/>
      <x:c r="AH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56"/>
      <x:c r="J494" s="28"/>
      <x:c r="K494" s="28"/>
      <x:c r="L494" s="56"/>
      <x:c r="M494" s="28"/>
      <x:c r="N494" s="28"/>
      <x:c r="O494" s="28"/>
      <x:c r="P494" s="28"/>
      <x:c r="Q494" s="28"/>
      <x:c r="R494" s="28"/>
      <x:c r="S494" s="28"/>
      <x:c r="T494" s="28"/>
      <x:c r="U494" s="28"/>
      <x:c r="V494" s="28"/>
      <x:c r="W494" s="28"/>
      <x:c r="X494" s="28"/>
      <x:c r="Y494" s="28"/>
      <x:c r="Z494" s="28"/>
      <x:c r="AA494" s="28"/>
      <x:c r="AB494" s="56" t="str">
        <x:f>IF($A494="","",IF(Z494="Y",20,IF(Z494="Unknown",10,0))+$L494*5+IF(AA494="Y",15,IF(AA494="Unknown",5,0))+IF($J494="Public",10,IF($J494="Partner",7,IF($J494="Internal",3,0)))+IF($W494="Hard-coded",10,IF($W494="Unknown",7,IF($W494="Configurable",3,0)))+IF($I494&gt;=10,10,IF($I494&gt;=5,7,IF($I494&gt;=2,3,0)))+IF($K494="High",10,IF($K494="Medium",5,0)))</x:f>
      </x:c>
      <x:c r="AC494" s="28" t="str">
        <x:f>IF($A494="","",IF(AB494&gt;=70,"P0 - Immediate",IF(AB494&gt;=50,"P1 - High",IF(AB494&gt;=30,"P2 - Medium",IF(AB494&gt;=15,"P3 - Low","P4 - Monitor")))))</x:f>
      </x:c>
      <x:c r="AD494" s="28"/>
      <x:c r="AE494" s="28"/>
      <x:c r="AF494" s="28"/>
      <x:c r="AG494" s="58"/>
      <x:c r="AH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56"/>
      <x:c r="J495" s="28"/>
      <x:c r="K495" s="28"/>
      <x:c r="L495" s="56"/>
      <x:c r="M495" s="28"/>
      <x:c r="N495" s="28"/>
      <x:c r="O495" s="28"/>
      <x:c r="P495" s="28"/>
      <x:c r="Q495" s="28"/>
      <x:c r="R495" s="28"/>
      <x:c r="S495" s="28"/>
      <x:c r="T495" s="28"/>
      <x:c r="U495" s="28"/>
      <x:c r="V495" s="28"/>
      <x:c r="W495" s="28"/>
      <x:c r="X495" s="28"/>
      <x:c r="Y495" s="28"/>
      <x:c r="Z495" s="28"/>
      <x:c r="AA495" s="28"/>
      <x:c r="AB495" s="56" t="str">
        <x:f>IF($A495="","",IF(Z495="Y",20,IF(Z495="Unknown",10,0))+$L495*5+IF(AA495="Y",15,IF(AA495="Unknown",5,0))+IF($J495="Public",10,IF($J495="Partner",7,IF($J495="Internal",3,0)))+IF($W495="Hard-coded",10,IF($W495="Unknown",7,IF($W495="Configurable",3,0)))+IF($I495&gt;=10,10,IF($I495&gt;=5,7,IF($I495&gt;=2,3,0)))+IF($K495="High",10,IF($K495="Medium",5,0)))</x:f>
      </x:c>
      <x:c r="AC495" s="28" t="str">
        <x:f>IF($A495="","",IF(AB495&gt;=70,"P0 - Immediate",IF(AB495&gt;=50,"P1 - High",IF(AB495&gt;=30,"P2 - Medium",IF(AB495&gt;=15,"P3 - Low","P4 - Monitor")))))</x:f>
      </x:c>
      <x:c r="AD495" s="28"/>
      <x:c r="AE495" s="28"/>
      <x:c r="AF495" s="28"/>
      <x:c r="AG495" s="58"/>
      <x:c r="AH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56"/>
      <x:c r="J496" s="28"/>
      <x:c r="K496" s="28"/>
      <x:c r="L496" s="56"/>
      <x:c r="M496" s="28"/>
      <x:c r="N496" s="28"/>
      <x:c r="O496" s="28"/>
      <x:c r="P496" s="28"/>
      <x:c r="Q496" s="28"/>
      <x:c r="R496" s="28"/>
      <x:c r="S496" s="28"/>
      <x:c r="T496" s="28"/>
      <x:c r="U496" s="28"/>
      <x:c r="V496" s="28"/>
      <x:c r="W496" s="28"/>
      <x:c r="X496" s="28"/>
      <x:c r="Y496" s="28"/>
      <x:c r="Z496" s="28"/>
      <x:c r="AA496" s="28"/>
      <x:c r="AB496" s="56" t="str">
        <x:f>IF($A496="","",IF(Z496="Y",20,IF(Z496="Unknown",10,0))+$L496*5+IF(AA496="Y",15,IF(AA496="Unknown",5,0))+IF($J496="Public",10,IF($J496="Partner",7,IF($J496="Internal",3,0)))+IF($W496="Hard-coded",10,IF($W496="Unknown",7,IF($W496="Configurable",3,0)))+IF($I496&gt;=10,10,IF($I496&gt;=5,7,IF($I496&gt;=2,3,0)))+IF($K496="High",10,IF($K496="Medium",5,0)))</x:f>
      </x:c>
      <x:c r="AC496" s="28" t="str">
        <x:f>IF($A496="","",IF(AB496&gt;=70,"P0 - Immediate",IF(AB496&gt;=50,"P1 - High",IF(AB496&gt;=30,"P2 - Medium",IF(AB496&gt;=15,"P3 - Low","P4 - Monitor")))))</x:f>
      </x:c>
      <x:c r="AD496" s="28"/>
      <x:c r="AE496" s="28"/>
      <x:c r="AF496" s="28"/>
      <x:c r="AG496" s="58"/>
      <x:c r="AH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56"/>
      <x:c r="J497" s="28"/>
      <x:c r="K497" s="28"/>
      <x:c r="L497" s="56"/>
      <x:c r="M497" s="28"/>
      <x:c r="N497" s="28"/>
      <x:c r="O497" s="28"/>
      <x:c r="P497" s="28"/>
      <x:c r="Q497" s="28"/>
      <x:c r="R497" s="28"/>
      <x:c r="S497" s="28"/>
      <x:c r="T497" s="28"/>
      <x:c r="U497" s="28"/>
      <x:c r="V497" s="28"/>
      <x:c r="W497" s="28"/>
      <x:c r="X497" s="28"/>
      <x:c r="Y497" s="28"/>
      <x:c r="Z497" s="28"/>
      <x:c r="AA497" s="28"/>
      <x:c r="AB497" s="56" t="str">
        <x:f>IF($A497="","",IF(Z497="Y",20,IF(Z497="Unknown",10,0))+$L497*5+IF(AA497="Y",15,IF(AA497="Unknown",5,0))+IF($J497="Public",10,IF($J497="Partner",7,IF($J497="Internal",3,0)))+IF($W497="Hard-coded",10,IF($W497="Unknown",7,IF($W497="Configurable",3,0)))+IF($I497&gt;=10,10,IF($I497&gt;=5,7,IF($I497&gt;=2,3,0)))+IF($K497="High",10,IF($K497="Medium",5,0)))</x:f>
      </x:c>
      <x:c r="AC497" s="28" t="str">
        <x:f>IF($A497="","",IF(AB497&gt;=70,"P0 - Immediate",IF(AB497&gt;=50,"P1 - High",IF(AB497&gt;=30,"P2 - Medium",IF(AB497&gt;=15,"P3 - Low","P4 - Monitor")))))</x:f>
      </x:c>
      <x:c r="AD497" s="28"/>
      <x:c r="AE497" s="28"/>
      <x:c r="AF497" s="28"/>
      <x:c r="AG497" s="58"/>
      <x:c r="AH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56"/>
      <x:c r="J498" s="28"/>
      <x:c r="K498" s="28"/>
      <x:c r="L498" s="56"/>
      <x:c r="M498" s="28"/>
      <x:c r="N498" s="28"/>
      <x:c r="O498" s="28"/>
      <x:c r="P498" s="28"/>
      <x:c r="Q498" s="28"/>
      <x:c r="R498" s="28"/>
      <x:c r="S498" s="28"/>
      <x:c r="T498" s="28"/>
      <x:c r="U498" s="28"/>
      <x:c r="V498" s="28"/>
      <x:c r="W498" s="28"/>
      <x:c r="X498" s="28"/>
      <x:c r="Y498" s="28"/>
      <x:c r="Z498" s="28"/>
      <x:c r="AA498" s="28"/>
      <x:c r="AB498" s="56" t="str">
        <x:f>IF($A498="","",IF(Z498="Y",20,IF(Z498="Unknown",10,0))+$L498*5+IF(AA498="Y",15,IF(AA498="Unknown",5,0))+IF($J498="Public",10,IF($J498="Partner",7,IF($J498="Internal",3,0)))+IF($W498="Hard-coded",10,IF($W498="Unknown",7,IF($W498="Configurable",3,0)))+IF($I498&gt;=10,10,IF($I498&gt;=5,7,IF($I498&gt;=2,3,0)))+IF($K498="High",10,IF($K498="Medium",5,0)))</x:f>
      </x:c>
      <x:c r="AC498" s="28" t="str">
        <x:f>IF($A498="","",IF(AB498&gt;=70,"P0 - Immediate",IF(AB498&gt;=50,"P1 - High",IF(AB498&gt;=30,"P2 - Medium",IF(AB498&gt;=15,"P3 - Low","P4 - Monitor")))))</x:f>
      </x:c>
      <x:c r="AD498" s="28"/>
      <x:c r="AE498" s="28"/>
      <x:c r="AF498" s="28"/>
      <x:c r="AG498" s="58"/>
      <x:c r="AH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56"/>
      <x:c r="J499" s="28"/>
      <x:c r="K499" s="28"/>
      <x:c r="L499" s="56"/>
      <x:c r="M499" s="28"/>
      <x:c r="N499" s="28"/>
      <x:c r="O499" s="28"/>
      <x:c r="P499" s="28"/>
      <x:c r="Q499" s="28"/>
      <x:c r="R499" s="28"/>
      <x:c r="S499" s="28"/>
      <x:c r="T499" s="28"/>
      <x:c r="U499" s="28"/>
      <x:c r="V499" s="28"/>
      <x:c r="W499" s="28"/>
      <x:c r="X499" s="28"/>
      <x:c r="Y499" s="28"/>
      <x:c r="Z499" s="28"/>
      <x:c r="AA499" s="28"/>
      <x:c r="AB499" s="56" t="str">
        <x:f>IF($A499="","",IF(Z499="Y",20,IF(Z499="Unknown",10,0))+$L499*5+IF(AA499="Y",15,IF(AA499="Unknown",5,0))+IF($J499="Public",10,IF($J499="Partner",7,IF($J499="Internal",3,0)))+IF($W499="Hard-coded",10,IF($W499="Unknown",7,IF($W499="Configurable",3,0)))+IF($I499&gt;=10,10,IF($I499&gt;=5,7,IF($I499&gt;=2,3,0)))+IF($K499="High",10,IF($K499="Medium",5,0)))</x:f>
      </x:c>
      <x:c r="AC499" s="28" t="str">
        <x:f>IF($A499="","",IF(AB499&gt;=70,"P0 - Immediate",IF(AB499&gt;=50,"P1 - High",IF(AB499&gt;=30,"P2 - Medium",IF(AB499&gt;=15,"P3 - Low","P4 - Monitor")))))</x:f>
      </x:c>
      <x:c r="AD499" s="28"/>
      <x:c r="AE499" s="28"/>
      <x:c r="AF499" s="28"/>
      <x:c r="AG499" s="58"/>
      <x:c r="AH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56"/>
      <x:c r="J500" s="28"/>
      <x:c r="K500" s="28"/>
      <x:c r="L500" s="56"/>
      <x:c r="M500" s="28"/>
      <x:c r="N500" s="28"/>
      <x:c r="O500" s="28"/>
      <x:c r="P500" s="28"/>
      <x:c r="Q500" s="28"/>
      <x:c r="R500" s="28"/>
      <x:c r="S500" s="28"/>
      <x:c r="T500" s="28"/>
      <x:c r="U500" s="28"/>
      <x:c r="V500" s="28"/>
      <x:c r="W500" s="28"/>
      <x:c r="X500" s="28"/>
      <x:c r="Y500" s="28"/>
      <x:c r="Z500" s="28"/>
      <x:c r="AA500" s="28"/>
      <x:c r="AB500" s="56" t="str">
        <x:f>IF($A500="","",IF(Z500="Y",20,IF(Z500="Unknown",10,0))+$L500*5+IF(AA500="Y",15,IF(AA500="Unknown",5,0))+IF($J500="Public",10,IF($J500="Partner",7,IF($J500="Internal",3,0)))+IF($W500="Hard-coded",10,IF($W500="Unknown",7,IF($W500="Configurable",3,0)))+IF($I500&gt;=10,10,IF($I500&gt;=5,7,IF($I500&gt;=2,3,0)))+IF($K500="High",10,IF($K500="Medium",5,0)))</x:f>
      </x:c>
      <x:c r="AC500" s="28" t="str">
        <x:f>IF($A500="","",IF(AB500&gt;=70,"P0 - Immediate",IF(AB500&gt;=50,"P1 - High",IF(AB500&gt;=30,"P2 - Medium",IF(AB500&gt;=15,"P3 - Low","P4 - Monitor")))))</x:f>
      </x:c>
      <x:c r="AD500" s="28"/>
      <x:c r="AE500" s="28"/>
      <x:c r="AF500" s="28"/>
      <x:c r="AG500" s="58"/>
      <x:c r="AH500" s="28"/>
    </x:row>
    <x:row r="501">
      <x:c r="A501" s="28"/>
      <x:c r="B501" s="28"/>
      <x:c r="C501" s="28"/>
      <x:c r="D501" s="28"/>
      <x:c r="E501" s="28"/>
      <x:c r="F501" s="28"/>
      <x:c r="G501" s="28"/>
      <x:c r="H501" s="28"/>
      <x:c r="I501" s="56"/>
      <x:c r="J501" s="28"/>
      <x:c r="K501" s="28"/>
      <x:c r="L501" s="56"/>
      <x:c r="M501" s="28"/>
      <x:c r="N501" s="28"/>
      <x:c r="O501" s="28"/>
      <x:c r="P501" s="28"/>
      <x:c r="Q501" s="28"/>
      <x:c r="R501" s="28"/>
      <x:c r="S501" s="28"/>
      <x:c r="T501" s="28"/>
      <x:c r="U501" s="28"/>
      <x:c r="V501" s="28"/>
      <x:c r="W501" s="28"/>
      <x:c r="X501" s="28"/>
      <x:c r="Y501" s="28"/>
      <x:c r="Z501" s="28"/>
      <x:c r="AA501" s="28"/>
      <x:c r="AB501" s="56" t="str">
        <x:f>IF($A501="","",IF(Z501="Y",20,IF(Z501="Unknown",10,0))+$L501*5+IF(AA501="Y",15,IF(AA501="Unknown",5,0))+IF($J501="Public",10,IF($J501="Partner",7,IF($J501="Internal",3,0)))+IF($W501="Hard-coded",10,IF($W501="Unknown",7,IF($W501="Configurable",3,0)))+IF($I501&gt;=10,10,IF($I501&gt;=5,7,IF($I501&gt;=2,3,0)))+IF($K501="High",10,IF($K501="Medium",5,0)))</x:f>
      </x:c>
      <x:c r="AC501" s="28" t="str">
        <x:f>IF($A501="","",IF(AB501&gt;=70,"P0 - Immediate",IF(AB501&gt;=50,"P1 - High",IF(AB501&gt;=30,"P2 - Medium",IF(AB501&gt;=15,"P3 - Low","P4 - Monitor")))))</x:f>
      </x:c>
      <x:c r="AD501" s="28"/>
      <x:c r="AE501" s="28"/>
      <x:c r="AF501" s="28"/>
      <x:c r="AG501" s="58"/>
      <x:c r="AH501" s="28"/>
    </x:row>
    <x:row r="502">
      <x:c r="A502" s="28"/>
      <x:c r="B502" s="28"/>
      <x:c r="C502" s="28"/>
      <x:c r="D502" s="28"/>
      <x:c r="E502" s="28"/>
      <x:c r="F502" s="28"/>
      <x:c r="G502" s="28"/>
      <x:c r="H502" s="28"/>
      <x:c r="I502" s="56"/>
      <x:c r="J502" s="28"/>
      <x:c r="K502" s="28"/>
      <x:c r="L502" s="56"/>
      <x:c r="M502" s="28"/>
      <x:c r="N502" s="28"/>
      <x:c r="O502" s="28"/>
      <x:c r="P502" s="28"/>
      <x:c r="Q502" s="28"/>
      <x:c r="R502" s="28"/>
      <x:c r="S502" s="28"/>
      <x:c r="T502" s="28"/>
      <x:c r="U502" s="28"/>
      <x:c r="V502" s="28"/>
      <x:c r="W502" s="28"/>
      <x:c r="X502" s="28"/>
      <x:c r="Y502" s="28"/>
      <x:c r="Z502" s="28"/>
      <x:c r="AA502" s="28"/>
      <x:c r="AB502" s="56" t="str">
        <x:f>IF($A502="","",IF(Z502="Y",20,IF(Z502="Unknown",10,0))+$L502*5+IF(AA502="Y",15,IF(AA502="Unknown",5,0))+IF($J502="Public",10,IF($J502="Partner",7,IF($J502="Internal",3,0)))+IF($W502="Hard-coded",10,IF($W502="Unknown",7,IF($W502="Configurable",3,0)))+IF($I502&gt;=10,10,IF($I502&gt;=5,7,IF($I502&gt;=2,3,0)))+IF($K502="High",10,IF($K502="Medium",5,0)))</x:f>
      </x:c>
      <x:c r="AC502" s="28" t="str">
        <x:f>IF($A502="","",IF(AB502&gt;=70,"P0 - Immediate",IF(AB502&gt;=50,"P1 - High",IF(AB502&gt;=30,"P2 - Medium",IF(AB502&gt;=15,"P3 - Low","P4 - Monitor")))))</x:f>
      </x:c>
      <x:c r="AD502" s="28"/>
      <x:c r="AE502" s="28"/>
      <x:c r="AF502" s="28"/>
      <x:c r="AG502" s="58"/>
      <x:c r="AH502" s="28"/>
    </x:row>
    <x:row r="503">
      <x:c r="A503" s="28"/>
      <x:c r="B503" s="28"/>
      <x:c r="C503" s="28"/>
      <x:c r="D503" s="28"/>
      <x:c r="E503" s="28"/>
      <x:c r="F503" s="28"/>
      <x:c r="G503" s="28"/>
      <x:c r="H503" s="28"/>
      <x:c r="I503" s="56"/>
      <x:c r="J503" s="28"/>
      <x:c r="K503" s="28"/>
      <x:c r="L503" s="56"/>
      <x:c r="M503" s="28"/>
      <x:c r="N503" s="28"/>
      <x:c r="O503" s="28"/>
      <x:c r="P503" s="28"/>
      <x:c r="Q503" s="28"/>
      <x:c r="R503" s="28"/>
      <x:c r="S503" s="28"/>
      <x:c r="T503" s="28"/>
      <x:c r="U503" s="28"/>
      <x:c r="V503" s="28"/>
      <x:c r="W503" s="28"/>
      <x:c r="X503" s="28"/>
      <x:c r="Y503" s="28"/>
      <x:c r="Z503" s="28"/>
      <x:c r="AA503" s="28"/>
      <x:c r="AB503" s="56" t="str">
        <x:f>IF($A503="","",IF(Z503="Y",20,IF(Z503="Unknown",10,0))+$L503*5+IF(AA503="Y",15,IF(AA503="Unknown",5,0))+IF($J503="Public",10,IF($J503="Partner",7,IF($J503="Internal",3,0)))+IF($W503="Hard-coded",10,IF($W503="Unknown",7,IF($W503="Configurable",3,0)))+IF($I503&gt;=10,10,IF($I503&gt;=5,7,IF($I503&gt;=2,3,0)))+IF($K503="High",10,IF($K503="Medium",5,0)))</x:f>
      </x:c>
      <x:c r="AC503" s="28" t="str">
        <x:f>IF($A503="","",IF(AB503&gt;=70,"P0 - Immediate",IF(AB503&gt;=50,"P1 - High",IF(AB503&gt;=30,"P2 - Medium",IF(AB503&gt;=15,"P3 - Low","P4 - Monitor")))))</x:f>
      </x:c>
      <x:c r="AD503" s="28"/>
      <x:c r="AE503" s="28"/>
      <x:c r="AF503" s="28"/>
      <x:c r="AG503" s="58"/>
      <x:c r="AH503" s="28"/>
    </x:row>
    <x:row r="504">
      <x:c r="A504" s="28"/>
      <x:c r="B504" s="28"/>
      <x:c r="C504" s="28"/>
      <x:c r="D504" s="28"/>
      <x:c r="E504" s="28"/>
      <x:c r="F504" s="28"/>
      <x:c r="G504" s="28"/>
      <x:c r="H504" s="28"/>
      <x:c r="I504" s="56"/>
      <x:c r="J504" s="28"/>
      <x:c r="K504" s="28"/>
      <x:c r="L504" s="56"/>
      <x:c r="M504" s="28"/>
      <x:c r="N504" s="28"/>
      <x:c r="O504" s="28"/>
      <x:c r="P504" s="28"/>
      <x:c r="Q504" s="28"/>
      <x:c r="R504" s="28"/>
      <x:c r="S504" s="28"/>
      <x:c r="T504" s="28"/>
      <x:c r="U504" s="28"/>
      <x:c r="V504" s="28"/>
      <x:c r="W504" s="28"/>
      <x:c r="X504" s="28"/>
      <x:c r="Y504" s="28"/>
      <x:c r="Z504" s="28"/>
      <x:c r="AA504" s="28"/>
      <x:c r="AB504" s="56" t="str">
        <x:f>IF($A504="","",IF(Z504="Y",20,IF(Z504="Unknown",10,0))+$L504*5+IF(AA504="Y",15,IF(AA504="Unknown",5,0))+IF($J504="Public",10,IF($J504="Partner",7,IF($J504="Internal",3,0)))+IF($W504="Hard-coded",10,IF($W504="Unknown",7,IF($W504="Configurable",3,0)))+IF($I504&gt;=10,10,IF($I504&gt;=5,7,IF($I504&gt;=2,3,0)))+IF($K504="High",10,IF($K504="Medium",5,0)))</x:f>
      </x:c>
      <x:c r="AC504" s="28" t="str">
        <x:f>IF($A504="","",IF(AB504&gt;=70,"P0 - Immediate",IF(AB504&gt;=50,"P1 - High",IF(AB504&gt;=30,"P2 - Medium",IF(AB504&gt;=15,"P3 - Low","P4 - Monitor")))))</x:f>
      </x:c>
      <x:c r="AD504" s="28"/>
      <x:c r="AE504" s="28"/>
      <x:c r="AF504" s="28"/>
      <x:c r="AG504" s="58"/>
      <x:c r="AH504" s="28"/>
    </x:row>
    <x:row r="505">
      <x:c r="A505" s="28"/>
      <x:c r="B505" s="28"/>
      <x:c r="C505" s="28"/>
      <x:c r="D505" s="28"/>
      <x:c r="E505" s="28"/>
      <x:c r="F505" s="28"/>
      <x:c r="G505" s="28"/>
      <x:c r="H505" s="28"/>
      <x:c r="I505" s="56"/>
      <x:c r="J505" s="28"/>
      <x:c r="K505" s="28"/>
      <x:c r="L505" s="56"/>
      <x:c r="M505" s="28"/>
      <x:c r="N505" s="28"/>
      <x:c r="O505" s="28"/>
      <x:c r="P505" s="28"/>
      <x:c r="Q505" s="28"/>
      <x:c r="R505" s="28"/>
      <x:c r="S505" s="28"/>
      <x:c r="T505" s="28"/>
      <x:c r="U505" s="28"/>
      <x:c r="V505" s="28"/>
      <x:c r="W505" s="28"/>
      <x:c r="X505" s="28"/>
      <x:c r="Y505" s="28"/>
      <x:c r="Z505" s="28"/>
      <x:c r="AA505" s="28"/>
      <x:c r="AB505" s="56" t="str">
        <x:f>IF($A505="","",IF(Z505="Y",20,IF(Z505="Unknown",10,0))+$L505*5+IF(AA505="Y",15,IF(AA505="Unknown",5,0))+IF($J505="Public",10,IF($J505="Partner",7,IF($J505="Internal",3,0)))+IF($W505="Hard-coded",10,IF($W505="Unknown",7,IF($W505="Configurable",3,0)))+IF($I505&gt;=10,10,IF($I505&gt;=5,7,IF($I505&gt;=2,3,0)))+IF($K505="High",10,IF($K505="Medium",5,0)))</x:f>
      </x:c>
      <x:c r="AC505" s="28" t="str">
        <x:f>IF($A505="","",IF(AB505&gt;=70,"P0 - Immediate",IF(AB505&gt;=50,"P1 - High",IF(AB505&gt;=30,"P2 - Medium",IF(AB505&gt;=15,"P3 - Low","P4 - Monitor")))))</x:f>
      </x:c>
      <x:c r="AD505" s="28"/>
      <x:c r="AE505" s="28"/>
      <x:c r="AF505" s="28"/>
      <x:c r="AG505" s="58"/>
      <x:c r="AH505" s="28"/>
    </x:row>
    <x:row r="506">
      <x:c r="A506" s="28"/>
      <x:c r="B506" s="28"/>
      <x:c r="C506" s="28"/>
      <x:c r="D506" s="28"/>
      <x:c r="E506" s="28"/>
      <x:c r="F506" s="28"/>
      <x:c r="G506" s="28"/>
      <x:c r="H506" s="28"/>
      <x:c r="I506" s="56"/>
      <x:c r="J506" s="28"/>
      <x:c r="K506" s="28"/>
      <x:c r="L506" s="56"/>
      <x:c r="M506" s="28"/>
      <x:c r="N506" s="28"/>
      <x:c r="O506" s="28"/>
      <x:c r="P506" s="28"/>
      <x:c r="Q506" s="28"/>
      <x:c r="R506" s="28"/>
      <x:c r="S506" s="28"/>
      <x:c r="T506" s="28"/>
      <x:c r="U506" s="28"/>
      <x:c r="V506" s="28"/>
      <x:c r="W506" s="28"/>
      <x:c r="X506" s="28"/>
      <x:c r="Y506" s="28"/>
      <x:c r="Z506" s="28"/>
      <x:c r="AA506" s="28"/>
      <x:c r="AB506" s="56" t="str">
        <x:f>IF($A506="","",IF(Z506="Y",20,IF(Z506="Unknown",10,0))+$L506*5+IF(AA506="Y",15,IF(AA506="Unknown",5,0))+IF($J506="Public",10,IF($J506="Partner",7,IF($J506="Internal",3,0)))+IF($W506="Hard-coded",10,IF($W506="Unknown",7,IF($W506="Configurable",3,0)))+IF($I506&gt;=10,10,IF($I506&gt;=5,7,IF($I506&gt;=2,3,0)))+IF($K506="High",10,IF($K506="Medium",5,0)))</x:f>
      </x:c>
      <x:c r="AC506" s="28" t="str">
        <x:f>IF($A506="","",IF(AB506&gt;=70,"P0 - Immediate",IF(AB506&gt;=50,"P1 - High",IF(AB506&gt;=30,"P2 - Medium",IF(AB506&gt;=15,"P3 - Low","P4 - Monitor")))))</x:f>
      </x:c>
      <x:c r="AD506" s="28"/>
      <x:c r="AE506" s="28"/>
      <x:c r="AF506" s="28"/>
      <x:c r="AG506" s="58"/>
      <x:c r="AH506" s="28"/>
    </x:row>
    <x:row r="507">
      <x:c r="A507" s="28"/>
      <x:c r="B507" s="28"/>
      <x:c r="C507" s="28"/>
      <x:c r="D507" s="28"/>
      <x:c r="E507" s="28"/>
      <x:c r="F507" s="28"/>
      <x:c r="G507" s="28"/>
      <x:c r="H507" s="28"/>
      <x:c r="I507" s="56"/>
      <x:c r="J507" s="28"/>
      <x:c r="K507" s="28"/>
      <x:c r="L507" s="56"/>
      <x:c r="M507" s="28"/>
      <x:c r="N507" s="28"/>
      <x:c r="O507" s="28"/>
      <x:c r="P507" s="28"/>
      <x:c r="Q507" s="28"/>
      <x:c r="R507" s="28"/>
      <x:c r="S507" s="28"/>
      <x:c r="T507" s="28"/>
      <x:c r="U507" s="28"/>
      <x:c r="V507" s="28"/>
      <x:c r="W507" s="28"/>
      <x:c r="X507" s="28"/>
      <x:c r="Y507" s="28"/>
      <x:c r="Z507" s="28"/>
      <x:c r="AA507" s="28"/>
      <x:c r="AB507" s="56" t="str">
        <x:f>IF($A507="","",IF(Z507="Y",20,IF(Z507="Unknown",10,0))+$L507*5+IF(AA507="Y",15,IF(AA507="Unknown",5,0))+IF($J507="Public",10,IF($J507="Partner",7,IF($J507="Internal",3,0)))+IF($W507="Hard-coded",10,IF($W507="Unknown",7,IF($W507="Configurable",3,0)))+IF($I507&gt;=10,10,IF($I507&gt;=5,7,IF($I507&gt;=2,3,0)))+IF($K507="High",10,IF($K507="Medium",5,0)))</x:f>
      </x:c>
      <x:c r="AC507" s="28" t="str">
        <x:f>IF($A507="","",IF(AB507&gt;=70,"P0 - Immediate",IF(AB507&gt;=50,"P1 - High",IF(AB507&gt;=30,"P2 - Medium",IF(AB507&gt;=15,"P3 - Low","P4 - Monitor")))))</x:f>
      </x:c>
      <x:c r="AD507" s="28"/>
      <x:c r="AE507" s="28"/>
      <x:c r="AF507" s="28"/>
      <x:c r="AG507" s="58"/>
      <x:c r="AH507" s="28"/>
    </x:row>
    <x:row r="508">
      <x:c r="A508" s="28"/>
      <x:c r="B508" s="28"/>
      <x:c r="C508" s="28"/>
      <x:c r="D508" s="28"/>
      <x:c r="E508" s="28"/>
      <x:c r="F508" s="28"/>
      <x:c r="G508" s="28"/>
      <x:c r="H508" s="28"/>
      <x:c r="I508" s="56"/>
      <x:c r="J508" s="28"/>
      <x:c r="K508" s="28"/>
      <x:c r="L508" s="56"/>
      <x:c r="M508" s="28"/>
      <x:c r="N508" s="28"/>
      <x:c r="O508" s="28"/>
      <x:c r="P508" s="28"/>
      <x:c r="Q508" s="28"/>
      <x:c r="R508" s="28"/>
      <x:c r="S508" s="28"/>
      <x:c r="T508" s="28"/>
      <x:c r="U508" s="28"/>
      <x:c r="V508" s="28"/>
      <x:c r="W508" s="28"/>
      <x:c r="X508" s="28"/>
      <x:c r="Y508" s="28"/>
      <x:c r="Z508" s="28"/>
      <x:c r="AA508" s="28"/>
      <x:c r="AB508" s="56" t="str">
        <x:f>IF($A508="","",IF(Z508="Y",20,IF(Z508="Unknown",10,0))+$L508*5+IF(AA508="Y",15,IF(AA508="Unknown",5,0))+IF($J508="Public",10,IF($J508="Partner",7,IF($J508="Internal",3,0)))+IF($W508="Hard-coded",10,IF($W508="Unknown",7,IF($W508="Configurable",3,0)))+IF($I508&gt;=10,10,IF($I508&gt;=5,7,IF($I508&gt;=2,3,0)))+IF($K508="High",10,IF($K508="Medium",5,0)))</x:f>
      </x:c>
      <x:c r="AC508" s="28" t="str">
        <x:f>IF($A508="","",IF(AB508&gt;=70,"P0 - Immediate",IF(AB508&gt;=50,"P1 - High",IF(AB508&gt;=30,"P2 - Medium",IF(AB508&gt;=15,"P3 - Low","P4 - Monitor")))))</x:f>
      </x:c>
      <x:c r="AD508" s="28"/>
      <x:c r="AE508" s="28"/>
      <x:c r="AF508" s="28"/>
      <x:c r="AG508" s="58"/>
      <x:c r="AH508" s="28"/>
    </x:row>
    <x:row r="509">
      <x:c r="A509" s="28"/>
      <x:c r="B509" s="28"/>
      <x:c r="C509" s="28"/>
      <x:c r="D509" s="28"/>
      <x:c r="E509" s="28"/>
      <x:c r="F509" s="28"/>
      <x:c r="G509" s="28"/>
      <x:c r="H509" s="28"/>
      <x:c r="I509" s="56"/>
      <x:c r="J509" s="28"/>
      <x:c r="K509" s="28"/>
      <x:c r="L509" s="56"/>
      <x:c r="M509" s="28"/>
      <x:c r="N509" s="28"/>
      <x:c r="O509" s="28"/>
      <x:c r="P509" s="28"/>
      <x:c r="Q509" s="28"/>
      <x:c r="R509" s="28"/>
      <x:c r="S509" s="28"/>
      <x:c r="T509" s="28"/>
      <x:c r="U509" s="28"/>
      <x:c r="V509" s="28"/>
      <x:c r="W509" s="28"/>
      <x:c r="X509" s="28"/>
      <x:c r="Y509" s="28"/>
      <x:c r="Z509" s="28"/>
      <x:c r="AA509" s="28"/>
      <x:c r="AB509" s="56" t="str">
        <x:f>IF($A509="","",IF(Z509="Y",20,IF(Z509="Unknown",10,0))+$L509*5+IF(AA509="Y",15,IF(AA509="Unknown",5,0))+IF($J509="Public",10,IF($J509="Partner",7,IF($J509="Internal",3,0)))+IF($W509="Hard-coded",10,IF($W509="Unknown",7,IF($W509="Configurable",3,0)))+IF($I509&gt;=10,10,IF($I509&gt;=5,7,IF($I509&gt;=2,3,0)))+IF($K509="High",10,IF($K509="Medium",5,0)))</x:f>
      </x:c>
      <x:c r="AC509" s="28" t="str">
        <x:f>IF($A509="","",IF(AB509&gt;=70,"P0 - Immediate",IF(AB509&gt;=50,"P1 - High",IF(AB509&gt;=30,"P2 - Medium",IF(AB509&gt;=15,"P3 - Low","P4 - Monitor")))))</x:f>
      </x:c>
      <x:c r="AD509" s="28"/>
      <x:c r="AE509" s="28"/>
      <x:c r="AF509" s="28"/>
      <x:c r="AG509" s="58"/>
      <x:c r="AH509" s="28"/>
    </x:row>
    <x:row r="510">
      <x:c r="A510" s="28"/>
      <x:c r="B510" s="28"/>
      <x:c r="C510" s="28"/>
      <x:c r="D510" s="28"/>
      <x:c r="E510" s="28"/>
      <x:c r="F510" s="28"/>
      <x:c r="G510" s="28"/>
      <x:c r="H510" s="28"/>
      <x:c r="I510" s="56"/>
      <x:c r="J510" s="28"/>
      <x:c r="K510" s="28"/>
      <x:c r="L510" s="56"/>
      <x:c r="M510" s="28"/>
      <x:c r="N510" s="28"/>
      <x:c r="O510" s="28"/>
      <x:c r="P510" s="28"/>
      <x:c r="Q510" s="28"/>
      <x:c r="R510" s="28"/>
      <x:c r="S510" s="28"/>
      <x:c r="T510" s="28"/>
      <x:c r="U510" s="28"/>
      <x:c r="V510" s="28"/>
      <x:c r="W510" s="28"/>
      <x:c r="X510" s="28"/>
      <x:c r="Y510" s="28"/>
      <x:c r="Z510" s="28"/>
      <x:c r="AA510" s="28"/>
      <x:c r="AB510" s="56" t="str">
        <x:f>IF($A510="","",IF(Z510="Y",20,IF(Z510="Unknown",10,0))+$L510*5+IF(AA510="Y",15,IF(AA510="Unknown",5,0))+IF($J510="Public",10,IF($J510="Partner",7,IF($J510="Internal",3,0)))+IF($W510="Hard-coded",10,IF($W510="Unknown",7,IF($W510="Configurable",3,0)))+IF($I510&gt;=10,10,IF($I510&gt;=5,7,IF($I510&gt;=2,3,0)))+IF($K510="High",10,IF($K510="Medium",5,0)))</x:f>
      </x:c>
      <x:c r="AC510" s="28" t="str">
        <x:f>IF($A510="","",IF(AB510&gt;=70,"P0 - Immediate",IF(AB510&gt;=50,"P1 - High",IF(AB510&gt;=30,"P2 - Medium",IF(AB510&gt;=15,"P3 - Low","P4 - Monitor")))))</x:f>
      </x:c>
      <x:c r="AD510" s="28"/>
      <x:c r="AE510" s="28"/>
      <x:c r="AF510" s="28"/>
      <x:c r="AG510" s="58"/>
      <x:c r="AH510" s="28"/>
    </x:row>
    <x:row r="511">
      <x:c r="A511" s="28"/>
      <x:c r="B511" s="28"/>
      <x:c r="C511" s="28"/>
      <x:c r="D511" s="28"/>
      <x:c r="E511" s="28"/>
      <x:c r="F511" s="28"/>
      <x:c r="G511" s="28"/>
      <x:c r="H511" s="28"/>
      <x:c r="I511" s="56"/>
      <x:c r="J511" s="28"/>
      <x:c r="K511" s="28"/>
      <x:c r="L511" s="56"/>
      <x:c r="M511" s="28"/>
      <x:c r="N511" s="28"/>
      <x:c r="O511" s="28"/>
      <x:c r="P511" s="28"/>
      <x:c r="Q511" s="28"/>
      <x:c r="R511" s="28"/>
      <x:c r="S511" s="28"/>
      <x:c r="T511" s="28"/>
      <x:c r="U511" s="28"/>
      <x:c r="V511" s="28"/>
      <x:c r="W511" s="28"/>
      <x:c r="X511" s="28"/>
      <x:c r="Y511" s="28"/>
      <x:c r="Z511" s="28"/>
      <x:c r="AA511" s="28"/>
      <x:c r="AB511" s="56" t="str">
        <x:f>IF($A511="","",IF(Z511="Y",20,IF(Z511="Unknown",10,0))+$L511*5+IF(AA511="Y",15,IF(AA511="Unknown",5,0))+IF($J511="Public",10,IF($J511="Partner",7,IF($J511="Internal",3,0)))+IF($W511="Hard-coded",10,IF($W511="Unknown",7,IF($W511="Configurable",3,0)))+IF($I511&gt;=10,10,IF($I511&gt;=5,7,IF($I511&gt;=2,3,0)))+IF($K511="High",10,IF($K511="Medium",5,0)))</x:f>
      </x:c>
      <x:c r="AC511" s="28" t="str">
        <x:f>IF($A511="","",IF(AB511&gt;=70,"P0 - Immediate",IF(AB511&gt;=50,"P1 - High",IF(AB511&gt;=30,"P2 - Medium",IF(AB511&gt;=15,"P3 - Low","P4 - Monitor")))))</x:f>
      </x:c>
      <x:c r="AD511" s="28"/>
      <x:c r="AE511" s="28"/>
      <x:c r="AF511" s="28"/>
      <x:c r="AG511" s="58"/>
      <x:c r="AH511" s="28"/>
    </x:row>
    <x:row r="512">
      <x:c r="A512" s="28"/>
      <x:c r="B512" s="28"/>
      <x:c r="C512" s="28"/>
      <x:c r="D512" s="28"/>
      <x:c r="E512" s="28"/>
      <x:c r="F512" s="28"/>
      <x:c r="G512" s="28"/>
      <x:c r="H512" s="28"/>
      <x:c r="I512" s="56"/>
      <x:c r="J512" s="28"/>
      <x:c r="K512" s="28"/>
      <x:c r="L512" s="56"/>
      <x:c r="M512" s="28"/>
      <x:c r="N512" s="28"/>
      <x:c r="O512" s="28"/>
      <x:c r="P512" s="28"/>
      <x:c r="Q512" s="28"/>
      <x:c r="R512" s="28"/>
      <x:c r="S512" s="28"/>
      <x:c r="T512" s="28"/>
      <x:c r="U512" s="28"/>
      <x:c r="V512" s="28"/>
      <x:c r="W512" s="28"/>
      <x:c r="X512" s="28"/>
      <x:c r="Y512" s="28"/>
      <x:c r="Z512" s="28"/>
      <x:c r="AA512" s="28"/>
      <x:c r="AB512" s="56" t="str">
        <x:f>IF($A512="","",IF(Z512="Y",20,IF(Z512="Unknown",10,0))+$L512*5+IF(AA512="Y",15,IF(AA512="Unknown",5,0))+IF($J512="Public",10,IF($J512="Partner",7,IF($J512="Internal",3,0)))+IF($W512="Hard-coded",10,IF($W512="Unknown",7,IF($W512="Configurable",3,0)))+IF($I512&gt;=10,10,IF($I512&gt;=5,7,IF($I512&gt;=2,3,0)))+IF($K512="High",10,IF($K512="Medium",5,0)))</x:f>
      </x:c>
      <x:c r="AC512" s="28" t="str">
        <x:f>IF($A512="","",IF(AB512&gt;=70,"P0 - Immediate",IF(AB512&gt;=50,"P1 - High",IF(AB512&gt;=30,"P2 - Medium",IF(AB512&gt;=15,"P3 - Low","P4 - Monitor")))))</x:f>
      </x:c>
      <x:c r="AD512" s="28"/>
      <x:c r="AE512" s="28"/>
      <x:c r="AF512" s="28"/>
      <x:c r="AG512" s="58"/>
      <x:c r="AH512" s="28"/>
    </x:row>
    <x:row r="513">
      <x:c r="A513" s="28"/>
      <x:c r="B513" s="28"/>
      <x:c r="C513" s="28"/>
      <x:c r="D513" s="28"/>
      <x:c r="E513" s="28"/>
      <x:c r="F513" s="28"/>
      <x:c r="G513" s="28"/>
      <x:c r="H513" s="28"/>
      <x:c r="I513" s="56"/>
      <x:c r="J513" s="28"/>
      <x:c r="K513" s="28"/>
      <x:c r="L513" s="56"/>
      <x:c r="M513" s="28"/>
      <x:c r="N513" s="28"/>
      <x:c r="O513" s="28"/>
      <x:c r="P513" s="28"/>
      <x:c r="Q513" s="28"/>
      <x:c r="R513" s="28"/>
      <x:c r="S513" s="28"/>
      <x:c r="T513" s="28"/>
      <x:c r="U513" s="28"/>
      <x:c r="V513" s="28"/>
      <x:c r="W513" s="28"/>
      <x:c r="X513" s="28"/>
      <x:c r="Y513" s="28"/>
      <x:c r="Z513" s="28"/>
      <x:c r="AA513" s="28"/>
      <x:c r="AB513" s="56" t="str">
        <x:f>IF($A513="","",IF(Z513="Y",20,IF(Z513="Unknown",10,0))+$L513*5+IF(AA513="Y",15,IF(AA513="Unknown",5,0))+IF($J513="Public",10,IF($J513="Partner",7,IF($J513="Internal",3,0)))+IF($W513="Hard-coded",10,IF($W513="Unknown",7,IF($W513="Configurable",3,0)))+IF($I513&gt;=10,10,IF($I513&gt;=5,7,IF($I513&gt;=2,3,0)))+IF($K513="High",10,IF($K513="Medium",5,0)))</x:f>
      </x:c>
      <x:c r="AC513" s="28" t="str">
        <x:f>IF($A513="","",IF(AB513&gt;=70,"P0 - Immediate",IF(AB513&gt;=50,"P1 - High",IF(AB513&gt;=30,"P2 - Medium",IF(AB513&gt;=15,"P3 - Low","P4 - Monitor")))))</x:f>
      </x:c>
      <x:c r="AD513" s="28"/>
      <x:c r="AE513" s="28"/>
      <x:c r="AF513" s="28"/>
      <x:c r="AG513" s="58"/>
      <x:c r="AH513" s="28"/>
    </x:row>
    <x:row r="514">
      <x:c r="A514" s="28"/>
      <x:c r="B514" s="28"/>
      <x:c r="C514" s="28"/>
      <x:c r="D514" s="28"/>
      <x:c r="E514" s="28"/>
      <x:c r="F514" s="28"/>
      <x:c r="G514" s="28"/>
      <x:c r="H514" s="28"/>
      <x:c r="I514" s="56"/>
      <x:c r="J514" s="28"/>
      <x:c r="K514" s="28"/>
      <x:c r="L514" s="56"/>
      <x:c r="M514" s="28"/>
      <x:c r="N514" s="28"/>
      <x:c r="O514" s="28"/>
      <x:c r="P514" s="28"/>
      <x:c r="Q514" s="28"/>
      <x:c r="R514" s="28"/>
      <x:c r="S514" s="28"/>
      <x:c r="T514" s="28"/>
      <x:c r="U514" s="28"/>
      <x:c r="V514" s="28"/>
      <x:c r="W514" s="28"/>
      <x:c r="X514" s="28"/>
      <x:c r="Y514" s="28"/>
      <x:c r="Z514" s="28"/>
      <x:c r="AA514" s="28"/>
      <x:c r="AB514" s="56" t="str">
        <x:f>IF($A514="","",IF(Z514="Y",20,IF(Z514="Unknown",10,0))+$L514*5+IF(AA514="Y",15,IF(AA514="Unknown",5,0))+IF($J514="Public",10,IF($J514="Partner",7,IF($J514="Internal",3,0)))+IF($W514="Hard-coded",10,IF($W514="Unknown",7,IF($W514="Configurable",3,0)))+IF($I514&gt;=10,10,IF($I514&gt;=5,7,IF($I514&gt;=2,3,0)))+IF($K514="High",10,IF($K514="Medium",5,0)))</x:f>
      </x:c>
      <x:c r="AC514" s="28" t="str">
        <x:f>IF($A514="","",IF(AB514&gt;=70,"P0 - Immediate",IF(AB514&gt;=50,"P1 - High",IF(AB514&gt;=30,"P2 - Medium",IF(AB514&gt;=15,"P3 - Low","P4 - Monitor")))))</x:f>
      </x:c>
      <x:c r="AD514" s="28"/>
      <x:c r="AE514" s="28"/>
      <x:c r="AF514" s="28"/>
      <x:c r="AG514" s="58"/>
      <x:c r="AH514" s="28"/>
    </x:row>
    <x:row r="515">
      <x:c r="A515" s="28"/>
      <x:c r="B515" s="28"/>
      <x:c r="C515" s="28"/>
      <x:c r="D515" s="28"/>
      <x:c r="E515" s="28"/>
      <x:c r="F515" s="28"/>
      <x:c r="G515" s="28"/>
      <x:c r="H515" s="28"/>
      <x:c r="I515" s="56"/>
      <x:c r="J515" s="28"/>
      <x:c r="K515" s="28"/>
      <x:c r="L515" s="56"/>
      <x:c r="M515" s="28"/>
      <x:c r="N515" s="28"/>
      <x:c r="O515" s="28"/>
      <x:c r="P515" s="28"/>
      <x:c r="Q515" s="28"/>
      <x:c r="R515" s="28"/>
      <x:c r="S515" s="28"/>
      <x:c r="T515" s="28"/>
      <x:c r="U515" s="28"/>
      <x:c r="V515" s="28"/>
      <x:c r="W515" s="28"/>
      <x:c r="X515" s="28"/>
      <x:c r="Y515" s="28"/>
      <x:c r="Z515" s="28"/>
      <x:c r="AA515" s="28"/>
      <x:c r="AB515" s="56" t="str">
        <x:f>IF($A515="","",IF(Z515="Y",20,IF(Z515="Unknown",10,0))+$L515*5+IF(AA515="Y",15,IF(AA515="Unknown",5,0))+IF($J515="Public",10,IF($J515="Partner",7,IF($J515="Internal",3,0)))+IF($W515="Hard-coded",10,IF($W515="Unknown",7,IF($W515="Configurable",3,0)))+IF($I515&gt;=10,10,IF($I515&gt;=5,7,IF($I515&gt;=2,3,0)))+IF($K515="High",10,IF($K515="Medium",5,0)))</x:f>
      </x:c>
      <x:c r="AC515" s="28" t="str">
        <x:f>IF($A515="","",IF(AB515&gt;=70,"P0 - Immediate",IF(AB515&gt;=50,"P1 - High",IF(AB515&gt;=30,"P2 - Medium",IF(AB515&gt;=15,"P3 - Low","P4 - Monitor")))))</x:f>
      </x:c>
      <x:c r="AD515" s="28"/>
      <x:c r="AE515" s="28"/>
      <x:c r="AF515" s="28"/>
      <x:c r="AG515" s="58"/>
      <x:c r="AH515" s="28"/>
    </x:row>
    <x:row r="516">
      <x:c r="A516" s="28"/>
      <x:c r="B516" s="28"/>
      <x:c r="C516" s="28"/>
      <x:c r="D516" s="28"/>
      <x:c r="E516" s="28"/>
      <x:c r="F516" s="28"/>
      <x:c r="G516" s="28"/>
      <x:c r="H516" s="28"/>
      <x:c r="I516" s="56"/>
      <x:c r="J516" s="28"/>
      <x:c r="K516" s="28"/>
      <x:c r="L516" s="56"/>
      <x:c r="M516" s="28"/>
      <x:c r="N516" s="28"/>
      <x:c r="O516" s="28"/>
      <x:c r="P516" s="28"/>
      <x:c r="Q516" s="28"/>
      <x:c r="R516" s="28"/>
      <x:c r="S516" s="28"/>
      <x:c r="T516" s="28"/>
      <x:c r="U516" s="28"/>
      <x:c r="V516" s="28"/>
      <x:c r="W516" s="28"/>
      <x:c r="X516" s="28"/>
      <x:c r="Y516" s="28"/>
      <x:c r="Z516" s="28"/>
      <x:c r="AA516" s="28"/>
      <x:c r="AB516" s="56" t="str">
        <x:f>IF($A516="","",IF(Z516="Y",20,IF(Z516="Unknown",10,0))+$L516*5+IF(AA516="Y",15,IF(AA516="Unknown",5,0))+IF($J516="Public",10,IF($J516="Partner",7,IF($J516="Internal",3,0)))+IF($W516="Hard-coded",10,IF($W516="Unknown",7,IF($W516="Configurable",3,0)))+IF($I516&gt;=10,10,IF($I516&gt;=5,7,IF($I516&gt;=2,3,0)))+IF($K516="High",10,IF($K516="Medium",5,0)))</x:f>
      </x:c>
      <x:c r="AC516" s="28" t="str">
        <x:f>IF($A516="","",IF(AB516&gt;=70,"P0 - Immediate",IF(AB516&gt;=50,"P1 - High",IF(AB516&gt;=30,"P2 - Medium",IF(AB516&gt;=15,"P3 - Low","P4 - Monitor")))))</x:f>
      </x:c>
      <x:c r="AD516" s="28"/>
      <x:c r="AE516" s="28"/>
      <x:c r="AF516" s="28"/>
      <x:c r="AG516" s="58"/>
      <x:c r="AH516" s="28"/>
    </x:row>
    <x:row r="517">
      <x:c r="A517" s="28"/>
      <x:c r="B517" s="28"/>
      <x:c r="C517" s="28"/>
      <x:c r="D517" s="28"/>
      <x:c r="E517" s="28"/>
      <x:c r="F517" s="28"/>
      <x:c r="G517" s="28"/>
      <x:c r="H517" s="28"/>
      <x:c r="I517" s="56"/>
      <x:c r="J517" s="28"/>
      <x:c r="K517" s="28"/>
      <x:c r="L517" s="56"/>
      <x:c r="M517" s="28"/>
      <x:c r="N517" s="28"/>
      <x:c r="O517" s="28"/>
      <x:c r="P517" s="28"/>
      <x:c r="Q517" s="28"/>
      <x:c r="R517" s="28"/>
      <x:c r="S517" s="28"/>
      <x:c r="T517" s="28"/>
      <x:c r="U517" s="28"/>
      <x:c r="V517" s="28"/>
      <x:c r="W517" s="28"/>
      <x:c r="X517" s="28"/>
      <x:c r="Y517" s="28"/>
      <x:c r="Z517" s="28"/>
      <x:c r="AA517" s="28"/>
      <x:c r="AB517" s="56" t="str">
        <x:f>IF($A517="","",IF(Z517="Y",20,IF(Z517="Unknown",10,0))+$L517*5+IF(AA517="Y",15,IF(AA517="Unknown",5,0))+IF($J517="Public",10,IF($J517="Partner",7,IF($J517="Internal",3,0)))+IF($W517="Hard-coded",10,IF($W517="Unknown",7,IF($W517="Configurable",3,0)))+IF($I517&gt;=10,10,IF($I517&gt;=5,7,IF($I517&gt;=2,3,0)))+IF($K517="High",10,IF($K517="Medium",5,0)))</x:f>
      </x:c>
      <x:c r="AC517" s="28" t="str">
        <x:f>IF($A517="","",IF(AB517&gt;=70,"P0 - Immediate",IF(AB517&gt;=50,"P1 - High",IF(AB517&gt;=30,"P2 - Medium",IF(AB517&gt;=15,"P3 - Low","P4 - Monitor")))))</x:f>
      </x:c>
      <x:c r="AD517" s="28"/>
      <x:c r="AE517" s="28"/>
      <x:c r="AF517" s="28"/>
      <x:c r="AG517" s="58"/>
      <x:c r="AH517" s="28"/>
    </x:row>
    <x:row r="518">
      <x:c r="A518" s="28"/>
      <x:c r="B518" s="28"/>
      <x:c r="C518" s="28"/>
      <x:c r="D518" s="28"/>
      <x:c r="E518" s="28"/>
      <x:c r="F518" s="28"/>
      <x:c r="G518" s="28"/>
      <x:c r="H518" s="28"/>
      <x:c r="I518" s="56"/>
      <x:c r="J518" s="28"/>
      <x:c r="K518" s="28"/>
      <x:c r="L518" s="56"/>
      <x:c r="M518" s="28"/>
      <x:c r="N518" s="28"/>
      <x:c r="O518" s="28"/>
      <x:c r="P518" s="28"/>
      <x:c r="Q518" s="28"/>
      <x:c r="R518" s="28"/>
      <x:c r="S518" s="28"/>
      <x:c r="T518" s="28"/>
      <x:c r="U518" s="28"/>
      <x:c r="V518" s="28"/>
      <x:c r="W518" s="28"/>
      <x:c r="X518" s="28"/>
      <x:c r="Y518" s="28"/>
      <x:c r="Z518" s="28"/>
      <x:c r="AA518" s="28"/>
      <x:c r="AB518" s="56" t="str">
        <x:f>IF($A518="","",IF(Z518="Y",20,IF(Z518="Unknown",10,0))+$L518*5+IF(AA518="Y",15,IF(AA518="Unknown",5,0))+IF($J518="Public",10,IF($J518="Partner",7,IF($J518="Internal",3,0)))+IF($W518="Hard-coded",10,IF($W518="Unknown",7,IF($W518="Configurable",3,0)))+IF($I518&gt;=10,10,IF($I518&gt;=5,7,IF($I518&gt;=2,3,0)))+IF($K518="High",10,IF($K518="Medium",5,0)))</x:f>
      </x:c>
      <x:c r="AC518" s="28" t="str">
        <x:f>IF($A518="","",IF(AB518&gt;=70,"P0 - Immediate",IF(AB518&gt;=50,"P1 - High",IF(AB518&gt;=30,"P2 - Medium",IF(AB518&gt;=15,"P3 - Low","P4 - Monitor")))))</x:f>
      </x:c>
      <x:c r="AD518" s="28"/>
      <x:c r="AE518" s="28"/>
      <x:c r="AF518" s="28"/>
      <x:c r="AG518" s="58"/>
      <x:c r="AH518" s="28"/>
    </x:row>
    <x:row r="519">
      <x:c r="A519" s="28"/>
      <x:c r="B519" s="28"/>
      <x:c r="C519" s="28"/>
      <x:c r="D519" s="28"/>
      <x:c r="E519" s="28"/>
      <x:c r="F519" s="28"/>
      <x:c r="G519" s="28"/>
      <x:c r="H519" s="28"/>
      <x:c r="I519" s="56"/>
      <x:c r="J519" s="28"/>
      <x:c r="K519" s="28"/>
      <x:c r="L519" s="56"/>
      <x:c r="M519" s="28"/>
      <x:c r="N519" s="28"/>
      <x:c r="O519" s="28"/>
      <x:c r="P519" s="28"/>
      <x:c r="Q519" s="28"/>
      <x:c r="R519" s="28"/>
      <x:c r="S519" s="28"/>
      <x:c r="T519" s="28"/>
      <x:c r="U519" s="28"/>
      <x:c r="V519" s="28"/>
      <x:c r="W519" s="28"/>
      <x:c r="X519" s="28"/>
      <x:c r="Y519" s="28"/>
      <x:c r="Z519" s="28"/>
      <x:c r="AA519" s="28"/>
      <x:c r="AB519" s="56" t="str">
        <x:f>IF($A519="","",IF(Z519="Y",20,IF(Z519="Unknown",10,0))+$L519*5+IF(AA519="Y",15,IF(AA519="Unknown",5,0))+IF($J519="Public",10,IF($J519="Partner",7,IF($J519="Internal",3,0)))+IF($W519="Hard-coded",10,IF($W519="Unknown",7,IF($W519="Configurable",3,0)))+IF($I519&gt;=10,10,IF($I519&gt;=5,7,IF($I519&gt;=2,3,0)))+IF($K519="High",10,IF($K519="Medium",5,0)))</x:f>
      </x:c>
      <x:c r="AC519" s="28" t="str">
        <x:f>IF($A519="","",IF(AB519&gt;=70,"P0 - Immediate",IF(AB519&gt;=50,"P1 - High",IF(AB519&gt;=30,"P2 - Medium",IF(AB519&gt;=15,"P3 - Low","P4 - Monitor")))))</x:f>
      </x:c>
      <x:c r="AD519" s="28"/>
      <x:c r="AE519" s="28"/>
      <x:c r="AF519" s="28"/>
      <x:c r="AG519" s="58"/>
      <x:c r="AH519" s="28"/>
    </x:row>
    <x:row r="520">
      <x:c r="A520" s="28"/>
      <x:c r="B520" s="28"/>
      <x:c r="C520" s="28"/>
      <x:c r="D520" s="28"/>
      <x:c r="E520" s="28"/>
      <x:c r="F520" s="28"/>
      <x:c r="G520" s="28"/>
      <x:c r="H520" s="28"/>
      <x:c r="I520" s="56"/>
      <x:c r="J520" s="28"/>
      <x:c r="K520" s="28"/>
      <x:c r="L520" s="56"/>
      <x:c r="M520" s="28"/>
      <x:c r="N520" s="28"/>
      <x:c r="O520" s="28"/>
      <x:c r="P520" s="28"/>
      <x:c r="Q520" s="28"/>
      <x:c r="R520" s="28"/>
      <x:c r="S520" s="28"/>
      <x:c r="T520" s="28"/>
      <x:c r="U520" s="28"/>
      <x:c r="V520" s="28"/>
      <x:c r="W520" s="28"/>
      <x:c r="X520" s="28"/>
      <x:c r="Y520" s="28"/>
      <x:c r="Z520" s="28"/>
      <x:c r="AA520" s="28"/>
      <x:c r="AB520" s="56" t="str">
        <x:f>IF($A520="","",IF(Z520="Y",20,IF(Z520="Unknown",10,0))+$L520*5+IF(AA520="Y",15,IF(AA520="Unknown",5,0))+IF($J520="Public",10,IF($J520="Partner",7,IF($J520="Internal",3,0)))+IF($W520="Hard-coded",10,IF($W520="Unknown",7,IF($W520="Configurable",3,0)))+IF($I520&gt;=10,10,IF($I520&gt;=5,7,IF($I520&gt;=2,3,0)))+IF($K520="High",10,IF($K520="Medium",5,0)))</x:f>
      </x:c>
      <x:c r="AC520" s="28" t="str">
        <x:f>IF($A520="","",IF(AB520&gt;=70,"P0 - Immediate",IF(AB520&gt;=50,"P1 - High",IF(AB520&gt;=30,"P2 - Medium",IF(AB520&gt;=15,"P3 - Low","P4 - Monitor")))))</x:f>
      </x:c>
      <x:c r="AD520" s="28"/>
      <x:c r="AE520" s="28"/>
      <x:c r="AF520" s="28"/>
      <x:c r="AG520" s="58"/>
      <x:c r="AH520" s="28"/>
    </x:row>
    <x:row r="521">
      <x:c r="A521" s="28"/>
      <x:c r="B521" s="28"/>
      <x:c r="C521" s="28"/>
      <x:c r="D521" s="28"/>
      <x:c r="E521" s="28"/>
      <x:c r="F521" s="28"/>
      <x:c r="G521" s="28"/>
      <x:c r="H521" s="28"/>
      <x:c r="I521" s="56"/>
      <x:c r="J521" s="28"/>
      <x:c r="K521" s="28"/>
      <x:c r="L521" s="56"/>
      <x:c r="M521" s="28"/>
      <x:c r="N521" s="28"/>
      <x:c r="O521" s="28"/>
      <x:c r="P521" s="28"/>
      <x:c r="Q521" s="28"/>
      <x:c r="R521" s="28"/>
      <x:c r="S521" s="28"/>
      <x:c r="T521" s="28"/>
      <x:c r="U521" s="28"/>
      <x:c r="V521" s="28"/>
      <x:c r="W521" s="28"/>
      <x:c r="X521" s="28"/>
      <x:c r="Y521" s="28"/>
      <x:c r="Z521" s="28"/>
      <x:c r="AA521" s="28"/>
      <x:c r="AB521" s="56" t="str">
        <x:f>IF($A521="","",IF(Z521="Y",20,IF(Z521="Unknown",10,0))+$L521*5+IF(AA521="Y",15,IF(AA521="Unknown",5,0))+IF($J521="Public",10,IF($J521="Partner",7,IF($J521="Internal",3,0)))+IF($W521="Hard-coded",10,IF($W521="Unknown",7,IF($W521="Configurable",3,0)))+IF($I521&gt;=10,10,IF($I521&gt;=5,7,IF($I521&gt;=2,3,0)))+IF($K521="High",10,IF($K521="Medium",5,0)))</x:f>
      </x:c>
      <x:c r="AC521" s="28" t="str">
        <x:f>IF($A521="","",IF(AB521&gt;=70,"P0 - Immediate",IF(AB521&gt;=50,"P1 - High",IF(AB521&gt;=30,"P2 - Medium",IF(AB521&gt;=15,"P3 - Low","P4 - Monitor")))))</x:f>
      </x:c>
      <x:c r="AD521" s="28"/>
      <x:c r="AE521" s="28"/>
      <x:c r="AF521" s="28"/>
      <x:c r="AG521" s="58"/>
      <x:c r="AH521" s="28"/>
    </x:row>
    <x:row r="522">
      <x:c r="A522" s="28"/>
      <x:c r="B522" s="28"/>
      <x:c r="C522" s="28"/>
      <x:c r="D522" s="28"/>
      <x:c r="E522" s="28"/>
      <x:c r="F522" s="28"/>
      <x:c r="G522" s="28"/>
      <x:c r="H522" s="28"/>
      <x:c r="I522" s="56"/>
      <x:c r="J522" s="28"/>
      <x:c r="K522" s="28"/>
      <x:c r="L522" s="56"/>
      <x:c r="M522" s="28"/>
      <x:c r="N522" s="28"/>
      <x:c r="O522" s="28"/>
      <x:c r="P522" s="28"/>
      <x:c r="Q522" s="28"/>
      <x:c r="R522" s="28"/>
      <x:c r="S522" s="28"/>
      <x:c r="T522" s="28"/>
      <x:c r="U522" s="28"/>
      <x:c r="V522" s="28"/>
      <x:c r="W522" s="28"/>
      <x:c r="X522" s="28"/>
      <x:c r="Y522" s="28"/>
      <x:c r="Z522" s="28"/>
      <x:c r="AA522" s="28"/>
      <x:c r="AB522" s="56" t="str">
        <x:f>IF($A522="","",IF(Z522="Y",20,IF(Z522="Unknown",10,0))+$L522*5+IF(AA522="Y",15,IF(AA522="Unknown",5,0))+IF($J522="Public",10,IF($J522="Partner",7,IF($J522="Internal",3,0)))+IF($W522="Hard-coded",10,IF($W522="Unknown",7,IF($W522="Configurable",3,0)))+IF($I522&gt;=10,10,IF($I522&gt;=5,7,IF($I522&gt;=2,3,0)))+IF($K522="High",10,IF($K522="Medium",5,0)))</x:f>
      </x:c>
      <x:c r="AC522" s="28" t="str">
        <x:f>IF($A522="","",IF(AB522&gt;=70,"P0 - Immediate",IF(AB522&gt;=50,"P1 - High",IF(AB522&gt;=30,"P2 - Medium",IF(AB522&gt;=15,"P3 - Low","P4 - Monitor")))))</x:f>
      </x:c>
      <x:c r="AD522" s="28"/>
      <x:c r="AE522" s="28"/>
      <x:c r="AF522" s="28"/>
      <x:c r="AG522" s="58"/>
      <x:c r="AH522" s="28"/>
    </x:row>
    <x:row r="523">
      <x:c r="A523" s="28"/>
      <x:c r="B523" s="28"/>
      <x:c r="C523" s="28"/>
      <x:c r="D523" s="28"/>
      <x:c r="E523" s="28"/>
      <x:c r="F523" s="28"/>
      <x:c r="G523" s="28"/>
      <x:c r="H523" s="28"/>
      <x:c r="I523" s="56"/>
      <x:c r="J523" s="28"/>
      <x:c r="K523" s="28"/>
      <x:c r="L523" s="56"/>
      <x:c r="M523" s="28"/>
      <x:c r="N523" s="28"/>
      <x:c r="O523" s="28"/>
      <x:c r="P523" s="28"/>
      <x:c r="Q523" s="28"/>
      <x:c r="R523" s="28"/>
      <x:c r="S523" s="28"/>
      <x:c r="T523" s="28"/>
      <x:c r="U523" s="28"/>
      <x:c r="V523" s="28"/>
      <x:c r="W523" s="28"/>
      <x:c r="X523" s="28"/>
      <x:c r="Y523" s="28"/>
      <x:c r="Z523" s="28"/>
      <x:c r="AA523" s="28"/>
      <x:c r="AB523" s="56" t="str">
        <x:f>IF($A523="","",IF(Z523="Y",20,IF(Z523="Unknown",10,0))+$L523*5+IF(AA523="Y",15,IF(AA523="Unknown",5,0))+IF($J523="Public",10,IF($J523="Partner",7,IF($J523="Internal",3,0)))+IF($W523="Hard-coded",10,IF($W523="Unknown",7,IF($W523="Configurable",3,0)))+IF($I523&gt;=10,10,IF($I523&gt;=5,7,IF($I523&gt;=2,3,0)))+IF($K523="High",10,IF($K523="Medium",5,0)))</x:f>
      </x:c>
      <x:c r="AC523" s="28" t="str">
        <x:f>IF($A523="","",IF(AB523&gt;=70,"P0 - Immediate",IF(AB523&gt;=50,"P1 - High",IF(AB523&gt;=30,"P2 - Medium",IF(AB523&gt;=15,"P3 - Low","P4 - Monitor")))))</x:f>
      </x:c>
      <x:c r="AD523" s="28"/>
      <x:c r="AE523" s="28"/>
      <x:c r="AF523" s="28"/>
      <x:c r="AG523" s="58"/>
      <x:c r="AH523" s="28"/>
    </x:row>
    <x:row r="524">
      <x:c r="A524" s="28"/>
      <x:c r="B524" s="28"/>
      <x:c r="C524" s="28"/>
      <x:c r="D524" s="28"/>
      <x:c r="E524" s="28"/>
      <x:c r="F524" s="28"/>
      <x:c r="G524" s="28"/>
      <x:c r="H524" s="28"/>
      <x:c r="I524" s="56"/>
      <x:c r="J524" s="28"/>
      <x:c r="K524" s="28"/>
      <x:c r="L524" s="56"/>
      <x:c r="M524" s="28"/>
      <x:c r="N524" s="28"/>
      <x:c r="O524" s="28"/>
      <x:c r="P524" s="28"/>
      <x:c r="Q524" s="28"/>
      <x:c r="R524" s="28"/>
      <x:c r="S524" s="28"/>
      <x:c r="T524" s="28"/>
      <x:c r="U524" s="28"/>
      <x:c r="V524" s="28"/>
      <x:c r="W524" s="28"/>
      <x:c r="X524" s="28"/>
      <x:c r="Y524" s="28"/>
      <x:c r="Z524" s="28"/>
      <x:c r="AA524" s="28"/>
      <x:c r="AB524" s="56" t="str">
        <x:f>IF($A524="","",IF(Z524="Y",20,IF(Z524="Unknown",10,0))+$L524*5+IF(AA524="Y",15,IF(AA524="Unknown",5,0))+IF($J524="Public",10,IF($J524="Partner",7,IF($J524="Internal",3,0)))+IF($W524="Hard-coded",10,IF($W524="Unknown",7,IF($W524="Configurable",3,0)))+IF($I524&gt;=10,10,IF($I524&gt;=5,7,IF($I524&gt;=2,3,0)))+IF($K524="High",10,IF($K524="Medium",5,0)))</x:f>
      </x:c>
      <x:c r="AC524" s="28" t="str">
        <x:f>IF($A524="","",IF(AB524&gt;=70,"P0 - Immediate",IF(AB524&gt;=50,"P1 - High",IF(AB524&gt;=30,"P2 - Medium",IF(AB524&gt;=15,"P3 - Low","P4 - Monitor")))))</x:f>
      </x:c>
      <x:c r="AD524" s="28"/>
      <x:c r="AE524" s="28"/>
      <x:c r="AF524" s="28"/>
      <x:c r="AG524" s="58"/>
      <x:c r="AH524" s="28"/>
    </x:row>
    <x:row r="525">
      <x:c r="A525" s="28"/>
      <x:c r="B525" s="28"/>
      <x:c r="C525" s="28"/>
      <x:c r="D525" s="28"/>
      <x:c r="E525" s="28"/>
      <x:c r="F525" s="28"/>
      <x:c r="G525" s="28"/>
      <x:c r="H525" s="28"/>
      <x:c r="I525" s="56"/>
      <x:c r="J525" s="28"/>
      <x:c r="K525" s="28"/>
      <x:c r="L525" s="56"/>
      <x:c r="M525" s="28"/>
      <x:c r="N525" s="28"/>
      <x:c r="O525" s="28"/>
      <x:c r="P525" s="28"/>
      <x:c r="Q525" s="28"/>
      <x:c r="R525" s="28"/>
      <x:c r="S525" s="28"/>
      <x:c r="T525" s="28"/>
      <x:c r="U525" s="28"/>
      <x:c r="V525" s="28"/>
      <x:c r="W525" s="28"/>
      <x:c r="X525" s="28"/>
      <x:c r="Y525" s="28"/>
      <x:c r="Z525" s="28"/>
      <x:c r="AA525" s="28"/>
      <x:c r="AB525" s="56" t="str">
        <x:f>IF($A525="","",IF(Z525="Y",20,IF(Z525="Unknown",10,0))+$L525*5+IF(AA525="Y",15,IF(AA525="Unknown",5,0))+IF($J525="Public",10,IF($J525="Partner",7,IF($J525="Internal",3,0)))+IF($W525="Hard-coded",10,IF($W525="Unknown",7,IF($W525="Configurable",3,0)))+IF($I525&gt;=10,10,IF($I525&gt;=5,7,IF($I525&gt;=2,3,0)))+IF($K525="High",10,IF($K525="Medium",5,0)))</x:f>
      </x:c>
      <x:c r="AC525" s="28" t="str">
        <x:f>IF($A525="","",IF(AB525&gt;=70,"P0 - Immediate",IF(AB525&gt;=50,"P1 - High",IF(AB525&gt;=30,"P2 - Medium",IF(AB525&gt;=15,"P3 - Low","P4 - Monitor")))))</x:f>
      </x:c>
      <x:c r="AD525" s="28"/>
      <x:c r="AE525" s="28"/>
      <x:c r="AF525" s="28"/>
      <x:c r="AG525" s="58"/>
      <x:c r="AH525" s="28"/>
    </x:row>
    <x:row r="526">
      <x:c r="A526" s="28"/>
      <x:c r="B526" s="28"/>
      <x:c r="C526" s="28"/>
      <x:c r="D526" s="28"/>
      <x:c r="E526" s="28"/>
      <x:c r="F526" s="28"/>
      <x:c r="G526" s="28"/>
      <x:c r="H526" s="28"/>
      <x:c r="I526" s="56"/>
      <x:c r="J526" s="28"/>
      <x:c r="K526" s="28"/>
      <x:c r="L526" s="56"/>
      <x:c r="M526" s="28"/>
      <x:c r="N526" s="28"/>
      <x:c r="O526" s="28"/>
      <x:c r="P526" s="28"/>
      <x:c r="Q526" s="28"/>
      <x:c r="R526" s="28"/>
      <x:c r="S526" s="28"/>
      <x:c r="T526" s="28"/>
      <x:c r="U526" s="28"/>
      <x:c r="V526" s="28"/>
      <x:c r="W526" s="28"/>
      <x:c r="X526" s="28"/>
      <x:c r="Y526" s="28"/>
      <x:c r="Z526" s="28"/>
      <x:c r="AA526" s="28"/>
      <x:c r="AB526" s="56" t="str">
        <x:f>IF($A526="","",IF(Z526="Y",20,IF(Z526="Unknown",10,0))+$L526*5+IF(AA526="Y",15,IF(AA526="Unknown",5,0))+IF($J526="Public",10,IF($J526="Partner",7,IF($J526="Internal",3,0)))+IF($W526="Hard-coded",10,IF($W526="Unknown",7,IF($W526="Configurable",3,0)))+IF($I526&gt;=10,10,IF($I526&gt;=5,7,IF($I526&gt;=2,3,0)))+IF($K526="High",10,IF($K526="Medium",5,0)))</x:f>
      </x:c>
      <x:c r="AC526" s="28" t="str">
        <x:f>IF($A526="","",IF(AB526&gt;=70,"P0 - Immediate",IF(AB526&gt;=50,"P1 - High",IF(AB526&gt;=30,"P2 - Medium",IF(AB526&gt;=15,"P3 - Low","P4 - Monitor")))))</x:f>
      </x:c>
      <x:c r="AD526" s="28"/>
      <x:c r="AE526" s="28"/>
      <x:c r="AF526" s="28"/>
      <x:c r="AG526" s="58"/>
      <x:c r="AH526" s="28"/>
    </x:row>
    <x:row r="527">
      <x:c r="A527" s="28"/>
      <x:c r="B527" s="28"/>
      <x:c r="C527" s="28"/>
      <x:c r="D527" s="28"/>
      <x:c r="E527" s="28"/>
      <x:c r="F527" s="28"/>
      <x:c r="G527" s="28"/>
      <x:c r="H527" s="28"/>
      <x:c r="I527" s="56"/>
      <x:c r="J527" s="28"/>
      <x:c r="K527" s="28"/>
      <x:c r="L527" s="56"/>
      <x:c r="M527" s="28"/>
      <x:c r="N527" s="28"/>
      <x:c r="O527" s="28"/>
      <x:c r="P527" s="28"/>
      <x:c r="Q527" s="28"/>
      <x:c r="R527" s="28"/>
      <x:c r="S527" s="28"/>
      <x:c r="T527" s="28"/>
      <x:c r="U527" s="28"/>
      <x:c r="V527" s="28"/>
      <x:c r="W527" s="28"/>
      <x:c r="X527" s="28"/>
      <x:c r="Y527" s="28"/>
      <x:c r="Z527" s="28"/>
      <x:c r="AA527" s="28"/>
      <x:c r="AB527" s="56" t="str">
        <x:f>IF($A527="","",IF(Z527="Y",20,IF(Z527="Unknown",10,0))+$L527*5+IF(AA527="Y",15,IF(AA527="Unknown",5,0))+IF($J527="Public",10,IF($J527="Partner",7,IF($J527="Internal",3,0)))+IF($W527="Hard-coded",10,IF($W527="Unknown",7,IF($W527="Configurable",3,0)))+IF($I527&gt;=10,10,IF($I527&gt;=5,7,IF($I527&gt;=2,3,0)))+IF($K527="High",10,IF($K527="Medium",5,0)))</x:f>
      </x:c>
      <x:c r="AC527" s="28" t="str">
        <x:f>IF($A527="","",IF(AB527&gt;=70,"P0 - Immediate",IF(AB527&gt;=50,"P1 - High",IF(AB527&gt;=30,"P2 - Medium",IF(AB527&gt;=15,"P3 - Low","P4 - Monitor")))))</x:f>
      </x:c>
      <x:c r="AD527" s="28"/>
      <x:c r="AE527" s="28"/>
      <x:c r="AF527" s="28"/>
      <x:c r="AG527" s="58"/>
      <x:c r="AH527" s="28"/>
    </x:row>
    <x:row r="528">
      <x:c r="A528" s="28"/>
      <x:c r="B528" s="28"/>
      <x:c r="C528" s="28"/>
      <x:c r="D528" s="28"/>
      <x:c r="E528" s="28"/>
      <x:c r="F528" s="28"/>
      <x:c r="G528" s="28"/>
      <x:c r="H528" s="28"/>
      <x:c r="I528" s="56"/>
      <x:c r="J528" s="28"/>
      <x:c r="K528" s="28"/>
      <x:c r="L528" s="56"/>
      <x:c r="M528" s="28"/>
      <x:c r="N528" s="28"/>
      <x:c r="O528" s="28"/>
      <x:c r="P528" s="28"/>
      <x:c r="Q528" s="28"/>
      <x:c r="R528" s="28"/>
      <x:c r="S528" s="28"/>
      <x:c r="T528" s="28"/>
      <x:c r="U528" s="28"/>
      <x:c r="V528" s="28"/>
      <x:c r="W528" s="28"/>
      <x:c r="X528" s="28"/>
      <x:c r="Y528" s="28"/>
      <x:c r="Z528" s="28"/>
      <x:c r="AA528" s="28"/>
      <x:c r="AB528" s="56" t="str">
        <x:f>IF($A528="","",IF(Z528="Y",20,IF(Z528="Unknown",10,0))+$L528*5+IF(AA528="Y",15,IF(AA528="Unknown",5,0))+IF($J528="Public",10,IF($J528="Partner",7,IF($J528="Internal",3,0)))+IF($W528="Hard-coded",10,IF($W528="Unknown",7,IF($W528="Configurable",3,0)))+IF($I528&gt;=10,10,IF($I528&gt;=5,7,IF($I528&gt;=2,3,0)))+IF($K528="High",10,IF($K528="Medium",5,0)))</x:f>
      </x:c>
      <x:c r="AC528" s="28" t="str">
        <x:f>IF($A528="","",IF(AB528&gt;=70,"P0 - Immediate",IF(AB528&gt;=50,"P1 - High",IF(AB528&gt;=30,"P2 - Medium",IF(AB528&gt;=15,"P3 - Low","P4 - Monitor")))))</x:f>
      </x:c>
      <x:c r="AD528" s="28"/>
      <x:c r="AE528" s="28"/>
      <x:c r="AF528" s="28"/>
      <x:c r="AG528" s="58"/>
      <x:c r="AH528" s="28"/>
    </x:row>
    <x:row r="529">
      <x:c r="A529" s="28"/>
      <x:c r="B529" s="28"/>
      <x:c r="C529" s="28"/>
      <x:c r="D529" s="28"/>
      <x:c r="E529" s="28"/>
      <x:c r="F529" s="28"/>
      <x:c r="G529" s="28"/>
      <x:c r="H529" s="28"/>
      <x:c r="I529" s="56"/>
      <x:c r="J529" s="28"/>
      <x:c r="K529" s="28"/>
      <x:c r="L529" s="56"/>
      <x:c r="M529" s="28"/>
      <x:c r="N529" s="28"/>
      <x:c r="O529" s="28"/>
      <x:c r="P529" s="28"/>
      <x:c r="Q529" s="28"/>
      <x:c r="R529" s="28"/>
      <x:c r="S529" s="28"/>
      <x:c r="T529" s="28"/>
      <x:c r="U529" s="28"/>
      <x:c r="V529" s="28"/>
      <x:c r="W529" s="28"/>
      <x:c r="X529" s="28"/>
      <x:c r="Y529" s="28"/>
      <x:c r="Z529" s="28"/>
      <x:c r="AA529" s="28"/>
      <x:c r="AB529" s="56" t="str">
        <x:f>IF($A529="","",IF(Z529="Y",20,IF(Z529="Unknown",10,0))+$L529*5+IF(AA529="Y",15,IF(AA529="Unknown",5,0))+IF($J529="Public",10,IF($J529="Partner",7,IF($J529="Internal",3,0)))+IF($W529="Hard-coded",10,IF($W529="Unknown",7,IF($W529="Configurable",3,0)))+IF($I529&gt;=10,10,IF($I529&gt;=5,7,IF($I529&gt;=2,3,0)))+IF($K529="High",10,IF($K529="Medium",5,0)))</x:f>
      </x:c>
      <x:c r="AC529" s="28" t="str">
        <x:f>IF($A529="","",IF(AB529&gt;=70,"P0 - Immediate",IF(AB529&gt;=50,"P1 - High",IF(AB529&gt;=30,"P2 - Medium",IF(AB529&gt;=15,"P3 - Low","P4 - Monitor")))))</x:f>
      </x:c>
      <x:c r="AD529" s="28"/>
      <x:c r="AE529" s="28"/>
      <x:c r="AF529" s="28"/>
      <x:c r="AG529" s="58"/>
      <x:c r="AH529" s="28"/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56"/>
      <x:c r="J530" s="28"/>
      <x:c r="K530" s="28"/>
      <x:c r="L530" s="56"/>
      <x:c r="M530" s="28"/>
      <x:c r="N530" s="28"/>
      <x:c r="O530" s="28"/>
      <x:c r="P530" s="28"/>
      <x:c r="Q530" s="28"/>
      <x:c r="R530" s="28"/>
      <x:c r="S530" s="28"/>
      <x:c r="T530" s="28"/>
      <x:c r="U530" s="28"/>
      <x:c r="V530" s="28"/>
      <x:c r="W530" s="28"/>
      <x:c r="X530" s="28"/>
      <x:c r="Y530" s="28"/>
      <x:c r="Z530" s="28"/>
      <x:c r="AA530" s="28"/>
      <x:c r="AB530" s="56" t="str">
        <x:f>IF($A530="","",IF(Z530="Y",20,IF(Z530="Unknown",10,0))+$L530*5+IF(AA530="Y",15,IF(AA530="Unknown",5,0))+IF($J530="Public",10,IF($J530="Partner",7,IF($J530="Internal",3,0)))+IF($W530="Hard-coded",10,IF($W530="Unknown",7,IF($W530="Configurable",3,0)))+IF($I530&gt;=10,10,IF($I530&gt;=5,7,IF($I530&gt;=2,3,0)))+IF($K530="High",10,IF($K530="Medium",5,0)))</x:f>
      </x:c>
      <x:c r="AC530" s="28" t="str">
        <x:f>IF($A530="","",IF(AB530&gt;=70,"P0 - Immediate",IF(AB530&gt;=50,"P1 - High",IF(AB530&gt;=30,"P2 - Medium",IF(AB530&gt;=15,"P3 - Low","P4 - Monitor")))))</x:f>
      </x:c>
      <x:c r="AD530" s="28"/>
      <x:c r="AE530" s="28"/>
      <x:c r="AF530" s="28"/>
      <x:c r="AG530" s="58"/>
      <x:c r="AH530" s="28"/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56"/>
      <x:c r="J531" s="28"/>
      <x:c r="K531" s="28"/>
      <x:c r="L531" s="56"/>
      <x:c r="M531" s="28"/>
      <x:c r="N531" s="28"/>
      <x:c r="O531" s="28"/>
      <x:c r="P531" s="28"/>
      <x:c r="Q531" s="28"/>
      <x:c r="R531" s="28"/>
      <x:c r="S531" s="28"/>
      <x:c r="T531" s="28"/>
      <x:c r="U531" s="28"/>
      <x:c r="V531" s="28"/>
      <x:c r="W531" s="28"/>
      <x:c r="X531" s="28"/>
      <x:c r="Y531" s="28"/>
      <x:c r="Z531" s="28"/>
      <x:c r="AA531" s="28"/>
      <x:c r="AB531" s="56" t="str">
        <x:f>IF($A531="","",IF(Z531="Y",20,IF(Z531="Unknown",10,0))+$L531*5+IF(AA531="Y",15,IF(AA531="Unknown",5,0))+IF($J531="Public",10,IF($J531="Partner",7,IF($J531="Internal",3,0)))+IF($W531="Hard-coded",10,IF($W531="Unknown",7,IF($W531="Configurable",3,0)))+IF($I531&gt;=10,10,IF($I531&gt;=5,7,IF($I531&gt;=2,3,0)))+IF($K531="High",10,IF($K531="Medium",5,0)))</x:f>
      </x:c>
      <x:c r="AC531" s="28" t="str">
        <x:f>IF($A531="","",IF(AB531&gt;=70,"P0 - Immediate",IF(AB531&gt;=50,"P1 - High",IF(AB531&gt;=30,"P2 - Medium",IF(AB531&gt;=15,"P3 - Low","P4 - Monitor")))))</x:f>
      </x:c>
      <x:c r="AD531" s="28"/>
      <x:c r="AE531" s="28"/>
      <x:c r="AF531" s="28"/>
      <x:c r="AG531" s="58"/>
      <x:c r="AH531" s="28"/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56"/>
      <x:c r="J532" s="28"/>
      <x:c r="K532" s="28"/>
      <x:c r="L532" s="56"/>
      <x:c r="M532" s="28"/>
      <x:c r="N532" s="28"/>
      <x:c r="O532" s="28"/>
      <x:c r="P532" s="28"/>
      <x:c r="Q532" s="28"/>
      <x:c r="R532" s="28"/>
      <x:c r="S532" s="28"/>
      <x:c r="T532" s="28"/>
      <x:c r="U532" s="28"/>
      <x:c r="V532" s="28"/>
      <x:c r="W532" s="28"/>
      <x:c r="X532" s="28"/>
      <x:c r="Y532" s="28"/>
      <x:c r="Z532" s="28"/>
      <x:c r="AA532" s="28"/>
      <x:c r="AB532" s="56" t="str">
        <x:f>IF($A532="","",IF(Z532="Y",20,IF(Z532="Unknown",10,0))+$L532*5+IF(AA532="Y",15,IF(AA532="Unknown",5,0))+IF($J532="Public",10,IF($J532="Partner",7,IF($J532="Internal",3,0)))+IF($W532="Hard-coded",10,IF($W532="Unknown",7,IF($W532="Configurable",3,0)))+IF($I532&gt;=10,10,IF($I532&gt;=5,7,IF($I532&gt;=2,3,0)))+IF($K532="High",10,IF($K532="Medium",5,0)))</x:f>
      </x:c>
      <x:c r="AC532" s="28" t="str">
        <x:f>IF($A532="","",IF(AB532&gt;=70,"P0 - Immediate",IF(AB532&gt;=50,"P1 - High",IF(AB532&gt;=30,"P2 - Medium",IF(AB532&gt;=15,"P3 - Low","P4 - Monitor")))))</x:f>
      </x:c>
      <x:c r="AD532" s="28"/>
      <x:c r="AE532" s="28"/>
      <x:c r="AF532" s="28"/>
      <x:c r="AG532" s="58"/>
      <x:c r="AH532" s="28"/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56"/>
      <x:c r="J533" s="28"/>
      <x:c r="K533" s="28"/>
      <x:c r="L533" s="56"/>
      <x:c r="M533" s="28"/>
      <x:c r="N533" s="28"/>
      <x:c r="O533" s="28"/>
      <x:c r="P533" s="28"/>
      <x:c r="Q533" s="28"/>
      <x:c r="R533" s="28"/>
      <x:c r="S533" s="28"/>
      <x:c r="T533" s="28"/>
      <x:c r="U533" s="28"/>
      <x:c r="V533" s="28"/>
      <x:c r="W533" s="28"/>
      <x:c r="X533" s="28"/>
      <x:c r="Y533" s="28"/>
      <x:c r="Z533" s="28"/>
      <x:c r="AA533" s="28"/>
      <x:c r="AB533" s="56" t="str">
        <x:f>IF($A533="","",IF(Z533="Y",20,IF(Z533="Unknown",10,0))+$L533*5+IF(AA533="Y",15,IF(AA533="Unknown",5,0))+IF($J533="Public",10,IF($J533="Partner",7,IF($J533="Internal",3,0)))+IF($W533="Hard-coded",10,IF($W533="Unknown",7,IF($W533="Configurable",3,0)))+IF($I533&gt;=10,10,IF($I533&gt;=5,7,IF($I533&gt;=2,3,0)))+IF($K533="High",10,IF($K533="Medium",5,0)))</x:f>
      </x:c>
      <x:c r="AC533" s="28" t="str">
        <x:f>IF($A533="","",IF(AB533&gt;=70,"P0 - Immediate",IF(AB533&gt;=50,"P1 - High",IF(AB533&gt;=30,"P2 - Medium",IF(AB533&gt;=15,"P3 - Low","P4 - Monitor")))))</x:f>
      </x:c>
      <x:c r="AD533" s="28"/>
      <x:c r="AE533" s="28"/>
      <x:c r="AF533" s="28"/>
      <x:c r="AG533" s="58"/>
      <x:c r="AH533" s="28"/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56"/>
      <x:c r="J534" s="28"/>
      <x:c r="K534" s="28"/>
      <x:c r="L534" s="56"/>
      <x:c r="M534" s="28"/>
      <x:c r="N534" s="28"/>
      <x:c r="O534" s="28"/>
      <x:c r="P534" s="28"/>
      <x:c r="Q534" s="28"/>
      <x:c r="R534" s="28"/>
      <x:c r="S534" s="28"/>
      <x:c r="T534" s="28"/>
      <x:c r="U534" s="28"/>
      <x:c r="V534" s="28"/>
      <x:c r="W534" s="28"/>
      <x:c r="X534" s="28"/>
      <x:c r="Y534" s="28"/>
      <x:c r="Z534" s="28"/>
      <x:c r="AA534" s="28"/>
      <x:c r="AB534" s="56" t="str">
        <x:f>IF($A534="","",IF(Z534="Y",20,IF(Z534="Unknown",10,0))+$L534*5+IF(AA534="Y",15,IF(AA534="Unknown",5,0))+IF($J534="Public",10,IF($J534="Partner",7,IF($J534="Internal",3,0)))+IF($W534="Hard-coded",10,IF($W534="Unknown",7,IF($W534="Configurable",3,0)))+IF($I534&gt;=10,10,IF($I534&gt;=5,7,IF($I534&gt;=2,3,0)))+IF($K534="High",10,IF($K534="Medium",5,0)))</x:f>
      </x:c>
      <x:c r="AC534" s="28" t="str">
        <x:f>IF($A534="","",IF(AB534&gt;=70,"P0 - Immediate",IF(AB534&gt;=50,"P1 - High",IF(AB534&gt;=30,"P2 - Medium",IF(AB534&gt;=15,"P3 - Low","P4 - Monitor")))))</x:f>
      </x:c>
      <x:c r="AD534" s="28"/>
      <x:c r="AE534" s="28"/>
      <x:c r="AF534" s="28"/>
      <x:c r="AG534" s="58"/>
      <x:c r="AH534" s="28"/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56"/>
      <x:c r="J535" s="28"/>
      <x:c r="K535" s="28"/>
      <x:c r="L535" s="56"/>
      <x:c r="M535" s="28"/>
      <x:c r="N535" s="28"/>
      <x:c r="O535" s="28"/>
      <x:c r="P535" s="28"/>
      <x:c r="Q535" s="28"/>
      <x:c r="R535" s="28"/>
      <x:c r="S535" s="28"/>
      <x:c r="T535" s="28"/>
      <x:c r="U535" s="28"/>
      <x:c r="V535" s="28"/>
      <x:c r="W535" s="28"/>
      <x:c r="X535" s="28"/>
      <x:c r="Y535" s="28"/>
      <x:c r="Z535" s="28"/>
      <x:c r="AA535" s="28"/>
      <x:c r="AB535" s="56" t="str">
        <x:f>IF($A535="","",IF(Z535="Y",20,IF(Z535="Unknown",10,0))+$L535*5+IF(AA535="Y",15,IF(AA535="Unknown",5,0))+IF($J535="Public",10,IF($J535="Partner",7,IF($J535="Internal",3,0)))+IF($W535="Hard-coded",10,IF($W535="Unknown",7,IF($W535="Configurable",3,0)))+IF($I535&gt;=10,10,IF($I535&gt;=5,7,IF($I535&gt;=2,3,0)))+IF($K535="High",10,IF($K535="Medium",5,0)))</x:f>
      </x:c>
      <x:c r="AC535" s="28" t="str">
        <x:f>IF($A535="","",IF(AB535&gt;=70,"P0 - Immediate",IF(AB535&gt;=50,"P1 - High",IF(AB535&gt;=30,"P2 - Medium",IF(AB535&gt;=15,"P3 - Low","P4 - Monitor")))))</x:f>
      </x:c>
      <x:c r="AD535" s="28"/>
      <x:c r="AE535" s="28"/>
      <x:c r="AF535" s="28"/>
      <x:c r="AG535" s="58"/>
      <x:c r="AH535" s="28"/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56"/>
      <x:c r="J536" s="28"/>
      <x:c r="K536" s="28"/>
      <x:c r="L536" s="56"/>
      <x:c r="M536" s="28"/>
      <x:c r="N536" s="28"/>
      <x:c r="O536" s="28"/>
      <x:c r="P536" s="28"/>
      <x:c r="Q536" s="28"/>
      <x:c r="R536" s="28"/>
      <x:c r="S536" s="28"/>
      <x:c r="T536" s="28"/>
      <x:c r="U536" s="28"/>
      <x:c r="V536" s="28"/>
      <x:c r="W536" s="28"/>
      <x:c r="X536" s="28"/>
      <x:c r="Y536" s="28"/>
      <x:c r="Z536" s="28"/>
      <x:c r="AA536" s="28"/>
      <x:c r="AB536" s="56" t="str">
        <x:f>IF($A536="","",IF(Z536="Y",20,IF(Z536="Unknown",10,0))+$L536*5+IF(AA536="Y",15,IF(AA536="Unknown",5,0))+IF($J536="Public",10,IF($J536="Partner",7,IF($J536="Internal",3,0)))+IF($W536="Hard-coded",10,IF($W536="Unknown",7,IF($W536="Configurable",3,0)))+IF($I536&gt;=10,10,IF($I536&gt;=5,7,IF($I536&gt;=2,3,0)))+IF($K536="High",10,IF($K536="Medium",5,0)))</x:f>
      </x:c>
      <x:c r="AC536" s="28" t="str">
        <x:f>IF($A536="","",IF(AB536&gt;=70,"P0 - Immediate",IF(AB536&gt;=50,"P1 - High",IF(AB536&gt;=30,"P2 - Medium",IF(AB536&gt;=15,"P3 - Low","P4 - Monitor")))))</x:f>
      </x:c>
      <x:c r="AD536" s="28"/>
      <x:c r="AE536" s="28"/>
      <x:c r="AF536" s="28"/>
      <x:c r="AG536" s="58"/>
      <x:c r="AH536" s="28"/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56"/>
      <x:c r="J537" s="28"/>
      <x:c r="K537" s="28"/>
      <x:c r="L537" s="56"/>
      <x:c r="M537" s="28"/>
      <x:c r="N537" s="28"/>
      <x:c r="O537" s="28"/>
      <x:c r="P537" s="28"/>
      <x:c r="Q537" s="28"/>
      <x:c r="R537" s="28"/>
      <x:c r="S537" s="28"/>
      <x:c r="T537" s="28"/>
      <x:c r="U537" s="28"/>
      <x:c r="V537" s="28"/>
      <x:c r="W537" s="28"/>
      <x:c r="X537" s="28"/>
      <x:c r="Y537" s="28"/>
      <x:c r="Z537" s="28"/>
      <x:c r="AA537" s="28"/>
      <x:c r="AB537" s="56" t="str">
        <x:f>IF($A537="","",IF(Z537="Y",20,IF(Z537="Unknown",10,0))+$L537*5+IF(AA537="Y",15,IF(AA537="Unknown",5,0))+IF($J537="Public",10,IF($J537="Partner",7,IF($J537="Internal",3,0)))+IF($W537="Hard-coded",10,IF($W537="Unknown",7,IF($W537="Configurable",3,0)))+IF($I537&gt;=10,10,IF($I537&gt;=5,7,IF($I537&gt;=2,3,0)))+IF($K537="High",10,IF($K537="Medium",5,0)))</x:f>
      </x:c>
      <x:c r="AC537" s="28" t="str">
        <x:f>IF($A537="","",IF(AB537&gt;=70,"P0 - Immediate",IF(AB537&gt;=50,"P1 - High",IF(AB537&gt;=30,"P2 - Medium",IF(AB537&gt;=15,"P3 - Low","P4 - Monitor")))))</x:f>
      </x:c>
      <x:c r="AD537" s="28"/>
      <x:c r="AE537" s="28"/>
      <x:c r="AF537" s="28"/>
      <x:c r="AG537" s="58"/>
      <x:c r="AH537" s="28"/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56"/>
      <x:c r="J538" s="28"/>
      <x:c r="K538" s="28"/>
      <x:c r="L538" s="56"/>
      <x:c r="M538" s="28"/>
      <x:c r="N538" s="28"/>
      <x:c r="O538" s="28"/>
      <x:c r="P538" s="28"/>
      <x:c r="Q538" s="28"/>
      <x:c r="R538" s="28"/>
      <x:c r="S538" s="28"/>
      <x:c r="T538" s="28"/>
      <x:c r="U538" s="28"/>
      <x:c r="V538" s="28"/>
      <x:c r="W538" s="28"/>
      <x:c r="X538" s="28"/>
      <x:c r="Y538" s="28"/>
      <x:c r="Z538" s="28"/>
      <x:c r="AA538" s="28"/>
      <x:c r="AB538" s="56" t="str">
        <x:f>IF($A538="","",IF(Z538="Y",20,IF(Z538="Unknown",10,0))+$L538*5+IF(AA538="Y",15,IF(AA538="Unknown",5,0))+IF($J538="Public",10,IF($J538="Partner",7,IF($J538="Internal",3,0)))+IF($W538="Hard-coded",10,IF($W538="Unknown",7,IF($W538="Configurable",3,0)))+IF($I538&gt;=10,10,IF($I538&gt;=5,7,IF($I538&gt;=2,3,0)))+IF($K538="High",10,IF($K538="Medium",5,0)))</x:f>
      </x:c>
      <x:c r="AC538" s="28" t="str">
        <x:f>IF($A538="","",IF(AB538&gt;=70,"P0 - Immediate",IF(AB538&gt;=50,"P1 - High",IF(AB538&gt;=30,"P2 - Medium",IF(AB538&gt;=15,"P3 - Low","P4 - Monitor")))))</x:f>
      </x:c>
      <x:c r="AD538" s="28"/>
      <x:c r="AE538" s="28"/>
      <x:c r="AF538" s="28"/>
      <x:c r="AG538" s="58"/>
      <x:c r="AH538" s="28"/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56"/>
      <x:c r="J539" s="28"/>
      <x:c r="K539" s="28"/>
      <x:c r="L539" s="56"/>
      <x:c r="M539" s="28"/>
      <x:c r="N539" s="28"/>
      <x:c r="O539" s="28"/>
      <x:c r="P539" s="28"/>
      <x:c r="Q539" s="28"/>
      <x:c r="R539" s="28"/>
      <x:c r="S539" s="28"/>
      <x:c r="T539" s="28"/>
      <x:c r="U539" s="28"/>
      <x:c r="V539" s="28"/>
      <x:c r="W539" s="28"/>
      <x:c r="X539" s="28"/>
      <x:c r="Y539" s="28"/>
      <x:c r="Z539" s="28"/>
      <x:c r="AA539" s="28"/>
      <x:c r="AB539" s="56" t="str">
        <x:f>IF($A539="","",IF(Z539="Y",20,IF(Z539="Unknown",10,0))+$L539*5+IF(AA539="Y",15,IF(AA539="Unknown",5,0))+IF($J539="Public",10,IF($J539="Partner",7,IF($J539="Internal",3,0)))+IF($W539="Hard-coded",10,IF($W539="Unknown",7,IF($W539="Configurable",3,0)))+IF($I539&gt;=10,10,IF($I539&gt;=5,7,IF($I539&gt;=2,3,0)))+IF($K539="High",10,IF($K539="Medium",5,0)))</x:f>
      </x:c>
      <x:c r="AC539" s="28" t="str">
        <x:f>IF($A539="","",IF(AB539&gt;=70,"P0 - Immediate",IF(AB539&gt;=50,"P1 - High",IF(AB539&gt;=30,"P2 - Medium",IF(AB539&gt;=15,"P3 - Low","P4 - Monitor")))))</x:f>
      </x:c>
      <x:c r="AD539" s="28"/>
      <x:c r="AE539" s="28"/>
      <x:c r="AF539" s="28"/>
      <x:c r="AG539" s="58"/>
      <x:c r="AH539" s="28"/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56"/>
      <x:c r="J540" s="28"/>
      <x:c r="K540" s="28"/>
      <x:c r="L540" s="56"/>
      <x:c r="M540" s="28"/>
      <x:c r="N540" s="28"/>
      <x:c r="O540" s="28"/>
      <x:c r="P540" s="28"/>
      <x:c r="Q540" s="28"/>
      <x:c r="R540" s="28"/>
      <x:c r="S540" s="28"/>
      <x:c r="T540" s="28"/>
      <x:c r="U540" s="28"/>
      <x:c r="V540" s="28"/>
      <x:c r="W540" s="28"/>
      <x:c r="X540" s="28"/>
      <x:c r="Y540" s="28"/>
      <x:c r="Z540" s="28"/>
      <x:c r="AA540" s="28"/>
      <x:c r="AB540" s="56" t="str">
        <x:f>IF($A540="","",IF(Z540="Y",20,IF(Z540="Unknown",10,0))+$L540*5+IF(AA540="Y",15,IF(AA540="Unknown",5,0))+IF($J540="Public",10,IF($J540="Partner",7,IF($J540="Internal",3,0)))+IF($W540="Hard-coded",10,IF($W540="Unknown",7,IF($W540="Configurable",3,0)))+IF($I540&gt;=10,10,IF($I540&gt;=5,7,IF($I540&gt;=2,3,0)))+IF($K540="High",10,IF($K540="Medium",5,0)))</x:f>
      </x:c>
      <x:c r="AC540" s="28" t="str">
        <x:f>IF($A540="","",IF(AB540&gt;=70,"P0 - Immediate",IF(AB540&gt;=50,"P1 - High",IF(AB540&gt;=30,"P2 - Medium",IF(AB540&gt;=15,"P3 - Low","P4 - Monitor")))))</x:f>
      </x:c>
      <x:c r="AD540" s="28"/>
      <x:c r="AE540" s="28"/>
      <x:c r="AF540" s="28"/>
      <x:c r="AG540" s="58"/>
      <x:c r="AH540" s="28"/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56"/>
      <x:c r="J541" s="28"/>
      <x:c r="K541" s="28"/>
      <x:c r="L541" s="56"/>
      <x:c r="M541" s="28"/>
      <x:c r="N541" s="28"/>
      <x:c r="O541" s="28"/>
      <x:c r="P541" s="28"/>
      <x:c r="Q541" s="28"/>
      <x:c r="R541" s="28"/>
      <x:c r="S541" s="28"/>
      <x:c r="T541" s="28"/>
      <x:c r="U541" s="28"/>
      <x:c r="V541" s="28"/>
      <x:c r="W541" s="28"/>
      <x:c r="X541" s="28"/>
      <x:c r="Y541" s="28"/>
      <x:c r="Z541" s="28"/>
      <x:c r="AA541" s="28"/>
      <x:c r="AB541" s="56" t="str">
        <x:f>IF($A541="","",IF(Z541="Y",20,IF(Z541="Unknown",10,0))+$L541*5+IF(AA541="Y",15,IF(AA541="Unknown",5,0))+IF($J541="Public",10,IF($J541="Partner",7,IF($J541="Internal",3,0)))+IF($W541="Hard-coded",10,IF($W541="Unknown",7,IF($W541="Configurable",3,0)))+IF($I541&gt;=10,10,IF($I541&gt;=5,7,IF($I541&gt;=2,3,0)))+IF($K541="High",10,IF($K541="Medium",5,0)))</x:f>
      </x:c>
      <x:c r="AC541" s="28" t="str">
        <x:f>IF($A541="","",IF(AB541&gt;=70,"P0 - Immediate",IF(AB541&gt;=50,"P1 - High",IF(AB541&gt;=30,"P2 - Medium",IF(AB541&gt;=15,"P3 - Low","P4 - Monitor")))))</x:f>
      </x:c>
      <x:c r="AD541" s="28"/>
      <x:c r="AE541" s="28"/>
      <x:c r="AF541" s="28"/>
      <x:c r="AG541" s="58"/>
      <x:c r="AH541" s="28"/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56"/>
      <x:c r="J542" s="28"/>
      <x:c r="K542" s="28"/>
      <x:c r="L542" s="56"/>
      <x:c r="M542" s="28"/>
      <x:c r="N542" s="28"/>
      <x:c r="O542" s="28"/>
      <x:c r="P542" s="28"/>
      <x:c r="Q542" s="28"/>
      <x:c r="R542" s="28"/>
      <x:c r="S542" s="28"/>
      <x:c r="T542" s="28"/>
      <x:c r="U542" s="28"/>
      <x:c r="V542" s="28"/>
      <x:c r="W542" s="28"/>
      <x:c r="X542" s="28"/>
      <x:c r="Y542" s="28"/>
      <x:c r="Z542" s="28"/>
      <x:c r="AA542" s="28"/>
      <x:c r="AB542" s="56" t="str">
        <x:f>IF($A542="","",IF(Z542="Y",20,IF(Z542="Unknown",10,0))+$L542*5+IF(AA542="Y",15,IF(AA542="Unknown",5,0))+IF($J542="Public",10,IF($J542="Partner",7,IF($J542="Internal",3,0)))+IF($W542="Hard-coded",10,IF($W542="Unknown",7,IF($W542="Configurable",3,0)))+IF($I542&gt;=10,10,IF($I542&gt;=5,7,IF($I542&gt;=2,3,0)))+IF($K542="High",10,IF($K542="Medium",5,0)))</x:f>
      </x:c>
      <x:c r="AC542" s="28" t="str">
        <x:f>IF($A542="","",IF(AB542&gt;=70,"P0 - Immediate",IF(AB542&gt;=50,"P1 - High",IF(AB542&gt;=30,"P2 - Medium",IF(AB542&gt;=15,"P3 - Low","P4 - Monitor")))))</x:f>
      </x:c>
      <x:c r="AD542" s="28"/>
      <x:c r="AE542" s="28"/>
      <x:c r="AF542" s="28"/>
      <x:c r="AG542" s="58"/>
      <x:c r="AH542" s="28"/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56"/>
      <x:c r="J543" s="28"/>
      <x:c r="K543" s="28"/>
      <x:c r="L543" s="56"/>
      <x:c r="M543" s="28"/>
      <x:c r="N543" s="28"/>
      <x:c r="O543" s="28"/>
      <x:c r="P543" s="28"/>
      <x:c r="Q543" s="28"/>
      <x:c r="R543" s="28"/>
      <x:c r="S543" s="28"/>
      <x:c r="T543" s="28"/>
      <x:c r="U543" s="28"/>
      <x:c r="V543" s="28"/>
      <x:c r="W543" s="28"/>
      <x:c r="X543" s="28"/>
      <x:c r="Y543" s="28"/>
      <x:c r="Z543" s="28"/>
      <x:c r="AA543" s="28"/>
      <x:c r="AB543" s="56" t="str">
        <x:f>IF($A543="","",IF(Z543="Y",20,IF(Z543="Unknown",10,0))+$L543*5+IF(AA543="Y",15,IF(AA543="Unknown",5,0))+IF($J543="Public",10,IF($J543="Partner",7,IF($J543="Internal",3,0)))+IF($W543="Hard-coded",10,IF($W543="Unknown",7,IF($W543="Configurable",3,0)))+IF($I543&gt;=10,10,IF($I543&gt;=5,7,IF($I543&gt;=2,3,0)))+IF($K543="High",10,IF($K543="Medium",5,0)))</x:f>
      </x:c>
      <x:c r="AC543" s="28" t="str">
        <x:f>IF($A543="","",IF(AB543&gt;=70,"P0 - Immediate",IF(AB543&gt;=50,"P1 - High",IF(AB543&gt;=30,"P2 - Medium",IF(AB543&gt;=15,"P3 - Low","P4 - Monitor")))))</x:f>
      </x:c>
      <x:c r="AD543" s="28"/>
      <x:c r="AE543" s="28"/>
      <x:c r="AF543" s="28"/>
      <x:c r="AG543" s="58"/>
      <x:c r="AH543" s="28"/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56"/>
      <x:c r="J544" s="28"/>
      <x:c r="K544" s="28"/>
      <x:c r="L544" s="56"/>
      <x:c r="M544" s="28"/>
      <x:c r="N544" s="28"/>
      <x:c r="O544" s="28"/>
      <x:c r="P544" s="28"/>
      <x:c r="Q544" s="28"/>
      <x:c r="R544" s="28"/>
      <x:c r="S544" s="28"/>
      <x:c r="T544" s="28"/>
      <x:c r="U544" s="28"/>
      <x:c r="V544" s="28"/>
      <x:c r="W544" s="28"/>
      <x:c r="X544" s="28"/>
      <x:c r="Y544" s="28"/>
      <x:c r="Z544" s="28"/>
      <x:c r="AA544" s="28"/>
      <x:c r="AB544" s="56" t="str">
        <x:f>IF($A544="","",IF(Z544="Y",20,IF(Z544="Unknown",10,0))+$L544*5+IF(AA544="Y",15,IF(AA544="Unknown",5,0))+IF($J544="Public",10,IF($J544="Partner",7,IF($J544="Internal",3,0)))+IF($W544="Hard-coded",10,IF($W544="Unknown",7,IF($W544="Configurable",3,0)))+IF($I544&gt;=10,10,IF($I544&gt;=5,7,IF($I544&gt;=2,3,0)))+IF($K544="High",10,IF($K544="Medium",5,0)))</x:f>
      </x:c>
      <x:c r="AC544" s="28" t="str">
        <x:f>IF($A544="","",IF(AB544&gt;=70,"P0 - Immediate",IF(AB544&gt;=50,"P1 - High",IF(AB544&gt;=30,"P2 - Medium",IF(AB544&gt;=15,"P3 - Low","P4 - Monitor")))))</x:f>
      </x:c>
      <x:c r="AD544" s="28"/>
      <x:c r="AE544" s="28"/>
      <x:c r="AF544" s="28"/>
      <x:c r="AG544" s="58"/>
      <x:c r="AH544" s="28"/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56"/>
      <x:c r="J545" s="28"/>
      <x:c r="K545" s="28"/>
      <x:c r="L545" s="56"/>
      <x:c r="M545" s="28"/>
      <x:c r="N545" s="28"/>
      <x:c r="O545" s="28"/>
      <x:c r="P545" s="28"/>
      <x:c r="Q545" s="28"/>
      <x:c r="R545" s="28"/>
      <x:c r="S545" s="28"/>
      <x:c r="T545" s="28"/>
      <x:c r="U545" s="28"/>
      <x:c r="V545" s="28"/>
      <x:c r="W545" s="28"/>
      <x:c r="X545" s="28"/>
      <x:c r="Y545" s="28"/>
      <x:c r="Z545" s="28"/>
      <x:c r="AA545" s="28"/>
      <x:c r="AB545" s="56" t="str">
        <x:f>IF($A545="","",IF(Z545="Y",20,IF(Z545="Unknown",10,0))+$L545*5+IF(AA545="Y",15,IF(AA545="Unknown",5,0))+IF($J545="Public",10,IF($J545="Partner",7,IF($J545="Internal",3,0)))+IF($W545="Hard-coded",10,IF($W545="Unknown",7,IF($W545="Configurable",3,0)))+IF($I545&gt;=10,10,IF($I545&gt;=5,7,IF($I545&gt;=2,3,0)))+IF($K545="High",10,IF($K545="Medium",5,0)))</x:f>
      </x:c>
      <x:c r="AC545" s="28" t="str">
        <x:f>IF($A545="","",IF(AB545&gt;=70,"P0 - Immediate",IF(AB545&gt;=50,"P1 - High",IF(AB545&gt;=30,"P2 - Medium",IF(AB545&gt;=15,"P3 - Low","P4 - Monitor")))))</x:f>
      </x:c>
      <x:c r="AD545" s="28"/>
      <x:c r="AE545" s="28"/>
      <x:c r="AF545" s="28"/>
      <x:c r="AG545" s="58"/>
      <x:c r="AH545" s="28"/>
    </x:row>
    <x:row r="546">
      <x:c r="A546" s="28"/>
      <x:c r="B546" s="28"/>
      <x:c r="C546" s="28"/>
      <x:c r="D546" s="28"/>
      <x:c r="E546" s="28"/>
      <x:c r="F546" s="28"/>
      <x:c r="G546" s="28"/>
      <x:c r="H546" s="28"/>
      <x:c r="I546" s="56"/>
      <x:c r="J546" s="28"/>
      <x:c r="K546" s="28"/>
      <x:c r="L546" s="56"/>
      <x:c r="M546" s="28"/>
      <x:c r="N546" s="28"/>
      <x:c r="O546" s="28"/>
      <x:c r="P546" s="28"/>
      <x:c r="Q546" s="28"/>
      <x:c r="R546" s="28"/>
      <x:c r="S546" s="28"/>
      <x:c r="T546" s="28"/>
      <x:c r="U546" s="28"/>
      <x:c r="V546" s="28"/>
      <x:c r="W546" s="28"/>
      <x:c r="X546" s="28"/>
      <x:c r="Y546" s="28"/>
      <x:c r="Z546" s="28"/>
      <x:c r="AA546" s="28"/>
      <x:c r="AB546" s="56" t="str">
        <x:f>IF($A546="","",IF(Z546="Y",20,IF(Z546="Unknown",10,0))+$L546*5+IF(AA546="Y",15,IF(AA546="Unknown",5,0))+IF($J546="Public",10,IF($J546="Partner",7,IF($J546="Internal",3,0)))+IF($W546="Hard-coded",10,IF($W546="Unknown",7,IF($W546="Configurable",3,0)))+IF($I546&gt;=10,10,IF($I546&gt;=5,7,IF($I546&gt;=2,3,0)))+IF($K546="High",10,IF($K546="Medium",5,0)))</x:f>
      </x:c>
      <x:c r="AC546" s="28" t="str">
        <x:f>IF($A546="","",IF(AB546&gt;=70,"P0 - Immediate",IF(AB546&gt;=50,"P1 - High",IF(AB546&gt;=30,"P2 - Medium",IF(AB546&gt;=15,"P3 - Low","P4 - Monitor")))))</x:f>
      </x:c>
      <x:c r="AD546" s="28"/>
      <x:c r="AE546" s="28"/>
      <x:c r="AF546" s="28"/>
      <x:c r="AG546" s="58"/>
      <x:c r="AH546" s="28"/>
    </x:row>
    <x:row r="547">
      <x:c r="A547" s="28"/>
      <x:c r="B547" s="28"/>
      <x:c r="C547" s="28"/>
      <x:c r="D547" s="28"/>
      <x:c r="E547" s="28"/>
      <x:c r="F547" s="28"/>
      <x:c r="G547" s="28"/>
      <x:c r="H547" s="28"/>
      <x:c r="I547" s="56"/>
      <x:c r="J547" s="28"/>
      <x:c r="K547" s="28"/>
      <x:c r="L547" s="56"/>
      <x:c r="M547" s="28"/>
      <x:c r="N547" s="28"/>
      <x:c r="O547" s="28"/>
      <x:c r="P547" s="28"/>
      <x:c r="Q547" s="28"/>
      <x:c r="R547" s="28"/>
      <x:c r="S547" s="28"/>
      <x:c r="T547" s="28"/>
      <x:c r="U547" s="28"/>
      <x:c r="V547" s="28"/>
      <x:c r="W547" s="28"/>
      <x:c r="X547" s="28"/>
      <x:c r="Y547" s="28"/>
      <x:c r="Z547" s="28"/>
      <x:c r="AA547" s="28"/>
      <x:c r="AB547" s="56" t="str">
        <x:f>IF($A547="","",IF(Z547="Y",20,IF(Z547="Unknown",10,0))+$L547*5+IF(AA547="Y",15,IF(AA547="Unknown",5,0))+IF($J547="Public",10,IF($J547="Partner",7,IF($J547="Internal",3,0)))+IF($W547="Hard-coded",10,IF($W547="Unknown",7,IF($W547="Configurable",3,0)))+IF($I547&gt;=10,10,IF($I547&gt;=5,7,IF($I547&gt;=2,3,0)))+IF($K547="High",10,IF($K547="Medium",5,0)))</x:f>
      </x:c>
      <x:c r="AC547" s="28" t="str">
        <x:f>IF($A547="","",IF(AB547&gt;=70,"P0 - Immediate",IF(AB547&gt;=50,"P1 - High",IF(AB547&gt;=30,"P2 - Medium",IF(AB547&gt;=15,"P3 - Low","P4 - Monitor")))))</x:f>
      </x:c>
      <x:c r="AD547" s="28"/>
      <x:c r="AE547" s="28"/>
      <x:c r="AF547" s="28"/>
      <x:c r="AG547" s="58"/>
      <x:c r="AH547" s="28"/>
    </x:row>
    <x:row r="548">
      <x:c r="A548" s="28"/>
      <x:c r="B548" s="28"/>
      <x:c r="C548" s="28"/>
      <x:c r="D548" s="28"/>
      <x:c r="E548" s="28"/>
      <x:c r="F548" s="28"/>
      <x:c r="G548" s="28"/>
      <x:c r="H548" s="28"/>
      <x:c r="I548" s="56"/>
      <x:c r="J548" s="28"/>
      <x:c r="K548" s="28"/>
      <x:c r="L548" s="56"/>
      <x:c r="M548" s="28"/>
      <x:c r="N548" s="28"/>
      <x:c r="O548" s="28"/>
      <x:c r="P548" s="28"/>
      <x:c r="Q548" s="28"/>
      <x:c r="R548" s="28"/>
      <x:c r="S548" s="28"/>
      <x:c r="T548" s="28"/>
      <x:c r="U548" s="28"/>
      <x:c r="V548" s="28"/>
      <x:c r="W548" s="28"/>
      <x:c r="X548" s="28"/>
      <x:c r="Y548" s="28"/>
      <x:c r="Z548" s="28"/>
      <x:c r="AA548" s="28"/>
      <x:c r="AB548" s="56" t="str">
        <x:f>IF($A548="","",IF(Z548="Y",20,IF(Z548="Unknown",10,0))+$L548*5+IF(AA548="Y",15,IF(AA548="Unknown",5,0))+IF($J548="Public",10,IF($J548="Partner",7,IF($J548="Internal",3,0)))+IF($W548="Hard-coded",10,IF($W548="Unknown",7,IF($W548="Configurable",3,0)))+IF($I548&gt;=10,10,IF($I548&gt;=5,7,IF($I548&gt;=2,3,0)))+IF($K548="High",10,IF($K548="Medium",5,0)))</x:f>
      </x:c>
      <x:c r="AC548" s="28" t="str">
        <x:f>IF($A548="","",IF(AB548&gt;=70,"P0 - Immediate",IF(AB548&gt;=50,"P1 - High",IF(AB548&gt;=30,"P2 - Medium",IF(AB548&gt;=15,"P3 - Low","P4 - Monitor")))))</x:f>
      </x:c>
      <x:c r="AD548" s="28"/>
      <x:c r="AE548" s="28"/>
      <x:c r="AF548" s="28"/>
      <x:c r="AG548" s="58"/>
      <x:c r="AH548" s="28"/>
    </x:row>
    <x:row r="549">
      <x:c r="A549" s="28"/>
      <x:c r="B549" s="28"/>
      <x:c r="C549" s="28"/>
      <x:c r="D549" s="28"/>
      <x:c r="E549" s="28"/>
      <x:c r="F549" s="28"/>
      <x:c r="G549" s="28"/>
      <x:c r="H549" s="28"/>
      <x:c r="I549" s="56"/>
      <x:c r="J549" s="28"/>
      <x:c r="K549" s="28"/>
      <x:c r="L549" s="56"/>
      <x:c r="M549" s="28"/>
      <x:c r="N549" s="28"/>
      <x:c r="O549" s="28"/>
      <x:c r="P549" s="28"/>
      <x:c r="Q549" s="28"/>
      <x:c r="R549" s="28"/>
      <x:c r="S549" s="28"/>
      <x:c r="T549" s="28"/>
      <x:c r="U549" s="28"/>
      <x:c r="V549" s="28"/>
      <x:c r="W549" s="28"/>
      <x:c r="X549" s="28"/>
      <x:c r="Y549" s="28"/>
      <x:c r="Z549" s="28"/>
      <x:c r="AA549" s="28"/>
      <x:c r="AB549" s="56" t="str">
        <x:f>IF($A549="","",IF(Z549="Y",20,IF(Z549="Unknown",10,0))+$L549*5+IF(AA549="Y",15,IF(AA549="Unknown",5,0))+IF($J549="Public",10,IF($J549="Partner",7,IF($J549="Internal",3,0)))+IF($W549="Hard-coded",10,IF($W549="Unknown",7,IF($W549="Configurable",3,0)))+IF($I549&gt;=10,10,IF($I549&gt;=5,7,IF($I549&gt;=2,3,0)))+IF($K549="High",10,IF($K549="Medium",5,0)))</x:f>
      </x:c>
      <x:c r="AC549" s="28" t="str">
        <x:f>IF($A549="","",IF(AB549&gt;=70,"P0 - Immediate",IF(AB549&gt;=50,"P1 - High",IF(AB549&gt;=30,"P2 - Medium",IF(AB549&gt;=15,"P3 - Low","P4 - Monitor")))))</x:f>
      </x:c>
      <x:c r="AD549" s="28"/>
      <x:c r="AE549" s="28"/>
      <x:c r="AF549" s="28"/>
      <x:c r="AG549" s="58"/>
      <x:c r="AH549" s="28"/>
    </x:row>
    <x:row r="550">
      <x:c r="A550" s="28"/>
      <x:c r="B550" s="28"/>
      <x:c r="C550" s="28"/>
      <x:c r="D550" s="28"/>
      <x:c r="E550" s="28"/>
      <x:c r="F550" s="28"/>
      <x:c r="G550" s="28"/>
      <x:c r="H550" s="28"/>
      <x:c r="I550" s="56"/>
      <x:c r="J550" s="28"/>
      <x:c r="K550" s="28"/>
      <x:c r="L550" s="56"/>
      <x:c r="M550" s="28"/>
      <x:c r="N550" s="28"/>
      <x:c r="O550" s="28"/>
      <x:c r="P550" s="28"/>
      <x:c r="Q550" s="28"/>
      <x:c r="R550" s="28"/>
      <x:c r="S550" s="28"/>
      <x:c r="T550" s="28"/>
      <x:c r="U550" s="28"/>
      <x:c r="V550" s="28"/>
      <x:c r="W550" s="28"/>
      <x:c r="X550" s="28"/>
      <x:c r="Y550" s="28"/>
      <x:c r="Z550" s="28"/>
      <x:c r="AA550" s="28"/>
      <x:c r="AB550" s="56" t="str">
        <x:f>IF($A550="","",IF(Z550="Y",20,IF(Z550="Unknown",10,0))+$L550*5+IF(AA550="Y",15,IF(AA550="Unknown",5,0))+IF($J550="Public",10,IF($J550="Partner",7,IF($J550="Internal",3,0)))+IF($W550="Hard-coded",10,IF($W550="Unknown",7,IF($W550="Configurable",3,0)))+IF($I550&gt;=10,10,IF($I550&gt;=5,7,IF($I550&gt;=2,3,0)))+IF($K550="High",10,IF($K550="Medium",5,0)))</x:f>
      </x:c>
      <x:c r="AC550" s="28" t="str">
        <x:f>IF($A550="","",IF(AB550&gt;=70,"P0 - Immediate",IF(AB550&gt;=50,"P1 - High",IF(AB550&gt;=30,"P2 - Medium",IF(AB550&gt;=15,"P3 - Low","P4 - Monitor")))))</x:f>
      </x:c>
      <x:c r="AD550" s="28"/>
      <x:c r="AE550" s="28"/>
      <x:c r="AF550" s="28"/>
      <x:c r="AG550" s="58"/>
      <x:c r="AH550" s="28"/>
    </x:row>
    <x:row r="551">
      <x:c r="A551" s="28"/>
      <x:c r="B551" s="28"/>
      <x:c r="C551" s="28"/>
      <x:c r="D551" s="28"/>
      <x:c r="E551" s="28"/>
      <x:c r="F551" s="28"/>
      <x:c r="G551" s="28"/>
      <x:c r="H551" s="28"/>
      <x:c r="I551" s="56"/>
      <x:c r="J551" s="28"/>
      <x:c r="K551" s="28"/>
      <x:c r="L551" s="56"/>
      <x:c r="M551" s="28"/>
      <x:c r="N551" s="28"/>
      <x:c r="O551" s="28"/>
      <x:c r="P551" s="28"/>
      <x:c r="Q551" s="28"/>
      <x:c r="R551" s="28"/>
      <x:c r="S551" s="28"/>
      <x:c r="T551" s="28"/>
      <x:c r="U551" s="28"/>
      <x:c r="V551" s="28"/>
      <x:c r="W551" s="28"/>
      <x:c r="X551" s="28"/>
      <x:c r="Y551" s="28"/>
      <x:c r="Z551" s="28"/>
      <x:c r="AA551" s="28"/>
      <x:c r="AB551" s="56" t="str">
        <x:f>IF($A551="","",IF(Z551="Y",20,IF(Z551="Unknown",10,0))+$L551*5+IF(AA551="Y",15,IF(AA551="Unknown",5,0))+IF($J551="Public",10,IF($J551="Partner",7,IF($J551="Internal",3,0)))+IF($W551="Hard-coded",10,IF($W551="Unknown",7,IF($W551="Configurable",3,0)))+IF($I551&gt;=10,10,IF($I551&gt;=5,7,IF($I551&gt;=2,3,0)))+IF($K551="High",10,IF($K551="Medium",5,0)))</x:f>
      </x:c>
      <x:c r="AC551" s="28" t="str">
        <x:f>IF($A551="","",IF(AB551&gt;=70,"P0 - Immediate",IF(AB551&gt;=50,"P1 - High",IF(AB551&gt;=30,"P2 - Medium",IF(AB551&gt;=15,"P3 - Low","P4 - Monitor")))))</x:f>
      </x:c>
      <x:c r="AD551" s="28"/>
      <x:c r="AE551" s="28"/>
      <x:c r="AF551" s="28"/>
      <x:c r="AG551" s="58"/>
      <x:c r="AH551" s="28"/>
    </x:row>
    <x:row r="552">
      <x:c r="A552" s="28"/>
      <x:c r="B552" s="28"/>
      <x:c r="C552" s="28"/>
      <x:c r="D552" s="28"/>
      <x:c r="E552" s="28"/>
      <x:c r="F552" s="28"/>
      <x:c r="G552" s="28"/>
      <x:c r="H552" s="28"/>
      <x:c r="I552" s="56"/>
      <x:c r="J552" s="28"/>
      <x:c r="K552" s="28"/>
      <x:c r="L552" s="56"/>
      <x:c r="M552" s="28"/>
      <x:c r="N552" s="28"/>
      <x:c r="O552" s="28"/>
      <x:c r="P552" s="28"/>
      <x:c r="Q552" s="28"/>
      <x:c r="R552" s="28"/>
      <x:c r="S552" s="28"/>
      <x:c r="T552" s="28"/>
      <x:c r="U552" s="28"/>
      <x:c r="V552" s="28"/>
      <x:c r="W552" s="28"/>
      <x:c r="X552" s="28"/>
      <x:c r="Y552" s="28"/>
      <x:c r="Z552" s="28"/>
      <x:c r="AA552" s="28"/>
      <x:c r="AB552" s="56" t="str">
        <x:f>IF($A552="","",IF(Z552="Y",20,IF(Z552="Unknown",10,0))+$L552*5+IF(AA552="Y",15,IF(AA552="Unknown",5,0))+IF($J552="Public",10,IF($J552="Partner",7,IF($J552="Internal",3,0)))+IF($W552="Hard-coded",10,IF($W552="Unknown",7,IF($W552="Configurable",3,0)))+IF($I552&gt;=10,10,IF($I552&gt;=5,7,IF($I552&gt;=2,3,0)))+IF($K552="High",10,IF($K552="Medium",5,0)))</x:f>
      </x:c>
      <x:c r="AC552" s="28" t="str">
        <x:f>IF($A552="","",IF(AB552&gt;=70,"P0 - Immediate",IF(AB552&gt;=50,"P1 - High",IF(AB552&gt;=30,"P2 - Medium",IF(AB552&gt;=15,"P3 - Low","P4 - Monitor")))))</x:f>
      </x:c>
      <x:c r="AD552" s="28"/>
      <x:c r="AE552" s="28"/>
      <x:c r="AF552" s="28"/>
      <x:c r="AG552" s="58"/>
      <x:c r="AH552" s="28"/>
    </x:row>
    <x:row r="553">
      <x:c r="A553" s="28"/>
      <x:c r="B553" s="28"/>
      <x:c r="C553" s="28"/>
      <x:c r="D553" s="28"/>
      <x:c r="E553" s="28"/>
      <x:c r="F553" s="28"/>
      <x:c r="G553" s="28"/>
      <x:c r="H553" s="28"/>
      <x:c r="I553" s="56"/>
      <x:c r="J553" s="28"/>
      <x:c r="K553" s="28"/>
      <x:c r="L553" s="56"/>
      <x:c r="M553" s="28"/>
      <x:c r="N553" s="28"/>
      <x:c r="O553" s="28"/>
      <x:c r="P553" s="28"/>
      <x:c r="Q553" s="28"/>
      <x:c r="R553" s="28"/>
      <x:c r="S553" s="28"/>
      <x:c r="T553" s="28"/>
      <x:c r="U553" s="28"/>
      <x:c r="V553" s="28"/>
      <x:c r="W553" s="28"/>
      <x:c r="X553" s="28"/>
      <x:c r="Y553" s="28"/>
      <x:c r="Z553" s="28"/>
      <x:c r="AA553" s="28"/>
      <x:c r="AB553" s="56" t="str">
        <x:f>IF($A553="","",IF(Z553="Y",20,IF(Z553="Unknown",10,0))+$L553*5+IF(AA553="Y",15,IF(AA553="Unknown",5,0))+IF($J553="Public",10,IF($J553="Partner",7,IF($J553="Internal",3,0)))+IF($W553="Hard-coded",10,IF($W553="Unknown",7,IF($W553="Configurable",3,0)))+IF($I553&gt;=10,10,IF($I553&gt;=5,7,IF($I553&gt;=2,3,0)))+IF($K553="High",10,IF($K553="Medium",5,0)))</x:f>
      </x:c>
      <x:c r="AC553" s="28" t="str">
        <x:f>IF($A553="","",IF(AB553&gt;=70,"P0 - Immediate",IF(AB553&gt;=50,"P1 - High",IF(AB553&gt;=30,"P2 - Medium",IF(AB553&gt;=15,"P3 - Low","P4 - Monitor")))))</x:f>
      </x:c>
      <x:c r="AD553" s="28"/>
      <x:c r="AE553" s="28"/>
      <x:c r="AF553" s="28"/>
      <x:c r="AG553" s="58"/>
      <x:c r="AH553" s="28"/>
    </x:row>
    <x:row r="554">
      <x:c r="A554" s="28"/>
      <x:c r="B554" s="28"/>
      <x:c r="C554" s="28"/>
      <x:c r="D554" s="28"/>
      <x:c r="E554" s="28"/>
      <x:c r="F554" s="28"/>
      <x:c r="G554" s="28"/>
      <x:c r="H554" s="28"/>
      <x:c r="I554" s="56"/>
      <x:c r="J554" s="28"/>
      <x:c r="K554" s="28"/>
      <x:c r="L554" s="56"/>
      <x:c r="M554" s="28"/>
      <x:c r="N554" s="28"/>
      <x:c r="O554" s="28"/>
      <x:c r="P554" s="28"/>
      <x:c r="Q554" s="28"/>
      <x:c r="R554" s="28"/>
      <x:c r="S554" s="28"/>
      <x:c r="T554" s="28"/>
      <x:c r="U554" s="28"/>
      <x:c r="V554" s="28"/>
      <x:c r="W554" s="28"/>
      <x:c r="X554" s="28"/>
      <x:c r="Y554" s="28"/>
      <x:c r="Z554" s="28"/>
      <x:c r="AA554" s="28"/>
      <x:c r="AB554" s="56" t="str">
        <x:f>IF($A554="","",IF(Z554="Y",20,IF(Z554="Unknown",10,0))+$L554*5+IF(AA554="Y",15,IF(AA554="Unknown",5,0))+IF($J554="Public",10,IF($J554="Partner",7,IF($J554="Internal",3,0)))+IF($W554="Hard-coded",10,IF($W554="Unknown",7,IF($W554="Configurable",3,0)))+IF($I554&gt;=10,10,IF($I554&gt;=5,7,IF($I554&gt;=2,3,0)))+IF($K554="High",10,IF($K554="Medium",5,0)))</x:f>
      </x:c>
      <x:c r="AC554" s="28" t="str">
        <x:f>IF($A554="","",IF(AB554&gt;=70,"P0 - Immediate",IF(AB554&gt;=50,"P1 - High",IF(AB554&gt;=30,"P2 - Medium",IF(AB554&gt;=15,"P3 - Low","P4 - Monitor")))))</x:f>
      </x:c>
      <x:c r="AD554" s="28"/>
      <x:c r="AE554" s="28"/>
      <x:c r="AF554" s="28"/>
      <x:c r="AG554" s="58"/>
      <x:c r="AH554" s="28"/>
    </x:row>
    <x:row r="555">
      <x:c r="A555" s="28"/>
      <x:c r="B555" s="28"/>
      <x:c r="C555" s="28"/>
      <x:c r="D555" s="28"/>
      <x:c r="E555" s="28"/>
      <x:c r="F555" s="28"/>
      <x:c r="G555" s="28"/>
      <x:c r="H555" s="28"/>
      <x:c r="I555" s="56"/>
      <x:c r="J555" s="28"/>
      <x:c r="K555" s="28"/>
      <x:c r="L555" s="56"/>
      <x:c r="M555" s="28"/>
      <x:c r="N555" s="28"/>
      <x:c r="O555" s="28"/>
      <x:c r="P555" s="28"/>
      <x:c r="Q555" s="28"/>
      <x:c r="R555" s="28"/>
      <x:c r="S555" s="28"/>
      <x:c r="T555" s="28"/>
      <x:c r="U555" s="28"/>
      <x:c r="V555" s="28"/>
      <x:c r="W555" s="28"/>
      <x:c r="X555" s="28"/>
      <x:c r="Y555" s="28"/>
      <x:c r="Z555" s="28"/>
      <x:c r="AA555" s="28"/>
      <x:c r="AB555" s="56" t="str">
        <x:f>IF($A555="","",IF(Z555="Y",20,IF(Z555="Unknown",10,0))+$L555*5+IF(AA555="Y",15,IF(AA555="Unknown",5,0))+IF($J555="Public",10,IF($J555="Partner",7,IF($J555="Internal",3,0)))+IF($W555="Hard-coded",10,IF($W555="Unknown",7,IF($W555="Configurable",3,0)))+IF($I555&gt;=10,10,IF($I555&gt;=5,7,IF($I555&gt;=2,3,0)))+IF($K555="High",10,IF($K555="Medium",5,0)))</x:f>
      </x:c>
      <x:c r="AC555" s="28" t="str">
        <x:f>IF($A555="","",IF(AB555&gt;=70,"P0 - Immediate",IF(AB555&gt;=50,"P1 - High",IF(AB555&gt;=30,"P2 - Medium",IF(AB555&gt;=15,"P3 - Low","P4 - Monitor")))))</x:f>
      </x:c>
      <x:c r="AD555" s="28"/>
      <x:c r="AE555" s="28"/>
      <x:c r="AF555" s="28"/>
      <x:c r="AG555" s="58"/>
      <x:c r="AH555" s="28"/>
    </x:row>
    <x:row r="556">
      <x:c r="A556" s="28"/>
      <x:c r="B556" s="28"/>
      <x:c r="C556" s="28"/>
      <x:c r="D556" s="28"/>
      <x:c r="E556" s="28"/>
      <x:c r="F556" s="28"/>
      <x:c r="G556" s="28"/>
      <x:c r="H556" s="28"/>
      <x:c r="I556" s="56"/>
      <x:c r="J556" s="28"/>
      <x:c r="K556" s="28"/>
      <x:c r="L556" s="56"/>
      <x:c r="M556" s="28"/>
      <x:c r="N556" s="28"/>
      <x:c r="O556" s="28"/>
      <x:c r="P556" s="28"/>
      <x:c r="Q556" s="28"/>
      <x:c r="R556" s="28"/>
      <x:c r="S556" s="28"/>
      <x:c r="T556" s="28"/>
      <x:c r="U556" s="28"/>
      <x:c r="V556" s="28"/>
      <x:c r="W556" s="28"/>
      <x:c r="X556" s="28"/>
      <x:c r="Y556" s="28"/>
      <x:c r="Z556" s="28"/>
      <x:c r="AA556" s="28"/>
      <x:c r="AB556" s="56" t="str">
        <x:f>IF($A556="","",IF(Z556="Y",20,IF(Z556="Unknown",10,0))+$L556*5+IF(AA556="Y",15,IF(AA556="Unknown",5,0))+IF($J556="Public",10,IF($J556="Partner",7,IF($J556="Internal",3,0)))+IF($W556="Hard-coded",10,IF($W556="Unknown",7,IF($W556="Configurable",3,0)))+IF($I556&gt;=10,10,IF($I556&gt;=5,7,IF($I556&gt;=2,3,0)))+IF($K556="High",10,IF($K556="Medium",5,0)))</x:f>
      </x:c>
      <x:c r="AC556" s="28" t="str">
        <x:f>IF($A556="","",IF(AB556&gt;=70,"P0 - Immediate",IF(AB556&gt;=50,"P1 - High",IF(AB556&gt;=30,"P2 - Medium",IF(AB556&gt;=15,"P3 - Low","P4 - Monitor")))))</x:f>
      </x:c>
      <x:c r="AD556" s="28"/>
      <x:c r="AE556" s="28"/>
      <x:c r="AF556" s="28"/>
      <x:c r="AG556" s="58"/>
      <x:c r="AH556" s="28"/>
    </x:row>
    <x:row r="557">
      <x:c r="A557" s="28"/>
      <x:c r="B557" s="28"/>
      <x:c r="C557" s="28"/>
      <x:c r="D557" s="28"/>
      <x:c r="E557" s="28"/>
      <x:c r="F557" s="28"/>
      <x:c r="G557" s="28"/>
      <x:c r="H557" s="28"/>
      <x:c r="I557" s="56"/>
      <x:c r="J557" s="28"/>
      <x:c r="K557" s="28"/>
      <x:c r="L557" s="56"/>
      <x:c r="M557" s="28"/>
      <x:c r="N557" s="28"/>
      <x:c r="O557" s="28"/>
      <x:c r="P557" s="28"/>
      <x:c r="Q557" s="28"/>
      <x:c r="R557" s="28"/>
      <x:c r="S557" s="28"/>
      <x:c r="T557" s="28"/>
      <x:c r="U557" s="28"/>
      <x:c r="V557" s="28"/>
      <x:c r="W557" s="28"/>
      <x:c r="X557" s="28"/>
      <x:c r="Y557" s="28"/>
      <x:c r="Z557" s="28"/>
      <x:c r="AA557" s="28"/>
      <x:c r="AB557" s="56" t="str">
        <x:f>IF($A557="","",IF(Z557="Y",20,IF(Z557="Unknown",10,0))+$L557*5+IF(AA557="Y",15,IF(AA557="Unknown",5,0))+IF($J557="Public",10,IF($J557="Partner",7,IF($J557="Internal",3,0)))+IF($W557="Hard-coded",10,IF($W557="Unknown",7,IF($W557="Configurable",3,0)))+IF($I557&gt;=10,10,IF($I557&gt;=5,7,IF($I557&gt;=2,3,0)))+IF($K557="High",10,IF($K557="Medium",5,0)))</x:f>
      </x:c>
      <x:c r="AC557" s="28" t="str">
        <x:f>IF($A557="","",IF(AB557&gt;=70,"P0 - Immediate",IF(AB557&gt;=50,"P1 - High",IF(AB557&gt;=30,"P2 - Medium",IF(AB557&gt;=15,"P3 - Low","P4 - Monitor")))))</x:f>
      </x:c>
      <x:c r="AD557" s="28"/>
      <x:c r="AE557" s="28"/>
      <x:c r="AF557" s="28"/>
      <x:c r="AG557" s="58"/>
      <x:c r="AH557" s="28"/>
    </x:row>
    <x:row r="558">
      <x:c r="A558" s="28"/>
      <x:c r="B558" s="28"/>
      <x:c r="C558" s="28"/>
      <x:c r="D558" s="28"/>
      <x:c r="E558" s="28"/>
      <x:c r="F558" s="28"/>
      <x:c r="G558" s="28"/>
      <x:c r="H558" s="28"/>
      <x:c r="I558" s="56"/>
      <x:c r="J558" s="28"/>
      <x:c r="K558" s="28"/>
      <x:c r="L558" s="56"/>
      <x:c r="M558" s="28"/>
      <x:c r="N558" s="28"/>
      <x:c r="O558" s="28"/>
      <x:c r="P558" s="28"/>
      <x:c r="Q558" s="28"/>
      <x:c r="R558" s="28"/>
      <x:c r="S558" s="28"/>
      <x:c r="T558" s="28"/>
      <x:c r="U558" s="28"/>
      <x:c r="V558" s="28"/>
      <x:c r="W558" s="28"/>
      <x:c r="X558" s="28"/>
      <x:c r="Y558" s="28"/>
      <x:c r="Z558" s="28"/>
      <x:c r="AA558" s="28"/>
      <x:c r="AB558" s="56" t="str">
        <x:f>IF($A558="","",IF(Z558="Y",20,IF(Z558="Unknown",10,0))+$L558*5+IF(AA558="Y",15,IF(AA558="Unknown",5,0))+IF($J558="Public",10,IF($J558="Partner",7,IF($J558="Internal",3,0)))+IF($W558="Hard-coded",10,IF($W558="Unknown",7,IF($W558="Configurable",3,0)))+IF($I558&gt;=10,10,IF($I558&gt;=5,7,IF($I558&gt;=2,3,0)))+IF($K558="High",10,IF($K558="Medium",5,0)))</x:f>
      </x:c>
      <x:c r="AC558" s="28" t="str">
        <x:f>IF($A558="","",IF(AB558&gt;=70,"P0 - Immediate",IF(AB558&gt;=50,"P1 - High",IF(AB558&gt;=30,"P2 - Medium",IF(AB558&gt;=15,"P3 - Low","P4 - Monitor")))))</x:f>
      </x:c>
      <x:c r="AD558" s="28"/>
      <x:c r="AE558" s="28"/>
      <x:c r="AF558" s="28"/>
      <x:c r="AG558" s="58"/>
      <x:c r="AH558" s="28"/>
    </x:row>
    <x:row r="559">
      <x:c r="A559" s="28"/>
      <x:c r="B559" s="28"/>
      <x:c r="C559" s="28"/>
      <x:c r="D559" s="28"/>
      <x:c r="E559" s="28"/>
      <x:c r="F559" s="28"/>
      <x:c r="G559" s="28"/>
      <x:c r="H559" s="28"/>
      <x:c r="I559" s="56"/>
      <x:c r="J559" s="28"/>
      <x:c r="K559" s="28"/>
      <x:c r="L559" s="56"/>
      <x:c r="M559" s="28"/>
      <x:c r="N559" s="28"/>
      <x:c r="O559" s="28"/>
      <x:c r="P559" s="28"/>
      <x:c r="Q559" s="28"/>
      <x:c r="R559" s="28"/>
      <x:c r="S559" s="28"/>
      <x:c r="T559" s="28"/>
      <x:c r="U559" s="28"/>
      <x:c r="V559" s="28"/>
      <x:c r="W559" s="28"/>
      <x:c r="X559" s="28"/>
      <x:c r="Y559" s="28"/>
      <x:c r="Z559" s="28"/>
      <x:c r="AA559" s="28"/>
      <x:c r="AB559" s="56" t="str">
        <x:f>IF($A559="","",IF(Z559="Y",20,IF(Z559="Unknown",10,0))+$L559*5+IF(AA559="Y",15,IF(AA559="Unknown",5,0))+IF($J559="Public",10,IF($J559="Partner",7,IF($J559="Internal",3,0)))+IF($W559="Hard-coded",10,IF($W559="Unknown",7,IF($W559="Configurable",3,0)))+IF($I559&gt;=10,10,IF($I559&gt;=5,7,IF($I559&gt;=2,3,0)))+IF($K559="High",10,IF($K559="Medium",5,0)))</x:f>
      </x:c>
      <x:c r="AC559" s="28" t="str">
        <x:f>IF($A559="","",IF(AB559&gt;=70,"P0 - Immediate",IF(AB559&gt;=50,"P1 - High",IF(AB559&gt;=30,"P2 - Medium",IF(AB559&gt;=15,"P3 - Low","P4 - Monitor")))))</x:f>
      </x:c>
      <x:c r="AD559" s="28"/>
      <x:c r="AE559" s="28"/>
      <x:c r="AF559" s="28"/>
      <x:c r="AG559" s="58"/>
      <x:c r="AH559" s="28"/>
    </x:row>
    <x:row r="560">
      <x:c r="A560" s="28"/>
      <x:c r="B560" s="28"/>
      <x:c r="C560" s="28"/>
      <x:c r="D560" s="28"/>
      <x:c r="E560" s="28"/>
      <x:c r="F560" s="28"/>
      <x:c r="G560" s="28"/>
      <x:c r="H560" s="28"/>
      <x:c r="I560" s="56"/>
      <x:c r="J560" s="28"/>
      <x:c r="K560" s="28"/>
      <x:c r="L560" s="56"/>
      <x:c r="M560" s="28"/>
      <x:c r="N560" s="28"/>
      <x:c r="O560" s="28"/>
      <x:c r="P560" s="28"/>
      <x:c r="Q560" s="28"/>
      <x:c r="R560" s="28"/>
      <x:c r="S560" s="28"/>
      <x:c r="T560" s="28"/>
      <x:c r="U560" s="28"/>
      <x:c r="V560" s="28"/>
      <x:c r="W560" s="28"/>
      <x:c r="X560" s="28"/>
      <x:c r="Y560" s="28"/>
      <x:c r="Z560" s="28"/>
      <x:c r="AA560" s="28"/>
      <x:c r="AB560" s="56" t="str">
        <x:f>IF($A560="","",IF(Z560="Y",20,IF(Z560="Unknown",10,0))+$L560*5+IF(AA560="Y",15,IF(AA560="Unknown",5,0))+IF($J560="Public",10,IF($J560="Partner",7,IF($J560="Internal",3,0)))+IF($W560="Hard-coded",10,IF($W560="Unknown",7,IF($W560="Configurable",3,0)))+IF($I560&gt;=10,10,IF($I560&gt;=5,7,IF($I560&gt;=2,3,0)))+IF($K560="High",10,IF($K560="Medium",5,0)))</x:f>
      </x:c>
      <x:c r="AC560" s="28" t="str">
        <x:f>IF($A560="","",IF(AB560&gt;=70,"P0 - Immediate",IF(AB560&gt;=50,"P1 - High",IF(AB560&gt;=30,"P2 - Medium",IF(AB560&gt;=15,"P3 - Low","P4 - Monitor")))))</x:f>
      </x:c>
      <x:c r="AD560" s="28"/>
      <x:c r="AE560" s="28"/>
      <x:c r="AF560" s="28"/>
      <x:c r="AG560" s="58"/>
      <x:c r="AH560" s="28"/>
    </x:row>
    <x:row r="561">
      <x:c r="A561" s="28"/>
      <x:c r="B561" s="28"/>
      <x:c r="C561" s="28"/>
      <x:c r="D561" s="28"/>
      <x:c r="E561" s="28"/>
      <x:c r="F561" s="28"/>
      <x:c r="G561" s="28"/>
      <x:c r="H561" s="28"/>
      <x:c r="I561" s="56"/>
      <x:c r="J561" s="28"/>
      <x:c r="K561" s="28"/>
      <x:c r="L561" s="56"/>
      <x:c r="M561" s="28"/>
      <x:c r="N561" s="28"/>
      <x:c r="O561" s="28"/>
      <x:c r="P561" s="28"/>
      <x:c r="Q561" s="28"/>
      <x:c r="R561" s="28"/>
      <x:c r="S561" s="28"/>
      <x:c r="T561" s="28"/>
      <x:c r="U561" s="28"/>
      <x:c r="V561" s="28"/>
      <x:c r="W561" s="28"/>
      <x:c r="X561" s="28"/>
      <x:c r="Y561" s="28"/>
      <x:c r="Z561" s="28"/>
      <x:c r="AA561" s="28"/>
      <x:c r="AB561" s="56" t="str">
        <x:f>IF($A561="","",IF(Z561="Y",20,IF(Z561="Unknown",10,0))+$L561*5+IF(AA561="Y",15,IF(AA561="Unknown",5,0))+IF($J561="Public",10,IF($J561="Partner",7,IF($J561="Internal",3,0)))+IF($W561="Hard-coded",10,IF($W561="Unknown",7,IF($W561="Configurable",3,0)))+IF($I561&gt;=10,10,IF($I561&gt;=5,7,IF($I561&gt;=2,3,0)))+IF($K561="High",10,IF($K561="Medium",5,0)))</x:f>
      </x:c>
      <x:c r="AC561" s="28" t="str">
        <x:f>IF($A561="","",IF(AB561&gt;=70,"P0 - Immediate",IF(AB561&gt;=50,"P1 - High",IF(AB561&gt;=30,"P2 - Medium",IF(AB561&gt;=15,"P3 - Low","P4 - Monitor")))))</x:f>
      </x:c>
      <x:c r="AD561" s="28"/>
      <x:c r="AE561" s="28"/>
      <x:c r="AF561" s="28"/>
      <x:c r="AG561" s="58"/>
      <x:c r="AH561" s="28"/>
    </x:row>
    <x:row r="562">
      <x:c r="A562" s="28"/>
      <x:c r="B562" s="28"/>
      <x:c r="C562" s="28"/>
      <x:c r="D562" s="28"/>
      <x:c r="E562" s="28"/>
      <x:c r="F562" s="28"/>
      <x:c r="G562" s="28"/>
      <x:c r="H562" s="28"/>
      <x:c r="I562" s="56"/>
      <x:c r="J562" s="28"/>
      <x:c r="K562" s="28"/>
      <x:c r="L562" s="56"/>
      <x:c r="M562" s="28"/>
      <x:c r="N562" s="28"/>
      <x:c r="O562" s="28"/>
      <x:c r="P562" s="28"/>
      <x:c r="Q562" s="28"/>
      <x:c r="R562" s="28"/>
      <x:c r="S562" s="28"/>
      <x:c r="T562" s="28"/>
      <x:c r="U562" s="28"/>
      <x:c r="V562" s="28"/>
      <x:c r="W562" s="28"/>
      <x:c r="X562" s="28"/>
      <x:c r="Y562" s="28"/>
      <x:c r="Z562" s="28"/>
      <x:c r="AA562" s="28"/>
      <x:c r="AB562" s="56" t="str">
        <x:f>IF($A562="","",IF(Z562="Y",20,IF(Z562="Unknown",10,0))+$L562*5+IF(AA562="Y",15,IF(AA562="Unknown",5,0))+IF($J562="Public",10,IF($J562="Partner",7,IF($J562="Internal",3,0)))+IF($W562="Hard-coded",10,IF($W562="Unknown",7,IF($W562="Configurable",3,0)))+IF($I562&gt;=10,10,IF($I562&gt;=5,7,IF($I562&gt;=2,3,0)))+IF($K562="High",10,IF($K562="Medium",5,0)))</x:f>
      </x:c>
      <x:c r="AC562" s="28" t="str">
        <x:f>IF($A562="","",IF(AB562&gt;=70,"P0 - Immediate",IF(AB562&gt;=50,"P1 - High",IF(AB562&gt;=30,"P2 - Medium",IF(AB562&gt;=15,"P3 - Low","P4 - Monitor")))))</x:f>
      </x:c>
      <x:c r="AD562" s="28"/>
      <x:c r="AE562" s="28"/>
      <x:c r="AF562" s="28"/>
      <x:c r="AG562" s="58"/>
      <x:c r="AH562" s="28"/>
    </x:row>
    <x:row r="563">
      <x:c r="A563" s="28"/>
      <x:c r="B563" s="28"/>
      <x:c r="C563" s="28"/>
      <x:c r="D563" s="28"/>
      <x:c r="E563" s="28"/>
      <x:c r="F563" s="28"/>
      <x:c r="G563" s="28"/>
      <x:c r="H563" s="28"/>
      <x:c r="I563" s="56"/>
      <x:c r="J563" s="28"/>
      <x:c r="K563" s="28"/>
      <x:c r="L563" s="56"/>
      <x:c r="M563" s="28"/>
      <x:c r="N563" s="28"/>
      <x:c r="O563" s="28"/>
      <x:c r="P563" s="28"/>
      <x:c r="Q563" s="28"/>
      <x:c r="R563" s="28"/>
      <x:c r="S563" s="28"/>
      <x:c r="T563" s="28"/>
      <x:c r="U563" s="28"/>
      <x:c r="V563" s="28"/>
      <x:c r="W563" s="28"/>
      <x:c r="X563" s="28"/>
      <x:c r="Y563" s="28"/>
      <x:c r="Z563" s="28"/>
      <x:c r="AA563" s="28"/>
      <x:c r="AB563" s="56" t="str">
        <x:f>IF($A563="","",IF(Z563="Y",20,IF(Z563="Unknown",10,0))+$L563*5+IF(AA563="Y",15,IF(AA563="Unknown",5,0))+IF($J563="Public",10,IF($J563="Partner",7,IF($J563="Internal",3,0)))+IF($W563="Hard-coded",10,IF($W563="Unknown",7,IF($W563="Configurable",3,0)))+IF($I563&gt;=10,10,IF($I563&gt;=5,7,IF($I563&gt;=2,3,0)))+IF($K563="High",10,IF($K563="Medium",5,0)))</x:f>
      </x:c>
      <x:c r="AC563" s="28" t="str">
        <x:f>IF($A563="","",IF(AB563&gt;=70,"P0 - Immediate",IF(AB563&gt;=50,"P1 - High",IF(AB563&gt;=30,"P2 - Medium",IF(AB563&gt;=15,"P3 - Low","P4 - Monitor")))))</x:f>
      </x:c>
      <x:c r="AD563" s="28"/>
      <x:c r="AE563" s="28"/>
      <x:c r="AF563" s="28"/>
      <x:c r="AG563" s="58"/>
      <x:c r="AH563" s="28"/>
    </x:row>
    <x:row r="564">
      <x:c r="A564" s="28"/>
      <x:c r="B564" s="28"/>
      <x:c r="C564" s="28"/>
      <x:c r="D564" s="28"/>
      <x:c r="E564" s="28"/>
      <x:c r="F564" s="28"/>
      <x:c r="G564" s="28"/>
      <x:c r="H564" s="28"/>
      <x:c r="I564" s="56"/>
      <x:c r="J564" s="28"/>
      <x:c r="K564" s="28"/>
      <x:c r="L564" s="56"/>
      <x:c r="M564" s="28"/>
      <x:c r="N564" s="28"/>
      <x:c r="O564" s="28"/>
      <x:c r="P564" s="28"/>
      <x:c r="Q564" s="28"/>
      <x:c r="R564" s="28"/>
      <x:c r="S564" s="28"/>
      <x:c r="T564" s="28"/>
      <x:c r="U564" s="28"/>
      <x:c r="V564" s="28"/>
      <x:c r="W564" s="28"/>
      <x:c r="X564" s="28"/>
      <x:c r="Y564" s="28"/>
      <x:c r="Z564" s="28"/>
      <x:c r="AA564" s="28"/>
      <x:c r="AB564" s="56" t="str">
        <x:f>IF($A564="","",IF(Z564="Y",20,IF(Z564="Unknown",10,0))+$L564*5+IF(AA564="Y",15,IF(AA564="Unknown",5,0))+IF($J564="Public",10,IF($J564="Partner",7,IF($J564="Internal",3,0)))+IF($W564="Hard-coded",10,IF($W564="Unknown",7,IF($W564="Configurable",3,0)))+IF($I564&gt;=10,10,IF($I564&gt;=5,7,IF($I564&gt;=2,3,0)))+IF($K564="High",10,IF($K564="Medium",5,0)))</x:f>
      </x:c>
      <x:c r="AC564" s="28" t="str">
        <x:f>IF($A564="","",IF(AB564&gt;=70,"P0 - Immediate",IF(AB564&gt;=50,"P1 - High",IF(AB564&gt;=30,"P2 - Medium",IF(AB564&gt;=15,"P3 - Low","P4 - Monitor")))))</x:f>
      </x:c>
      <x:c r="AD564" s="28"/>
      <x:c r="AE564" s="28"/>
      <x:c r="AF564" s="28"/>
      <x:c r="AG564" s="58"/>
      <x:c r="AH564" s="28"/>
    </x:row>
    <x:row r="565">
      <x:c r="A565" s="28"/>
      <x:c r="B565" s="28"/>
      <x:c r="C565" s="28"/>
      <x:c r="D565" s="28"/>
      <x:c r="E565" s="28"/>
      <x:c r="F565" s="28"/>
      <x:c r="G565" s="28"/>
      <x:c r="H565" s="28"/>
      <x:c r="I565" s="56"/>
      <x:c r="J565" s="28"/>
      <x:c r="K565" s="28"/>
      <x:c r="L565" s="56"/>
      <x:c r="M565" s="28"/>
      <x:c r="N565" s="28"/>
      <x:c r="O565" s="28"/>
      <x:c r="P565" s="28"/>
      <x:c r="Q565" s="28"/>
      <x:c r="R565" s="28"/>
      <x:c r="S565" s="28"/>
      <x:c r="T565" s="28"/>
      <x:c r="U565" s="28"/>
      <x:c r="V565" s="28"/>
      <x:c r="W565" s="28"/>
      <x:c r="X565" s="28"/>
      <x:c r="Y565" s="28"/>
      <x:c r="Z565" s="28"/>
      <x:c r="AA565" s="28"/>
      <x:c r="AB565" s="56" t="str">
        <x:f>IF($A565="","",IF(Z565="Y",20,IF(Z565="Unknown",10,0))+$L565*5+IF(AA565="Y",15,IF(AA565="Unknown",5,0))+IF($J565="Public",10,IF($J565="Partner",7,IF($J565="Internal",3,0)))+IF($W565="Hard-coded",10,IF($W565="Unknown",7,IF($W565="Configurable",3,0)))+IF($I565&gt;=10,10,IF($I565&gt;=5,7,IF($I565&gt;=2,3,0)))+IF($K565="High",10,IF($K565="Medium",5,0)))</x:f>
      </x:c>
      <x:c r="AC565" s="28" t="str">
        <x:f>IF($A565="","",IF(AB565&gt;=70,"P0 - Immediate",IF(AB565&gt;=50,"P1 - High",IF(AB565&gt;=30,"P2 - Medium",IF(AB565&gt;=15,"P3 - Low","P4 - Monitor")))))</x:f>
      </x:c>
      <x:c r="AD565" s="28"/>
      <x:c r="AE565" s="28"/>
      <x:c r="AF565" s="28"/>
      <x:c r="AG565" s="58"/>
      <x:c r="AH565" s="28"/>
    </x:row>
    <x:row r="566">
      <x:c r="A566" s="28"/>
      <x:c r="B566" s="28"/>
      <x:c r="C566" s="28"/>
      <x:c r="D566" s="28"/>
      <x:c r="E566" s="28"/>
      <x:c r="F566" s="28"/>
      <x:c r="G566" s="28"/>
      <x:c r="H566" s="28"/>
      <x:c r="I566" s="56"/>
      <x:c r="J566" s="28"/>
      <x:c r="K566" s="28"/>
      <x:c r="L566" s="56"/>
      <x:c r="M566" s="28"/>
      <x:c r="N566" s="28"/>
      <x:c r="O566" s="28"/>
      <x:c r="P566" s="28"/>
      <x:c r="Q566" s="28"/>
      <x:c r="R566" s="28"/>
      <x:c r="S566" s="28"/>
      <x:c r="T566" s="28"/>
      <x:c r="U566" s="28"/>
      <x:c r="V566" s="28"/>
      <x:c r="W566" s="28"/>
      <x:c r="X566" s="28"/>
      <x:c r="Y566" s="28"/>
      <x:c r="Z566" s="28"/>
      <x:c r="AA566" s="28"/>
      <x:c r="AB566" s="56" t="str">
        <x:f>IF($A566="","",IF(Z566="Y",20,IF(Z566="Unknown",10,0))+$L566*5+IF(AA566="Y",15,IF(AA566="Unknown",5,0))+IF($J566="Public",10,IF($J566="Partner",7,IF($J566="Internal",3,0)))+IF($W566="Hard-coded",10,IF($W566="Unknown",7,IF($W566="Configurable",3,0)))+IF($I566&gt;=10,10,IF($I566&gt;=5,7,IF($I566&gt;=2,3,0)))+IF($K566="High",10,IF($K566="Medium",5,0)))</x:f>
      </x:c>
      <x:c r="AC566" s="28" t="str">
        <x:f>IF($A566="","",IF(AB566&gt;=70,"P0 - Immediate",IF(AB566&gt;=50,"P1 - High",IF(AB566&gt;=30,"P2 - Medium",IF(AB566&gt;=15,"P3 - Low","P4 - Monitor")))))</x:f>
      </x:c>
      <x:c r="AD566" s="28"/>
      <x:c r="AE566" s="28"/>
      <x:c r="AF566" s="28"/>
      <x:c r="AG566" s="58"/>
      <x:c r="AH566" s="28"/>
    </x:row>
    <x:row r="567">
      <x:c r="A567" s="28"/>
      <x:c r="B567" s="28"/>
      <x:c r="C567" s="28"/>
      <x:c r="D567" s="28"/>
      <x:c r="E567" s="28"/>
      <x:c r="F567" s="28"/>
      <x:c r="G567" s="28"/>
      <x:c r="H567" s="28"/>
      <x:c r="I567" s="56"/>
      <x:c r="J567" s="28"/>
      <x:c r="K567" s="28"/>
      <x:c r="L567" s="56"/>
      <x:c r="M567" s="28"/>
      <x:c r="N567" s="28"/>
      <x:c r="O567" s="28"/>
      <x:c r="P567" s="28"/>
      <x:c r="Q567" s="28"/>
      <x:c r="R567" s="28"/>
      <x:c r="S567" s="28"/>
      <x:c r="T567" s="28"/>
      <x:c r="U567" s="28"/>
      <x:c r="V567" s="28"/>
      <x:c r="W567" s="28"/>
      <x:c r="X567" s="28"/>
      <x:c r="Y567" s="28"/>
      <x:c r="Z567" s="28"/>
      <x:c r="AA567" s="28"/>
      <x:c r="AB567" s="56" t="str">
        <x:f>IF($A567="","",IF(Z567="Y",20,IF(Z567="Unknown",10,0))+$L567*5+IF(AA567="Y",15,IF(AA567="Unknown",5,0))+IF($J567="Public",10,IF($J567="Partner",7,IF($J567="Internal",3,0)))+IF($W567="Hard-coded",10,IF($W567="Unknown",7,IF($W567="Configurable",3,0)))+IF($I567&gt;=10,10,IF($I567&gt;=5,7,IF($I567&gt;=2,3,0)))+IF($K567="High",10,IF($K567="Medium",5,0)))</x:f>
      </x:c>
      <x:c r="AC567" s="28" t="str">
        <x:f>IF($A567="","",IF(AB567&gt;=70,"P0 - Immediate",IF(AB567&gt;=50,"P1 - High",IF(AB567&gt;=30,"P2 - Medium",IF(AB567&gt;=15,"P3 - Low","P4 - Monitor")))))</x:f>
      </x:c>
      <x:c r="AD567" s="28"/>
      <x:c r="AE567" s="28"/>
      <x:c r="AF567" s="28"/>
      <x:c r="AG567" s="58"/>
      <x:c r="AH567" s="28"/>
    </x:row>
    <x:row r="568">
      <x:c r="A568" s="28"/>
      <x:c r="B568" s="28"/>
      <x:c r="C568" s="28"/>
      <x:c r="D568" s="28"/>
      <x:c r="E568" s="28"/>
      <x:c r="F568" s="28"/>
      <x:c r="G568" s="28"/>
      <x:c r="H568" s="28"/>
      <x:c r="I568" s="56"/>
      <x:c r="J568" s="28"/>
      <x:c r="K568" s="28"/>
      <x:c r="L568" s="56"/>
      <x:c r="M568" s="28"/>
      <x:c r="N568" s="28"/>
      <x:c r="O568" s="28"/>
      <x:c r="P568" s="28"/>
      <x:c r="Q568" s="28"/>
      <x:c r="R568" s="28"/>
      <x:c r="S568" s="28"/>
      <x:c r="T568" s="28"/>
      <x:c r="U568" s="28"/>
      <x:c r="V568" s="28"/>
      <x:c r="W568" s="28"/>
      <x:c r="X568" s="28"/>
      <x:c r="Y568" s="28"/>
      <x:c r="Z568" s="28"/>
      <x:c r="AA568" s="28"/>
      <x:c r="AB568" s="56" t="str">
        <x:f>IF($A568="","",IF(Z568="Y",20,IF(Z568="Unknown",10,0))+$L568*5+IF(AA568="Y",15,IF(AA568="Unknown",5,0))+IF($J568="Public",10,IF($J568="Partner",7,IF($J568="Internal",3,0)))+IF($W568="Hard-coded",10,IF($W568="Unknown",7,IF($W568="Configurable",3,0)))+IF($I568&gt;=10,10,IF($I568&gt;=5,7,IF($I568&gt;=2,3,0)))+IF($K568="High",10,IF($K568="Medium",5,0)))</x:f>
      </x:c>
      <x:c r="AC568" s="28" t="str">
        <x:f>IF($A568="","",IF(AB568&gt;=70,"P0 - Immediate",IF(AB568&gt;=50,"P1 - High",IF(AB568&gt;=30,"P2 - Medium",IF(AB568&gt;=15,"P3 - Low","P4 - Monitor")))))</x:f>
      </x:c>
      <x:c r="AD568" s="28"/>
      <x:c r="AE568" s="28"/>
      <x:c r="AF568" s="28"/>
      <x:c r="AG568" s="58"/>
      <x:c r="AH568" s="28"/>
    </x:row>
    <x:row r="569">
      <x:c r="A569" s="28"/>
      <x:c r="B569" s="28"/>
      <x:c r="C569" s="28"/>
      <x:c r="D569" s="28"/>
      <x:c r="E569" s="28"/>
      <x:c r="F569" s="28"/>
      <x:c r="G569" s="28"/>
      <x:c r="H569" s="28"/>
      <x:c r="I569" s="56"/>
      <x:c r="J569" s="28"/>
      <x:c r="K569" s="28"/>
      <x:c r="L569" s="56"/>
      <x:c r="M569" s="28"/>
      <x:c r="N569" s="28"/>
      <x:c r="O569" s="28"/>
      <x:c r="P569" s="28"/>
      <x:c r="Q569" s="28"/>
      <x:c r="R569" s="28"/>
      <x:c r="S569" s="28"/>
      <x:c r="T569" s="28"/>
      <x:c r="U569" s="28"/>
      <x:c r="V569" s="28"/>
      <x:c r="W569" s="28"/>
      <x:c r="X569" s="28"/>
      <x:c r="Y569" s="28"/>
      <x:c r="Z569" s="28"/>
      <x:c r="AA569" s="28"/>
      <x:c r="AB569" s="56" t="str">
        <x:f>IF($A569="","",IF(Z569="Y",20,IF(Z569="Unknown",10,0))+$L569*5+IF(AA569="Y",15,IF(AA569="Unknown",5,0))+IF($J569="Public",10,IF($J569="Partner",7,IF($J569="Internal",3,0)))+IF($W569="Hard-coded",10,IF($W569="Unknown",7,IF($W569="Configurable",3,0)))+IF($I569&gt;=10,10,IF($I569&gt;=5,7,IF($I569&gt;=2,3,0)))+IF($K569="High",10,IF($K569="Medium",5,0)))</x:f>
      </x:c>
      <x:c r="AC569" s="28" t="str">
        <x:f>IF($A569="","",IF(AB569&gt;=70,"P0 - Immediate",IF(AB569&gt;=50,"P1 - High",IF(AB569&gt;=30,"P2 - Medium",IF(AB569&gt;=15,"P3 - Low","P4 - Monitor")))))</x:f>
      </x:c>
      <x:c r="AD569" s="28"/>
      <x:c r="AE569" s="28"/>
      <x:c r="AF569" s="28"/>
      <x:c r="AG569" s="58"/>
      <x:c r="AH569" s="28"/>
    </x:row>
    <x:row r="570">
      <x:c r="A570" s="28"/>
      <x:c r="B570" s="28"/>
      <x:c r="C570" s="28"/>
      <x:c r="D570" s="28"/>
      <x:c r="E570" s="28"/>
      <x:c r="F570" s="28"/>
      <x:c r="G570" s="28"/>
      <x:c r="H570" s="28"/>
      <x:c r="I570" s="56"/>
      <x:c r="J570" s="28"/>
      <x:c r="K570" s="28"/>
      <x:c r="L570" s="56"/>
      <x:c r="M570" s="28"/>
      <x:c r="N570" s="28"/>
      <x:c r="O570" s="28"/>
      <x:c r="P570" s="28"/>
      <x:c r="Q570" s="28"/>
      <x:c r="R570" s="28"/>
      <x:c r="S570" s="28"/>
      <x:c r="T570" s="28"/>
      <x:c r="U570" s="28"/>
      <x:c r="V570" s="28"/>
      <x:c r="W570" s="28"/>
      <x:c r="X570" s="28"/>
      <x:c r="Y570" s="28"/>
      <x:c r="Z570" s="28"/>
      <x:c r="AA570" s="28"/>
      <x:c r="AB570" s="56" t="str">
        <x:f>IF($A570="","",IF(Z570="Y",20,IF(Z570="Unknown",10,0))+$L570*5+IF(AA570="Y",15,IF(AA570="Unknown",5,0))+IF($J570="Public",10,IF($J570="Partner",7,IF($J570="Internal",3,0)))+IF($W570="Hard-coded",10,IF($W570="Unknown",7,IF($W570="Configurable",3,0)))+IF($I570&gt;=10,10,IF($I570&gt;=5,7,IF($I570&gt;=2,3,0)))+IF($K570="High",10,IF($K570="Medium",5,0)))</x:f>
      </x:c>
      <x:c r="AC570" s="28" t="str">
        <x:f>IF($A570="","",IF(AB570&gt;=70,"P0 - Immediate",IF(AB570&gt;=50,"P1 - High",IF(AB570&gt;=30,"P2 - Medium",IF(AB570&gt;=15,"P3 - Low","P4 - Monitor")))))</x:f>
      </x:c>
      <x:c r="AD570" s="28"/>
      <x:c r="AE570" s="28"/>
      <x:c r="AF570" s="28"/>
      <x:c r="AG570" s="58"/>
      <x:c r="AH570" s="28"/>
    </x:row>
    <x:row r="571">
      <x:c r="A571" s="28"/>
      <x:c r="B571" s="28"/>
      <x:c r="C571" s="28"/>
      <x:c r="D571" s="28"/>
      <x:c r="E571" s="28"/>
      <x:c r="F571" s="28"/>
      <x:c r="G571" s="28"/>
      <x:c r="H571" s="28"/>
      <x:c r="I571" s="56"/>
      <x:c r="J571" s="28"/>
      <x:c r="K571" s="28"/>
      <x:c r="L571" s="56"/>
      <x:c r="M571" s="28"/>
      <x:c r="N571" s="28"/>
      <x:c r="O571" s="28"/>
      <x:c r="P571" s="28"/>
      <x:c r="Q571" s="28"/>
      <x:c r="R571" s="28"/>
      <x:c r="S571" s="28"/>
      <x:c r="T571" s="28"/>
      <x:c r="U571" s="28"/>
      <x:c r="V571" s="28"/>
      <x:c r="W571" s="28"/>
      <x:c r="X571" s="28"/>
      <x:c r="Y571" s="28"/>
      <x:c r="Z571" s="28"/>
      <x:c r="AA571" s="28"/>
      <x:c r="AB571" s="56" t="str">
        <x:f>IF($A571="","",IF(Z571="Y",20,IF(Z571="Unknown",10,0))+$L571*5+IF(AA571="Y",15,IF(AA571="Unknown",5,0))+IF($J571="Public",10,IF($J571="Partner",7,IF($J571="Internal",3,0)))+IF($W571="Hard-coded",10,IF($W571="Unknown",7,IF($W571="Configurable",3,0)))+IF($I571&gt;=10,10,IF($I571&gt;=5,7,IF($I571&gt;=2,3,0)))+IF($K571="High",10,IF($K571="Medium",5,0)))</x:f>
      </x:c>
      <x:c r="AC571" s="28" t="str">
        <x:f>IF($A571="","",IF(AB571&gt;=70,"P0 - Immediate",IF(AB571&gt;=50,"P1 - High",IF(AB571&gt;=30,"P2 - Medium",IF(AB571&gt;=15,"P3 - Low","P4 - Monitor")))))</x:f>
      </x:c>
      <x:c r="AD571" s="28"/>
      <x:c r="AE571" s="28"/>
      <x:c r="AF571" s="28"/>
      <x:c r="AG571" s="58"/>
      <x:c r="AH571" s="28"/>
    </x:row>
    <x:row r="572">
      <x:c r="A572" s="28"/>
      <x:c r="B572" s="28"/>
      <x:c r="C572" s="28"/>
      <x:c r="D572" s="28"/>
      <x:c r="E572" s="28"/>
      <x:c r="F572" s="28"/>
      <x:c r="G572" s="28"/>
      <x:c r="H572" s="28"/>
      <x:c r="I572" s="56"/>
      <x:c r="J572" s="28"/>
      <x:c r="K572" s="28"/>
      <x:c r="L572" s="56"/>
      <x:c r="M572" s="28"/>
      <x:c r="N572" s="28"/>
      <x:c r="O572" s="28"/>
      <x:c r="P572" s="28"/>
      <x:c r="Q572" s="28"/>
      <x:c r="R572" s="28"/>
      <x:c r="S572" s="28"/>
      <x:c r="T572" s="28"/>
      <x:c r="U572" s="28"/>
      <x:c r="V572" s="28"/>
      <x:c r="W572" s="28"/>
      <x:c r="X572" s="28"/>
      <x:c r="Y572" s="28"/>
      <x:c r="Z572" s="28"/>
      <x:c r="AA572" s="28"/>
      <x:c r="AB572" s="56" t="str">
        <x:f>IF($A572="","",IF(Z572="Y",20,IF(Z572="Unknown",10,0))+$L572*5+IF(AA572="Y",15,IF(AA572="Unknown",5,0))+IF($J572="Public",10,IF($J572="Partner",7,IF($J572="Internal",3,0)))+IF($W572="Hard-coded",10,IF($W572="Unknown",7,IF($W572="Configurable",3,0)))+IF($I572&gt;=10,10,IF($I572&gt;=5,7,IF($I572&gt;=2,3,0)))+IF($K572="High",10,IF($K572="Medium",5,0)))</x:f>
      </x:c>
      <x:c r="AC572" s="28" t="str">
        <x:f>IF($A572="","",IF(AB572&gt;=70,"P0 - Immediate",IF(AB572&gt;=50,"P1 - High",IF(AB572&gt;=30,"P2 - Medium",IF(AB572&gt;=15,"P3 - Low","P4 - Monitor")))))</x:f>
      </x:c>
      <x:c r="AD572" s="28"/>
      <x:c r="AE572" s="28"/>
      <x:c r="AF572" s="28"/>
      <x:c r="AG572" s="58"/>
      <x:c r="AH572" s="28"/>
    </x:row>
    <x:row r="573">
      <x:c r="A573" s="28"/>
      <x:c r="B573" s="28"/>
      <x:c r="C573" s="28"/>
      <x:c r="D573" s="28"/>
      <x:c r="E573" s="28"/>
      <x:c r="F573" s="28"/>
      <x:c r="G573" s="28"/>
      <x:c r="H573" s="28"/>
      <x:c r="I573" s="56"/>
      <x:c r="J573" s="28"/>
      <x:c r="K573" s="28"/>
      <x:c r="L573" s="56"/>
      <x:c r="M573" s="28"/>
      <x:c r="N573" s="28"/>
      <x:c r="O573" s="28"/>
      <x:c r="P573" s="28"/>
      <x:c r="Q573" s="28"/>
      <x:c r="R573" s="28"/>
      <x:c r="S573" s="28"/>
      <x:c r="T573" s="28"/>
      <x:c r="U573" s="28"/>
      <x:c r="V573" s="28"/>
      <x:c r="W573" s="28"/>
      <x:c r="X573" s="28"/>
      <x:c r="Y573" s="28"/>
      <x:c r="Z573" s="28"/>
      <x:c r="AA573" s="28"/>
      <x:c r="AB573" s="56" t="str">
        <x:f>IF($A573="","",IF(Z573="Y",20,IF(Z573="Unknown",10,0))+$L573*5+IF(AA573="Y",15,IF(AA573="Unknown",5,0))+IF($J573="Public",10,IF($J573="Partner",7,IF($J573="Internal",3,0)))+IF($W573="Hard-coded",10,IF($W573="Unknown",7,IF($W573="Configurable",3,0)))+IF($I573&gt;=10,10,IF($I573&gt;=5,7,IF($I573&gt;=2,3,0)))+IF($K573="High",10,IF($K573="Medium",5,0)))</x:f>
      </x:c>
      <x:c r="AC573" s="28" t="str">
        <x:f>IF($A573="","",IF(AB573&gt;=70,"P0 - Immediate",IF(AB573&gt;=50,"P1 - High",IF(AB573&gt;=30,"P2 - Medium",IF(AB573&gt;=15,"P3 - Low","P4 - Monitor")))))</x:f>
      </x:c>
      <x:c r="AD573" s="28"/>
      <x:c r="AE573" s="28"/>
      <x:c r="AF573" s="28"/>
      <x:c r="AG573" s="58"/>
      <x:c r="AH573" s="28"/>
    </x:row>
    <x:row r="574">
      <x:c r="A574" s="28"/>
      <x:c r="B574" s="28"/>
      <x:c r="C574" s="28"/>
      <x:c r="D574" s="28"/>
      <x:c r="E574" s="28"/>
      <x:c r="F574" s="28"/>
      <x:c r="G574" s="28"/>
      <x:c r="H574" s="28"/>
      <x:c r="I574" s="56"/>
      <x:c r="J574" s="28"/>
      <x:c r="K574" s="28"/>
      <x:c r="L574" s="56"/>
      <x:c r="M574" s="28"/>
      <x:c r="N574" s="28"/>
      <x:c r="O574" s="28"/>
      <x:c r="P574" s="28"/>
      <x:c r="Q574" s="28"/>
      <x:c r="R574" s="28"/>
      <x:c r="S574" s="28"/>
      <x:c r="T574" s="28"/>
      <x:c r="U574" s="28"/>
      <x:c r="V574" s="28"/>
      <x:c r="W574" s="28"/>
      <x:c r="X574" s="28"/>
      <x:c r="Y574" s="28"/>
      <x:c r="Z574" s="28"/>
      <x:c r="AA574" s="28"/>
      <x:c r="AB574" s="56" t="str">
        <x:f>IF($A574="","",IF(Z574="Y",20,IF(Z574="Unknown",10,0))+$L574*5+IF(AA574="Y",15,IF(AA574="Unknown",5,0))+IF($J574="Public",10,IF($J574="Partner",7,IF($J574="Internal",3,0)))+IF($W574="Hard-coded",10,IF($W574="Unknown",7,IF($W574="Configurable",3,0)))+IF($I574&gt;=10,10,IF($I574&gt;=5,7,IF($I574&gt;=2,3,0)))+IF($K574="High",10,IF($K574="Medium",5,0)))</x:f>
      </x:c>
      <x:c r="AC574" s="28" t="str">
        <x:f>IF($A574="","",IF(AB574&gt;=70,"P0 - Immediate",IF(AB574&gt;=50,"P1 - High",IF(AB574&gt;=30,"P2 - Medium",IF(AB574&gt;=15,"P3 - Low","P4 - Monitor")))))</x:f>
      </x:c>
      <x:c r="AD574" s="28"/>
      <x:c r="AE574" s="28"/>
      <x:c r="AF574" s="28"/>
      <x:c r="AG574" s="58"/>
      <x:c r="AH574" s="28"/>
    </x:row>
    <x:row r="575">
      <x:c r="A575" s="28"/>
      <x:c r="B575" s="28"/>
      <x:c r="C575" s="28"/>
      <x:c r="D575" s="28"/>
      <x:c r="E575" s="28"/>
      <x:c r="F575" s="28"/>
      <x:c r="G575" s="28"/>
      <x:c r="H575" s="28"/>
      <x:c r="I575" s="56"/>
      <x:c r="J575" s="28"/>
      <x:c r="K575" s="28"/>
      <x:c r="L575" s="56"/>
      <x:c r="M575" s="28"/>
      <x:c r="N575" s="28"/>
      <x:c r="O575" s="28"/>
      <x:c r="P575" s="28"/>
      <x:c r="Q575" s="28"/>
      <x:c r="R575" s="28"/>
      <x:c r="S575" s="28"/>
      <x:c r="T575" s="28"/>
      <x:c r="U575" s="28"/>
      <x:c r="V575" s="28"/>
      <x:c r="W575" s="28"/>
      <x:c r="X575" s="28"/>
      <x:c r="Y575" s="28"/>
      <x:c r="Z575" s="28"/>
      <x:c r="AA575" s="28"/>
      <x:c r="AB575" s="56" t="str">
        <x:f>IF($A575="","",IF(Z575="Y",20,IF(Z575="Unknown",10,0))+$L575*5+IF(AA575="Y",15,IF(AA575="Unknown",5,0))+IF($J575="Public",10,IF($J575="Partner",7,IF($J575="Internal",3,0)))+IF($W575="Hard-coded",10,IF($W575="Unknown",7,IF($W575="Configurable",3,0)))+IF($I575&gt;=10,10,IF($I575&gt;=5,7,IF($I575&gt;=2,3,0)))+IF($K575="High",10,IF($K575="Medium",5,0)))</x:f>
      </x:c>
      <x:c r="AC575" s="28" t="str">
        <x:f>IF($A575="","",IF(AB575&gt;=70,"P0 - Immediate",IF(AB575&gt;=50,"P1 - High",IF(AB575&gt;=30,"P2 - Medium",IF(AB575&gt;=15,"P3 - Low","P4 - Monitor")))))</x:f>
      </x:c>
      <x:c r="AD575" s="28"/>
      <x:c r="AE575" s="28"/>
      <x:c r="AF575" s="28"/>
      <x:c r="AG575" s="58"/>
      <x:c r="AH575" s="28"/>
    </x:row>
    <x:row r="576">
      <x:c r="A576" s="28"/>
      <x:c r="B576" s="28"/>
      <x:c r="C576" s="28"/>
      <x:c r="D576" s="28"/>
      <x:c r="E576" s="28"/>
      <x:c r="F576" s="28"/>
      <x:c r="G576" s="28"/>
      <x:c r="H576" s="28"/>
      <x:c r="I576" s="56"/>
      <x:c r="J576" s="28"/>
      <x:c r="K576" s="28"/>
      <x:c r="L576" s="56"/>
      <x:c r="M576" s="28"/>
      <x:c r="N576" s="28"/>
      <x:c r="O576" s="28"/>
      <x:c r="P576" s="28"/>
      <x:c r="Q576" s="28"/>
      <x:c r="R576" s="28"/>
      <x:c r="S576" s="28"/>
      <x:c r="T576" s="28"/>
      <x:c r="U576" s="28"/>
      <x:c r="V576" s="28"/>
      <x:c r="W576" s="28"/>
      <x:c r="X576" s="28"/>
      <x:c r="Y576" s="28"/>
      <x:c r="Z576" s="28"/>
      <x:c r="AA576" s="28"/>
      <x:c r="AB576" s="56" t="str">
        <x:f>IF($A576="","",IF(Z576="Y",20,IF(Z576="Unknown",10,0))+$L576*5+IF(AA576="Y",15,IF(AA576="Unknown",5,0))+IF($J576="Public",10,IF($J576="Partner",7,IF($J576="Internal",3,0)))+IF($W576="Hard-coded",10,IF($W576="Unknown",7,IF($W576="Configurable",3,0)))+IF($I576&gt;=10,10,IF($I576&gt;=5,7,IF($I576&gt;=2,3,0)))+IF($K576="High",10,IF($K576="Medium",5,0)))</x:f>
      </x:c>
      <x:c r="AC576" s="28" t="str">
        <x:f>IF($A576="","",IF(AB576&gt;=70,"P0 - Immediate",IF(AB576&gt;=50,"P1 - High",IF(AB576&gt;=30,"P2 - Medium",IF(AB576&gt;=15,"P3 - Low","P4 - Monitor")))))</x:f>
      </x:c>
      <x:c r="AD576" s="28"/>
      <x:c r="AE576" s="28"/>
      <x:c r="AF576" s="28"/>
      <x:c r="AG576" s="58"/>
      <x:c r="AH576" s="28"/>
    </x:row>
    <x:row r="577">
      <x:c r="A577" s="28"/>
      <x:c r="B577" s="28"/>
      <x:c r="C577" s="28"/>
      <x:c r="D577" s="28"/>
      <x:c r="E577" s="28"/>
      <x:c r="F577" s="28"/>
      <x:c r="G577" s="28"/>
      <x:c r="H577" s="28"/>
      <x:c r="I577" s="56"/>
      <x:c r="J577" s="28"/>
      <x:c r="K577" s="28"/>
      <x:c r="L577" s="56"/>
      <x:c r="M577" s="28"/>
      <x:c r="N577" s="28"/>
      <x:c r="O577" s="28"/>
      <x:c r="P577" s="28"/>
      <x:c r="Q577" s="28"/>
      <x:c r="R577" s="28"/>
      <x:c r="S577" s="28"/>
      <x:c r="T577" s="28"/>
      <x:c r="U577" s="28"/>
      <x:c r="V577" s="28"/>
      <x:c r="W577" s="28"/>
      <x:c r="X577" s="28"/>
      <x:c r="Y577" s="28"/>
      <x:c r="Z577" s="28"/>
      <x:c r="AA577" s="28"/>
      <x:c r="AB577" s="56" t="str">
        <x:f>IF($A577="","",IF(Z577="Y",20,IF(Z577="Unknown",10,0))+$L577*5+IF(AA577="Y",15,IF(AA577="Unknown",5,0))+IF($J577="Public",10,IF($J577="Partner",7,IF($J577="Internal",3,0)))+IF($W577="Hard-coded",10,IF($W577="Unknown",7,IF($W577="Configurable",3,0)))+IF($I577&gt;=10,10,IF($I577&gt;=5,7,IF($I577&gt;=2,3,0)))+IF($K577="High",10,IF($K577="Medium",5,0)))</x:f>
      </x:c>
      <x:c r="AC577" s="28" t="str">
        <x:f>IF($A577="","",IF(AB577&gt;=70,"P0 - Immediate",IF(AB577&gt;=50,"P1 - High",IF(AB577&gt;=30,"P2 - Medium",IF(AB577&gt;=15,"P3 - Low","P4 - Monitor")))))</x:f>
      </x:c>
      <x:c r="AD577" s="28"/>
      <x:c r="AE577" s="28"/>
      <x:c r="AF577" s="28"/>
      <x:c r="AG577" s="58"/>
      <x:c r="AH577" s="28"/>
    </x:row>
    <x:row r="578">
      <x:c r="A578" s="28"/>
      <x:c r="B578" s="28"/>
      <x:c r="C578" s="28"/>
      <x:c r="D578" s="28"/>
      <x:c r="E578" s="28"/>
      <x:c r="F578" s="28"/>
      <x:c r="G578" s="28"/>
      <x:c r="H578" s="28"/>
      <x:c r="I578" s="56"/>
      <x:c r="J578" s="28"/>
      <x:c r="K578" s="28"/>
      <x:c r="L578" s="56"/>
      <x:c r="M578" s="28"/>
      <x:c r="N578" s="28"/>
      <x:c r="O578" s="28"/>
      <x:c r="P578" s="28"/>
      <x:c r="Q578" s="28"/>
      <x:c r="R578" s="28"/>
      <x:c r="S578" s="28"/>
      <x:c r="T578" s="28"/>
      <x:c r="U578" s="28"/>
      <x:c r="V578" s="28"/>
      <x:c r="W578" s="28"/>
      <x:c r="X578" s="28"/>
      <x:c r="Y578" s="28"/>
      <x:c r="Z578" s="28"/>
      <x:c r="AA578" s="28"/>
      <x:c r="AB578" s="56" t="str">
        <x:f>IF($A578="","",IF(Z578="Y",20,IF(Z578="Unknown",10,0))+$L578*5+IF(AA578="Y",15,IF(AA578="Unknown",5,0))+IF($J578="Public",10,IF($J578="Partner",7,IF($J578="Internal",3,0)))+IF($W578="Hard-coded",10,IF($W578="Unknown",7,IF($W578="Configurable",3,0)))+IF($I578&gt;=10,10,IF($I578&gt;=5,7,IF($I578&gt;=2,3,0)))+IF($K578="High",10,IF($K578="Medium",5,0)))</x:f>
      </x:c>
      <x:c r="AC578" s="28" t="str">
        <x:f>IF($A578="","",IF(AB578&gt;=70,"P0 - Immediate",IF(AB578&gt;=50,"P1 - High",IF(AB578&gt;=30,"P2 - Medium",IF(AB578&gt;=15,"P3 - Low","P4 - Monitor")))))</x:f>
      </x:c>
      <x:c r="AD578" s="28"/>
      <x:c r="AE578" s="28"/>
      <x:c r="AF578" s="28"/>
      <x:c r="AG578" s="58"/>
      <x:c r="AH578" s="28"/>
    </x:row>
    <x:row r="579">
      <x:c r="A579" s="28"/>
      <x:c r="B579" s="28"/>
      <x:c r="C579" s="28"/>
      <x:c r="D579" s="28"/>
      <x:c r="E579" s="28"/>
      <x:c r="F579" s="28"/>
      <x:c r="G579" s="28"/>
      <x:c r="H579" s="28"/>
      <x:c r="I579" s="56"/>
      <x:c r="J579" s="28"/>
      <x:c r="K579" s="28"/>
      <x:c r="L579" s="56"/>
      <x:c r="M579" s="28"/>
      <x:c r="N579" s="28"/>
      <x:c r="O579" s="28"/>
      <x:c r="P579" s="28"/>
      <x:c r="Q579" s="28"/>
      <x:c r="R579" s="28"/>
      <x:c r="S579" s="28"/>
      <x:c r="T579" s="28"/>
      <x:c r="U579" s="28"/>
      <x:c r="V579" s="28"/>
      <x:c r="W579" s="28"/>
      <x:c r="X579" s="28"/>
      <x:c r="Y579" s="28"/>
      <x:c r="Z579" s="28"/>
      <x:c r="AA579" s="28"/>
      <x:c r="AB579" s="56" t="str">
        <x:f>IF($A579="","",IF(Z579="Y",20,IF(Z579="Unknown",10,0))+$L579*5+IF(AA579="Y",15,IF(AA579="Unknown",5,0))+IF($J579="Public",10,IF($J579="Partner",7,IF($J579="Internal",3,0)))+IF($W579="Hard-coded",10,IF($W579="Unknown",7,IF($W579="Configurable",3,0)))+IF($I579&gt;=10,10,IF($I579&gt;=5,7,IF($I579&gt;=2,3,0)))+IF($K579="High",10,IF($K579="Medium",5,0)))</x:f>
      </x:c>
      <x:c r="AC579" s="28" t="str">
        <x:f>IF($A579="","",IF(AB579&gt;=70,"P0 - Immediate",IF(AB579&gt;=50,"P1 - High",IF(AB579&gt;=30,"P2 - Medium",IF(AB579&gt;=15,"P3 - Low","P4 - Monitor")))))</x:f>
      </x:c>
      <x:c r="AD579" s="28"/>
      <x:c r="AE579" s="28"/>
      <x:c r="AF579" s="28"/>
      <x:c r="AG579" s="58"/>
      <x:c r="AH579" s="28"/>
    </x:row>
    <x:row r="580">
      <x:c r="A580" s="28"/>
      <x:c r="B580" s="28"/>
      <x:c r="C580" s="28"/>
      <x:c r="D580" s="28"/>
      <x:c r="E580" s="28"/>
      <x:c r="F580" s="28"/>
      <x:c r="G580" s="28"/>
      <x:c r="H580" s="28"/>
      <x:c r="I580" s="56"/>
      <x:c r="J580" s="28"/>
      <x:c r="K580" s="28"/>
      <x:c r="L580" s="56"/>
      <x:c r="M580" s="28"/>
      <x:c r="N580" s="28"/>
      <x:c r="O580" s="28"/>
      <x:c r="P580" s="28"/>
      <x:c r="Q580" s="28"/>
      <x:c r="R580" s="28"/>
      <x:c r="S580" s="28"/>
      <x:c r="T580" s="28"/>
      <x:c r="U580" s="28"/>
      <x:c r="V580" s="28"/>
      <x:c r="W580" s="28"/>
      <x:c r="X580" s="28"/>
      <x:c r="Y580" s="28"/>
      <x:c r="Z580" s="28"/>
      <x:c r="AA580" s="28"/>
      <x:c r="AB580" s="56" t="str">
        <x:f>IF($A580="","",IF(Z580="Y",20,IF(Z580="Unknown",10,0))+$L580*5+IF(AA580="Y",15,IF(AA580="Unknown",5,0))+IF($J580="Public",10,IF($J580="Partner",7,IF($J580="Internal",3,0)))+IF($W580="Hard-coded",10,IF($W580="Unknown",7,IF($W580="Configurable",3,0)))+IF($I580&gt;=10,10,IF($I580&gt;=5,7,IF($I580&gt;=2,3,0)))+IF($K580="High",10,IF($K580="Medium",5,0)))</x:f>
      </x:c>
      <x:c r="AC580" s="28" t="str">
        <x:f>IF($A580="","",IF(AB580&gt;=70,"P0 - Immediate",IF(AB580&gt;=50,"P1 - High",IF(AB580&gt;=30,"P2 - Medium",IF(AB580&gt;=15,"P3 - Low","P4 - Monitor")))))</x:f>
      </x:c>
      <x:c r="AD580" s="28"/>
      <x:c r="AE580" s="28"/>
      <x:c r="AF580" s="28"/>
      <x:c r="AG580" s="58"/>
      <x:c r="AH580" s="28"/>
    </x:row>
    <x:row r="581">
      <x:c r="A581" s="28"/>
      <x:c r="B581" s="28"/>
      <x:c r="C581" s="28"/>
      <x:c r="D581" s="28"/>
      <x:c r="E581" s="28"/>
      <x:c r="F581" s="28"/>
      <x:c r="G581" s="28"/>
      <x:c r="H581" s="28"/>
      <x:c r="I581" s="56"/>
      <x:c r="J581" s="28"/>
      <x:c r="K581" s="28"/>
      <x:c r="L581" s="56"/>
      <x:c r="M581" s="28"/>
      <x:c r="N581" s="28"/>
      <x:c r="O581" s="28"/>
      <x:c r="P581" s="28"/>
      <x:c r="Q581" s="28"/>
      <x:c r="R581" s="28"/>
      <x:c r="S581" s="28"/>
      <x:c r="T581" s="28"/>
      <x:c r="U581" s="28"/>
      <x:c r="V581" s="28"/>
      <x:c r="W581" s="28"/>
      <x:c r="X581" s="28"/>
      <x:c r="Y581" s="28"/>
      <x:c r="Z581" s="28"/>
      <x:c r="AA581" s="28"/>
      <x:c r="AB581" s="56" t="str">
        <x:f>IF($A581="","",IF(Z581="Y",20,IF(Z581="Unknown",10,0))+$L581*5+IF(AA581="Y",15,IF(AA581="Unknown",5,0))+IF($J581="Public",10,IF($J581="Partner",7,IF($J581="Internal",3,0)))+IF($W581="Hard-coded",10,IF($W581="Unknown",7,IF($W581="Configurable",3,0)))+IF($I581&gt;=10,10,IF($I581&gt;=5,7,IF($I581&gt;=2,3,0)))+IF($K581="High",10,IF($K581="Medium",5,0)))</x:f>
      </x:c>
      <x:c r="AC581" s="28" t="str">
        <x:f>IF($A581="","",IF(AB581&gt;=70,"P0 - Immediate",IF(AB581&gt;=50,"P1 - High",IF(AB581&gt;=30,"P2 - Medium",IF(AB581&gt;=15,"P3 - Low","P4 - Monitor")))))</x:f>
      </x:c>
      <x:c r="AD581" s="28"/>
      <x:c r="AE581" s="28"/>
      <x:c r="AF581" s="28"/>
      <x:c r="AG581" s="58"/>
      <x:c r="AH581" s="28"/>
    </x:row>
    <x:row r="582">
      <x:c r="A582" s="28"/>
      <x:c r="B582" s="28"/>
      <x:c r="C582" s="28"/>
      <x:c r="D582" s="28"/>
      <x:c r="E582" s="28"/>
      <x:c r="F582" s="28"/>
      <x:c r="G582" s="28"/>
      <x:c r="H582" s="28"/>
      <x:c r="I582" s="56"/>
      <x:c r="J582" s="28"/>
      <x:c r="K582" s="28"/>
      <x:c r="L582" s="56"/>
      <x:c r="M582" s="28"/>
      <x:c r="N582" s="28"/>
      <x:c r="O582" s="28"/>
      <x:c r="P582" s="28"/>
      <x:c r="Q582" s="28"/>
      <x:c r="R582" s="28"/>
      <x:c r="S582" s="28"/>
      <x:c r="T582" s="28"/>
      <x:c r="U582" s="28"/>
      <x:c r="V582" s="28"/>
      <x:c r="W582" s="28"/>
      <x:c r="X582" s="28"/>
      <x:c r="Y582" s="28"/>
      <x:c r="Z582" s="28"/>
      <x:c r="AA582" s="28"/>
      <x:c r="AB582" s="56" t="str">
        <x:f>IF($A582="","",IF(Z582="Y",20,IF(Z582="Unknown",10,0))+$L582*5+IF(AA582="Y",15,IF(AA582="Unknown",5,0))+IF($J582="Public",10,IF($J582="Partner",7,IF($J582="Internal",3,0)))+IF($W582="Hard-coded",10,IF($W582="Unknown",7,IF($W582="Configurable",3,0)))+IF($I582&gt;=10,10,IF($I582&gt;=5,7,IF($I582&gt;=2,3,0)))+IF($K582="High",10,IF($K582="Medium",5,0)))</x:f>
      </x:c>
      <x:c r="AC582" s="28" t="str">
        <x:f>IF($A582="","",IF(AB582&gt;=70,"P0 - Immediate",IF(AB582&gt;=50,"P1 - High",IF(AB582&gt;=30,"P2 - Medium",IF(AB582&gt;=15,"P3 - Low","P4 - Monitor")))))</x:f>
      </x:c>
      <x:c r="AD582" s="28"/>
      <x:c r="AE582" s="28"/>
      <x:c r="AF582" s="28"/>
      <x:c r="AG582" s="58"/>
      <x:c r="AH582" s="28"/>
    </x:row>
    <x:row r="583">
      <x:c r="A583" s="28"/>
      <x:c r="B583" s="28"/>
      <x:c r="C583" s="28"/>
      <x:c r="D583" s="28"/>
      <x:c r="E583" s="28"/>
      <x:c r="F583" s="28"/>
      <x:c r="G583" s="28"/>
      <x:c r="H583" s="28"/>
      <x:c r="I583" s="56"/>
      <x:c r="J583" s="28"/>
      <x:c r="K583" s="28"/>
      <x:c r="L583" s="56"/>
      <x:c r="M583" s="28"/>
      <x:c r="N583" s="28"/>
      <x:c r="O583" s="28"/>
      <x:c r="P583" s="28"/>
      <x:c r="Q583" s="28"/>
      <x:c r="R583" s="28"/>
      <x:c r="S583" s="28"/>
      <x:c r="T583" s="28"/>
      <x:c r="U583" s="28"/>
      <x:c r="V583" s="28"/>
      <x:c r="W583" s="28"/>
      <x:c r="X583" s="28"/>
      <x:c r="Y583" s="28"/>
      <x:c r="Z583" s="28"/>
      <x:c r="AA583" s="28"/>
      <x:c r="AB583" s="56" t="str">
        <x:f>IF($A583="","",IF(Z583="Y",20,IF(Z583="Unknown",10,0))+$L583*5+IF(AA583="Y",15,IF(AA583="Unknown",5,0))+IF($J583="Public",10,IF($J583="Partner",7,IF($J583="Internal",3,0)))+IF($W583="Hard-coded",10,IF($W583="Unknown",7,IF($W583="Configurable",3,0)))+IF($I583&gt;=10,10,IF($I583&gt;=5,7,IF($I583&gt;=2,3,0)))+IF($K583="High",10,IF($K583="Medium",5,0)))</x:f>
      </x:c>
      <x:c r="AC583" s="28" t="str">
        <x:f>IF($A583="","",IF(AB583&gt;=70,"P0 - Immediate",IF(AB583&gt;=50,"P1 - High",IF(AB583&gt;=30,"P2 - Medium",IF(AB583&gt;=15,"P3 - Low","P4 - Monitor")))))</x:f>
      </x:c>
      <x:c r="AD583" s="28"/>
      <x:c r="AE583" s="28"/>
      <x:c r="AF583" s="28"/>
      <x:c r="AG583" s="58"/>
      <x:c r="AH583" s="28"/>
    </x:row>
    <x:row r="584">
      <x:c r="A584" s="28"/>
      <x:c r="B584" s="28"/>
      <x:c r="C584" s="28"/>
      <x:c r="D584" s="28"/>
      <x:c r="E584" s="28"/>
      <x:c r="F584" s="28"/>
      <x:c r="G584" s="28"/>
      <x:c r="H584" s="28"/>
      <x:c r="I584" s="56"/>
      <x:c r="J584" s="28"/>
      <x:c r="K584" s="28"/>
      <x:c r="L584" s="56"/>
      <x:c r="M584" s="28"/>
      <x:c r="N584" s="28"/>
      <x:c r="O584" s="28"/>
      <x:c r="P584" s="28"/>
      <x:c r="Q584" s="28"/>
      <x:c r="R584" s="28"/>
      <x:c r="S584" s="28"/>
      <x:c r="T584" s="28"/>
      <x:c r="U584" s="28"/>
      <x:c r="V584" s="28"/>
      <x:c r="W584" s="28"/>
      <x:c r="X584" s="28"/>
      <x:c r="Y584" s="28"/>
      <x:c r="Z584" s="28"/>
      <x:c r="AA584" s="28"/>
      <x:c r="AB584" s="56" t="str">
        <x:f>IF($A584="","",IF(Z584="Y",20,IF(Z584="Unknown",10,0))+$L584*5+IF(AA584="Y",15,IF(AA584="Unknown",5,0))+IF($J584="Public",10,IF($J584="Partner",7,IF($J584="Internal",3,0)))+IF($W584="Hard-coded",10,IF($W584="Unknown",7,IF($W584="Configurable",3,0)))+IF($I584&gt;=10,10,IF($I584&gt;=5,7,IF($I584&gt;=2,3,0)))+IF($K584="High",10,IF($K584="Medium",5,0)))</x:f>
      </x:c>
      <x:c r="AC584" s="28" t="str">
        <x:f>IF($A584="","",IF(AB584&gt;=70,"P0 - Immediate",IF(AB584&gt;=50,"P1 - High",IF(AB584&gt;=30,"P2 - Medium",IF(AB584&gt;=15,"P3 - Low","P4 - Monitor")))))</x:f>
      </x:c>
      <x:c r="AD584" s="28"/>
      <x:c r="AE584" s="28"/>
      <x:c r="AF584" s="28"/>
      <x:c r="AG584" s="58"/>
      <x:c r="AH584" s="28"/>
    </x:row>
    <x:row r="585">
      <x:c r="A585" s="28"/>
      <x:c r="B585" s="28"/>
      <x:c r="C585" s="28"/>
      <x:c r="D585" s="28"/>
      <x:c r="E585" s="28"/>
      <x:c r="F585" s="28"/>
      <x:c r="G585" s="28"/>
      <x:c r="H585" s="28"/>
      <x:c r="I585" s="56"/>
      <x:c r="J585" s="28"/>
      <x:c r="K585" s="28"/>
      <x:c r="L585" s="56"/>
      <x:c r="M585" s="28"/>
      <x:c r="N585" s="28"/>
      <x:c r="O585" s="28"/>
      <x:c r="P585" s="28"/>
      <x:c r="Q585" s="28"/>
      <x:c r="R585" s="28"/>
      <x:c r="S585" s="28"/>
      <x:c r="T585" s="28"/>
      <x:c r="U585" s="28"/>
      <x:c r="V585" s="28"/>
      <x:c r="W585" s="28"/>
      <x:c r="X585" s="28"/>
      <x:c r="Y585" s="28"/>
      <x:c r="Z585" s="28"/>
      <x:c r="AA585" s="28"/>
      <x:c r="AB585" s="56" t="str">
        <x:f>IF($A585="","",IF(Z585="Y",20,IF(Z585="Unknown",10,0))+$L585*5+IF(AA585="Y",15,IF(AA585="Unknown",5,0))+IF($J585="Public",10,IF($J585="Partner",7,IF($J585="Internal",3,0)))+IF($W585="Hard-coded",10,IF($W585="Unknown",7,IF($W585="Configurable",3,0)))+IF($I585&gt;=10,10,IF($I585&gt;=5,7,IF($I585&gt;=2,3,0)))+IF($K585="High",10,IF($K585="Medium",5,0)))</x:f>
      </x:c>
      <x:c r="AC585" s="28" t="str">
        <x:f>IF($A585="","",IF(AB585&gt;=70,"P0 - Immediate",IF(AB585&gt;=50,"P1 - High",IF(AB585&gt;=30,"P2 - Medium",IF(AB585&gt;=15,"P3 - Low","P4 - Monitor")))))</x:f>
      </x:c>
      <x:c r="AD585" s="28"/>
      <x:c r="AE585" s="28"/>
      <x:c r="AF585" s="28"/>
      <x:c r="AG585" s="58"/>
      <x:c r="AH585" s="28"/>
    </x:row>
    <x:row r="586">
      <x:c r="A586" s="28"/>
      <x:c r="B586" s="28"/>
      <x:c r="C586" s="28"/>
      <x:c r="D586" s="28"/>
      <x:c r="E586" s="28"/>
      <x:c r="F586" s="28"/>
      <x:c r="G586" s="28"/>
      <x:c r="H586" s="28"/>
      <x:c r="I586" s="56"/>
      <x:c r="J586" s="28"/>
      <x:c r="K586" s="28"/>
      <x:c r="L586" s="56"/>
      <x:c r="M586" s="28"/>
      <x:c r="N586" s="28"/>
      <x:c r="O586" s="28"/>
      <x:c r="P586" s="28"/>
      <x:c r="Q586" s="28"/>
      <x:c r="R586" s="28"/>
      <x:c r="S586" s="28"/>
      <x:c r="T586" s="28"/>
      <x:c r="U586" s="28"/>
      <x:c r="V586" s="28"/>
      <x:c r="W586" s="28"/>
      <x:c r="X586" s="28"/>
      <x:c r="Y586" s="28"/>
      <x:c r="Z586" s="28"/>
      <x:c r="AA586" s="28"/>
      <x:c r="AB586" s="56" t="str">
        <x:f>IF($A586="","",IF(Z586="Y",20,IF(Z586="Unknown",10,0))+$L586*5+IF(AA586="Y",15,IF(AA586="Unknown",5,0))+IF($J586="Public",10,IF($J586="Partner",7,IF($J586="Internal",3,0)))+IF($W586="Hard-coded",10,IF($W586="Unknown",7,IF($W586="Configurable",3,0)))+IF($I586&gt;=10,10,IF($I586&gt;=5,7,IF($I586&gt;=2,3,0)))+IF($K586="High",10,IF($K586="Medium",5,0)))</x:f>
      </x:c>
      <x:c r="AC586" s="28" t="str">
        <x:f>IF($A586="","",IF(AB586&gt;=70,"P0 - Immediate",IF(AB586&gt;=50,"P1 - High",IF(AB586&gt;=30,"P2 - Medium",IF(AB586&gt;=15,"P3 - Low","P4 - Monitor")))))</x:f>
      </x:c>
      <x:c r="AD586" s="28"/>
      <x:c r="AE586" s="28"/>
      <x:c r="AF586" s="28"/>
      <x:c r="AG586" s="58"/>
      <x:c r="AH586" s="28"/>
    </x:row>
    <x:row r="587">
      <x:c r="A587" s="28"/>
      <x:c r="B587" s="28"/>
      <x:c r="C587" s="28"/>
      <x:c r="D587" s="28"/>
      <x:c r="E587" s="28"/>
      <x:c r="F587" s="28"/>
      <x:c r="G587" s="28"/>
      <x:c r="H587" s="28"/>
      <x:c r="I587" s="56"/>
      <x:c r="J587" s="28"/>
      <x:c r="K587" s="28"/>
      <x:c r="L587" s="56"/>
      <x:c r="M587" s="28"/>
      <x:c r="N587" s="28"/>
      <x:c r="O587" s="28"/>
      <x:c r="P587" s="28"/>
      <x:c r="Q587" s="28"/>
      <x:c r="R587" s="28"/>
      <x:c r="S587" s="28"/>
      <x:c r="T587" s="28"/>
      <x:c r="U587" s="28"/>
      <x:c r="V587" s="28"/>
      <x:c r="W587" s="28"/>
      <x:c r="X587" s="28"/>
      <x:c r="Y587" s="28"/>
      <x:c r="Z587" s="28"/>
      <x:c r="AA587" s="28"/>
      <x:c r="AB587" s="56" t="str">
        <x:f>IF($A587="","",IF(Z587="Y",20,IF(Z587="Unknown",10,0))+$L587*5+IF(AA587="Y",15,IF(AA587="Unknown",5,0))+IF($J587="Public",10,IF($J587="Partner",7,IF($J587="Internal",3,0)))+IF($W587="Hard-coded",10,IF($W587="Unknown",7,IF($W587="Configurable",3,0)))+IF($I587&gt;=10,10,IF($I587&gt;=5,7,IF($I587&gt;=2,3,0)))+IF($K587="High",10,IF($K587="Medium",5,0)))</x:f>
      </x:c>
      <x:c r="AC587" s="28" t="str">
        <x:f>IF($A587="","",IF(AB587&gt;=70,"P0 - Immediate",IF(AB587&gt;=50,"P1 - High",IF(AB587&gt;=30,"P2 - Medium",IF(AB587&gt;=15,"P3 - Low","P4 - Monitor")))))</x:f>
      </x:c>
      <x:c r="AD587" s="28"/>
      <x:c r="AE587" s="28"/>
      <x:c r="AF587" s="28"/>
      <x:c r="AG587" s="58"/>
      <x:c r="AH587" s="28"/>
    </x:row>
    <x:row r="588">
      <x:c r="A588" s="28"/>
      <x:c r="B588" s="28"/>
      <x:c r="C588" s="28"/>
      <x:c r="D588" s="28"/>
      <x:c r="E588" s="28"/>
      <x:c r="F588" s="28"/>
      <x:c r="G588" s="28"/>
      <x:c r="H588" s="28"/>
      <x:c r="I588" s="56"/>
      <x:c r="J588" s="28"/>
      <x:c r="K588" s="28"/>
      <x:c r="L588" s="56"/>
      <x:c r="M588" s="28"/>
      <x:c r="N588" s="28"/>
      <x:c r="O588" s="28"/>
      <x:c r="P588" s="28"/>
      <x:c r="Q588" s="28"/>
      <x:c r="R588" s="28"/>
      <x:c r="S588" s="28"/>
      <x:c r="T588" s="28"/>
      <x:c r="U588" s="28"/>
      <x:c r="V588" s="28"/>
      <x:c r="W588" s="28"/>
      <x:c r="X588" s="28"/>
      <x:c r="Y588" s="28"/>
      <x:c r="Z588" s="28"/>
      <x:c r="AA588" s="28"/>
      <x:c r="AB588" s="56" t="str">
        <x:f>IF($A588="","",IF(Z588="Y",20,IF(Z588="Unknown",10,0))+$L588*5+IF(AA588="Y",15,IF(AA588="Unknown",5,0))+IF($J588="Public",10,IF($J588="Partner",7,IF($J588="Internal",3,0)))+IF($W588="Hard-coded",10,IF($W588="Unknown",7,IF($W588="Configurable",3,0)))+IF($I588&gt;=10,10,IF($I588&gt;=5,7,IF($I588&gt;=2,3,0)))+IF($K588="High",10,IF($K588="Medium",5,0)))</x:f>
      </x:c>
      <x:c r="AC588" s="28" t="str">
        <x:f>IF($A588="","",IF(AB588&gt;=70,"P0 - Immediate",IF(AB588&gt;=50,"P1 - High",IF(AB588&gt;=30,"P2 - Medium",IF(AB588&gt;=15,"P3 - Low","P4 - Monitor")))))</x:f>
      </x:c>
      <x:c r="AD588" s="28"/>
      <x:c r="AE588" s="28"/>
      <x:c r="AF588" s="28"/>
      <x:c r="AG588" s="58"/>
      <x:c r="AH588" s="28"/>
    </x:row>
    <x:row r="589">
      <x:c r="A589" s="28"/>
      <x:c r="B589" s="28"/>
      <x:c r="C589" s="28"/>
      <x:c r="D589" s="28"/>
      <x:c r="E589" s="28"/>
      <x:c r="F589" s="28"/>
      <x:c r="G589" s="28"/>
      <x:c r="H589" s="28"/>
      <x:c r="I589" s="56"/>
      <x:c r="J589" s="28"/>
      <x:c r="K589" s="28"/>
      <x:c r="L589" s="56"/>
      <x:c r="M589" s="28"/>
      <x:c r="N589" s="28"/>
      <x:c r="O589" s="28"/>
      <x:c r="P589" s="28"/>
      <x:c r="Q589" s="28"/>
      <x:c r="R589" s="28"/>
      <x:c r="S589" s="28"/>
      <x:c r="T589" s="28"/>
      <x:c r="U589" s="28"/>
      <x:c r="V589" s="28"/>
      <x:c r="W589" s="28"/>
      <x:c r="X589" s="28"/>
      <x:c r="Y589" s="28"/>
      <x:c r="Z589" s="28"/>
      <x:c r="AA589" s="28"/>
      <x:c r="AB589" s="56" t="str">
        <x:f>IF($A589="","",IF(Z589="Y",20,IF(Z589="Unknown",10,0))+$L589*5+IF(AA589="Y",15,IF(AA589="Unknown",5,0))+IF($J589="Public",10,IF($J589="Partner",7,IF($J589="Internal",3,0)))+IF($W589="Hard-coded",10,IF($W589="Unknown",7,IF($W589="Configurable",3,0)))+IF($I589&gt;=10,10,IF($I589&gt;=5,7,IF($I589&gt;=2,3,0)))+IF($K589="High",10,IF($K589="Medium",5,0)))</x:f>
      </x:c>
      <x:c r="AC589" s="28" t="str">
        <x:f>IF($A589="","",IF(AB589&gt;=70,"P0 - Immediate",IF(AB589&gt;=50,"P1 - High",IF(AB589&gt;=30,"P2 - Medium",IF(AB589&gt;=15,"P3 - Low","P4 - Monitor")))))</x:f>
      </x:c>
      <x:c r="AD589" s="28"/>
      <x:c r="AE589" s="28"/>
      <x:c r="AF589" s="28"/>
      <x:c r="AG589" s="58"/>
      <x:c r="AH589" s="28"/>
    </x:row>
    <x:row r="590">
      <x:c r="A590" s="28"/>
      <x:c r="B590" s="28"/>
      <x:c r="C590" s="28"/>
      <x:c r="D590" s="28"/>
      <x:c r="E590" s="28"/>
      <x:c r="F590" s="28"/>
      <x:c r="G590" s="28"/>
      <x:c r="H590" s="28"/>
      <x:c r="I590" s="56"/>
      <x:c r="J590" s="28"/>
      <x:c r="K590" s="28"/>
      <x:c r="L590" s="56"/>
      <x:c r="M590" s="28"/>
      <x:c r="N590" s="28"/>
      <x:c r="O590" s="28"/>
      <x:c r="P590" s="28"/>
      <x:c r="Q590" s="28"/>
      <x:c r="R590" s="28"/>
      <x:c r="S590" s="28"/>
      <x:c r="T590" s="28"/>
      <x:c r="U590" s="28"/>
      <x:c r="V590" s="28"/>
      <x:c r="W590" s="28"/>
      <x:c r="X590" s="28"/>
      <x:c r="Y590" s="28"/>
      <x:c r="Z590" s="28"/>
      <x:c r="AA590" s="28"/>
      <x:c r="AB590" s="56" t="str">
        <x:f>IF($A590="","",IF(Z590="Y",20,IF(Z590="Unknown",10,0))+$L590*5+IF(AA590="Y",15,IF(AA590="Unknown",5,0))+IF($J590="Public",10,IF($J590="Partner",7,IF($J590="Internal",3,0)))+IF($W590="Hard-coded",10,IF($W590="Unknown",7,IF($W590="Configurable",3,0)))+IF($I590&gt;=10,10,IF($I590&gt;=5,7,IF($I590&gt;=2,3,0)))+IF($K590="High",10,IF($K590="Medium",5,0)))</x:f>
      </x:c>
      <x:c r="AC590" s="28" t="str">
        <x:f>IF($A590="","",IF(AB590&gt;=70,"P0 - Immediate",IF(AB590&gt;=50,"P1 - High",IF(AB590&gt;=30,"P2 - Medium",IF(AB590&gt;=15,"P3 - Low","P4 - Monitor")))))</x:f>
      </x:c>
      <x:c r="AD590" s="28"/>
      <x:c r="AE590" s="28"/>
      <x:c r="AF590" s="28"/>
      <x:c r="AG590" s="58"/>
      <x:c r="AH590" s="28"/>
    </x:row>
    <x:row r="591">
      <x:c r="A591" s="28"/>
      <x:c r="B591" s="28"/>
      <x:c r="C591" s="28"/>
      <x:c r="D591" s="28"/>
      <x:c r="E591" s="28"/>
      <x:c r="F591" s="28"/>
      <x:c r="G591" s="28"/>
      <x:c r="H591" s="28"/>
      <x:c r="I591" s="56"/>
      <x:c r="J591" s="28"/>
      <x:c r="K591" s="28"/>
      <x:c r="L591" s="56"/>
      <x:c r="M591" s="28"/>
      <x:c r="N591" s="28"/>
      <x:c r="O591" s="28"/>
      <x:c r="P591" s="28"/>
      <x:c r="Q591" s="28"/>
      <x:c r="R591" s="28"/>
      <x:c r="S591" s="28"/>
      <x:c r="T591" s="28"/>
      <x:c r="U591" s="28"/>
      <x:c r="V591" s="28"/>
      <x:c r="W591" s="28"/>
      <x:c r="X591" s="28"/>
      <x:c r="Y591" s="28"/>
      <x:c r="Z591" s="28"/>
      <x:c r="AA591" s="28"/>
      <x:c r="AB591" s="56" t="str">
        <x:f>IF($A591="","",IF(Z591="Y",20,IF(Z591="Unknown",10,0))+$L591*5+IF(AA591="Y",15,IF(AA591="Unknown",5,0))+IF($J591="Public",10,IF($J591="Partner",7,IF($J591="Internal",3,0)))+IF($W591="Hard-coded",10,IF($W591="Unknown",7,IF($W591="Configurable",3,0)))+IF($I591&gt;=10,10,IF($I591&gt;=5,7,IF($I591&gt;=2,3,0)))+IF($K591="High",10,IF($K591="Medium",5,0)))</x:f>
      </x:c>
      <x:c r="AC591" s="28" t="str">
        <x:f>IF($A591="","",IF(AB591&gt;=70,"P0 - Immediate",IF(AB591&gt;=50,"P1 - High",IF(AB591&gt;=30,"P2 - Medium",IF(AB591&gt;=15,"P3 - Low","P4 - Monitor")))))</x:f>
      </x:c>
      <x:c r="AD591" s="28"/>
      <x:c r="AE591" s="28"/>
      <x:c r="AF591" s="28"/>
      <x:c r="AG591" s="58"/>
      <x:c r="AH591" s="28"/>
    </x:row>
    <x:row r="592">
      <x:c r="A592" s="28"/>
      <x:c r="B592" s="28"/>
      <x:c r="C592" s="28"/>
      <x:c r="D592" s="28"/>
      <x:c r="E592" s="28"/>
      <x:c r="F592" s="28"/>
      <x:c r="G592" s="28"/>
      <x:c r="H592" s="28"/>
      <x:c r="I592" s="56"/>
      <x:c r="J592" s="28"/>
      <x:c r="K592" s="28"/>
      <x:c r="L592" s="56"/>
      <x:c r="M592" s="28"/>
      <x:c r="N592" s="28"/>
      <x:c r="O592" s="28"/>
      <x:c r="P592" s="28"/>
      <x:c r="Q592" s="28"/>
      <x:c r="R592" s="28"/>
      <x:c r="S592" s="28"/>
      <x:c r="T592" s="28"/>
      <x:c r="U592" s="28"/>
      <x:c r="V592" s="28"/>
      <x:c r="W592" s="28"/>
      <x:c r="X592" s="28"/>
      <x:c r="Y592" s="28"/>
      <x:c r="Z592" s="28"/>
      <x:c r="AA592" s="28"/>
      <x:c r="AB592" s="56" t="str">
        <x:f>IF($A592="","",IF(Z592="Y",20,IF(Z592="Unknown",10,0))+$L592*5+IF(AA592="Y",15,IF(AA592="Unknown",5,0))+IF($J592="Public",10,IF($J592="Partner",7,IF($J592="Internal",3,0)))+IF($W592="Hard-coded",10,IF($W592="Unknown",7,IF($W592="Configurable",3,0)))+IF($I592&gt;=10,10,IF($I592&gt;=5,7,IF($I592&gt;=2,3,0)))+IF($K592="High",10,IF($K592="Medium",5,0)))</x:f>
      </x:c>
      <x:c r="AC592" s="28" t="str">
        <x:f>IF($A592="","",IF(AB592&gt;=70,"P0 - Immediate",IF(AB592&gt;=50,"P1 - High",IF(AB592&gt;=30,"P2 - Medium",IF(AB592&gt;=15,"P3 - Low","P4 - Monitor")))))</x:f>
      </x:c>
      <x:c r="AD592" s="28"/>
      <x:c r="AE592" s="28"/>
      <x:c r="AF592" s="28"/>
      <x:c r="AG592" s="58"/>
      <x:c r="AH592" s="28"/>
    </x:row>
    <x:row r="593">
      <x:c r="A593" s="28"/>
      <x:c r="B593" s="28"/>
      <x:c r="C593" s="28"/>
      <x:c r="D593" s="28"/>
      <x:c r="E593" s="28"/>
      <x:c r="F593" s="28"/>
      <x:c r="G593" s="28"/>
      <x:c r="H593" s="28"/>
      <x:c r="I593" s="56"/>
      <x:c r="J593" s="28"/>
      <x:c r="K593" s="28"/>
      <x:c r="L593" s="56"/>
      <x:c r="M593" s="28"/>
      <x:c r="N593" s="28"/>
      <x:c r="O593" s="28"/>
      <x:c r="P593" s="28"/>
      <x:c r="Q593" s="28"/>
      <x:c r="R593" s="28"/>
      <x:c r="S593" s="28"/>
      <x:c r="T593" s="28"/>
      <x:c r="U593" s="28"/>
      <x:c r="V593" s="28"/>
      <x:c r="W593" s="28"/>
      <x:c r="X593" s="28"/>
      <x:c r="Y593" s="28"/>
      <x:c r="Z593" s="28"/>
      <x:c r="AA593" s="28"/>
      <x:c r="AB593" s="56" t="str">
        <x:f>IF($A593="","",IF(Z593="Y",20,IF(Z593="Unknown",10,0))+$L593*5+IF(AA593="Y",15,IF(AA593="Unknown",5,0))+IF($J593="Public",10,IF($J593="Partner",7,IF($J593="Internal",3,0)))+IF($W593="Hard-coded",10,IF($W593="Unknown",7,IF($W593="Configurable",3,0)))+IF($I593&gt;=10,10,IF($I593&gt;=5,7,IF($I593&gt;=2,3,0)))+IF($K593="High",10,IF($K593="Medium",5,0)))</x:f>
      </x:c>
      <x:c r="AC593" s="28" t="str">
        <x:f>IF($A593="","",IF(AB593&gt;=70,"P0 - Immediate",IF(AB593&gt;=50,"P1 - High",IF(AB593&gt;=30,"P2 - Medium",IF(AB593&gt;=15,"P3 - Low","P4 - Monitor")))))</x:f>
      </x:c>
      <x:c r="AD593" s="28"/>
      <x:c r="AE593" s="28"/>
      <x:c r="AF593" s="28"/>
      <x:c r="AG593" s="58"/>
      <x:c r="AH593" s="28"/>
    </x:row>
    <x:row r="594">
      <x:c r="A594" s="28"/>
      <x:c r="B594" s="28"/>
      <x:c r="C594" s="28"/>
      <x:c r="D594" s="28"/>
      <x:c r="E594" s="28"/>
      <x:c r="F594" s="28"/>
      <x:c r="G594" s="28"/>
      <x:c r="H594" s="28"/>
      <x:c r="I594" s="56"/>
      <x:c r="J594" s="28"/>
      <x:c r="K594" s="28"/>
      <x:c r="L594" s="56"/>
      <x:c r="M594" s="28"/>
      <x:c r="N594" s="28"/>
      <x:c r="O594" s="28"/>
      <x:c r="P594" s="28"/>
      <x:c r="Q594" s="28"/>
      <x:c r="R594" s="28"/>
      <x:c r="S594" s="28"/>
      <x:c r="T594" s="28"/>
      <x:c r="U594" s="28"/>
      <x:c r="V594" s="28"/>
      <x:c r="W594" s="28"/>
      <x:c r="X594" s="28"/>
      <x:c r="Y594" s="28"/>
      <x:c r="Z594" s="28"/>
      <x:c r="AA594" s="28"/>
      <x:c r="AB594" s="56" t="str">
        <x:f>IF($A594="","",IF(Z594="Y",20,IF(Z594="Unknown",10,0))+$L594*5+IF(AA594="Y",15,IF(AA594="Unknown",5,0))+IF($J594="Public",10,IF($J594="Partner",7,IF($J594="Internal",3,0)))+IF($W594="Hard-coded",10,IF($W594="Unknown",7,IF($W594="Configurable",3,0)))+IF($I594&gt;=10,10,IF($I594&gt;=5,7,IF($I594&gt;=2,3,0)))+IF($K594="High",10,IF($K594="Medium",5,0)))</x:f>
      </x:c>
      <x:c r="AC594" s="28" t="str">
        <x:f>IF($A594="","",IF(AB594&gt;=70,"P0 - Immediate",IF(AB594&gt;=50,"P1 - High",IF(AB594&gt;=30,"P2 - Medium",IF(AB594&gt;=15,"P3 - Low","P4 - Monitor")))))</x:f>
      </x:c>
      <x:c r="AD594" s="28"/>
      <x:c r="AE594" s="28"/>
      <x:c r="AF594" s="28"/>
      <x:c r="AG594" s="58"/>
      <x:c r="AH594" s="28"/>
    </x:row>
    <x:row r="595">
      <x:c r="A595" s="28"/>
      <x:c r="B595" s="28"/>
      <x:c r="C595" s="28"/>
      <x:c r="D595" s="28"/>
      <x:c r="E595" s="28"/>
      <x:c r="F595" s="28"/>
      <x:c r="G595" s="28"/>
      <x:c r="H595" s="28"/>
      <x:c r="I595" s="56"/>
      <x:c r="J595" s="28"/>
      <x:c r="K595" s="28"/>
      <x:c r="L595" s="56"/>
      <x:c r="M595" s="28"/>
      <x:c r="N595" s="28"/>
      <x:c r="O595" s="28"/>
      <x:c r="P595" s="28"/>
      <x:c r="Q595" s="28"/>
      <x:c r="R595" s="28"/>
      <x:c r="S595" s="28"/>
      <x:c r="T595" s="28"/>
      <x:c r="U595" s="28"/>
      <x:c r="V595" s="28"/>
      <x:c r="W595" s="28"/>
      <x:c r="X595" s="28"/>
      <x:c r="Y595" s="28"/>
      <x:c r="Z595" s="28"/>
      <x:c r="AA595" s="28"/>
      <x:c r="AB595" s="56" t="str">
        <x:f>IF($A595="","",IF(Z595="Y",20,IF(Z595="Unknown",10,0))+$L595*5+IF(AA595="Y",15,IF(AA595="Unknown",5,0))+IF($J595="Public",10,IF($J595="Partner",7,IF($J595="Internal",3,0)))+IF($W595="Hard-coded",10,IF($W595="Unknown",7,IF($W595="Configurable",3,0)))+IF($I595&gt;=10,10,IF($I595&gt;=5,7,IF($I595&gt;=2,3,0)))+IF($K595="High",10,IF($K595="Medium",5,0)))</x:f>
      </x:c>
      <x:c r="AC595" s="28" t="str">
        <x:f>IF($A595="","",IF(AB595&gt;=70,"P0 - Immediate",IF(AB595&gt;=50,"P1 - High",IF(AB595&gt;=30,"P2 - Medium",IF(AB595&gt;=15,"P3 - Low","P4 - Monitor")))))</x:f>
      </x:c>
      <x:c r="AD595" s="28"/>
      <x:c r="AE595" s="28"/>
      <x:c r="AF595" s="28"/>
      <x:c r="AG595" s="58"/>
      <x:c r="AH595" s="28"/>
    </x:row>
    <x:row r="596">
      <x:c r="A596" s="28"/>
      <x:c r="B596" s="28"/>
      <x:c r="C596" s="28"/>
      <x:c r="D596" s="28"/>
      <x:c r="E596" s="28"/>
      <x:c r="F596" s="28"/>
      <x:c r="G596" s="28"/>
      <x:c r="H596" s="28"/>
      <x:c r="I596" s="56"/>
      <x:c r="J596" s="28"/>
      <x:c r="K596" s="28"/>
      <x:c r="L596" s="56"/>
      <x:c r="M596" s="28"/>
      <x:c r="N596" s="28"/>
      <x:c r="O596" s="28"/>
      <x:c r="P596" s="28"/>
      <x:c r="Q596" s="28"/>
      <x:c r="R596" s="28"/>
      <x:c r="S596" s="28"/>
      <x:c r="T596" s="28"/>
      <x:c r="U596" s="28"/>
      <x:c r="V596" s="28"/>
      <x:c r="W596" s="28"/>
      <x:c r="X596" s="28"/>
      <x:c r="Y596" s="28"/>
      <x:c r="Z596" s="28"/>
      <x:c r="AA596" s="28"/>
      <x:c r="AB596" s="56" t="str">
        <x:f>IF($A596="","",IF(Z596="Y",20,IF(Z596="Unknown",10,0))+$L596*5+IF(AA596="Y",15,IF(AA596="Unknown",5,0))+IF($J596="Public",10,IF($J596="Partner",7,IF($J596="Internal",3,0)))+IF($W596="Hard-coded",10,IF($W596="Unknown",7,IF($W596="Configurable",3,0)))+IF($I596&gt;=10,10,IF($I596&gt;=5,7,IF($I596&gt;=2,3,0)))+IF($K596="High",10,IF($K596="Medium",5,0)))</x:f>
      </x:c>
      <x:c r="AC596" s="28" t="str">
        <x:f>IF($A596="","",IF(AB596&gt;=70,"P0 - Immediate",IF(AB596&gt;=50,"P1 - High",IF(AB596&gt;=30,"P2 - Medium",IF(AB596&gt;=15,"P3 - Low","P4 - Monitor")))))</x:f>
      </x:c>
      <x:c r="AD596" s="28"/>
      <x:c r="AE596" s="28"/>
      <x:c r="AF596" s="28"/>
      <x:c r="AG596" s="58"/>
      <x:c r="AH596" s="28"/>
    </x:row>
    <x:row r="597">
      <x:c r="A597" s="28"/>
      <x:c r="B597" s="28"/>
      <x:c r="C597" s="28"/>
      <x:c r="D597" s="28"/>
      <x:c r="E597" s="28"/>
      <x:c r="F597" s="28"/>
      <x:c r="G597" s="28"/>
      <x:c r="H597" s="28"/>
      <x:c r="I597" s="56"/>
      <x:c r="J597" s="28"/>
      <x:c r="K597" s="28"/>
      <x:c r="L597" s="56"/>
      <x:c r="M597" s="28"/>
      <x:c r="N597" s="28"/>
      <x:c r="O597" s="28"/>
      <x:c r="P597" s="28"/>
      <x:c r="Q597" s="28"/>
      <x:c r="R597" s="28"/>
      <x:c r="S597" s="28"/>
      <x:c r="T597" s="28"/>
      <x:c r="U597" s="28"/>
      <x:c r="V597" s="28"/>
      <x:c r="W597" s="28"/>
      <x:c r="X597" s="28"/>
      <x:c r="Y597" s="28"/>
      <x:c r="Z597" s="28"/>
      <x:c r="AA597" s="28"/>
      <x:c r="AB597" s="56" t="str">
        <x:f>IF($A597="","",IF(Z597="Y",20,IF(Z597="Unknown",10,0))+$L597*5+IF(AA597="Y",15,IF(AA597="Unknown",5,0))+IF($J597="Public",10,IF($J597="Partner",7,IF($J597="Internal",3,0)))+IF($W597="Hard-coded",10,IF($W597="Unknown",7,IF($W597="Configurable",3,0)))+IF($I597&gt;=10,10,IF($I597&gt;=5,7,IF($I597&gt;=2,3,0)))+IF($K597="High",10,IF($K597="Medium",5,0)))</x:f>
      </x:c>
      <x:c r="AC597" s="28" t="str">
        <x:f>IF($A597="","",IF(AB597&gt;=70,"P0 - Immediate",IF(AB597&gt;=50,"P1 - High",IF(AB597&gt;=30,"P2 - Medium",IF(AB597&gt;=15,"P3 - Low","P4 - Monitor")))))</x:f>
      </x:c>
      <x:c r="AD597" s="28"/>
      <x:c r="AE597" s="28"/>
      <x:c r="AF597" s="28"/>
      <x:c r="AG597" s="58"/>
      <x:c r="AH597" s="28"/>
    </x:row>
    <x:row r="598">
      <x:c r="A598" s="28"/>
      <x:c r="B598" s="28"/>
      <x:c r="C598" s="28"/>
      <x:c r="D598" s="28"/>
      <x:c r="E598" s="28"/>
      <x:c r="F598" s="28"/>
      <x:c r="G598" s="28"/>
      <x:c r="H598" s="28"/>
      <x:c r="I598" s="56"/>
      <x:c r="J598" s="28"/>
      <x:c r="K598" s="28"/>
      <x:c r="L598" s="56"/>
      <x:c r="M598" s="28"/>
      <x:c r="N598" s="28"/>
      <x:c r="O598" s="28"/>
      <x:c r="P598" s="28"/>
      <x:c r="Q598" s="28"/>
      <x:c r="R598" s="28"/>
      <x:c r="S598" s="28"/>
      <x:c r="T598" s="28"/>
      <x:c r="U598" s="28"/>
      <x:c r="V598" s="28"/>
      <x:c r="W598" s="28"/>
      <x:c r="X598" s="28"/>
      <x:c r="Y598" s="28"/>
      <x:c r="Z598" s="28"/>
      <x:c r="AA598" s="28"/>
      <x:c r="AB598" s="56" t="str">
        <x:f>IF($A598="","",IF(Z598="Y",20,IF(Z598="Unknown",10,0))+$L598*5+IF(AA598="Y",15,IF(AA598="Unknown",5,0))+IF($J598="Public",10,IF($J598="Partner",7,IF($J598="Internal",3,0)))+IF($W598="Hard-coded",10,IF($W598="Unknown",7,IF($W598="Configurable",3,0)))+IF($I598&gt;=10,10,IF($I598&gt;=5,7,IF($I598&gt;=2,3,0)))+IF($K598="High",10,IF($K598="Medium",5,0)))</x:f>
      </x:c>
      <x:c r="AC598" s="28" t="str">
        <x:f>IF($A598="","",IF(AB598&gt;=70,"P0 - Immediate",IF(AB598&gt;=50,"P1 - High",IF(AB598&gt;=30,"P2 - Medium",IF(AB598&gt;=15,"P3 - Low","P4 - Monitor")))))</x:f>
      </x:c>
      <x:c r="AD598" s="28"/>
      <x:c r="AE598" s="28"/>
      <x:c r="AF598" s="28"/>
      <x:c r="AG598" s="58"/>
      <x:c r="AH598" s="28"/>
    </x:row>
    <x:row r="599">
      <x:c r="A599" s="28"/>
      <x:c r="B599" s="28"/>
      <x:c r="C599" s="28"/>
      <x:c r="D599" s="28"/>
      <x:c r="E599" s="28"/>
      <x:c r="F599" s="28"/>
      <x:c r="G599" s="28"/>
      <x:c r="H599" s="28"/>
      <x:c r="I599" s="56"/>
      <x:c r="J599" s="28"/>
      <x:c r="K599" s="28"/>
      <x:c r="L599" s="56"/>
      <x:c r="M599" s="28"/>
      <x:c r="N599" s="28"/>
      <x:c r="O599" s="28"/>
      <x:c r="P599" s="28"/>
      <x:c r="Q599" s="28"/>
      <x:c r="R599" s="28"/>
      <x:c r="S599" s="28"/>
      <x:c r="T599" s="28"/>
      <x:c r="U599" s="28"/>
      <x:c r="V599" s="28"/>
      <x:c r="W599" s="28"/>
      <x:c r="X599" s="28"/>
      <x:c r="Y599" s="28"/>
      <x:c r="Z599" s="28"/>
      <x:c r="AA599" s="28"/>
      <x:c r="AB599" s="56" t="str">
        <x:f>IF($A599="","",IF(Z599="Y",20,IF(Z599="Unknown",10,0))+$L599*5+IF(AA599="Y",15,IF(AA599="Unknown",5,0))+IF($J599="Public",10,IF($J599="Partner",7,IF($J599="Internal",3,0)))+IF($W599="Hard-coded",10,IF($W599="Unknown",7,IF($W599="Configurable",3,0)))+IF($I599&gt;=10,10,IF($I599&gt;=5,7,IF($I599&gt;=2,3,0)))+IF($K599="High",10,IF($K599="Medium",5,0)))</x:f>
      </x:c>
      <x:c r="AC599" s="28" t="str">
        <x:f>IF($A599="","",IF(AB599&gt;=70,"P0 - Immediate",IF(AB599&gt;=50,"P1 - High",IF(AB599&gt;=30,"P2 - Medium",IF(AB599&gt;=15,"P3 - Low","P4 - Monitor")))))</x:f>
      </x:c>
      <x:c r="AD599" s="28"/>
      <x:c r="AE599" s="28"/>
      <x:c r="AF599" s="28"/>
      <x:c r="AG599" s="58"/>
      <x:c r="AH599" s="28"/>
    </x:row>
    <x:row r="600">
      <x:c r="A600" s="28"/>
      <x:c r="B600" s="28"/>
      <x:c r="C600" s="28"/>
      <x:c r="D600" s="28"/>
      <x:c r="E600" s="28"/>
      <x:c r="F600" s="28"/>
      <x:c r="G600" s="28"/>
      <x:c r="H600" s="28"/>
      <x:c r="I600" s="56"/>
      <x:c r="J600" s="28"/>
      <x:c r="K600" s="28"/>
      <x:c r="L600" s="56"/>
      <x:c r="M600" s="28"/>
      <x:c r="N600" s="28"/>
      <x:c r="O600" s="28"/>
      <x:c r="P600" s="28"/>
      <x:c r="Q600" s="28"/>
      <x:c r="R600" s="28"/>
      <x:c r="S600" s="28"/>
      <x:c r="T600" s="28"/>
      <x:c r="U600" s="28"/>
      <x:c r="V600" s="28"/>
      <x:c r="W600" s="28"/>
      <x:c r="X600" s="28"/>
      <x:c r="Y600" s="28"/>
      <x:c r="Z600" s="28"/>
      <x:c r="AA600" s="28"/>
      <x:c r="AB600" s="56" t="str">
        <x:f>IF($A600="","",IF(Z600="Y",20,IF(Z600="Unknown",10,0))+$L600*5+IF(AA600="Y",15,IF(AA600="Unknown",5,0))+IF($J600="Public",10,IF($J600="Partner",7,IF($J600="Internal",3,0)))+IF($W600="Hard-coded",10,IF($W600="Unknown",7,IF($W600="Configurable",3,0)))+IF($I600&gt;=10,10,IF($I600&gt;=5,7,IF($I600&gt;=2,3,0)))+IF($K600="High",10,IF($K600="Medium",5,0)))</x:f>
      </x:c>
      <x:c r="AC600" s="28" t="str">
        <x:f>IF($A600="","",IF(AB600&gt;=70,"P0 - Immediate",IF(AB600&gt;=50,"P1 - High",IF(AB600&gt;=30,"P2 - Medium",IF(AB600&gt;=15,"P3 - Low","P4 - Monitor")))))</x:f>
      </x:c>
      <x:c r="AD600" s="28"/>
      <x:c r="AE600" s="28"/>
      <x:c r="AF600" s="28"/>
      <x:c r="AG600" s="58"/>
      <x:c r="AH600" s="28"/>
    </x:row>
    <x:row r="601">
      <x:c r="A601" s="28"/>
      <x:c r="B601" s="28"/>
      <x:c r="C601" s="28"/>
      <x:c r="D601" s="28"/>
      <x:c r="E601" s="28"/>
      <x:c r="F601" s="28"/>
      <x:c r="G601" s="28"/>
      <x:c r="H601" s="28"/>
      <x:c r="I601" s="56"/>
      <x:c r="J601" s="28"/>
      <x:c r="K601" s="28"/>
      <x:c r="L601" s="56"/>
      <x:c r="M601" s="28"/>
      <x:c r="N601" s="28"/>
      <x:c r="O601" s="28"/>
      <x:c r="P601" s="28"/>
      <x:c r="Q601" s="28"/>
      <x:c r="R601" s="28"/>
      <x:c r="S601" s="28"/>
      <x:c r="T601" s="28"/>
      <x:c r="U601" s="28"/>
      <x:c r="V601" s="28"/>
      <x:c r="W601" s="28"/>
      <x:c r="X601" s="28"/>
      <x:c r="Y601" s="28"/>
      <x:c r="Z601" s="28"/>
      <x:c r="AA601" s="28"/>
      <x:c r="AB601" s="56" t="str">
        <x:f>IF($A601="","",IF(Z601="Y",20,IF(Z601="Unknown",10,0))+$L601*5+IF(AA601="Y",15,IF(AA601="Unknown",5,0))+IF($J601="Public",10,IF($J601="Partner",7,IF($J601="Internal",3,0)))+IF($W601="Hard-coded",10,IF($W601="Unknown",7,IF($W601="Configurable",3,0)))+IF($I601&gt;=10,10,IF($I601&gt;=5,7,IF($I601&gt;=2,3,0)))+IF($K601="High",10,IF($K601="Medium",5,0)))</x:f>
      </x:c>
      <x:c r="AC601" s="28" t="str">
        <x:f>IF($A601="","",IF(AB601&gt;=70,"P0 - Immediate",IF(AB601&gt;=50,"P1 - High",IF(AB601&gt;=30,"P2 - Medium",IF(AB601&gt;=15,"P3 - Low","P4 - Monitor")))))</x:f>
      </x:c>
      <x:c r="AD601" s="28"/>
      <x:c r="AE601" s="28"/>
      <x:c r="AF601" s="28"/>
      <x:c r="AG601" s="58"/>
      <x:c r="AH601" s="28"/>
    </x:row>
    <x:row r="602">
      <x:c r="A602" s="28"/>
      <x:c r="B602" s="28"/>
      <x:c r="C602" s="28"/>
      <x:c r="D602" s="28"/>
      <x:c r="E602" s="28"/>
      <x:c r="F602" s="28"/>
      <x:c r="G602" s="28"/>
      <x:c r="H602" s="28"/>
      <x:c r="I602" s="56"/>
      <x:c r="J602" s="28"/>
      <x:c r="K602" s="28"/>
      <x:c r="L602" s="56"/>
      <x:c r="M602" s="28"/>
      <x:c r="N602" s="28"/>
      <x:c r="O602" s="28"/>
      <x:c r="P602" s="28"/>
      <x:c r="Q602" s="28"/>
      <x:c r="R602" s="28"/>
      <x:c r="S602" s="28"/>
      <x:c r="T602" s="28"/>
      <x:c r="U602" s="28"/>
      <x:c r="V602" s="28"/>
      <x:c r="W602" s="28"/>
      <x:c r="X602" s="28"/>
      <x:c r="Y602" s="28"/>
      <x:c r="Z602" s="28"/>
      <x:c r="AA602" s="28"/>
      <x:c r="AB602" s="56" t="str">
        <x:f>IF($A602="","",IF(Z602="Y",20,IF(Z602="Unknown",10,0))+$L602*5+IF(AA602="Y",15,IF(AA602="Unknown",5,0))+IF($J602="Public",10,IF($J602="Partner",7,IF($J602="Internal",3,0)))+IF($W602="Hard-coded",10,IF($W602="Unknown",7,IF($W602="Configurable",3,0)))+IF($I602&gt;=10,10,IF($I602&gt;=5,7,IF($I602&gt;=2,3,0)))+IF($K602="High",10,IF($K602="Medium",5,0)))</x:f>
      </x:c>
      <x:c r="AC602" s="28" t="str">
        <x:f>IF($A602="","",IF(AB602&gt;=70,"P0 - Immediate",IF(AB602&gt;=50,"P1 - High",IF(AB602&gt;=30,"P2 - Medium",IF(AB602&gt;=15,"P3 - Low","P4 - Monitor")))))</x:f>
      </x:c>
      <x:c r="AD602" s="28"/>
      <x:c r="AE602" s="28"/>
      <x:c r="AF602" s="28"/>
      <x:c r="AG602" s="58"/>
      <x:c r="AH602" s="28"/>
    </x:row>
    <x:row r="603">
      <x:c r="A603" s="28"/>
      <x:c r="B603" s="28"/>
      <x:c r="C603" s="28"/>
      <x:c r="D603" s="28"/>
      <x:c r="E603" s="28"/>
      <x:c r="F603" s="28"/>
      <x:c r="G603" s="28"/>
      <x:c r="H603" s="28"/>
      <x:c r="I603" s="56"/>
      <x:c r="J603" s="28"/>
      <x:c r="K603" s="28"/>
      <x:c r="L603" s="56"/>
      <x:c r="M603" s="28"/>
      <x:c r="N603" s="28"/>
      <x:c r="O603" s="28"/>
      <x:c r="P603" s="28"/>
      <x:c r="Q603" s="28"/>
      <x:c r="R603" s="28"/>
      <x:c r="S603" s="28"/>
      <x:c r="T603" s="28"/>
      <x:c r="U603" s="28"/>
      <x:c r="V603" s="28"/>
      <x:c r="W603" s="28"/>
      <x:c r="X603" s="28"/>
      <x:c r="Y603" s="28"/>
      <x:c r="Z603" s="28"/>
      <x:c r="AA603" s="28"/>
      <x:c r="AB603" s="56" t="str">
        <x:f>IF($A603="","",IF(Z603="Y",20,IF(Z603="Unknown",10,0))+$L603*5+IF(AA603="Y",15,IF(AA603="Unknown",5,0))+IF($J603="Public",10,IF($J603="Partner",7,IF($J603="Internal",3,0)))+IF($W603="Hard-coded",10,IF($W603="Unknown",7,IF($W603="Configurable",3,0)))+IF($I603&gt;=10,10,IF($I603&gt;=5,7,IF($I603&gt;=2,3,0)))+IF($K603="High",10,IF($K603="Medium",5,0)))</x:f>
      </x:c>
      <x:c r="AC603" s="28" t="str">
        <x:f>IF($A603="","",IF(AB603&gt;=70,"P0 - Immediate",IF(AB603&gt;=50,"P1 - High",IF(AB603&gt;=30,"P2 - Medium",IF(AB603&gt;=15,"P3 - Low","P4 - Monitor")))))</x:f>
      </x:c>
      <x:c r="AD603" s="28"/>
      <x:c r="AE603" s="28"/>
      <x:c r="AF603" s="28"/>
      <x:c r="AG603" s="58"/>
      <x:c r="AH603" s="28"/>
    </x:row>
    <x:row r="604">
      <x:c r="A604" s="28"/>
      <x:c r="B604" s="28"/>
      <x:c r="C604" s="28"/>
      <x:c r="D604" s="28"/>
      <x:c r="E604" s="28"/>
      <x:c r="F604" s="28"/>
      <x:c r="G604" s="28"/>
      <x:c r="H604" s="28"/>
      <x:c r="I604" s="56"/>
      <x:c r="J604" s="28"/>
      <x:c r="K604" s="28"/>
      <x:c r="L604" s="56"/>
      <x:c r="M604" s="28"/>
      <x:c r="N604" s="28"/>
      <x:c r="O604" s="28"/>
      <x:c r="P604" s="28"/>
      <x:c r="Q604" s="28"/>
      <x:c r="R604" s="28"/>
      <x:c r="S604" s="28"/>
      <x:c r="T604" s="28"/>
      <x:c r="U604" s="28"/>
      <x:c r="V604" s="28"/>
      <x:c r="W604" s="28"/>
      <x:c r="X604" s="28"/>
      <x:c r="Y604" s="28"/>
      <x:c r="Z604" s="28"/>
      <x:c r="AA604" s="28"/>
      <x:c r="AB604" s="56" t="str">
        <x:f>IF($A604="","",IF(Z604="Y",20,IF(Z604="Unknown",10,0))+$L604*5+IF(AA604="Y",15,IF(AA604="Unknown",5,0))+IF($J604="Public",10,IF($J604="Partner",7,IF($J604="Internal",3,0)))+IF($W604="Hard-coded",10,IF($W604="Unknown",7,IF($W604="Configurable",3,0)))+IF($I604&gt;=10,10,IF($I604&gt;=5,7,IF($I604&gt;=2,3,0)))+IF($K604="High",10,IF($K604="Medium",5,0)))</x:f>
      </x:c>
      <x:c r="AC604" s="28" t="str">
        <x:f>IF($A604="","",IF(AB604&gt;=70,"P0 - Immediate",IF(AB604&gt;=50,"P1 - High",IF(AB604&gt;=30,"P2 - Medium",IF(AB604&gt;=15,"P3 - Low","P4 - Monitor")))))</x:f>
      </x:c>
      <x:c r="AD604" s="28"/>
      <x:c r="AE604" s="28"/>
      <x:c r="AF604" s="28"/>
      <x:c r="AG604" s="58"/>
      <x:c r="AH604" s="28"/>
    </x:row>
    <x:row r="605">
      <x:c r="A605" s="28"/>
      <x:c r="B605" s="28"/>
      <x:c r="C605" s="28"/>
      <x:c r="D605" s="28"/>
      <x:c r="E605" s="28"/>
      <x:c r="F605" s="28"/>
      <x:c r="G605" s="28"/>
      <x:c r="H605" s="28"/>
      <x:c r="I605" s="56"/>
      <x:c r="J605" s="28"/>
      <x:c r="K605" s="28"/>
      <x:c r="L605" s="56"/>
      <x:c r="M605" s="28"/>
      <x:c r="N605" s="28"/>
      <x:c r="O605" s="28"/>
      <x:c r="P605" s="28"/>
      <x:c r="Q605" s="28"/>
      <x:c r="R605" s="28"/>
      <x:c r="S605" s="28"/>
      <x:c r="T605" s="28"/>
      <x:c r="U605" s="28"/>
      <x:c r="V605" s="28"/>
      <x:c r="W605" s="28"/>
      <x:c r="X605" s="28"/>
      <x:c r="Y605" s="28"/>
      <x:c r="Z605" s="28"/>
      <x:c r="AA605" s="28"/>
      <x:c r="AB605" s="56" t="str">
        <x:f>IF($A605="","",IF(Z605="Y",20,IF(Z605="Unknown",10,0))+$L605*5+IF(AA605="Y",15,IF(AA605="Unknown",5,0))+IF($J605="Public",10,IF($J605="Partner",7,IF($J605="Internal",3,0)))+IF($W605="Hard-coded",10,IF($W605="Unknown",7,IF($W605="Configurable",3,0)))+IF($I605&gt;=10,10,IF($I605&gt;=5,7,IF($I605&gt;=2,3,0)))+IF($K605="High",10,IF($K605="Medium",5,0)))</x:f>
      </x:c>
      <x:c r="AC605" s="28" t="str">
        <x:f>IF($A605="","",IF(AB605&gt;=70,"P0 - Immediate",IF(AB605&gt;=50,"P1 - High",IF(AB605&gt;=30,"P2 - Medium",IF(AB605&gt;=15,"P3 - Low","P4 - Monitor")))))</x:f>
      </x:c>
      <x:c r="AD605" s="28"/>
      <x:c r="AE605" s="28"/>
      <x:c r="AF605" s="28"/>
      <x:c r="AG605" s="58"/>
      <x:c r="AH605" s="28"/>
    </x:row>
    <x:row r="606">
      <x:c r="A606" s="28"/>
      <x:c r="B606" s="28"/>
      <x:c r="C606" s="28"/>
      <x:c r="D606" s="28"/>
      <x:c r="E606" s="28"/>
      <x:c r="F606" s="28"/>
      <x:c r="G606" s="28"/>
      <x:c r="H606" s="28"/>
      <x:c r="I606" s="56"/>
      <x:c r="J606" s="28"/>
      <x:c r="K606" s="28"/>
      <x:c r="L606" s="56"/>
      <x:c r="M606" s="28"/>
      <x:c r="N606" s="28"/>
      <x:c r="O606" s="28"/>
      <x:c r="P606" s="28"/>
      <x:c r="Q606" s="28"/>
      <x:c r="R606" s="28"/>
      <x:c r="S606" s="28"/>
      <x:c r="T606" s="28"/>
      <x:c r="U606" s="28"/>
      <x:c r="V606" s="28"/>
      <x:c r="W606" s="28"/>
      <x:c r="X606" s="28"/>
      <x:c r="Y606" s="28"/>
      <x:c r="Z606" s="28"/>
      <x:c r="AA606" s="28"/>
      <x:c r="AB606" s="56" t="str">
        <x:f>IF($A606="","",IF(Z606="Y",20,IF(Z606="Unknown",10,0))+$L606*5+IF(AA606="Y",15,IF(AA606="Unknown",5,0))+IF($J606="Public",10,IF($J606="Partner",7,IF($J606="Internal",3,0)))+IF($W606="Hard-coded",10,IF($W606="Unknown",7,IF($W606="Configurable",3,0)))+IF($I606&gt;=10,10,IF($I606&gt;=5,7,IF($I606&gt;=2,3,0)))+IF($K606="High",10,IF($K606="Medium",5,0)))</x:f>
      </x:c>
      <x:c r="AC606" s="28" t="str">
        <x:f>IF($A606="","",IF(AB606&gt;=70,"P0 - Immediate",IF(AB606&gt;=50,"P1 - High",IF(AB606&gt;=30,"P2 - Medium",IF(AB606&gt;=15,"P3 - Low","P4 - Monitor")))))</x:f>
      </x:c>
      <x:c r="AD606" s="28"/>
      <x:c r="AE606" s="28"/>
      <x:c r="AF606" s="28"/>
      <x:c r="AG606" s="58"/>
      <x:c r="AH606" s="28"/>
    </x:row>
    <x:row r="607">
      <x:c r="A607" s="28"/>
      <x:c r="B607" s="28"/>
      <x:c r="C607" s="28"/>
      <x:c r="D607" s="28"/>
      <x:c r="E607" s="28"/>
      <x:c r="F607" s="28"/>
      <x:c r="G607" s="28"/>
      <x:c r="H607" s="28"/>
      <x:c r="I607" s="56"/>
      <x:c r="J607" s="28"/>
      <x:c r="K607" s="28"/>
      <x:c r="L607" s="56"/>
      <x:c r="M607" s="28"/>
      <x:c r="N607" s="28"/>
      <x:c r="O607" s="28"/>
      <x:c r="P607" s="28"/>
      <x:c r="Q607" s="28"/>
      <x:c r="R607" s="28"/>
      <x:c r="S607" s="28"/>
      <x:c r="T607" s="28"/>
      <x:c r="U607" s="28"/>
      <x:c r="V607" s="28"/>
      <x:c r="W607" s="28"/>
      <x:c r="X607" s="28"/>
      <x:c r="Y607" s="28"/>
      <x:c r="Z607" s="28"/>
      <x:c r="AA607" s="28"/>
      <x:c r="AB607" s="56" t="str">
        <x:f>IF($A607="","",IF(Z607="Y",20,IF(Z607="Unknown",10,0))+$L607*5+IF(AA607="Y",15,IF(AA607="Unknown",5,0))+IF($J607="Public",10,IF($J607="Partner",7,IF($J607="Internal",3,0)))+IF($W607="Hard-coded",10,IF($W607="Unknown",7,IF($W607="Configurable",3,0)))+IF($I607&gt;=10,10,IF($I607&gt;=5,7,IF($I607&gt;=2,3,0)))+IF($K607="High",10,IF($K607="Medium",5,0)))</x:f>
      </x:c>
      <x:c r="AC607" s="28" t="str">
        <x:f>IF($A607="","",IF(AB607&gt;=70,"P0 - Immediate",IF(AB607&gt;=50,"P1 - High",IF(AB607&gt;=30,"P2 - Medium",IF(AB607&gt;=15,"P3 - Low","P4 - Monitor")))))</x:f>
      </x:c>
      <x:c r="AD607" s="28"/>
      <x:c r="AE607" s="28"/>
      <x:c r="AF607" s="28"/>
      <x:c r="AG607" s="58"/>
      <x:c r="AH607" s="28"/>
    </x:row>
    <x:row r="608">
      <x:c r="A608" s="28"/>
      <x:c r="B608" s="28"/>
      <x:c r="C608" s="28"/>
      <x:c r="D608" s="28"/>
      <x:c r="E608" s="28"/>
      <x:c r="F608" s="28"/>
      <x:c r="G608" s="28"/>
      <x:c r="H608" s="28"/>
      <x:c r="I608" s="56"/>
      <x:c r="J608" s="28"/>
      <x:c r="K608" s="28"/>
      <x:c r="L608" s="56"/>
      <x:c r="M608" s="28"/>
      <x:c r="N608" s="28"/>
      <x:c r="O608" s="28"/>
      <x:c r="P608" s="28"/>
      <x:c r="Q608" s="28"/>
      <x:c r="R608" s="28"/>
      <x:c r="S608" s="28"/>
      <x:c r="T608" s="28"/>
      <x:c r="U608" s="28"/>
      <x:c r="V608" s="28"/>
      <x:c r="W608" s="28"/>
      <x:c r="X608" s="28"/>
      <x:c r="Y608" s="28"/>
      <x:c r="Z608" s="28"/>
      <x:c r="AA608" s="28"/>
      <x:c r="AB608" s="56" t="str">
        <x:f>IF($A608="","",IF(Z608="Y",20,IF(Z608="Unknown",10,0))+$L608*5+IF(AA608="Y",15,IF(AA608="Unknown",5,0))+IF($J608="Public",10,IF($J608="Partner",7,IF($J608="Internal",3,0)))+IF($W608="Hard-coded",10,IF($W608="Unknown",7,IF($W608="Configurable",3,0)))+IF($I608&gt;=10,10,IF($I608&gt;=5,7,IF($I608&gt;=2,3,0)))+IF($K608="High",10,IF($K608="Medium",5,0)))</x:f>
      </x:c>
      <x:c r="AC608" s="28" t="str">
        <x:f>IF($A608="","",IF(AB608&gt;=70,"P0 - Immediate",IF(AB608&gt;=50,"P1 - High",IF(AB608&gt;=30,"P2 - Medium",IF(AB608&gt;=15,"P3 - Low","P4 - Monitor")))))</x:f>
      </x:c>
      <x:c r="AD608" s="28"/>
      <x:c r="AE608" s="28"/>
      <x:c r="AF608" s="28"/>
      <x:c r="AG608" s="58"/>
      <x:c r="AH608" s="28"/>
    </x:row>
    <x:row r="609">
      <x:c r="A609" s="28"/>
      <x:c r="B609" s="28"/>
      <x:c r="C609" s="28"/>
      <x:c r="D609" s="28"/>
      <x:c r="E609" s="28"/>
      <x:c r="F609" s="28"/>
      <x:c r="G609" s="28"/>
      <x:c r="H609" s="28"/>
      <x:c r="I609" s="56"/>
      <x:c r="J609" s="28"/>
      <x:c r="K609" s="28"/>
      <x:c r="L609" s="56"/>
      <x:c r="M609" s="28"/>
      <x:c r="N609" s="28"/>
      <x:c r="O609" s="28"/>
      <x:c r="P609" s="28"/>
      <x:c r="Q609" s="28"/>
      <x:c r="R609" s="28"/>
      <x:c r="S609" s="28"/>
      <x:c r="T609" s="28"/>
      <x:c r="U609" s="28"/>
      <x:c r="V609" s="28"/>
      <x:c r="W609" s="28"/>
      <x:c r="X609" s="28"/>
      <x:c r="Y609" s="28"/>
      <x:c r="Z609" s="28"/>
      <x:c r="AA609" s="28"/>
      <x:c r="AB609" s="56" t="str">
        <x:f>IF($A609="","",IF(Z609="Y",20,IF(Z609="Unknown",10,0))+$L609*5+IF(AA609="Y",15,IF(AA609="Unknown",5,0))+IF($J609="Public",10,IF($J609="Partner",7,IF($J609="Internal",3,0)))+IF($W609="Hard-coded",10,IF($W609="Unknown",7,IF($W609="Configurable",3,0)))+IF($I609&gt;=10,10,IF($I609&gt;=5,7,IF($I609&gt;=2,3,0)))+IF($K609="High",10,IF($K609="Medium",5,0)))</x:f>
      </x:c>
      <x:c r="AC609" s="28" t="str">
        <x:f>IF($A609="","",IF(AB609&gt;=70,"P0 - Immediate",IF(AB609&gt;=50,"P1 - High",IF(AB609&gt;=30,"P2 - Medium",IF(AB609&gt;=15,"P3 - Low","P4 - Monitor")))))</x:f>
      </x:c>
      <x:c r="AD609" s="28"/>
      <x:c r="AE609" s="28"/>
      <x:c r="AF609" s="28"/>
      <x:c r="AG609" s="58"/>
      <x:c r="AH609" s="28"/>
    </x:row>
    <x:row r="610">
      <x:c r="A610" s="28"/>
      <x:c r="B610" s="28"/>
      <x:c r="C610" s="28"/>
      <x:c r="D610" s="28"/>
      <x:c r="E610" s="28"/>
      <x:c r="F610" s="28"/>
      <x:c r="G610" s="28"/>
      <x:c r="H610" s="28"/>
      <x:c r="I610" s="56"/>
      <x:c r="J610" s="28"/>
      <x:c r="K610" s="28"/>
      <x:c r="L610" s="56"/>
      <x:c r="M610" s="28"/>
      <x:c r="N610" s="28"/>
      <x:c r="O610" s="28"/>
      <x:c r="P610" s="28"/>
      <x:c r="Q610" s="28"/>
      <x:c r="R610" s="28"/>
      <x:c r="S610" s="28"/>
      <x:c r="T610" s="28"/>
      <x:c r="U610" s="28"/>
      <x:c r="V610" s="28"/>
      <x:c r="W610" s="28"/>
      <x:c r="X610" s="28"/>
      <x:c r="Y610" s="28"/>
      <x:c r="Z610" s="28"/>
      <x:c r="AA610" s="28"/>
      <x:c r="AB610" s="56" t="str">
        <x:f>IF($A610="","",IF(Z610="Y",20,IF(Z610="Unknown",10,0))+$L610*5+IF(AA610="Y",15,IF(AA610="Unknown",5,0))+IF($J610="Public",10,IF($J610="Partner",7,IF($J610="Internal",3,0)))+IF($W610="Hard-coded",10,IF($W610="Unknown",7,IF($W610="Configurable",3,0)))+IF($I610&gt;=10,10,IF($I610&gt;=5,7,IF($I610&gt;=2,3,0)))+IF($K610="High",10,IF($K610="Medium",5,0)))</x:f>
      </x:c>
      <x:c r="AC610" s="28" t="str">
        <x:f>IF($A610="","",IF(AB610&gt;=70,"P0 - Immediate",IF(AB610&gt;=50,"P1 - High",IF(AB610&gt;=30,"P2 - Medium",IF(AB610&gt;=15,"P3 - Low","P4 - Monitor")))))</x:f>
      </x:c>
      <x:c r="AD610" s="28"/>
      <x:c r="AE610" s="28"/>
      <x:c r="AF610" s="28"/>
      <x:c r="AG610" s="58"/>
      <x:c r="AH610" s="28"/>
    </x:row>
    <x:row r="611">
      <x:c r="A611" s="28"/>
      <x:c r="B611" s="28"/>
      <x:c r="C611" s="28"/>
      <x:c r="D611" s="28"/>
      <x:c r="E611" s="28"/>
      <x:c r="F611" s="28"/>
      <x:c r="G611" s="28"/>
      <x:c r="H611" s="28"/>
      <x:c r="I611" s="56"/>
      <x:c r="J611" s="28"/>
      <x:c r="K611" s="28"/>
      <x:c r="L611" s="56"/>
      <x:c r="M611" s="28"/>
      <x:c r="N611" s="28"/>
      <x:c r="O611" s="28"/>
      <x:c r="P611" s="28"/>
      <x:c r="Q611" s="28"/>
      <x:c r="R611" s="28"/>
      <x:c r="S611" s="28"/>
      <x:c r="T611" s="28"/>
      <x:c r="U611" s="28"/>
      <x:c r="V611" s="28"/>
      <x:c r="W611" s="28"/>
      <x:c r="X611" s="28"/>
      <x:c r="Y611" s="28"/>
      <x:c r="Z611" s="28"/>
      <x:c r="AA611" s="28"/>
      <x:c r="AB611" s="56" t="str">
        <x:f>IF($A611="","",IF(Z611="Y",20,IF(Z611="Unknown",10,0))+$L611*5+IF(AA611="Y",15,IF(AA611="Unknown",5,0))+IF($J611="Public",10,IF($J611="Partner",7,IF($J611="Internal",3,0)))+IF($W611="Hard-coded",10,IF($W611="Unknown",7,IF($W611="Configurable",3,0)))+IF($I611&gt;=10,10,IF($I611&gt;=5,7,IF($I611&gt;=2,3,0)))+IF($K611="High",10,IF($K611="Medium",5,0)))</x:f>
      </x:c>
      <x:c r="AC611" s="28" t="str">
        <x:f>IF($A611="","",IF(AB611&gt;=70,"P0 - Immediate",IF(AB611&gt;=50,"P1 - High",IF(AB611&gt;=30,"P2 - Medium",IF(AB611&gt;=15,"P3 - Low","P4 - Monitor")))))</x:f>
      </x:c>
      <x:c r="AD611" s="28"/>
      <x:c r="AE611" s="28"/>
      <x:c r="AF611" s="28"/>
      <x:c r="AG611" s="58"/>
      <x:c r="AH611" s="28"/>
    </x:row>
    <x:row r="612">
      <x:c r="A612" s="28"/>
      <x:c r="B612" s="28"/>
      <x:c r="C612" s="28"/>
      <x:c r="D612" s="28"/>
      <x:c r="E612" s="28"/>
      <x:c r="F612" s="28"/>
      <x:c r="G612" s="28"/>
      <x:c r="H612" s="28"/>
      <x:c r="I612" s="56"/>
      <x:c r="J612" s="28"/>
      <x:c r="K612" s="28"/>
      <x:c r="L612" s="56"/>
      <x:c r="M612" s="28"/>
      <x:c r="N612" s="28"/>
      <x:c r="O612" s="28"/>
      <x:c r="P612" s="28"/>
      <x:c r="Q612" s="28"/>
      <x:c r="R612" s="28"/>
      <x:c r="S612" s="28"/>
      <x:c r="T612" s="28"/>
      <x:c r="U612" s="28"/>
      <x:c r="V612" s="28"/>
      <x:c r="W612" s="28"/>
      <x:c r="X612" s="28"/>
      <x:c r="Y612" s="28"/>
      <x:c r="Z612" s="28"/>
      <x:c r="AA612" s="28"/>
      <x:c r="AB612" s="56" t="str">
        <x:f>IF($A612="","",IF(Z612="Y",20,IF(Z612="Unknown",10,0))+$L612*5+IF(AA612="Y",15,IF(AA612="Unknown",5,0))+IF($J612="Public",10,IF($J612="Partner",7,IF($J612="Internal",3,0)))+IF($W612="Hard-coded",10,IF($W612="Unknown",7,IF($W612="Configurable",3,0)))+IF($I612&gt;=10,10,IF($I612&gt;=5,7,IF($I612&gt;=2,3,0)))+IF($K612="High",10,IF($K612="Medium",5,0)))</x:f>
      </x:c>
      <x:c r="AC612" s="28" t="str">
        <x:f>IF($A612="","",IF(AB612&gt;=70,"P0 - Immediate",IF(AB612&gt;=50,"P1 - High",IF(AB612&gt;=30,"P2 - Medium",IF(AB612&gt;=15,"P3 - Low","P4 - Monitor")))))</x:f>
      </x:c>
      <x:c r="AD612" s="28"/>
      <x:c r="AE612" s="28"/>
      <x:c r="AF612" s="28"/>
      <x:c r="AG612" s="58"/>
      <x:c r="AH612" s="28"/>
    </x:row>
    <x:row r="613">
      <x:c r="A613" s="28"/>
      <x:c r="B613" s="28"/>
      <x:c r="C613" s="28"/>
      <x:c r="D613" s="28"/>
      <x:c r="E613" s="28"/>
      <x:c r="F613" s="28"/>
      <x:c r="G613" s="28"/>
      <x:c r="H613" s="28"/>
      <x:c r="I613" s="56"/>
      <x:c r="J613" s="28"/>
      <x:c r="K613" s="28"/>
      <x:c r="L613" s="56"/>
      <x:c r="M613" s="28"/>
      <x:c r="N613" s="28"/>
      <x:c r="O613" s="28"/>
      <x:c r="P613" s="28"/>
      <x:c r="Q613" s="28"/>
      <x:c r="R613" s="28"/>
      <x:c r="S613" s="28"/>
      <x:c r="T613" s="28"/>
      <x:c r="U613" s="28"/>
      <x:c r="V613" s="28"/>
      <x:c r="W613" s="28"/>
      <x:c r="X613" s="28"/>
      <x:c r="Y613" s="28"/>
      <x:c r="Z613" s="28"/>
      <x:c r="AA613" s="28"/>
      <x:c r="AB613" s="56" t="str">
        <x:f>IF($A613="","",IF(Z613="Y",20,IF(Z613="Unknown",10,0))+$L613*5+IF(AA613="Y",15,IF(AA613="Unknown",5,0))+IF($J613="Public",10,IF($J613="Partner",7,IF($J613="Internal",3,0)))+IF($W613="Hard-coded",10,IF($W613="Unknown",7,IF($W613="Configurable",3,0)))+IF($I613&gt;=10,10,IF($I613&gt;=5,7,IF($I613&gt;=2,3,0)))+IF($K613="High",10,IF($K613="Medium",5,0)))</x:f>
      </x:c>
      <x:c r="AC613" s="28" t="str">
        <x:f>IF($A613="","",IF(AB613&gt;=70,"P0 - Immediate",IF(AB613&gt;=50,"P1 - High",IF(AB613&gt;=30,"P2 - Medium",IF(AB613&gt;=15,"P3 - Low","P4 - Monitor")))))</x:f>
      </x:c>
      <x:c r="AD613" s="28"/>
      <x:c r="AE613" s="28"/>
      <x:c r="AF613" s="28"/>
      <x:c r="AG613" s="58"/>
      <x:c r="AH613" s="28"/>
    </x:row>
    <x:row r="614">
      <x:c r="A614" s="28"/>
      <x:c r="B614" s="28"/>
      <x:c r="C614" s="28"/>
      <x:c r="D614" s="28"/>
      <x:c r="E614" s="28"/>
      <x:c r="F614" s="28"/>
      <x:c r="G614" s="28"/>
      <x:c r="H614" s="28"/>
      <x:c r="I614" s="56"/>
      <x:c r="J614" s="28"/>
      <x:c r="K614" s="28"/>
      <x:c r="L614" s="56"/>
      <x:c r="M614" s="28"/>
      <x:c r="N614" s="28"/>
      <x:c r="O614" s="28"/>
      <x:c r="P614" s="28"/>
      <x:c r="Q614" s="28"/>
      <x:c r="R614" s="28"/>
      <x:c r="S614" s="28"/>
      <x:c r="T614" s="28"/>
      <x:c r="U614" s="28"/>
      <x:c r="V614" s="28"/>
      <x:c r="W614" s="28"/>
      <x:c r="X614" s="28"/>
      <x:c r="Y614" s="28"/>
      <x:c r="Z614" s="28"/>
      <x:c r="AA614" s="28"/>
      <x:c r="AB614" s="56" t="str">
        <x:f>IF($A614="","",IF(Z614="Y",20,IF(Z614="Unknown",10,0))+$L614*5+IF(AA614="Y",15,IF(AA614="Unknown",5,0))+IF($J614="Public",10,IF($J614="Partner",7,IF($J614="Internal",3,0)))+IF($W614="Hard-coded",10,IF($W614="Unknown",7,IF($W614="Configurable",3,0)))+IF($I614&gt;=10,10,IF($I614&gt;=5,7,IF($I614&gt;=2,3,0)))+IF($K614="High",10,IF($K614="Medium",5,0)))</x:f>
      </x:c>
      <x:c r="AC614" s="28" t="str">
        <x:f>IF($A614="","",IF(AB614&gt;=70,"P0 - Immediate",IF(AB614&gt;=50,"P1 - High",IF(AB614&gt;=30,"P2 - Medium",IF(AB614&gt;=15,"P3 - Low","P4 - Monitor")))))</x:f>
      </x:c>
      <x:c r="AD614" s="28"/>
      <x:c r="AE614" s="28"/>
      <x:c r="AF614" s="28"/>
      <x:c r="AG614" s="58"/>
      <x:c r="AH614" s="28"/>
    </x:row>
    <x:row r="615">
      <x:c r="A615" s="28"/>
      <x:c r="B615" s="28"/>
      <x:c r="C615" s="28"/>
      <x:c r="D615" s="28"/>
      <x:c r="E615" s="28"/>
      <x:c r="F615" s="28"/>
      <x:c r="G615" s="28"/>
      <x:c r="H615" s="28"/>
      <x:c r="I615" s="56"/>
      <x:c r="J615" s="28"/>
      <x:c r="K615" s="28"/>
      <x:c r="L615" s="56"/>
      <x:c r="M615" s="28"/>
      <x:c r="N615" s="28"/>
      <x:c r="O615" s="28"/>
      <x:c r="P615" s="28"/>
      <x:c r="Q615" s="28"/>
      <x:c r="R615" s="28"/>
      <x:c r="S615" s="28"/>
      <x:c r="T615" s="28"/>
      <x:c r="U615" s="28"/>
      <x:c r="V615" s="28"/>
      <x:c r="W615" s="28"/>
      <x:c r="X615" s="28"/>
      <x:c r="Y615" s="28"/>
      <x:c r="Z615" s="28"/>
      <x:c r="AA615" s="28"/>
      <x:c r="AB615" s="56" t="str">
        <x:f>IF($A615="","",IF(Z615="Y",20,IF(Z615="Unknown",10,0))+$L615*5+IF(AA615="Y",15,IF(AA615="Unknown",5,0))+IF($J615="Public",10,IF($J615="Partner",7,IF($J615="Internal",3,0)))+IF($W615="Hard-coded",10,IF($W615="Unknown",7,IF($W615="Configurable",3,0)))+IF($I615&gt;=10,10,IF($I615&gt;=5,7,IF($I615&gt;=2,3,0)))+IF($K615="High",10,IF($K615="Medium",5,0)))</x:f>
      </x:c>
      <x:c r="AC615" s="28" t="str">
        <x:f>IF($A615="","",IF(AB615&gt;=70,"P0 - Immediate",IF(AB615&gt;=50,"P1 - High",IF(AB615&gt;=30,"P2 - Medium",IF(AB615&gt;=15,"P3 - Low","P4 - Monitor")))))</x:f>
      </x:c>
      <x:c r="AD615" s="28"/>
      <x:c r="AE615" s="28"/>
      <x:c r="AF615" s="28"/>
      <x:c r="AG615" s="58"/>
      <x:c r="AH615" s="28"/>
    </x:row>
    <x:row r="616">
      <x:c r="A616" s="28"/>
      <x:c r="B616" s="28"/>
      <x:c r="C616" s="28"/>
      <x:c r="D616" s="28"/>
      <x:c r="E616" s="28"/>
      <x:c r="F616" s="28"/>
      <x:c r="G616" s="28"/>
      <x:c r="H616" s="28"/>
      <x:c r="I616" s="56"/>
      <x:c r="J616" s="28"/>
      <x:c r="K616" s="28"/>
      <x:c r="L616" s="56"/>
      <x:c r="M616" s="28"/>
      <x:c r="N616" s="28"/>
      <x:c r="O616" s="28"/>
      <x:c r="P616" s="28"/>
      <x:c r="Q616" s="28"/>
      <x:c r="R616" s="28"/>
      <x:c r="S616" s="28"/>
      <x:c r="T616" s="28"/>
      <x:c r="U616" s="28"/>
      <x:c r="V616" s="28"/>
      <x:c r="W616" s="28"/>
      <x:c r="X616" s="28"/>
      <x:c r="Y616" s="28"/>
      <x:c r="Z616" s="28"/>
      <x:c r="AA616" s="28"/>
      <x:c r="AB616" s="56" t="str">
        <x:f>IF($A616="","",IF(Z616="Y",20,IF(Z616="Unknown",10,0))+$L616*5+IF(AA616="Y",15,IF(AA616="Unknown",5,0))+IF($J616="Public",10,IF($J616="Partner",7,IF($J616="Internal",3,0)))+IF($W616="Hard-coded",10,IF($W616="Unknown",7,IF($W616="Configurable",3,0)))+IF($I616&gt;=10,10,IF($I616&gt;=5,7,IF($I616&gt;=2,3,0)))+IF($K616="High",10,IF($K616="Medium",5,0)))</x:f>
      </x:c>
      <x:c r="AC616" s="28" t="str">
        <x:f>IF($A616="","",IF(AB616&gt;=70,"P0 - Immediate",IF(AB616&gt;=50,"P1 - High",IF(AB616&gt;=30,"P2 - Medium",IF(AB616&gt;=15,"P3 - Low","P4 - Monitor")))))</x:f>
      </x:c>
      <x:c r="AD616" s="28"/>
      <x:c r="AE616" s="28"/>
      <x:c r="AF616" s="28"/>
      <x:c r="AG616" s="58"/>
      <x:c r="AH616" s="28"/>
    </x:row>
    <x:row r="617">
      <x:c r="A617" s="28"/>
      <x:c r="B617" s="28"/>
      <x:c r="C617" s="28"/>
      <x:c r="D617" s="28"/>
      <x:c r="E617" s="28"/>
      <x:c r="F617" s="28"/>
      <x:c r="G617" s="28"/>
      <x:c r="H617" s="28"/>
      <x:c r="I617" s="56"/>
      <x:c r="J617" s="28"/>
      <x:c r="K617" s="28"/>
      <x:c r="L617" s="56"/>
      <x:c r="M617" s="28"/>
      <x:c r="N617" s="28"/>
      <x:c r="O617" s="28"/>
      <x:c r="P617" s="28"/>
      <x:c r="Q617" s="28"/>
      <x:c r="R617" s="28"/>
      <x:c r="S617" s="28"/>
      <x:c r="T617" s="28"/>
      <x:c r="U617" s="28"/>
      <x:c r="V617" s="28"/>
      <x:c r="W617" s="28"/>
      <x:c r="X617" s="28"/>
      <x:c r="Y617" s="28"/>
      <x:c r="Z617" s="28"/>
      <x:c r="AA617" s="28"/>
      <x:c r="AB617" s="56" t="str">
        <x:f>IF($A617="","",IF(Z617="Y",20,IF(Z617="Unknown",10,0))+$L617*5+IF(AA617="Y",15,IF(AA617="Unknown",5,0))+IF($J617="Public",10,IF($J617="Partner",7,IF($J617="Internal",3,0)))+IF($W617="Hard-coded",10,IF($W617="Unknown",7,IF($W617="Configurable",3,0)))+IF($I617&gt;=10,10,IF($I617&gt;=5,7,IF($I617&gt;=2,3,0)))+IF($K617="High",10,IF($K617="Medium",5,0)))</x:f>
      </x:c>
      <x:c r="AC617" s="28" t="str">
        <x:f>IF($A617="","",IF(AB617&gt;=70,"P0 - Immediate",IF(AB617&gt;=50,"P1 - High",IF(AB617&gt;=30,"P2 - Medium",IF(AB617&gt;=15,"P3 - Low","P4 - Monitor")))))</x:f>
      </x:c>
      <x:c r="AD617" s="28"/>
      <x:c r="AE617" s="28"/>
      <x:c r="AF617" s="28"/>
      <x:c r="AG617" s="58"/>
      <x:c r="AH617" s="28"/>
    </x:row>
    <x:row r="618">
      <x:c r="A618" s="28"/>
      <x:c r="B618" s="28"/>
      <x:c r="C618" s="28"/>
      <x:c r="D618" s="28"/>
      <x:c r="E618" s="28"/>
      <x:c r="F618" s="28"/>
      <x:c r="G618" s="28"/>
      <x:c r="H618" s="28"/>
      <x:c r="I618" s="56"/>
      <x:c r="J618" s="28"/>
      <x:c r="K618" s="28"/>
      <x:c r="L618" s="56"/>
      <x:c r="M618" s="28"/>
      <x:c r="N618" s="28"/>
      <x:c r="O618" s="28"/>
      <x:c r="P618" s="28"/>
      <x:c r="Q618" s="28"/>
      <x:c r="R618" s="28"/>
      <x:c r="S618" s="28"/>
      <x:c r="T618" s="28"/>
      <x:c r="U618" s="28"/>
      <x:c r="V618" s="28"/>
      <x:c r="W618" s="28"/>
      <x:c r="X618" s="28"/>
      <x:c r="Y618" s="28"/>
      <x:c r="Z618" s="28"/>
      <x:c r="AA618" s="28"/>
      <x:c r="AB618" s="56" t="str">
        <x:f>IF($A618="","",IF(Z618="Y",20,IF(Z618="Unknown",10,0))+$L618*5+IF(AA618="Y",15,IF(AA618="Unknown",5,0))+IF($J618="Public",10,IF($J618="Partner",7,IF($J618="Internal",3,0)))+IF($W618="Hard-coded",10,IF($W618="Unknown",7,IF($W618="Configurable",3,0)))+IF($I618&gt;=10,10,IF($I618&gt;=5,7,IF($I618&gt;=2,3,0)))+IF($K618="High",10,IF($K618="Medium",5,0)))</x:f>
      </x:c>
      <x:c r="AC618" s="28" t="str">
        <x:f>IF($A618="","",IF(AB618&gt;=70,"P0 - Immediate",IF(AB618&gt;=50,"P1 - High",IF(AB618&gt;=30,"P2 - Medium",IF(AB618&gt;=15,"P3 - Low","P4 - Monitor")))))</x:f>
      </x:c>
      <x:c r="AD618" s="28"/>
      <x:c r="AE618" s="28"/>
      <x:c r="AF618" s="28"/>
      <x:c r="AG618" s="58"/>
      <x:c r="AH618" s="28"/>
    </x:row>
    <x:row r="619">
      <x:c r="A619" s="28"/>
      <x:c r="B619" s="28"/>
      <x:c r="C619" s="28"/>
      <x:c r="D619" s="28"/>
      <x:c r="E619" s="28"/>
      <x:c r="F619" s="28"/>
      <x:c r="G619" s="28"/>
      <x:c r="H619" s="28"/>
      <x:c r="I619" s="56"/>
      <x:c r="J619" s="28"/>
      <x:c r="K619" s="28"/>
      <x:c r="L619" s="56"/>
      <x:c r="M619" s="28"/>
      <x:c r="N619" s="28"/>
      <x:c r="O619" s="28"/>
      <x:c r="P619" s="28"/>
      <x:c r="Q619" s="28"/>
      <x:c r="R619" s="28"/>
      <x:c r="S619" s="28"/>
      <x:c r="T619" s="28"/>
      <x:c r="U619" s="28"/>
      <x:c r="V619" s="28"/>
      <x:c r="W619" s="28"/>
      <x:c r="X619" s="28"/>
      <x:c r="Y619" s="28"/>
      <x:c r="Z619" s="28"/>
      <x:c r="AA619" s="28"/>
      <x:c r="AB619" s="56" t="str">
        <x:f>IF($A619="","",IF(Z619="Y",20,IF(Z619="Unknown",10,0))+$L619*5+IF(AA619="Y",15,IF(AA619="Unknown",5,0))+IF($J619="Public",10,IF($J619="Partner",7,IF($J619="Internal",3,0)))+IF($W619="Hard-coded",10,IF($W619="Unknown",7,IF($W619="Configurable",3,0)))+IF($I619&gt;=10,10,IF($I619&gt;=5,7,IF($I619&gt;=2,3,0)))+IF($K619="High",10,IF($K619="Medium",5,0)))</x:f>
      </x:c>
      <x:c r="AC619" s="28" t="str">
        <x:f>IF($A619="","",IF(AB619&gt;=70,"P0 - Immediate",IF(AB619&gt;=50,"P1 - High",IF(AB619&gt;=30,"P2 - Medium",IF(AB619&gt;=15,"P3 - Low","P4 - Monitor")))))</x:f>
      </x:c>
      <x:c r="AD619" s="28"/>
      <x:c r="AE619" s="28"/>
      <x:c r="AF619" s="28"/>
      <x:c r="AG619" s="58"/>
      <x:c r="AH619" s="28"/>
    </x:row>
    <x:row r="620">
      <x:c r="A620" s="28"/>
      <x:c r="B620" s="28"/>
      <x:c r="C620" s="28"/>
      <x:c r="D620" s="28"/>
      <x:c r="E620" s="28"/>
      <x:c r="F620" s="28"/>
      <x:c r="G620" s="28"/>
      <x:c r="H620" s="28"/>
      <x:c r="I620" s="56"/>
      <x:c r="J620" s="28"/>
      <x:c r="K620" s="28"/>
      <x:c r="L620" s="56"/>
      <x:c r="M620" s="28"/>
      <x:c r="N620" s="28"/>
      <x:c r="O620" s="28"/>
      <x:c r="P620" s="28"/>
      <x:c r="Q620" s="28"/>
      <x:c r="R620" s="28"/>
      <x:c r="S620" s="28"/>
      <x:c r="T620" s="28"/>
      <x:c r="U620" s="28"/>
      <x:c r="V620" s="28"/>
      <x:c r="W620" s="28"/>
      <x:c r="X620" s="28"/>
      <x:c r="Y620" s="28"/>
      <x:c r="Z620" s="28"/>
      <x:c r="AA620" s="28"/>
      <x:c r="AB620" s="56" t="str">
        <x:f>IF($A620="","",IF(Z620="Y",20,IF(Z620="Unknown",10,0))+$L620*5+IF(AA620="Y",15,IF(AA620="Unknown",5,0))+IF($J620="Public",10,IF($J620="Partner",7,IF($J620="Internal",3,0)))+IF($W620="Hard-coded",10,IF($W620="Unknown",7,IF($W620="Configurable",3,0)))+IF($I620&gt;=10,10,IF($I620&gt;=5,7,IF($I620&gt;=2,3,0)))+IF($K620="High",10,IF($K620="Medium",5,0)))</x:f>
      </x:c>
      <x:c r="AC620" s="28" t="str">
        <x:f>IF($A620="","",IF(AB620&gt;=70,"P0 - Immediate",IF(AB620&gt;=50,"P1 - High",IF(AB620&gt;=30,"P2 - Medium",IF(AB620&gt;=15,"P3 - Low","P4 - Monitor")))))</x:f>
      </x:c>
      <x:c r="AD620" s="28"/>
      <x:c r="AE620" s="28"/>
      <x:c r="AF620" s="28"/>
      <x:c r="AG620" s="58"/>
      <x:c r="AH620" s="28"/>
    </x:row>
    <x:row r="621">
      <x:c r="A621" s="28"/>
      <x:c r="B621" s="28"/>
      <x:c r="C621" s="28"/>
      <x:c r="D621" s="28"/>
      <x:c r="E621" s="28"/>
      <x:c r="F621" s="28"/>
      <x:c r="G621" s="28"/>
      <x:c r="H621" s="28"/>
      <x:c r="I621" s="56"/>
      <x:c r="J621" s="28"/>
      <x:c r="K621" s="28"/>
      <x:c r="L621" s="56"/>
      <x:c r="M621" s="28"/>
      <x:c r="N621" s="28"/>
      <x:c r="O621" s="28"/>
      <x:c r="P621" s="28"/>
      <x:c r="Q621" s="28"/>
      <x:c r="R621" s="28"/>
      <x:c r="S621" s="28"/>
      <x:c r="T621" s="28"/>
      <x:c r="U621" s="28"/>
      <x:c r="V621" s="28"/>
      <x:c r="W621" s="28"/>
      <x:c r="X621" s="28"/>
      <x:c r="Y621" s="28"/>
      <x:c r="Z621" s="28"/>
      <x:c r="AA621" s="28"/>
      <x:c r="AB621" s="56" t="str">
        <x:f>IF($A621="","",IF(Z621="Y",20,IF(Z621="Unknown",10,0))+$L621*5+IF(AA621="Y",15,IF(AA621="Unknown",5,0))+IF($J621="Public",10,IF($J621="Partner",7,IF($J621="Internal",3,0)))+IF($W621="Hard-coded",10,IF($W621="Unknown",7,IF($W621="Configurable",3,0)))+IF($I621&gt;=10,10,IF($I621&gt;=5,7,IF($I621&gt;=2,3,0)))+IF($K621="High",10,IF($K621="Medium",5,0)))</x:f>
      </x:c>
      <x:c r="AC621" s="28" t="str">
        <x:f>IF($A621="","",IF(AB621&gt;=70,"P0 - Immediate",IF(AB621&gt;=50,"P1 - High",IF(AB621&gt;=30,"P2 - Medium",IF(AB621&gt;=15,"P3 - Low","P4 - Monitor")))))</x:f>
      </x:c>
      <x:c r="AD621" s="28"/>
      <x:c r="AE621" s="28"/>
      <x:c r="AF621" s="28"/>
      <x:c r="AG621" s="58"/>
      <x:c r="AH621" s="28"/>
    </x:row>
    <x:row r="622">
      <x:c r="A622" s="28"/>
      <x:c r="B622" s="28"/>
      <x:c r="C622" s="28"/>
      <x:c r="D622" s="28"/>
      <x:c r="E622" s="28"/>
      <x:c r="F622" s="28"/>
      <x:c r="G622" s="28"/>
      <x:c r="H622" s="28"/>
      <x:c r="I622" s="56"/>
      <x:c r="J622" s="28"/>
      <x:c r="K622" s="28"/>
      <x:c r="L622" s="56"/>
      <x:c r="M622" s="28"/>
      <x:c r="N622" s="28"/>
      <x:c r="O622" s="28"/>
      <x:c r="P622" s="28"/>
      <x:c r="Q622" s="28"/>
      <x:c r="R622" s="28"/>
      <x:c r="S622" s="28"/>
      <x:c r="T622" s="28"/>
      <x:c r="U622" s="28"/>
      <x:c r="V622" s="28"/>
      <x:c r="W622" s="28"/>
      <x:c r="X622" s="28"/>
      <x:c r="Y622" s="28"/>
      <x:c r="Z622" s="28"/>
      <x:c r="AA622" s="28"/>
      <x:c r="AB622" s="56" t="str">
        <x:f>IF($A622="","",IF(Z622="Y",20,IF(Z622="Unknown",10,0))+$L622*5+IF(AA622="Y",15,IF(AA622="Unknown",5,0))+IF($J622="Public",10,IF($J622="Partner",7,IF($J622="Internal",3,0)))+IF($W622="Hard-coded",10,IF($W622="Unknown",7,IF($W622="Configurable",3,0)))+IF($I622&gt;=10,10,IF($I622&gt;=5,7,IF($I622&gt;=2,3,0)))+IF($K622="High",10,IF($K622="Medium",5,0)))</x:f>
      </x:c>
      <x:c r="AC622" s="28" t="str">
        <x:f>IF($A622="","",IF(AB622&gt;=70,"P0 - Immediate",IF(AB622&gt;=50,"P1 - High",IF(AB622&gt;=30,"P2 - Medium",IF(AB622&gt;=15,"P3 - Low","P4 - Monitor")))))</x:f>
      </x:c>
      <x:c r="AD622" s="28"/>
      <x:c r="AE622" s="28"/>
      <x:c r="AF622" s="28"/>
      <x:c r="AG622" s="58"/>
      <x:c r="AH622" s="28"/>
    </x:row>
    <x:row r="623">
      <x:c r="A623" s="28"/>
      <x:c r="B623" s="28"/>
      <x:c r="C623" s="28"/>
      <x:c r="D623" s="28"/>
      <x:c r="E623" s="28"/>
      <x:c r="F623" s="28"/>
      <x:c r="G623" s="28"/>
      <x:c r="H623" s="28"/>
      <x:c r="I623" s="56"/>
      <x:c r="J623" s="28"/>
      <x:c r="K623" s="28"/>
      <x:c r="L623" s="56"/>
      <x:c r="M623" s="28"/>
      <x:c r="N623" s="28"/>
      <x:c r="O623" s="28"/>
      <x:c r="P623" s="28"/>
      <x:c r="Q623" s="28"/>
      <x:c r="R623" s="28"/>
      <x:c r="S623" s="28"/>
      <x:c r="T623" s="28"/>
      <x:c r="U623" s="28"/>
      <x:c r="V623" s="28"/>
      <x:c r="W623" s="28"/>
      <x:c r="X623" s="28"/>
      <x:c r="Y623" s="28"/>
      <x:c r="Z623" s="28"/>
      <x:c r="AA623" s="28"/>
      <x:c r="AB623" s="56" t="str">
        <x:f>IF($A623="","",IF(Z623="Y",20,IF(Z623="Unknown",10,0))+$L623*5+IF(AA623="Y",15,IF(AA623="Unknown",5,0))+IF($J623="Public",10,IF($J623="Partner",7,IF($J623="Internal",3,0)))+IF($W623="Hard-coded",10,IF($W623="Unknown",7,IF($W623="Configurable",3,0)))+IF($I623&gt;=10,10,IF($I623&gt;=5,7,IF($I623&gt;=2,3,0)))+IF($K623="High",10,IF($K623="Medium",5,0)))</x:f>
      </x:c>
      <x:c r="AC623" s="28" t="str">
        <x:f>IF($A623="","",IF(AB623&gt;=70,"P0 - Immediate",IF(AB623&gt;=50,"P1 - High",IF(AB623&gt;=30,"P2 - Medium",IF(AB623&gt;=15,"P3 - Low","P4 - Monitor")))))</x:f>
      </x:c>
      <x:c r="AD623" s="28"/>
      <x:c r="AE623" s="28"/>
      <x:c r="AF623" s="28"/>
      <x:c r="AG623" s="58"/>
      <x:c r="AH623" s="28"/>
    </x:row>
    <x:row r="624">
      <x:c r="A624" s="28"/>
      <x:c r="B624" s="28"/>
      <x:c r="C624" s="28"/>
      <x:c r="D624" s="28"/>
      <x:c r="E624" s="28"/>
      <x:c r="F624" s="28"/>
      <x:c r="G624" s="28"/>
      <x:c r="H624" s="28"/>
      <x:c r="I624" s="56"/>
      <x:c r="J624" s="28"/>
      <x:c r="K624" s="28"/>
      <x:c r="L624" s="56"/>
      <x:c r="M624" s="28"/>
      <x:c r="N624" s="28"/>
      <x:c r="O624" s="28"/>
      <x:c r="P624" s="28"/>
      <x:c r="Q624" s="28"/>
      <x:c r="R624" s="28"/>
      <x:c r="S624" s="28"/>
      <x:c r="T624" s="28"/>
      <x:c r="U624" s="28"/>
      <x:c r="V624" s="28"/>
      <x:c r="W624" s="28"/>
      <x:c r="X624" s="28"/>
      <x:c r="Y624" s="28"/>
      <x:c r="Z624" s="28"/>
      <x:c r="AA624" s="28"/>
      <x:c r="AB624" s="56" t="str">
        <x:f>IF($A624="","",IF(Z624="Y",20,IF(Z624="Unknown",10,0))+$L624*5+IF(AA624="Y",15,IF(AA624="Unknown",5,0))+IF($J624="Public",10,IF($J624="Partner",7,IF($J624="Internal",3,0)))+IF($W624="Hard-coded",10,IF($W624="Unknown",7,IF($W624="Configurable",3,0)))+IF($I624&gt;=10,10,IF($I624&gt;=5,7,IF($I624&gt;=2,3,0)))+IF($K624="High",10,IF($K624="Medium",5,0)))</x:f>
      </x:c>
      <x:c r="AC624" s="28" t="str">
        <x:f>IF($A624="","",IF(AB624&gt;=70,"P0 - Immediate",IF(AB624&gt;=50,"P1 - High",IF(AB624&gt;=30,"P2 - Medium",IF(AB624&gt;=15,"P3 - Low","P4 - Monitor")))))</x:f>
      </x:c>
      <x:c r="AD624" s="28"/>
      <x:c r="AE624" s="28"/>
      <x:c r="AF624" s="28"/>
      <x:c r="AG624" s="58"/>
      <x:c r="AH624" s="28"/>
    </x:row>
    <x:row r="625">
      <x:c r="A625" s="28"/>
      <x:c r="B625" s="28"/>
      <x:c r="C625" s="28"/>
      <x:c r="D625" s="28"/>
      <x:c r="E625" s="28"/>
      <x:c r="F625" s="28"/>
      <x:c r="G625" s="28"/>
      <x:c r="H625" s="28"/>
      <x:c r="I625" s="56"/>
      <x:c r="J625" s="28"/>
      <x:c r="K625" s="28"/>
      <x:c r="L625" s="56"/>
      <x:c r="M625" s="28"/>
      <x:c r="N625" s="28"/>
      <x:c r="O625" s="28"/>
      <x:c r="P625" s="28"/>
      <x:c r="Q625" s="28"/>
      <x:c r="R625" s="28"/>
      <x:c r="S625" s="28"/>
      <x:c r="T625" s="28"/>
      <x:c r="U625" s="28"/>
      <x:c r="V625" s="28"/>
      <x:c r="W625" s="28"/>
      <x:c r="X625" s="28"/>
      <x:c r="Y625" s="28"/>
      <x:c r="Z625" s="28"/>
      <x:c r="AA625" s="28"/>
      <x:c r="AB625" s="56" t="str">
        <x:f>IF($A625="","",IF(Z625="Y",20,IF(Z625="Unknown",10,0))+$L625*5+IF(AA625="Y",15,IF(AA625="Unknown",5,0))+IF($J625="Public",10,IF($J625="Partner",7,IF($J625="Internal",3,0)))+IF($W625="Hard-coded",10,IF($W625="Unknown",7,IF($W625="Configurable",3,0)))+IF($I625&gt;=10,10,IF($I625&gt;=5,7,IF($I625&gt;=2,3,0)))+IF($K625="High",10,IF($K625="Medium",5,0)))</x:f>
      </x:c>
      <x:c r="AC625" s="28" t="str">
        <x:f>IF($A625="","",IF(AB625&gt;=70,"P0 - Immediate",IF(AB625&gt;=50,"P1 - High",IF(AB625&gt;=30,"P2 - Medium",IF(AB625&gt;=15,"P3 - Low","P4 - Monitor")))))</x:f>
      </x:c>
      <x:c r="AD625" s="28"/>
      <x:c r="AE625" s="28"/>
      <x:c r="AF625" s="28"/>
      <x:c r="AG625" s="58"/>
      <x:c r="AH625" s="28"/>
    </x:row>
    <x:row r="626">
      <x:c r="A626" s="28"/>
      <x:c r="B626" s="28"/>
      <x:c r="C626" s="28"/>
      <x:c r="D626" s="28"/>
      <x:c r="E626" s="28"/>
      <x:c r="F626" s="28"/>
      <x:c r="G626" s="28"/>
      <x:c r="H626" s="28"/>
      <x:c r="I626" s="56"/>
      <x:c r="J626" s="28"/>
      <x:c r="K626" s="28"/>
      <x:c r="L626" s="56"/>
      <x:c r="M626" s="28"/>
      <x:c r="N626" s="28"/>
      <x:c r="O626" s="28"/>
      <x:c r="P626" s="28"/>
      <x:c r="Q626" s="28"/>
      <x:c r="R626" s="28"/>
      <x:c r="S626" s="28"/>
      <x:c r="T626" s="28"/>
      <x:c r="U626" s="28"/>
      <x:c r="V626" s="28"/>
      <x:c r="W626" s="28"/>
      <x:c r="X626" s="28"/>
      <x:c r="Y626" s="28"/>
      <x:c r="Z626" s="28"/>
      <x:c r="AA626" s="28"/>
      <x:c r="AB626" s="56" t="str">
        <x:f>IF($A626="","",IF(Z626="Y",20,IF(Z626="Unknown",10,0))+$L626*5+IF(AA626="Y",15,IF(AA626="Unknown",5,0))+IF($J626="Public",10,IF($J626="Partner",7,IF($J626="Internal",3,0)))+IF($W626="Hard-coded",10,IF($W626="Unknown",7,IF($W626="Configurable",3,0)))+IF($I626&gt;=10,10,IF($I626&gt;=5,7,IF($I626&gt;=2,3,0)))+IF($K626="High",10,IF($K626="Medium",5,0)))</x:f>
      </x:c>
      <x:c r="AC626" s="28" t="str">
        <x:f>IF($A626="","",IF(AB626&gt;=70,"P0 - Immediate",IF(AB626&gt;=50,"P1 - High",IF(AB626&gt;=30,"P2 - Medium",IF(AB626&gt;=15,"P3 - Low","P4 - Monitor")))))</x:f>
      </x:c>
      <x:c r="AD626" s="28"/>
      <x:c r="AE626" s="28"/>
      <x:c r="AF626" s="28"/>
      <x:c r="AG626" s="58"/>
      <x:c r="AH626" s="28"/>
    </x:row>
    <x:row r="627">
      <x:c r="A627" s="28"/>
      <x:c r="B627" s="28"/>
      <x:c r="C627" s="28"/>
      <x:c r="D627" s="28"/>
      <x:c r="E627" s="28"/>
      <x:c r="F627" s="28"/>
      <x:c r="G627" s="28"/>
      <x:c r="H627" s="28"/>
      <x:c r="I627" s="56"/>
      <x:c r="J627" s="28"/>
      <x:c r="K627" s="28"/>
      <x:c r="L627" s="56"/>
      <x:c r="M627" s="28"/>
      <x:c r="N627" s="28"/>
      <x:c r="O627" s="28"/>
      <x:c r="P627" s="28"/>
      <x:c r="Q627" s="28"/>
      <x:c r="R627" s="28"/>
      <x:c r="S627" s="28"/>
      <x:c r="T627" s="28"/>
      <x:c r="U627" s="28"/>
      <x:c r="V627" s="28"/>
      <x:c r="W627" s="28"/>
      <x:c r="X627" s="28"/>
      <x:c r="Y627" s="28"/>
      <x:c r="Z627" s="28"/>
      <x:c r="AA627" s="28"/>
      <x:c r="AB627" s="56" t="str">
        <x:f>IF($A627="","",IF(Z627="Y",20,IF(Z627="Unknown",10,0))+$L627*5+IF(AA627="Y",15,IF(AA627="Unknown",5,0))+IF($J627="Public",10,IF($J627="Partner",7,IF($J627="Internal",3,0)))+IF($W627="Hard-coded",10,IF($W627="Unknown",7,IF($W627="Configurable",3,0)))+IF($I627&gt;=10,10,IF($I627&gt;=5,7,IF($I627&gt;=2,3,0)))+IF($K627="High",10,IF($K627="Medium",5,0)))</x:f>
      </x:c>
      <x:c r="AC627" s="28" t="str">
        <x:f>IF($A627="","",IF(AB627&gt;=70,"P0 - Immediate",IF(AB627&gt;=50,"P1 - High",IF(AB627&gt;=30,"P2 - Medium",IF(AB627&gt;=15,"P3 - Low","P4 - Monitor")))))</x:f>
      </x:c>
      <x:c r="AD627" s="28"/>
      <x:c r="AE627" s="28"/>
      <x:c r="AF627" s="28"/>
      <x:c r="AG627" s="58"/>
      <x:c r="AH627" s="28"/>
    </x:row>
    <x:row r="628">
      <x:c r="A628" s="28"/>
      <x:c r="B628" s="28"/>
      <x:c r="C628" s="28"/>
      <x:c r="D628" s="28"/>
      <x:c r="E628" s="28"/>
      <x:c r="F628" s="28"/>
      <x:c r="G628" s="28"/>
      <x:c r="H628" s="28"/>
      <x:c r="I628" s="56"/>
      <x:c r="J628" s="28"/>
      <x:c r="K628" s="28"/>
      <x:c r="L628" s="56"/>
      <x:c r="M628" s="28"/>
      <x:c r="N628" s="28"/>
      <x:c r="O628" s="28"/>
      <x:c r="P628" s="28"/>
      <x:c r="Q628" s="28"/>
      <x:c r="R628" s="28"/>
      <x:c r="S628" s="28"/>
      <x:c r="T628" s="28"/>
      <x:c r="U628" s="28"/>
      <x:c r="V628" s="28"/>
      <x:c r="W628" s="28"/>
      <x:c r="X628" s="28"/>
      <x:c r="Y628" s="28"/>
      <x:c r="Z628" s="28"/>
      <x:c r="AA628" s="28"/>
      <x:c r="AB628" s="56" t="str">
        <x:f>IF($A628="","",IF(Z628="Y",20,IF(Z628="Unknown",10,0))+$L628*5+IF(AA628="Y",15,IF(AA628="Unknown",5,0))+IF($J628="Public",10,IF($J628="Partner",7,IF($J628="Internal",3,0)))+IF($W628="Hard-coded",10,IF($W628="Unknown",7,IF($W628="Configurable",3,0)))+IF($I628&gt;=10,10,IF($I628&gt;=5,7,IF($I628&gt;=2,3,0)))+IF($K628="High",10,IF($K628="Medium",5,0)))</x:f>
      </x:c>
      <x:c r="AC628" s="28" t="str">
        <x:f>IF($A628="","",IF(AB628&gt;=70,"P0 - Immediate",IF(AB628&gt;=50,"P1 - High",IF(AB628&gt;=30,"P2 - Medium",IF(AB628&gt;=15,"P3 - Low","P4 - Monitor")))))</x:f>
      </x:c>
      <x:c r="AD628" s="28"/>
      <x:c r="AE628" s="28"/>
      <x:c r="AF628" s="28"/>
      <x:c r="AG628" s="58"/>
      <x:c r="AH628" s="28"/>
    </x:row>
    <x:row r="629">
      <x:c r="A629" s="28"/>
      <x:c r="B629" s="28"/>
      <x:c r="C629" s="28"/>
      <x:c r="D629" s="28"/>
      <x:c r="E629" s="28"/>
      <x:c r="F629" s="28"/>
      <x:c r="G629" s="28"/>
      <x:c r="H629" s="28"/>
      <x:c r="I629" s="56"/>
      <x:c r="J629" s="28"/>
      <x:c r="K629" s="28"/>
      <x:c r="L629" s="56"/>
      <x:c r="M629" s="28"/>
      <x:c r="N629" s="28"/>
      <x:c r="O629" s="28"/>
      <x:c r="P629" s="28"/>
      <x:c r="Q629" s="28"/>
      <x:c r="R629" s="28"/>
      <x:c r="S629" s="28"/>
      <x:c r="T629" s="28"/>
      <x:c r="U629" s="28"/>
      <x:c r="V629" s="28"/>
      <x:c r="W629" s="28"/>
      <x:c r="X629" s="28"/>
      <x:c r="Y629" s="28"/>
      <x:c r="Z629" s="28"/>
      <x:c r="AA629" s="28"/>
      <x:c r="AB629" s="56" t="str">
        <x:f>IF($A629="","",IF(Z629="Y",20,IF(Z629="Unknown",10,0))+$L629*5+IF(AA629="Y",15,IF(AA629="Unknown",5,0))+IF($J629="Public",10,IF($J629="Partner",7,IF($J629="Internal",3,0)))+IF($W629="Hard-coded",10,IF($W629="Unknown",7,IF($W629="Configurable",3,0)))+IF($I629&gt;=10,10,IF($I629&gt;=5,7,IF($I629&gt;=2,3,0)))+IF($K629="High",10,IF($K629="Medium",5,0)))</x:f>
      </x:c>
      <x:c r="AC629" s="28" t="str">
        <x:f>IF($A629="","",IF(AB629&gt;=70,"P0 - Immediate",IF(AB629&gt;=50,"P1 - High",IF(AB629&gt;=30,"P2 - Medium",IF(AB629&gt;=15,"P3 - Low","P4 - Monitor")))))</x:f>
      </x:c>
      <x:c r="AD629" s="28"/>
      <x:c r="AE629" s="28"/>
      <x:c r="AF629" s="28"/>
      <x:c r="AG629" s="58"/>
      <x:c r="AH629" s="28"/>
    </x:row>
    <x:row r="630">
      <x:c r="A630" s="28"/>
      <x:c r="B630" s="28"/>
      <x:c r="C630" s="28"/>
      <x:c r="D630" s="28"/>
      <x:c r="E630" s="28"/>
      <x:c r="F630" s="28"/>
      <x:c r="G630" s="28"/>
      <x:c r="H630" s="28"/>
      <x:c r="I630" s="56"/>
      <x:c r="J630" s="28"/>
      <x:c r="K630" s="28"/>
      <x:c r="L630" s="56"/>
      <x:c r="M630" s="28"/>
      <x:c r="N630" s="28"/>
      <x:c r="O630" s="28"/>
      <x:c r="P630" s="28"/>
      <x:c r="Q630" s="28"/>
      <x:c r="R630" s="28"/>
      <x:c r="S630" s="28"/>
      <x:c r="T630" s="28"/>
      <x:c r="U630" s="28"/>
      <x:c r="V630" s="28"/>
      <x:c r="W630" s="28"/>
      <x:c r="X630" s="28"/>
      <x:c r="Y630" s="28"/>
      <x:c r="Z630" s="28"/>
      <x:c r="AA630" s="28"/>
      <x:c r="AB630" s="56" t="str">
        <x:f>IF($A630="","",IF(Z630="Y",20,IF(Z630="Unknown",10,0))+$L630*5+IF(AA630="Y",15,IF(AA630="Unknown",5,0))+IF($J630="Public",10,IF($J630="Partner",7,IF($J630="Internal",3,0)))+IF($W630="Hard-coded",10,IF($W630="Unknown",7,IF($W630="Configurable",3,0)))+IF($I630&gt;=10,10,IF($I630&gt;=5,7,IF($I630&gt;=2,3,0)))+IF($K630="High",10,IF($K630="Medium",5,0)))</x:f>
      </x:c>
      <x:c r="AC630" s="28" t="str">
        <x:f>IF($A630="","",IF(AB630&gt;=70,"P0 - Immediate",IF(AB630&gt;=50,"P1 - High",IF(AB630&gt;=30,"P2 - Medium",IF(AB630&gt;=15,"P3 - Low","P4 - Monitor")))))</x:f>
      </x:c>
      <x:c r="AD630" s="28"/>
      <x:c r="AE630" s="28"/>
      <x:c r="AF630" s="28"/>
      <x:c r="AG630" s="58"/>
      <x:c r="AH630" s="28"/>
    </x:row>
    <x:row r="631">
      <x:c r="A631" s="28"/>
      <x:c r="B631" s="28"/>
      <x:c r="C631" s="28"/>
      <x:c r="D631" s="28"/>
      <x:c r="E631" s="28"/>
      <x:c r="F631" s="28"/>
      <x:c r="G631" s="28"/>
      <x:c r="H631" s="28"/>
      <x:c r="I631" s="56"/>
      <x:c r="J631" s="28"/>
      <x:c r="K631" s="28"/>
      <x:c r="L631" s="56"/>
      <x:c r="M631" s="28"/>
      <x:c r="N631" s="28"/>
      <x:c r="O631" s="28"/>
      <x:c r="P631" s="28"/>
      <x:c r="Q631" s="28"/>
      <x:c r="R631" s="28"/>
      <x:c r="S631" s="28"/>
      <x:c r="T631" s="28"/>
      <x:c r="U631" s="28"/>
      <x:c r="V631" s="28"/>
      <x:c r="W631" s="28"/>
      <x:c r="X631" s="28"/>
      <x:c r="Y631" s="28"/>
      <x:c r="Z631" s="28"/>
      <x:c r="AA631" s="28"/>
      <x:c r="AB631" s="56" t="str">
        <x:f>IF($A631="","",IF(Z631="Y",20,IF(Z631="Unknown",10,0))+$L631*5+IF(AA631="Y",15,IF(AA631="Unknown",5,0))+IF($J631="Public",10,IF($J631="Partner",7,IF($J631="Internal",3,0)))+IF($W631="Hard-coded",10,IF($W631="Unknown",7,IF($W631="Configurable",3,0)))+IF($I631&gt;=10,10,IF($I631&gt;=5,7,IF($I631&gt;=2,3,0)))+IF($K631="High",10,IF($K631="Medium",5,0)))</x:f>
      </x:c>
      <x:c r="AC631" s="28" t="str">
        <x:f>IF($A631="","",IF(AB631&gt;=70,"P0 - Immediate",IF(AB631&gt;=50,"P1 - High",IF(AB631&gt;=30,"P2 - Medium",IF(AB631&gt;=15,"P3 - Low","P4 - Monitor")))))</x:f>
      </x:c>
      <x:c r="AD631" s="28"/>
      <x:c r="AE631" s="28"/>
      <x:c r="AF631" s="28"/>
      <x:c r="AG631" s="58"/>
      <x:c r="AH631" s="28"/>
    </x:row>
    <x:row r="632">
      <x:c r="A632" s="28"/>
      <x:c r="B632" s="28"/>
      <x:c r="C632" s="28"/>
      <x:c r="D632" s="28"/>
      <x:c r="E632" s="28"/>
      <x:c r="F632" s="28"/>
      <x:c r="G632" s="28"/>
      <x:c r="H632" s="28"/>
      <x:c r="I632" s="56"/>
      <x:c r="J632" s="28"/>
      <x:c r="K632" s="28"/>
      <x:c r="L632" s="56"/>
      <x:c r="M632" s="28"/>
      <x:c r="N632" s="28"/>
      <x:c r="O632" s="28"/>
      <x:c r="P632" s="28"/>
      <x:c r="Q632" s="28"/>
      <x:c r="R632" s="28"/>
      <x:c r="S632" s="28"/>
      <x:c r="T632" s="28"/>
      <x:c r="U632" s="28"/>
      <x:c r="V632" s="28"/>
      <x:c r="W632" s="28"/>
      <x:c r="X632" s="28"/>
      <x:c r="Y632" s="28"/>
      <x:c r="Z632" s="28"/>
      <x:c r="AA632" s="28"/>
      <x:c r="AB632" s="56" t="str">
        <x:f>IF($A632="","",IF(Z632="Y",20,IF(Z632="Unknown",10,0))+$L632*5+IF(AA632="Y",15,IF(AA632="Unknown",5,0))+IF($J632="Public",10,IF($J632="Partner",7,IF($J632="Internal",3,0)))+IF($W632="Hard-coded",10,IF($W632="Unknown",7,IF($W632="Configurable",3,0)))+IF($I632&gt;=10,10,IF($I632&gt;=5,7,IF($I632&gt;=2,3,0)))+IF($K632="High",10,IF($K632="Medium",5,0)))</x:f>
      </x:c>
      <x:c r="AC632" s="28" t="str">
        <x:f>IF($A632="","",IF(AB632&gt;=70,"P0 - Immediate",IF(AB632&gt;=50,"P1 - High",IF(AB632&gt;=30,"P2 - Medium",IF(AB632&gt;=15,"P3 - Low","P4 - Monitor")))))</x:f>
      </x:c>
      <x:c r="AD632" s="28"/>
      <x:c r="AE632" s="28"/>
      <x:c r="AF632" s="28"/>
      <x:c r="AG632" s="58"/>
      <x:c r="AH632" s="28"/>
    </x:row>
    <x:row r="633">
      <x:c r="A633" s="28"/>
      <x:c r="B633" s="28"/>
      <x:c r="C633" s="28"/>
      <x:c r="D633" s="28"/>
      <x:c r="E633" s="28"/>
      <x:c r="F633" s="28"/>
      <x:c r="G633" s="28"/>
      <x:c r="H633" s="28"/>
      <x:c r="I633" s="56"/>
      <x:c r="J633" s="28"/>
      <x:c r="K633" s="28"/>
      <x:c r="L633" s="56"/>
      <x:c r="M633" s="28"/>
      <x:c r="N633" s="28"/>
      <x:c r="O633" s="28"/>
      <x:c r="P633" s="28"/>
      <x:c r="Q633" s="28"/>
      <x:c r="R633" s="28"/>
      <x:c r="S633" s="28"/>
      <x:c r="T633" s="28"/>
      <x:c r="U633" s="28"/>
      <x:c r="V633" s="28"/>
      <x:c r="W633" s="28"/>
      <x:c r="X633" s="28"/>
      <x:c r="Y633" s="28"/>
      <x:c r="Z633" s="28"/>
      <x:c r="AA633" s="28"/>
      <x:c r="AB633" s="56" t="str">
        <x:f>IF($A633="","",IF(Z633="Y",20,IF(Z633="Unknown",10,0))+$L633*5+IF(AA633="Y",15,IF(AA633="Unknown",5,0))+IF($J633="Public",10,IF($J633="Partner",7,IF($J633="Internal",3,0)))+IF($W633="Hard-coded",10,IF($W633="Unknown",7,IF($W633="Configurable",3,0)))+IF($I633&gt;=10,10,IF($I633&gt;=5,7,IF($I633&gt;=2,3,0)))+IF($K633="High",10,IF($K633="Medium",5,0)))</x:f>
      </x:c>
      <x:c r="AC633" s="28" t="str">
        <x:f>IF($A633="","",IF(AB633&gt;=70,"P0 - Immediate",IF(AB633&gt;=50,"P1 - High",IF(AB633&gt;=30,"P2 - Medium",IF(AB633&gt;=15,"P3 - Low","P4 - Monitor")))))</x:f>
      </x:c>
      <x:c r="AD633" s="28"/>
      <x:c r="AE633" s="28"/>
      <x:c r="AF633" s="28"/>
      <x:c r="AG633" s="58"/>
      <x:c r="AH633" s="28"/>
    </x:row>
    <x:row r="634">
      <x:c r="A634" s="28"/>
      <x:c r="B634" s="28"/>
      <x:c r="C634" s="28"/>
      <x:c r="D634" s="28"/>
      <x:c r="E634" s="28"/>
      <x:c r="F634" s="28"/>
      <x:c r="G634" s="28"/>
      <x:c r="H634" s="28"/>
      <x:c r="I634" s="56"/>
      <x:c r="J634" s="28"/>
      <x:c r="K634" s="28"/>
      <x:c r="L634" s="56"/>
      <x:c r="M634" s="28"/>
      <x:c r="N634" s="28"/>
      <x:c r="O634" s="28"/>
      <x:c r="P634" s="28"/>
      <x:c r="Q634" s="28"/>
      <x:c r="R634" s="28"/>
      <x:c r="S634" s="28"/>
      <x:c r="T634" s="28"/>
      <x:c r="U634" s="28"/>
      <x:c r="V634" s="28"/>
      <x:c r="W634" s="28"/>
      <x:c r="X634" s="28"/>
      <x:c r="Y634" s="28"/>
      <x:c r="Z634" s="28"/>
      <x:c r="AA634" s="28"/>
      <x:c r="AB634" s="56" t="str">
        <x:f>IF($A634="","",IF(Z634="Y",20,IF(Z634="Unknown",10,0))+$L634*5+IF(AA634="Y",15,IF(AA634="Unknown",5,0))+IF($J634="Public",10,IF($J634="Partner",7,IF($J634="Internal",3,0)))+IF($W634="Hard-coded",10,IF($W634="Unknown",7,IF($W634="Configurable",3,0)))+IF($I634&gt;=10,10,IF($I634&gt;=5,7,IF($I634&gt;=2,3,0)))+IF($K634="High",10,IF($K634="Medium",5,0)))</x:f>
      </x:c>
      <x:c r="AC634" s="28" t="str">
        <x:f>IF($A634="","",IF(AB634&gt;=70,"P0 - Immediate",IF(AB634&gt;=50,"P1 - High",IF(AB634&gt;=30,"P2 - Medium",IF(AB634&gt;=15,"P3 - Low","P4 - Monitor")))))</x:f>
      </x:c>
      <x:c r="AD634" s="28"/>
      <x:c r="AE634" s="28"/>
      <x:c r="AF634" s="28"/>
      <x:c r="AG634" s="58"/>
      <x:c r="AH634" s="28"/>
    </x:row>
    <x:row r="635">
      <x:c r="A635" s="28"/>
      <x:c r="B635" s="28"/>
      <x:c r="C635" s="28"/>
      <x:c r="D635" s="28"/>
      <x:c r="E635" s="28"/>
      <x:c r="F635" s="28"/>
      <x:c r="G635" s="28"/>
      <x:c r="H635" s="28"/>
      <x:c r="I635" s="56"/>
      <x:c r="J635" s="28"/>
      <x:c r="K635" s="28"/>
      <x:c r="L635" s="56"/>
      <x:c r="M635" s="28"/>
      <x:c r="N635" s="28"/>
      <x:c r="O635" s="28"/>
      <x:c r="P635" s="28"/>
      <x:c r="Q635" s="28"/>
      <x:c r="R635" s="28"/>
      <x:c r="S635" s="28"/>
      <x:c r="T635" s="28"/>
      <x:c r="U635" s="28"/>
      <x:c r="V635" s="28"/>
      <x:c r="W635" s="28"/>
      <x:c r="X635" s="28"/>
      <x:c r="Y635" s="28"/>
      <x:c r="Z635" s="28"/>
      <x:c r="AA635" s="28"/>
      <x:c r="AB635" s="56" t="str">
        <x:f>IF($A635="","",IF(Z635="Y",20,IF(Z635="Unknown",10,0))+$L635*5+IF(AA635="Y",15,IF(AA635="Unknown",5,0))+IF($J635="Public",10,IF($J635="Partner",7,IF($J635="Internal",3,0)))+IF($W635="Hard-coded",10,IF($W635="Unknown",7,IF($W635="Configurable",3,0)))+IF($I635&gt;=10,10,IF($I635&gt;=5,7,IF($I635&gt;=2,3,0)))+IF($K635="High",10,IF($K635="Medium",5,0)))</x:f>
      </x:c>
      <x:c r="AC635" s="28" t="str">
        <x:f>IF($A635="","",IF(AB635&gt;=70,"P0 - Immediate",IF(AB635&gt;=50,"P1 - High",IF(AB635&gt;=30,"P2 - Medium",IF(AB635&gt;=15,"P3 - Low","P4 - Monitor")))))</x:f>
      </x:c>
      <x:c r="AD635" s="28"/>
      <x:c r="AE635" s="28"/>
      <x:c r="AF635" s="28"/>
      <x:c r="AG635" s="58"/>
      <x:c r="AH635" s="28"/>
    </x:row>
    <x:row r="636">
      <x:c r="A636" s="28"/>
      <x:c r="B636" s="28"/>
      <x:c r="C636" s="28"/>
      <x:c r="D636" s="28"/>
      <x:c r="E636" s="28"/>
      <x:c r="F636" s="28"/>
      <x:c r="G636" s="28"/>
      <x:c r="H636" s="28"/>
      <x:c r="I636" s="56"/>
      <x:c r="J636" s="28"/>
      <x:c r="K636" s="28"/>
      <x:c r="L636" s="56"/>
      <x:c r="M636" s="28"/>
      <x:c r="N636" s="28"/>
      <x:c r="O636" s="28"/>
      <x:c r="P636" s="28"/>
      <x:c r="Q636" s="28"/>
      <x:c r="R636" s="28"/>
      <x:c r="S636" s="28"/>
      <x:c r="T636" s="28"/>
      <x:c r="U636" s="28"/>
      <x:c r="V636" s="28"/>
      <x:c r="W636" s="28"/>
      <x:c r="X636" s="28"/>
      <x:c r="Y636" s="28"/>
      <x:c r="Z636" s="28"/>
      <x:c r="AA636" s="28"/>
      <x:c r="AB636" s="56" t="str">
        <x:f>IF($A636="","",IF(Z636="Y",20,IF(Z636="Unknown",10,0))+$L636*5+IF(AA636="Y",15,IF(AA636="Unknown",5,0))+IF($J636="Public",10,IF($J636="Partner",7,IF($J636="Internal",3,0)))+IF($W636="Hard-coded",10,IF($W636="Unknown",7,IF($W636="Configurable",3,0)))+IF($I636&gt;=10,10,IF($I636&gt;=5,7,IF($I636&gt;=2,3,0)))+IF($K636="High",10,IF($K636="Medium",5,0)))</x:f>
      </x:c>
      <x:c r="AC636" s="28" t="str">
        <x:f>IF($A636="","",IF(AB636&gt;=70,"P0 - Immediate",IF(AB636&gt;=50,"P1 - High",IF(AB636&gt;=30,"P2 - Medium",IF(AB636&gt;=15,"P3 - Low","P4 - Monitor")))))</x:f>
      </x:c>
      <x:c r="AD636" s="28"/>
      <x:c r="AE636" s="28"/>
      <x:c r="AF636" s="28"/>
      <x:c r="AG636" s="58"/>
      <x:c r="AH636" s="28"/>
    </x:row>
    <x:row r="637">
      <x:c r="A637" s="28"/>
      <x:c r="B637" s="28"/>
      <x:c r="C637" s="28"/>
      <x:c r="D637" s="28"/>
      <x:c r="E637" s="28"/>
      <x:c r="F637" s="28"/>
      <x:c r="G637" s="28"/>
      <x:c r="H637" s="28"/>
      <x:c r="I637" s="56"/>
      <x:c r="J637" s="28"/>
      <x:c r="K637" s="28"/>
      <x:c r="L637" s="56"/>
      <x:c r="M637" s="28"/>
      <x:c r="N637" s="28"/>
      <x:c r="O637" s="28"/>
      <x:c r="P637" s="28"/>
      <x:c r="Q637" s="28"/>
      <x:c r="R637" s="28"/>
      <x:c r="S637" s="28"/>
      <x:c r="T637" s="28"/>
      <x:c r="U637" s="28"/>
      <x:c r="V637" s="28"/>
      <x:c r="W637" s="28"/>
      <x:c r="X637" s="28"/>
      <x:c r="Y637" s="28"/>
      <x:c r="Z637" s="28"/>
      <x:c r="AA637" s="28"/>
      <x:c r="AB637" s="56" t="str">
        <x:f>IF($A637="","",IF(Z637="Y",20,IF(Z637="Unknown",10,0))+$L637*5+IF(AA637="Y",15,IF(AA637="Unknown",5,0))+IF($J637="Public",10,IF($J637="Partner",7,IF($J637="Internal",3,0)))+IF($W637="Hard-coded",10,IF($W637="Unknown",7,IF($W637="Configurable",3,0)))+IF($I637&gt;=10,10,IF($I637&gt;=5,7,IF($I637&gt;=2,3,0)))+IF($K637="High",10,IF($K637="Medium",5,0)))</x:f>
      </x:c>
      <x:c r="AC637" s="28" t="str">
        <x:f>IF($A637="","",IF(AB637&gt;=70,"P0 - Immediate",IF(AB637&gt;=50,"P1 - High",IF(AB637&gt;=30,"P2 - Medium",IF(AB637&gt;=15,"P3 - Low","P4 - Monitor")))))</x:f>
      </x:c>
      <x:c r="AD637" s="28"/>
      <x:c r="AE637" s="28"/>
      <x:c r="AF637" s="28"/>
      <x:c r="AG637" s="58"/>
      <x:c r="AH637" s="28"/>
    </x:row>
    <x:row r="638">
      <x:c r="A638" s="28"/>
      <x:c r="B638" s="28"/>
      <x:c r="C638" s="28"/>
      <x:c r="D638" s="28"/>
      <x:c r="E638" s="28"/>
      <x:c r="F638" s="28"/>
      <x:c r="G638" s="28"/>
      <x:c r="H638" s="28"/>
      <x:c r="I638" s="56"/>
      <x:c r="J638" s="28"/>
      <x:c r="K638" s="28"/>
      <x:c r="L638" s="56"/>
      <x:c r="M638" s="28"/>
      <x:c r="N638" s="28"/>
      <x:c r="O638" s="28"/>
      <x:c r="P638" s="28"/>
      <x:c r="Q638" s="28"/>
      <x:c r="R638" s="28"/>
      <x:c r="S638" s="28"/>
      <x:c r="T638" s="28"/>
      <x:c r="U638" s="28"/>
      <x:c r="V638" s="28"/>
      <x:c r="W638" s="28"/>
      <x:c r="X638" s="28"/>
      <x:c r="Y638" s="28"/>
      <x:c r="Z638" s="28"/>
      <x:c r="AA638" s="28"/>
      <x:c r="AB638" s="56" t="str">
        <x:f>IF($A638="","",IF(Z638="Y",20,IF(Z638="Unknown",10,0))+$L638*5+IF(AA638="Y",15,IF(AA638="Unknown",5,0))+IF($J638="Public",10,IF($J638="Partner",7,IF($J638="Internal",3,0)))+IF($W638="Hard-coded",10,IF($W638="Unknown",7,IF($W638="Configurable",3,0)))+IF($I638&gt;=10,10,IF($I638&gt;=5,7,IF($I638&gt;=2,3,0)))+IF($K638="High",10,IF($K638="Medium",5,0)))</x:f>
      </x:c>
      <x:c r="AC638" s="28" t="str">
        <x:f>IF($A638="","",IF(AB638&gt;=70,"P0 - Immediate",IF(AB638&gt;=50,"P1 - High",IF(AB638&gt;=30,"P2 - Medium",IF(AB638&gt;=15,"P3 - Low","P4 - Monitor")))))</x:f>
      </x:c>
      <x:c r="AD638" s="28"/>
      <x:c r="AE638" s="28"/>
      <x:c r="AF638" s="28"/>
      <x:c r="AG638" s="58"/>
      <x:c r="AH638" s="28"/>
    </x:row>
    <x:row r="639">
      <x:c r="A639" s="28"/>
      <x:c r="B639" s="28"/>
      <x:c r="C639" s="28"/>
      <x:c r="D639" s="28"/>
      <x:c r="E639" s="28"/>
      <x:c r="F639" s="28"/>
      <x:c r="G639" s="28"/>
      <x:c r="H639" s="28"/>
      <x:c r="I639" s="56"/>
      <x:c r="J639" s="28"/>
      <x:c r="K639" s="28"/>
      <x:c r="L639" s="56"/>
      <x:c r="M639" s="28"/>
      <x:c r="N639" s="28"/>
      <x:c r="O639" s="28"/>
      <x:c r="P639" s="28"/>
      <x:c r="Q639" s="28"/>
      <x:c r="R639" s="28"/>
      <x:c r="S639" s="28"/>
      <x:c r="T639" s="28"/>
      <x:c r="U639" s="28"/>
      <x:c r="V639" s="28"/>
      <x:c r="W639" s="28"/>
      <x:c r="X639" s="28"/>
      <x:c r="Y639" s="28"/>
      <x:c r="Z639" s="28"/>
      <x:c r="AA639" s="28"/>
      <x:c r="AB639" s="56" t="str">
        <x:f>IF($A639="","",IF(Z639="Y",20,IF(Z639="Unknown",10,0))+$L639*5+IF(AA639="Y",15,IF(AA639="Unknown",5,0))+IF($J639="Public",10,IF($J639="Partner",7,IF($J639="Internal",3,0)))+IF($W639="Hard-coded",10,IF($W639="Unknown",7,IF($W639="Configurable",3,0)))+IF($I639&gt;=10,10,IF($I639&gt;=5,7,IF($I639&gt;=2,3,0)))+IF($K639="High",10,IF($K639="Medium",5,0)))</x:f>
      </x:c>
      <x:c r="AC639" s="28" t="str">
        <x:f>IF($A639="","",IF(AB639&gt;=70,"P0 - Immediate",IF(AB639&gt;=50,"P1 - High",IF(AB639&gt;=30,"P2 - Medium",IF(AB639&gt;=15,"P3 - Low","P4 - Monitor")))))</x:f>
      </x:c>
      <x:c r="AD639" s="28"/>
      <x:c r="AE639" s="28"/>
      <x:c r="AF639" s="28"/>
      <x:c r="AG639" s="58"/>
      <x:c r="AH639" s="28"/>
    </x:row>
    <x:row r="640">
      <x:c r="A640" s="28"/>
      <x:c r="B640" s="28"/>
      <x:c r="C640" s="28"/>
      <x:c r="D640" s="28"/>
      <x:c r="E640" s="28"/>
      <x:c r="F640" s="28"/>
      <x:c r="G640" s="28"/>
      <x:c r="H640" s="28"/>
      <x:c r="I640" s="56"/>
      <x:c r="J640" s="28"/>
      <x:c r="K640" s="28"/>
      <x:c r="L640" s="56"/>
      <x:c r="M640" s="28"/>
      <x:c r="N640" s="28"/>
      <x:c r="O640" s="28"/>
      <x:c r="P640" s="28"/>
      <x:c r="Q640" s="28"/>
      <x:c r="R640" s="28"/>
      <x:c r="S640" s="28"/>
      <x:c r="T640" s="28"/>
      <x:c r="U640" s="28"/>
      <x:c r="V640" s="28"/>
      <x:c r="W640" s="28"/>
      <x:c r="X640" s="28"/>
      <x:c r="Y640" s="28"/>
      <x:c r="Z640" s="28"/>
      <x:c r="AA640" s="28"/>
      <x:c r="AB640" s="56" t="str">
        <x:f>IF($A640="","",IF(Z640="Y",20,IF(Z640="Unknown",10,0))+$L640*5+IF(AA640="Y",15,IF(AA640="Unknown",5,0))+IF($J640="Public",10,IF($J640="Partner",7,IF($J640="Internal",3,0)))+IF($W640="Hard-coded",10,IF($W640="Unknown",7,IF($W640="Configurable",3,0)))+IF($I640&gt;=10,10,IF($I640&gt;=5,7,IF($I640&gt;=2,3,0)))+IF($K640="High",10,IF($K640="Medium",5,0)))</x:f>
      </x:c>
      <x:c r="AC640" s="28" t="str">
        <x:f>IF($A640="","",IF(AB640&gt;=70,"P0 - Immediate",IF(AB640&gt;=50,"P1 - High",IF(AB640&gt;=30,"P2 - Medium",IF(AB640&gt;=15,"P3 - Low","P4 - Monitor")))))</x:f>
      </x:c>
      <x:c r="AD640" s="28"/>
      <x:c r="AE640" s="28"/>
      <x:c r="AF640" s="28"/>
      <x:c r="AG640" s="58"/>
      <x:c r="AH640" s="28"/>
    </x:row>
    <x:row r="641">
      <x:c r="A641" s="28"/>
      <x:c r="B641" s="28"/>
      <x:c r="C641" s="28"/>
      <x:c r="D641" s="28"/>
      <x:c r="E641" s="28"/>
      <x:c r="F641" s="28"/>
      <x:c r="G641" s="28"/>
      <x:c r="H641" s="28"/>
      <x:c r="I641" s="56"/>
      <x:c r="J641" s="28"/>
      <x:c r="K641" s="28"/>
      <x:c r="L641" s="56"/>
      <x:c r="M641" s="28"/>
      <x:c r="N641" s="28"/>
      <x:c r="O641" s="28"/>
      <x:c r="P641" s="28"/>
      <x:c r="Q641" s="28"/>
      <x:c r="R641" s="28"/>
      <x:c r="S641" s="28"/>
      <x:c r="T641" s="28"/>
      <x:c r="U641" s="28"/>
      <x:c r="V641" s="28"/>
      <x:c r="W641" s="28"/>
      <x:c r="X641" s="28"/>
      <x:c r="Y641" s="28"/>
      <x:c r="Z641" s="28"/>
      <x:c r="AA641" s="28"/>
      <x:c r="AB641" s="56" t="str">
        <x:f>IF($A641="","",IF(Z641="Y",20,IF(Z641="Unknown",10,0))+$L641*5+IF(AA641="Y",15,IF(AA641="Unknown",5,0))+IF($J641="Public",10,IF($J641="Partner",7,IF($J641="Internal",3,0)))+IF($W641="Hard-coded",10,IF($W641="Unknown",7,IF($W641="Configurable",3,0)))+IF($I641&gt;=10,10,IF($I641&gt;=5,7,IF($I641&gt;=2,3,0)))+IF($K641="High",10,IF($K641="Medium",5,0)))</x:f>
      </x:c>
      <x:c r="AC641" s="28" t="str">
        <x:f>IF($A641="","",IF(AB641&gt;=70,"P0 - Immediate",IF(AB641&gt;=50,"P1 - High",IF(AB641&gt;=30,"P2 - Medium",IF(AB641&gt;=15,"P3 - Low","P4 - Monitor")))))</x:f>
      </x:c>
      <x:c r="AD641" s="28"/>
      <x:c r="AE641" s="28"/>
      <x:c r="AF641" s="28"/>
      <x:c r="AG641" s="58"/>
      <x:c r="AH641" s="28"/>
    </x:row>
    <x:row r="642">
      <x:c r="A642" s="28"/>
      <x:c r="B642" s="28"/>
      <x:c r="C642" s="28"/>
      <x:c r="D642" s="28"/>
      <x:c r="E642" s="28"/>
      <x:c r="F642" s="28"/>
      <x:c r="G642" s="28"/>
      <x:c r="H642" s="28"/>
      <x:c r="I642" s="56"/>
      <x:c r="J642" s="28"/>
      <x:c r="K642" s="28"/>
      <x:c r="L642" s="56"/>
      <x:c r="M642" s="28"/>
      <x:c r="N642" s="28"/>
      <x:c r="O642" s="28"/>
      <x:c r="P642" s="28"/>
      <x:c r="Q642" s="28"/>
      <x:c r="R642" s="28"/>
      <x:c r="S642" s="28"/>
      <x:c r="T642" s="28"/>
      <x:c r="U642" s="28"/>
      <x:c r="V642" s="28"/>
      <x:c r="W642" s="28"/>
      <x:c r="X642" s="28"/>
      <x:c r="Y642" s="28"/>
      <x:c r="Z642" s="28"/>
      <x:c r="AA642" s="28"/>
      <x:c r="AB642" s="56" t="str">
        <x:f>IF($A642="","",IF(Z642="Y",20,IF(Z642="Unknown",10,0))+$L642*5+IF(AA642="Y",15,IF(AA642="Unknown",5,0))+IF($J642="Public",10,IF($J642="Partner",7,IF($J642="Internal",3,0)))+IF($W642="Hard-coded",10,IF($W642="Unknown",7,IF($W642="Configurable",3,0)))+IF($I642&gt;=10,10,IF($I642&gt;=5,7,IF($I642&gt;=2,3,0)))+IF($K642="High",10,IF($K642="Medium",5,0)))</x:f>
      </x:c>
      <x:c r="AC642" s="28" t="str">
        <x:f>IF($A642="","",IF(AB642&gt;=70,"P0 - Immediate",IF(AB642&gt;=50,"P1 - High",IF(AB642&gt;=30,"P2 - Medium",IF(AB642&gt;=15,"P3 - Low","P4 - Monitor")))))</x:f>
      </x:c>
      <x:c r="AD642" s="28"/>
      <x:c r="AE642" s="28"/>
      <x:c r="AF642" s="28"/>
      <x:c r="AG642" s="58"/>
      <x:c r="AH642" s="28"/>
    </x:row>
    <x:row r="643">
      <x:c r="A643" s="28"/>
      <x:c r="B643" s="28"/>
      <x:c r="C643" s="28"/>
      <x:c r="D643" s="28"/>
      <x:c r="E643" s="28"/>
      <x:c r="F643" s="28"/>
      <x:c r="G643" s="28"/>
      <x:c r="H643" s="28"/>
      <x:c r="I643" s="56"/>
      <x:c r="J643" s="28"/>
      <x:c r="K643" s="28"/>
      <x:c r="L643" s="56"/>
      <x:c r="M643" s="28"/>
      <x:c r="N643" s="28"/>
      <x:c r="O643" s="28"/>
      <x:c r="P643" s="28"/>
      <x:c r="Q643" s="28"/>
      <x:c r="R643" s="28"/>
      <x:c r="S643" s="28"/>
      <x:c r="T643" s="28"/>
      <x:c r="U643" s="28"/>
      <x:c r="V643" s="28"/>
      <x:c r="W643" s="28"/>
      <x:c r="X643" s="28"/>
      <x:c r="Y643" s="28"/>
      <x:c r="Z643" s="28"/>
      <x:c r="AA643" s="28"/>
      <x:c r="AB643" s="56" t="str">
        <x:f>IF($A643="","",IF(Z643="Y",20,IF(Z643="Unknown",10,0))+$L643*5+IF(AA643="Y",15,IF(AA643="Unknown",5,0))+IF($J643="Public",10,IF($J643="Partner",7,IF($J643="Internal",3,0)))+IF($W643="Hard-coded",10,IF($W643="Unknown",7,IF($W643="Configurable",3,0)))+IF($I643&gt;=10,10,IF($I643&gt;=5,7,IF($I643&gt;=2,3,0)))+IF($K643="High",10,IF($K643="Medium",5,0)))</x:f>
      </x:c>
      <x:c r="AC643" s="28" t="str">
        <x:f>IF($A643="","",IF(AB643&gt;=70,"P0 - Immediate",IF(AB643&gt;=50,"P1 - High",IF(AB643&gt;=30,"P2 - Medium",IF(AB643&gt;=15,"P3 - Low","P4 - Monitor")))))</x:f>
      </x:c>
      <x:c r="AD643" s="28"/>
      <x:c r="AE643" s="28"/>
      <x:c r="AF643" s="28"/>
      <x:c r="AG643" s="58"/>
      <x:c r="AH643" s="28"/>
    </x:row>
    <x:row r="644">
      <x:c r="A644" s="28"/>
      <x:c r="B644" s="28"/>
      <x:c r="C644" s="28"/>
      <x:c r="D644" s="28"/>
      <x:c r="E644" s="28"/>
      <x:c r="F644" s="28"/>
      <x:c r="G644" s="28"/>
      <x:c r="H644" s="28"/>
      <x:c r="I644" s="56"/>
      <x:c r="J644" s="28"/>
      <x:c r="K644" s="28"/>
      <x:c r="L644" s="56"/>
      <x:c r="M644" s="28"/>
      <x:c r="N644" s="28"/>
      <x:c r="O644" s="28"/>
      <x:c r="P644" s="28"/>
      <x:c r="Q644" s="28"/>
      <x:c r="R644" s="28"/>
      <x:c r="S644" s="28"/>
      <x:c r="T644" s="28"/>
      <x:c r="U644" s="28"/>
      <x:c r="V644" s="28"/>
      <x:c r="W644" s="28"/>
      <x:c r="X644" s="28"/>
      <x:c r="Y644" s="28"/>
      <x:c r="Z644" s="28"/>
      <x:c r="AA644" s="28"/>
      <x:c r="AB644" s="56" t="str">
        <x:f>IF($A644="","",IF(Z644="Y",20,IF(Z644="Unknown",10,0))+$L644*5+IF(AA644="Y",15,IF(AA644="Unknown",5,0))+IF($J644="Public",10,IF($J644="Partner",7,IF($J644="Internal",3,0)))+IF($W644="Hard-coded",10,IF($W644="Unknown",7,IF($W644="Configurable",3,0)))+IF($I644&gt;=10,10,IF($I644&gt;=5,7,IF($I644&gt;=2,3,0)))+IF($K644="High",10,IF($K644="Medium",5,0)))</x:f>
      </x:c>
      <x:c r="AC644" s="28" t="str">
        <x:f>IF($A644="","",IF(AB644&gt;=70,"P0 - Immediate",IF(AB644&gt;=50,"P1 - High",IF(AB644&gt;=30,"P2 - Medium",IF(AB644&gt;=15,"P3 - Low","P4 - Monitor")))))</x:f>
      </x:c>
      <x:c r="AD644" s="28"/>
      <x:c r="AE644" s="28"/>
      <x:c r="AF644" s="28"/>
      <x:c r="AG644" s="58"/>
      <x:c r="AH644" s="28"/>
    </x:row>
    <x:row r="645">
      <x:c r="A645" s="28"/>
      <x:c r="B645" s="28"/>
      <x:c r="C645" s="28"/>
      <x:c r="D645" s="28"/>
      <x:c r="E645" s="28"/>
      <x:c r="F645" s="28"/>
      <x:c r="G645" s="28"/>
      <x:c r="H645" s="28"/>
      <x:c r="I645" s="56"/>
      <x:c r="J645" s="28"/>
      <x:c r="K645" s="28"/>
      <x:c r="L645" s="56"/>
      <x:c r="M645" s="28"/>
      <x:c r="N645" s="28"/>
      <x:c r="O645" s="28"/>
      <x:c r="P645" s="28"/>
      <x:c r="Q645" s="28"/>
      <x:c r="R645" s="28"/>
      <x:c r="S645" s="28"/>
      <x:c r="T645" s="28"/>
      <x:c r="U645" s="28"/>
      <x:c r="V645" s="28"/>
      <x:c r="W645" s="28"/>
      <x:c r="X645" s="28"/>
      <x:c r="Y645" s="28"/>
      <x:c r="Z645" s="28"/>
      <x:c r="AA645" s="28"/>
      <x:c r="AB645" s="56" t="str">
        <x:f>IF($A645="","",IF(Z645="Y",20,IF(Z645="Unknown",10,0))+$L645*5+IF(AA645="Y",15,IF(AA645="Unknown",5,0))+IF($J645="Public",10,IF($J645="Partner",7,IF($J645="Internal",3,0)))+IF($W645="Hard-coded",10,IF($W645="Unknown",7,IF($W645="Configurable",3,0)))+IF($I645&gt;=10,10,IF($I645&gt;=5,7,IF($I645&gt;=2,3,0)))+IF($K645="High",10,IF($K645="Medium",5,0)))</x:f>
      </x:c>
      <x:c r="AC645" s="28" t="str">
        <x:f>IF($A645="","",IF(AB645&gt;=70,"P0 - Immediate",IF(AB645&gt;=50,"P1 - High",IF(AB645&gt;=30,"P2 - Medium",IF(AB645&gt;=15,"P3 - Low","P4 - Monitor")))))</x:f>
      </x:c>
      <x:c r="AD645" s="28"/>
      <x:c r="AE645" s="28"/>
      <x:c r="AF645" s="28"/>
      <x:c r="AG645" s="58"/>
      <x:c r="AH645" s="28"/>
    </x:row>
    <x:row r="646">
      <x:c r="A646" s="28"/>
      <x:c r="B646" s="28"/>
      <x:c r="C646" s="28"/>
      <x:c r="D646" s="28"/>
      <x:c r="E646" s="28"/>
      <x:c r="F646" s="28"/>
      <x:c r="G646" s="28"/>
      <x:c r="H646" s="28"/>
      <x:c r="I646" s="56"/>
      <x:c r="J646" s="28"/>
      <x:c r="K646" s="28"/>
      <x:c r="L646" s="56"/>
      <x:c r="M646" s="28"/>
      <x:c r="N646" s="28"/>
      <x:c r="O646" s="28"/>
      <x:c r="P646" s="28"/>
      <x:c r="Q646" s="28"/>
      <x:c r="R646" s="28"/>
      <x:c r="S646" s="28"/>
      <x:c r="T646" s="28"/>
      <x:c r="U646" s="28"/>
      <x:c r="V646" s="28"/>
      <x:c r="W646" s="28"/>
      <x:c r="X646" s="28"/>
      <x:c r="Y646" s="28"/>
      <x:c r="Z646" s="28"/>
      <x:c r="AA646" s="28"/>
      <x:c r="AB646" s="56" t="str">
        <x:f>IF($A646="","",IF(Z646="Y",20,IF(Z646="Unknown",10,0))+$L646*5+IF(AA646="Y",15,IF(AA646="Unknown",5,0))+IF($J646="Public",10,IF($J646="Partner",7,IF($J646="Internal",3,0)))+IF($W646="Hard-coded",10,IF($W646="Unknown",7,IF($W646="Configurable",3,0)))+IF($I646&gt;=10,10,IF($I646&gt;=5,7,IF($I646&gt;=2,3,0)))+IF($K646="High",10,IF($K646="Medium",5,0)))</x:f>
      </x:c>
      <x:c r="AC646" s="28" t="str">
        <x:f>IF($A646="","",IF(AB646&gt;=70,"P0 - Immediate",IF(AB646&gt;=50,"P1 - High",IF(AB646&gt;=30,"P2 - Medium",IF(AB646&gt;=15,"P3 - Low","P4 - Monitor")))))</x:f>
      </x:c>
      <x:c r="AD646" s="28"/>
      <x:c r="AE646" s="28"/>
      <x:c r="AF646" s="28"/>
      <x:c r="AG646" s="58"/>
      <x:c r="AH646" s="28"/>
    </x:row>
    <x:row r="647">
      <x:c r="A647" s="28"/>
      <x:c r="B647" s="28"/>
      <x:c r="C647" s="28"/>
      <x:c r="D647" s="28"/>
      <x:c r="E647" s="28"/>
      <x:c r="F647" s="28"/>
      <x:c r="G647" s="28"/>
      <x:c r="H647" s="28"/>
      <x:c r="I647" s="56"/>
      <x:c r="J647" s="28"/>
      <x:c r="K647" s="28"/>
      <x:c r="L647" s="56"/>
      <x:c r="M647" s="28"/>
      <x:c r="N647" s="28"/>
      <x:c r="O647" s="28"/>
      <x:c r="P647" s="28"/>
      <x:c r="Q647" s="28"/>
      <x:c r="R647" s="28"/>
      <x:c r="S647" s="28"/>
      <x:c r="T647" s="28"/>
      <x:c r="U647" s="28"/>
      <x:c r="V647" s="28"/>
      <x:c r="W647" s="28"/>
      <x:c r="X647" s="28"/>
      <x:c r="Y647" s="28"/>
      <x:c r="Z647" s="28"/>
      <x:c r="AA647" s="28"/>
      <x:c r="AB647" s="56" t="str">
        <x:f>IF($A647="","",IF(Z647="Y",20,IF(Z647="Unknown",10,0))+$L647*5+IF(AA647="Y",15,IF(AA647="Unknown",5,0))+IF($J647="Public",10,IF($J647="Partner",7,IF($J647="Internal",3,0)))+IF($W647="Hard-coded",10,IF($W647="Unknown",7,IF($W647="Configurable",3,0)))+IF($I647&gt;=10,10,IF($I647&gt;=5,7,IF($I647&gt;=2,3,0)))+IF($K647="High",10,IF($K647="Medium",5,0)))</x:f>
      </x:c>
      <x:c r="AC647" s="28" t="str">
        <x:f>IF($A647="","",IF(AB647&gt;=70,"P0 - Immediate",IF(AB647&gt;=50,"P1 - High",IF(AB647&gt;=30,"P2 - Medium",IF(AB647&gt;=15,"P3 - Low","P4 - Monitor")))))</x:f>
      </x:c>
      <x:c r="AD647" s="28"/>
      <x:c r="AE647" s="28"/>
      <x:c r="AF647" s="28"/>
      <x:c r="AG647" s="58"/>
      <x:c r="AH647" s="28"/>
    </x:row>
    <x:row r="648">
      <x:c r="A648" s="28"/>
      <x:c r="B648" s="28"/>
      <x:c r="C648" s="28"/>
      <x:c r="D648" s="28"/>
      <x:c r="E648" s="28"/>
      <x:c r="F648" s="28"/>
      <x:c r="G648" s="28"/>
      <x:c r="H648" s="28"/>
      <x:c r="I648" s="56"/>
      <x:c r="J648" s="28"/>
      <x:c r="K648" s="28"/>
      <x:c r="L648" s="56"/>
      <x:c r="M648" s="28"/>
      <x:c r="N648" s="28"/>
      <x:c r="O648" s="28"/>
      <x:c r="P648" s="28"/>
      <x:c r="Q648" s="28"/>
      <x:c r="R648" s="28"/>
      <x:c r="S648" s="28"/>
      <x:c r="T648" s="28"/>
      <x:c r="U648" s="28"/>
      <x:c r="V648" s="28"/>
      <x:c r="W648" s="28"/>
      <x:c r="X648" s="28"/>
      <x:c r="Y648" s="28"/>
      <x:c r="Z648" s="28"/>
      <x:c r="AA648" s="28"/>
      <x:c r="AB648" s="56" t="str">
        <x:f>IF($A648="","",IF(Z648="Y",20,IF(Z648="Unknown",10,0))+$L648*5+IF(AA648="Y",15,IF(AA648="Unknown",5,0))+IF($J648="Public",10,IF($J648="Partner",7,IF($J648="Internal",3,0)))+IF($W648="Hard-coded",10,IF($W648="Unknown",7,IF($W648="Configurable",3,0)))+IF($I648&gt;=10,10,IF($I648&gt;=5,7,IF($I648&gt;=2,3,0)))+IF($K648="High",10,IF($K648="Medium",5,0)))</x:f>
      </x:c>
      <x:c r="AC648" s="28" t="str">
        <x:f>IF($A648="","",IF(AB648&gt;=70,"P0 - Immediate",IF(AB648&gt;=50,"P1 - High",IF(AB648&gt;=30,"P2 - Medium",IF(AB648&gt;=15,"P3 - Low","P4 - Monitor")))))</x:f>
      </x:c>
      <x:c r="AD648" s="28"/>
      <x:c r="AE648" s="28"/>
      <x:c r="AF648" s="28"/>
      <x:c r="AG648" s="58"/>
      <x:c r="AH648" s="28"/>
    </x:row>
    <x:row r="649">
      <x:c r="A649" s="28"/>
      <x:c r="B649" s="28"/>
      <x:c r="C649" s="28"/>
      <x:c r="D649" s="28"/>
      <x:c r="E649" s="28"/>
      <x:c r="F649" s="28"/>
      <x:c r="G649" s="28"/>
      <x:c r="H649" s="28"/>
      <x:c r="I649" s="56"/>
      <x:c r="J649" s="28"/>
      <x:c r="K649" s="28"/>
      <x:c r="L649" s="56"/>
      <x:c r="M649" s="28"/>
      <x:c r="N649" s="28"/>
      <x:c r="O649" s="28"/>
      <x:c r="P649" s="28"/>
      <x:c r="Q649" s="28"/>
      <x:c r="R649" s="28"/>
      <x:c r="S649" s="28"/>
      <x:c r="T649" s="28"/>
      <x:c r="U649" s="28"/>
      <x:c r="V649" s="28"/>
      <x:c r="W649" s="28"/>
      <x:c r="X649" s="28"/>
      <x:c r="Y649" s="28"/>
      <x:c r="Z649" s="28"/>
      <x:c r="AA649" s="28"/>
      <x:c r="AB649" s="56" t="str">
        <x:f>IF($A649="","",IF(Z649="Y",20,IF(Z649="Unknown",10,0))+$L649*5+IF(AA649="Y",15,IF(AA649="Unknown",5,0))+IF($J649="Public",10,IF($J649="Partner",7,IF($J649="Internal",3,0)))+IF($W649="Hard-coded",10,IF($W649="Unknown",7,IF($W649="Configurable",3,0)))+IF($I649&gt;=10,10,IF($I649&gt;=5,7,IF($I649&gt;=2,3,0)))+IF($K649="High",10,IF($K649="Medium",5,0)))</x:f>
      </x:c>
      <x:c r="AC649" s="28" t="str">
        <x:f>IF($A649="","",IF(AB649&gt;=70,"P0 - Immediate",IF(AB649&gt;=50,"P1 - High",IF(AB649&gt;=30,"P2 - Medium",IF(AB649&gt;=15,"P3 - Low","P4 - Monitor")))))</x:f>
      </x:c>
      <x:c r="AD649" s="28"/>
      <x:c r="AE649" s="28"/>
      <x:c r="AF649" s="28"/>
      <x:c r="AG649" s="58"/>
      <x:c r="AH649" s="28"/>
    </x:row>
    <x:row r="650">
      <x:c r="A650" s="28"/>
      <x:c r="B650" s="28"/>
      <x:c r="C650" s="28"/>
      <x:c r="D650" s="28"/>
      <x:c r="E650" s="28"/>
      <x:c r="F650" s="28"/>
      <x:c r="G650" s="28"/>
      <x:c r="H650" s="28"/>
      <x:c r="I650" s="56"/>
      <x:c r="J650" s="28"/>
      <x:c r="K650" s="28"/>
      <x:c r="L650" s="56"/>
      <x:c r="M650" s="28"/>
      <x:c r="N650" s="28"/>
      <x:c r="O650" s="28"/>
      <x:c r="P650" s="28"/>
      <x:c r="Q650" s="28"/>
      <x:c r="R650" s="28"/>
      <x:c r="S650" s="28"/>
      <x:c r="T650" s="28"/>
      <x:c r="U650" s="28"/>
      <x:c r="V650" s="28"/>
      <x:c r="W650" s="28"/>
      <x:c r="X650" s="28"/>
      <x:c r="Y650" s="28"/>
      <x:c r="Z650" s="28"/>
      <x:c r="AA650" s="28"/>
      <x:c r="AB650" s="56" t="str">
        <x:f>IF($A650="","",IF(Z650="Y",20,IF(Z650="Unknown",10,0))+$L650*5+IF(AA650="Y",15,IF(AA650="Unknown",5,0))+IF($J650="Public",10,IF($J650="Partner",7,IF($J650="Internal",3,0)))+IF($W650="Hard-coded",10,IF($W650="Unknown",7,IF($W650="Configurable",3,0)))+IF($I650&gt;=10,10,IF($I650&gt;=5,7,IF($I650&gt;=2,3,0)))+IF($K650="High",10,IF($K650="Medium",5,0)))</x:f>
      </x:c>
      <x:c r="AC650" s="28" t="str">
        <x:f>IF($A650="","",IF(AB650&gt;=70,"P0 - Immediate",IF(AB650&gt;=50,"P1 - High",IF(AB650&gt;=30,"P2 - Medium",IF(AB650&gt;=15,"P3 - Low","P4 - Monitor")))))</x:f>
      </x:c>
      <x:c r="AD650" s="28"/>
      <x:c r="AE650" s="28"/>
      <x:c r="AF650" s="28"/>
      <x:c r="AG650" s="58"/>
      <x:c r="AH650" s="28"/>
    </x:row>
    <x:row r="651">
      <x:c r="A651" s="28"/>
      <x:c r="B651" s="28"/>
      <x:c r="C651" s="28"/>
      <x:c r="D651" s="28"/>
      <x:c r="E651" s="28"/>
      <x:c r="F651" s="28"/>
      <x:c r="G651" s="28"/>
      <x:c r="H651" s="28"/>
      <x:c r="I651" s="56"/>
      <x:c r="J651" s="28"/>
      <x:c r="K651" s="28"/>
      <x:c r="L651" s="56"/>
      <x:c r="M651" s="28"/>
      <x:c r="N651" s="28"/>
      <x:c r="O651" s="28"/>
      <x:c r="P651" s="28"/>
      <x:c r="Q651" s="28"/>
      <x:c r="R651" s="28"/>
      <x:c r="S651" s="28"/>
      <x:c r="T651" s="28"/>
      <x:c r="U651" s="28"/>
      <x:c r="V651" s="28"/>
      <x:c r="W651" s="28"/>
      <x:c r="X651" s="28"/>
      <x:c r="Y651" s="28"/>
      <x:c r="Z651" s="28"/>
      <x:c r="AA651" s="28"/>
      <x:c r="AB651" s="56" t="str">
        <x:f>IF($A651="","",IF(Z651="Y",20,IF(Z651="Unknown",10,0))+$L651*5+IF(AA651="Y",15,IF(AA651="Unknown",5,0))+IF($J651="Public",10,IF($J651="Partner",7,IF($J651="Internal",3,0)))+IF($W651="Hard-coded",10,IF($W651="Unknown",7,IF($W651="Configurable",3,0)))+IF($I651&gt;=10,10,IF($I651&gt;=5,7,IF($I651&gt;=2,3,0)))+IF($K651="High",10,IF($K651="Medium",5,0)))</x:f>
      </x:c>
      <x:c r="AC651" s="28" t="str">
        <x:f>IF($A651="","",IF(AB651&gt;=70,"P0 - Immediate",IF(AB651&gt;=50,"P1 - High",IF(AB651&gt;=30,"P2 - Medium",IF(AB651&gt;=15,"P3 - Low","P4 - Monitor")))))</x:f>
      </x:c>
      <x:c r="AD651" s="28"/>
      <x:c r="AE651" s="28"/>
      <x:c r="AF651" s="28"/>
      <x:c r="AG651" s="58"/>
      <x:c r="AH651" s="28"/>
    </x:row>
    <x:row r="652">
      <x:c r="A652" s="28"/>
      <x:c r="B652" s="28"/>
      <x:c r="C652" s="28"/>
      <x:c r="D652" s="28"/>
      <x:c r="E652" s="28"/>
      <x:c r="F652" s="28"/>
      <x:c r="G652" s="28"/>
      <x:c r="H652" s="28"/>
      <x:c r="I652" s="56"/>
      <x:c r="J652" s="28"/>
      <x:c r="K652" s="28"/>
      <x:c r="L652" s="56"/>
      <x:c r="M652" s="28"/>
      <x:c r="N652" s="28"/>
      <x:c r="O652" s="28"/>
      <x:c r="P652" s="28"/>
      <x:c r="Q652" s="28"/>
      <x:c r="R652" s="28"/>
      <x:c r="S652" s="28"/>
      <x:c r="T652" s="28"/>
      <x:c r="U652" s="28"/>
      <x:c r="V652" s="28"/>
      <x:c r="W652" s="28"/>
      <x:c r="X652" s="28"/>
      <x:c r="Y652" s="28"/>
      <x:c r="Z652" s="28"/>
      <x:c r="AA652" s="28"/>
      <x:c r="AB652" s="56" t="str">
        <x:f>IF($A652="","",IF(Z652="Y",20,IF(Z652="Unknown",10,0))+$L652*5+IF(AA652="Y",15,IF(AA652="Unknown",5,0))+IF($J652="Public",10,IF($J652="Partner",7,IF($J652="Internal",3,0)))+IF($W652="Hard-coded",10,IF($W652="Unknown",7,IF($W652="Configurable",3,0)))+IF($I652&gt;=10,10,IF($I652&gt;=5,7,IF($I652&gt;=2,3,0)))+IF($K652="High",10,IF($K652="Medium",5,0)))</x:f>
      </x:c>
      <x:c r="AC652" s="28" t="str">
        <x:f>IF($A652="","",IF(AB652&gt;=70,"P0 - Immediate",IF(AB652&gt;=50,"P1 - High",IF(AB652&gt;=30,"P2 - Medium",IF(AB652&gt;=15,"P3 - Low","P4 - Monitor")))))</x:f>
      </x:c>
      <x:c r="AD652" s="28"/>
      <x:c r="AE652" s="28"/>
      <x:c r="AF652" s="28"/>
      <x:c r="AG652" s="58"/>
      <x:c r="AH652" s="28"/>
    </x:row>
    <x:row r="653">
      <x:c r="A653" s="28"/>
      <x:c r="B653" s="28"/>
      <x:c r="C653" s="28"/>
      <x:c r="D653" s="28"/>
      <x:c r="E653" s="28"/>
      <x:c r="F653" s="28"/>
      <x:c r="G653" s="28"/>
      <x:c r="H653" s="28"/>
      <x:c r="I653" s="56"/>
      <x:c r="J653" s="28"/>
      <x:c r="K653" s="28"/>
      <x:c r="L653" s="56"/>
      <x:c r="M653" s="28"/>
      <x:c r="N653" s="28"/>
      <x:c r="O653" s="28"/>
      <x:c r="P653" s="28"/>
      <x:c r="Q653" s="28"/>
      <x:c r="R653" s="28"/>
      <x:c r="S653" s="28"/>
      <x:c r="T653" s="28"/>
      <x:c r="U653" s="28"/>
      <x:c r="V653" s="28"/>
      <x:c r="W653" s="28"/>
      <x:c r="X653" s="28"/>
      <x:c r="Y653" s="28"/>
      <x:c r="Z653" s="28"/>
      <x:c r="AA653" s="28"/>
      <x:c r="AB653" s="56" t="str">
        <x:f>IF($A653="","",IF(Z653="Y",20,IF(Z653="Unknown",10,0))+$L653*5+IF(AA653="Y",15,IF(AA653="Unknown",5,0))+IF($J653="Public",10,IF($J653="Partner",7,IF($J653="Internal",3,0)))+IF($W653="Hard-coded",10,IF($W653="Unknown",7,IF($W653="Configurable",3,0)))+IF($I653&gt;=10,10,IF($I653&gt;=5,7,IF($I653&gt;=2,3,0)))+IF($K653="High",10,IF($K653="Medium",5,0)))</x:f>
      </x:c>
      <x:c r="AC653" s="28" t="str">
        <x:f>IF($A653="","",IF(AB653&gt;=70,"P0 - Immediate",IF(AB653&gt;=50,"P1 - High",IF(AB653&gt;=30,"P2 - Medium",IF(AB653&gt;=15,"P3 - Low","P4 - Monitor")))))</x:f>
      </x:c>
      <x:c r="AD653" s="28"/>
      <x:c r="AE653" s="28"/>
      <x:c r="AF653" s="28"/>
      <x:c r="AG653" s="58"/>
      <x:c r="AH653" s="28"/>
    </x:row>
    <x:row r="654">
      <x:c r="A654" s="28"/>
      <x:c r="B654" s="28"/>
      <x:c r="C654" s="28"/>
      <x:c r="D654" s="28"/>
      <x:c r="E654" s="28"/>
      <x:c r="F654" s="28"/>
      <x:c r="G654" s="28"/>
      <x:c r="H654" s="28"/>
      <x:c r="I654" s="56"/>
      <x:c r="J654" s="28"/>
      <x:c r="K654" s="28"/>
      <x:c r="L654" s="56"/>
      <x:c r="M654" s="28"/>
      <x:c r="N654" s="28"/>
      <x:c r="O654" s="28"/>
      <x:c r="P654" s="28"/>
      <x:c r="Q654" s="28"/>
      <x:c r="R654" s="28"/>
      <x:c r="S654" s="28"/>
      <x:c r="T654" s="28"/>
      <x:c r="U654" s="28"/>
      <x:c r="V654" s="28"/>
      <x:c r="W654" s="28"/>
      <x:c r="X654" s="28"/>
      <x:c r="Y654" s="28"/>
      <x:c r="Z654" s="28"/>
      <x:c r="AA654" s="28"/>
      <x:c r="AB654" s="56" t="str">
        <x:f>IF($A654="","",IF(Z654="Y",20,IF(Z654="Unknown",10,0))+$L654*5+IF(AA654="Y",15,IF(AA654="Unknown",5,0))+IF($J654="Public",10,IF($J654="Partner",7,IF($J654="Internal",3,0)))+IF($W654="Hard-coded",10,IF($W654="Unknown",7,IF($W654="Configurable",3,0)))+IF($I654&gt;=10,10,IF($I654&gt;=5,7,IF($I654&gt;=2,3,0)))+IF($K654="High",10,IF($K654="Medium",5,0)))</x:f>
      </x:c>
      <x:c r="AC654" s="28" t="str">
        <x:f>IF($A654="","",IF(AB654&gt;=70,"P0 - Immediate",IF(AB654&gt;=50,"P1 - High",IF(AB654&gt;=30,"P2 - Medium",IF(AB654&gt;=15,"P3 - Low","P4 - Monitor")))))</x:f>
      </x:c>
      <x:c r="AD654" s="28"/>
      <x:c r="AE654" s="28"/>
      <x:c r="AF654" s="28"/>
      <x:c r="AG654" s="58"/>
      <x:c r="AH654" s="28"/>
    </x:row>
    <x:row r="655">
      <x:c r="A655" s="28"/>
      <x:c r="B655" s="28"/>
      <x:c r="C655" s="28"/>
      <x:c r="D655" s="28"/>
      <x:c r="E655" s="28"/>
      <x:c r="F655" s="28"/>
      <x:c r="G655" s="28"/>
      <x:c r="H655" s="28"/>
      <x:c r="I655" s="56"/>
      <x:c r="J655" s="28"/>
      <x:c r="K655" s="28"/>
      <x:c r="L655" s="56"/>
      <x:c r="M655" s="28"/>
      <x:c r="N655" s="28"/>
      <x:c r="O655" s="28"/>
      <x:c r="P655" s="28"/>
      <x:c r="Q655" s="28"/>
      <x:c r="R655" s="28"/>
      <x:c r="S655" s="28"/>
      <x:c r="T655" s="28"/>
      <x:c r="U655" s="28"/>
      <x:c r="V655" s="28"/>
      <x:c r="W655" s="28"/>
      <x:c r="X655" s="28"/>
      <x:c r="Y655" s="28"/>
      <x:c r="Z655" s="28"/>
      <x:c r="AA655" s="28"/>
      <x:c r="AB655" s="56" t="str">
        <x:f>IF($A655="","",IF(Z655="Y",20,IF(Z655="Unknown",10,0))+$L655*5+IF(AA655="Y",15,IF(AA655="Unknown",5,0))+IF($J655="Public",10,IF($J655="Partner",7,IF($J655="Internal",3,0)))+IF($W655="Hard-coded",10,IF($W655="Unknown",7,IF($W655="Configurable",3,0)))+IF($I655&gt;=10,10,IF($I655&gt;=5,7,IF($I655&gt;=2,3,0)))+IF($K655="High",10,IF($K655="Medium",5,0)))</x:f>
      </x:c>
      <x:c r="AC655" s="28" t="str">
        <x:f>IF($A655="","",IF(AB655&gt;=70,"P0 - Immediate",IF(AB655&gt;=50,"P1 - High",IF(AB655&gt;=30,"P2 - Medium",IF(AB655&gt;=15,"P3 - Low","P4 - Monitor")))))</x:f>
      </x:c>
      <x:c r="AD655" s="28"/>
      <x:c r="AE655" s="28"/>
      <x:c r="AF655" s="28"/>
      <x:c r="AG655" s="58"/>
      <x:c r="AH655" s="28"/>
    </x:row>
    <x:row r="656">
      <x:c r="A656" s="28"/>
      <x:c r="B656" s="28"/>
      <x:c r="C656" s="28"/>
      <x:c r="D656" s="28"/>
      <x:c r="E656" s="28"/>
      <x:c r="F656" s="28"/>
      <x:c r="G656" s="28"/>
      <x:c r="H656" s="28"/>
      <x:c r="I656" s="56"/>
      <x:c r="J656" s="28"/>
      <x:c r="K656" s="28"/>
      <x:c r="L656" s="56"/>
      <x:c r="M656" s="28"/>
      <x:c r="N656" s="28"/>
      <x:c r="O656" s="28"/>
      <x:c r="P656" s="28"/>
      <x:c r="Q656" s="28"/>
      <x:c r="R656" s="28"/>
      <x:c r="S656" s="28"/>
      <x:c r="T656" s="28"/>
      <x:c r="U656" s="28"/>
      <x:c r="V656" s="28"/>
      <x:c r="W656" s="28"/>
      <x:c r="X656" s="28"/>
      <x:c r="Y656" s="28"/>
      <x:c r="Z656" s="28"/>
      <x:c r="AA656" s="28"/>
      <x:c r="AB656" s="56" t="str">
        <x:f>IF($A656="","",IF(Z656="Y",20,IF(Z656="Unknown",10,0))+$L656*5+IF(AA656="Y",15,IF(AA656="Unknown",5,0))+IF($J656="Public",10,IF($J656="Partner",7,IF($J656="Internal",3,0)))+IF($W656="Hard-coded",10,IF($W656="Unknown",7,IF($W656="Configurable",3,0)))+IF($I656&gt;=10,10,IF($I656&gt;=5,7,IF($I656&gt;=2,3,0)))+IF($K656="High",10,IF($K656="Medium",5,0)))</x:f>
      </x:c>
      <x:c r="AC656" s="28" t="str">
        <x:f>IF($A656="","",IF(AB656&gt;=70,"P0 - Immediate",IF(AB656&gt;=50,"P1 - High",IF(AB656&gt;=30,"P2 - Medium",IF(AB656&gt;=15,"P3 - Low","P4 - Monitor")))))</x:f>
      </x:c>
      <x:c r="AD656" s="28"/>
      <x:c r="AE656" s="28"/>
      <x:c r="AF656" s="28"/>
      <x:c r="AG656" s="58"/>
      <x:c r="AH656" s="28"/>
    </x:row>
    <x:row r="657">
      <x:c r="A657" s="28"/>
      <x:c r="B657" s="28"/>
      <x:c r="C657" s="28"/>
      <x:c r="D657" s="28"/>
      <x:c r="E657" s="28"/>
      <x:c r="F657" s="28"/>
      <x:c r="G657" s="28"/>
      <x:c r="H657" s="28"/>
      <x:c r="I657" s="56"/>
      <x:c r="J657" s="28"/>
      <x:c r="K657" s="28"/>
      <x:c r="L657" s="56"/>
      <x:c r="M657" s="28"/>
      <x:c r="N657" s="28"/>
      <x:c r="O657" s="28"/>
      <x:c r="P657" s="28"/>
      <x:c r="Q657" s="28"/>
      <x:c r="R657" s="28"/>
      <x:c r="S657" s="28"/>
      <x:c r="T657" s="28"/>
      <x:c r="U657" s="28"/>
      <x:c r="V657" s="28"/>
      <x:c r="W657" s="28"/>
      <x:c r="X657" s="28"/>
      <x:c r="Y657" s="28"/>
      <x:c r="Z657" s="28"/>
      <x:c r="AA657" s="28"/>
      <x:c r="AB657" s="56" t="str">
        <x:f>IF($A657="","",IF(Z657="Y",20,IF(Z657="Unknown",10,0))+$L657*5+IF(AA657="Y",15,IF(AA657="Unknown",5,0))+IF($J657="Public",10,IF($J657="Partner",7,IF($J657="Internal",3,0)))+IF($W657="Hard-coded",10,IF($W657="Unknown",7,IF($W657="Configurable",3,0)))+IF($I657&gt;=10,10,IF($I657&gt;=5,7,IF($I657&gt;=2,3,0)))+IF($K657="High",10,IF($K657="Medium",5,0)))</x:f>
      </x:c>
      <x:c r="AC657" s="28" t="str">
        <x:f>IF($A657="","",IF(AB657&gt;=70,"P0 - Immediate",IF(AB657&gt;=50,"P1 - High",IF(AB657&gt;=30,"P2 - Medium",IF(AB657&gt;=15,"P3 - Low","P4 - Monitor")))))</x:f>
      </x:c>
      <x:c r="AD657" s="28"/>
      <x:c r="AE657" s="28"/>
      <x:c r="AF657" s="28"/>
      <x:c r="AG657" s="58"/>
      <x:c r="AH657" s="28"/>
    </x:row>
    <x:row r="658">
      <x:c r="A658" s="28"/>
      <x:c r="B658" s="28"/>
      <x:c r="C658" s="28"/>
      <x:c r="D658" s="28"/>
      <x:c r="E658" s="28"/>
      <x:c r="F658" s="28"/>
      <x:c r="G658" s="28"/>
      <x:c r="H658" s="28"/>
      <x:c r="I658" s="56"/>
      <x:c r="J658" s="28"/>
      <x:c r="K658" s="28"/>
      <x:c r="L658" s="56"/>
      <x:c r="M658" s="28"/>
      <x:c r="N658" s="28"/>
      <x:c r="O658" s="28"/>
      <x:c r="P658" s="28"/>
      <x:c r="Q658" s="28"/>
      <x:c r="R658" s="28"/>
      <x:c r="S658" s="28"/>
      <x:c r="T658" s="28"/>
      <x:c r="U658" s="28"/>
      <x:c r="V658" s="28"/>
      <x:c r="W658" s="28"/>
      <x:c r="X658" s="28"/>
      <x:c r="Y658" s="28"/>
      <x:c r="Z658" s="28"/>
      <x:c r="AA658" s="28"/>
      <x:c r="AB658" s="56" t="str">
        <x:f>IF($A658="","",IF(Z658="Y",20,IF(Z658="Unknown",10,0))+$L658*5+IF(AA658="Y",15,IF(AA658="Unknown",5,0))+IF($J658="Public",10,IF($J658="Partner",7,IF($J658="Internal",3,0)))+IF($W658="Hard-coded",10,IF($W658="Unknown",7,IF($W658="Configurable",3,0)))+IF($I658&gt;=10,10,IF($I658&gt;=5,7,IF($I658&gt;=2,3,0)))+IF($K658="High",10,IF($K658="Medium",5,0)))</x:f>
      </x:c>
      <x:c r="AC658" s="28" t="str">
        <x:f>IF($A658="","",IF(AB658&gt;=70,"P0 - Immediate",IF(AB658&gt;=50,"P1 - High",IF(AB658&gt;=30,"P2 - Medium",IF(AB658&gt;=15,"P3 - Low","P4 - Monitor")))))</x:f>
      </x:c>
      <x:c r="AD658" s="28"/>
      <x:c r="AE658" s="28"/>
      <x:c r="AF658" s="28"/>
      <x:c r="AG658" s="58"/>
      <x:c r="AH658" s="28"/>
    </x:row>
    <x:row r="659">
      <x:c r="A659" s="28"/>
      <x:c r="B659" s="28"/>
      <x:c r="C659" s="28"/>
      <x:c r="D659" s="28"/>
      <x:c r="E659" s="28"/>
      <x:c r="F659" s="28"/>
      <x:c r="G659" s="28"/>
      <x:c r="H659" s="28"/>
      <x:c r="I659" s="56"/>
      <x:c r="J659" s="28"/>
      <x:c r="K659" s="28"/>
      <x:c r="L659" s="56"/>
      <x:c r="M659" s="28"/>
      <x:c r="N659" s="28"/>
      <x:c r="O659" s="28"/>
      <x:c r="P659" s="28"/>
      <x:c r="Q659" s="28"/>
      <x:c r="R659" s="28"/>
      <x:c r="S659" s="28"/>
      <x:c r="T659" s="28"/>
      <x:c r="U659" s="28"/>
      <x:c r="V659" s="28"/>
      <x:c r="W659" s="28"/>
      <x:c r="X659" s="28"/>
      <x:c r="Y659" s="28"/>
      <x:c r="Z659" s="28"/>
      <x:c r="AA659" s="28"/>
      <x:c r="AB659" s="56" t="str">
        <x:f>IF($A659="","",IF(Z659="Y",20,IF(Z659="Unknown",10,0))+$L659*5+IF(AA659="Y",15,IF(AA659="Unknown",5,0))+IF($J659="Public",10,IF($J659="Partner",7,IF($J659="Internal",3,0)))+IF($W659="Hard-coded",10,IF($W659="Unknown",7,IF($W659="Configurable",3,0)))+IF($I659&gt;=10,10,IF($I659&gt;=5,7,IF($I659&gt;=2,3,0)))+IF($K659="High",10,IF($K659="Medium",5,0)))</x:f>
      </x:c>
      <x:c r="AC659" s="28" t="str">
        <x:f>IF($A659="","",IF(AB659&gt;=70,"P0 - Immediate",IF(AB659&gt;=50,"P1 - High",IF(AB659&gt;=30,"P2 - Medium",IF(AB659&gt;=15,"P3 - Low","P4 - Monitor")))))</x:f>
      </x:c>
      <x:c r="AD659" s="28"/>
      <x:c r="AE659" s="28"/>
      <x:c r="AF659" s="28"/>
      <x:c r="AG659" s="58"/>
      <x:c r="AH659" s="28"/>
    </x:row>
    <x:row r="660">
      <x:c r="A660" s="28"/>
      <x:c r="B660" s="28"/>
      <x:c r="C660" s="28"/>
      <x:c r="D660" s="28"/>
      <x:c r="E660" s="28"/>
      <x:c r="F660" s="28"/>
      <x:c r="G660" s="28"/>
      <x:c r="H660" s="28"/>
      <x:c r="I660" s="56"/>
      <x:c r="J660" s="28"/>
      <x:c r="K660" s="28"/>
      <x:c r="L660" s="56"/>
      <x:c r="M660" s="28"/>
      <x:c r="N660" s="28"/>
      <x:c r="O660" s="28"/>
      <x:c r="P660" s="28"/>
      <x:c r="Q660" s="28"/>
      <x:c r="R660" s="28"/>
      <x:c r="S660" s="28"/>
      <x:c r="T660" s="28"/>
      <x:c r="U660" s="28"/>
      <x:c r="V660" s="28"/>
      <x:c r="W660" s="28"/>
      <x:c r="X660" s="28"/>
      <x:c r="Y660" s="28"/>
      <x:c r="Z660" s="28"/>
      <x:c r="AA660" s="28"/>
      <x:c r="AB660" s="56" t="str">
        <x:f>IF($A660="","",IF(Z660="Y",20,IF(Z660="Unknown",10,0))+$L660*5+IF(AA660="Y",15,IF(AA660="Unknown",5,0))+IF($J660="Public",10,IF($J660="Partner",7,IF($J660="Internal",3,0)))+IF($W660="Hard-coded",10,IF($W660="Unknown",7,IF($W660="Configurable",3,0)))+IF($I660&gt;=10,10,IF($I660&gt;=5,7,IF($I660&gt;=2,3,0)))+IF($K660="High",10,IF($K660="Medium",5,0)))</x:f>
      </x:c>
      <x:c r="AC660" s="28" t="str">
        <x:f>IF($A660="","",IF(AB660&gt;=70,"P0 - Immediate",IF(AB660&gt;=50,"P1 - High",IF(AB660&gt;=30,"P2 - Medium",IF(AB660&gt;=15,"P3 - Low","P4 - Monitor")))))</x:f>
      </x:c>
      <x:c r="AD660" s="28"/>
      <x:c r="AE660" s="28"/>
      <x:c r="AF660" s="28"/>
      <x:c r="AG660" s="58"/>
      <x:c r="AH660" s="28"/>
    </x:row>
    <x:row r="661">
      <x:c r="A661" s="28"/>
      <x:c r="B661" s="28"/>
      <x:c r="C661" s="28"/>
      <x:c r="D661" s="28"/>
      <x:c r="E661" s="28"/>
      <x:c r="F661" s="28"/>
      <x:c r="G661" s="28"/>
      <x:c r="H661" s="28"/>
      <x:c r="I661" s="56"/>
      <x:c r="J661" s="28"/>
      <x:c r="K661" s="28"/>
      <x:c r="L661" s="56"/>
      <x:c r="M661" s="28"/>
      <x:c r="N661" s="28"/>
      <x:c r="O661" s="28"/>
      <x:c r="P661" s="28"/>
      <x:c r="Q661" s="28"/>
      <x:c r="R661" s="28"/>
      <x:c r="S661" s="28"/>
      <x:c r="T661" s="28"/>
      <x:c r="U661" s="28"/>
      <x:c r="V661" s="28"/>
      <x:c r="W661" s="28"/>
      <x:c r="X661" s="28"/>
      <x:c r="Y661" s="28"/>
      <x:c r="Z661" s="28"/>
      <x:c r="AA661" s="28"/>
      <x:c r="AB661" s="56" t="str">
        <x:f>IF($A661="","",IF(Z661="Y",20,IF(Z661="Unknown",10,0))+$L661*5+IF(AA661="Y",15,IF(AA661="Unknown",5,0))+IF($J661="Public",10,IF($J661="Partner",7,IF($J661="Internal",3,0)))+IF($W661="Hard-coded",10,IF($W661="Unknown",7,IF($W661="Configurable",3,0)))+IF($I661&gt;=10,10,IF($I661&gt;=5,7,IF($I661&gt;=2,3,0)))+IF($K661="High",10,IF($K661="Medium",5,0)))</x:f>
      </x:c>
      <x:c r="AC661" s="28" t="str">
        <x:f>IF($A661="","",IF(AB661&gt;=70,"P0 - Immediate",IF(AB661&gt;=50,"P1 - High",IF(AB661&gt;=30,"P2 - Medium",IF(AB661&gt;=15,"P3 - Low","P4 - Monitor")))))</x:f>
      </x:c>
      <x:c r="AD661" s="28"/>
      <x:c r="AE661" s="28"/>
      <x:c r="AF661" s="28"/>
      <x:c r="AG661" s="58"/>
      <x:c r="AH661" s="28"/>
    </x:row>
    <x:row r="662">
      <x:c r="A662" s="28"/>
      <x:c r="B662" s="28"/>
      <x:c r="C662" s="28"/>
      <x:c r="D662" s="28"/>
      <x:c r="E662" s="28"/>
      <x:c r="F662" s="28"/>
      <x:c r="G662" s="28"/>
      <x:c r="H662" s="28"/>
      <x:c r="I662" s="56"/>
      <x:c r="J662" s="28"/>
      <x:c r="K662" s="28"/>
      <x:c r="L662" s="56"/>
      <x:c r="M662" s="28"/>
      <x:c r="N662" s="28"/>
      <x:c r="O662" s="28"/>
      <x:c r="P662" s="28"/>
      <x:c r="Q662" s="28"/>
      <x:c r="R662" s="28"/>
      <x:c r="S662" s="28"/>
      <x:c r="T662" s="28"/>
      <x:c r="U662" s="28"/>
      <x:c r="V662" s="28"/>
      <x:c r="W662" s="28"/>
      <x:c r="X662" s="28"/>
      <x:c r="Y662" s="28"/>
      <x:c r="Z662" s="28"/>
      <x:c r="AA662" s="28"/>
      <x:c r="AB662" s="56" t="str">
        <x:f>IF($A662="","",IF(Z662="Y",20,IF(Z662="Unknown",10,0))+$L662*5+IF(AA662="Y",15,IF(AA662="Unknown",5,0))+IF($J662="Public",10,IF($J662="Partner",7,IF($J662="Internal",3,0)))+IF($W662="Hard-coded",10,IF($W662="Unknown",7,IF($W662="Configurable",3,0)))+IF($I662&gt;=10,10,IF($I662&gt;=5,7,IF($I662&gt;=2,3,0)))+IF($K662="High",10,IF($K662="Medium",5,0)))</x:f>
      </x:c>
      <x:c r="AC662" s="28" t="str">
        <x:f>IF($A662="","",IF(AB662&gt;=70,"P0 - Immediate",IF(AB662&gt;=50,"P1 - High",IF(AB662&gt;=30,"P2 - Medium",IF(AB662&gt;=15,"P3 - Low","P4 - Monitor")))))</x:f>
      </x:c>
      <x:c r="AD662" s="28"/>
      <x:c r="AE662" s="28"/>
      <x:c r="AF662" s="28"/>
      <x:c r="AG662" s="58"/>
      <x:c r="AH662" s="28"/>
    </x:row>
    <x:row r="663">
      <x:c r="A663" s="28"/>
      <x:c r="B663" s="28"/>
      <x:c r="C663" s="28"/>
      <x:c r="D663" s="28"/>
      <x:c r="E663" s="28"/>
      <x:c r="F663" s="28"/>
      <x:c r="G663" s="28"/>
      <x:c r="H663" s="28"/>
      <x:c r="I663" s="56"/>
      <x:c r="J663" s="28"/>
      <x:c r="K663" s="28"/>
      <x:c r="L663" s="56"/>
      <x:c r="M663" s="28"/>
      <x:c r="N663" s="28"/>
      <x:c r="O663" s="28"/>
      <x:c r="P663" s="28"/>
      <x:c r="Q663" s="28"/>
      <x:c r="R663" s="28"/>
      <x:c r="S663" s="28"/>
      <x:c r="T663" s="28"/>
      <x:c r="U663" s="28"/>
      <x:c r="V663" s="28"/>
      <x:c r="W663" s="28"/>
      <x:c r="X663" s="28"/>
      <x:c r="Y663" s="28"/>
      <x:c r="Z663" s="28"/>
      <x:c r="AA663" s="28"/>
      <x:c r="AB663" s="56" t="str">
        <x:f>IF($A663="","",IF(Z663="Y",20,IF(Z663="Unknown",10,0))+$L663*5+IF(AA663="Y",15,IF(AA663="Unknown",5,0))+IF($J663="Public",10,IF($J663="Partner",7,IF($J663="Internal",3,0)))+IF($W663="Hard-coded",10,IF($W663="Unknown",7,IF($W663="Configurable",3,0)))+IF($I663&gt;=10,10,IF($I663&gt;=5,7,IF($I663&gt;=2,3,0)))+IF($K663="High",10,IF($K663="Medium",5,0)))</x:f>
      </x:c>
      <x:c r="AC663" s="28" t="str">
        <x:f>IF($A663="","",IF(AB663&gt;=70,"P0 - Immediate",IF(AB663&gt;=50,"P1 - High",IF(AB663&gt;=30,"P2 - Medium",IF(AB663&gt;=15,"P3 - Low","P4 - Monitor")))))</x:f>
      </x:c>
      <x:c r="AD663" s="28"/>
      <x:c r="AE663" s="28"/>
      <x:c r="AF663" s="28"/>
      <x:c r="AG663" s="58"/>
      <x:c r="AH663" s="28"/>
    </x:row>
    <x:row r="664">
      <x:c r="A664" s="28"/>
      <x:c r="B664" s="28"/>
      <x:c r="C664" s="28"/>
      <x:c r="D664" s="28"/>
      <x:c r="E664" s="28"/>
      <x:c r="F664" s="28"/>
      <x:c r="G664" s="28"/>
      <x:c r="H664" s="28"/>
      <x:c r="I664" s="56"/>
      <x:c r="J664" s="28"/>
      <x:c r="K664" s="28"/>
      <x:c r="L664" s="56"/>
      <x:c r="M664" s="28"/>
      <x:c r="N664" s="28"/>
      <x:c r="O664" s="28"/>
      <x:c r="P664" s="28"/>
      <x:c r="Q664" s="28"/>
      <x:c r="R664" s="28"/>
      <x:c r="S664" s="28"/>
      <x:c r="T664" s="28"/>
      <x:c r="U664" s="28"/>
      <x:c r="V664" s="28"/>
      <x:c r="W664" s="28"/>
      <x:c r="X664" s="28"/>
      <x:c r="Y664" s="28"/>
      <x:c r="Z664" s="28"/>
      <x:c r="AA664" s="28"/>
      <x:c r="AB664" s="56" t="str">
        <x:f>IF($A664="","",IF(Z664="Y",20,IF(Z664="Unknown",10,0))+$L664*5+IF(AA664="Y",15,IF(AA664="Unknown",5,0))+IF($J664="Public",10,IF($J664="Partner",7,IF($J664="Internal",3,0)))+IF($W664="Hard-coded",10,IF($W664="Unknown",7,IF($W664="Configurable",3,0)))+IF($I664&gt;=10,10,IF($I664&gt;=5,7,IF($I664&gt;=2,3,0)))+IF($K664="High",10,IF($K664="Medium",5,0)))</x:f>
      </x:c>
      <x:c r="AC664" s="28" t="str">
        <x:f>IF($A664="","",IF(AB664&gt;=70,"P0 - Immediate",IF(AB664&gt;=50,"P1 - High",IF(AB664&gt;=30,"P2 - Medium",IF(AB664&gt;=15,"P3 - Low","P4 - Monitor")))))</x:f>
      </x:c>
      <x:c r="AD664" s="28"/>
      <x:c r="AE664" s="28"/>
      <x:c r="AF664" s="28"/>
      <x:c r="AG664" s="58"/>
      <x:c r="AH664" s="28"/>
    </x:row>
    <x:row r="665">
      <x:c r="A665" s="28"/>
      <x:c r="B665" s="28"/>
      <x:c r="C665" s="28"/>
      <x:c r="D665" s="28"/>
      <x:c r="E665" s="28"/>
      <x:c r="F665" s="28"/>
      <x:c r="G665" s="28"/>
      <x:c r="H665" s="28"/>
      <x:c r="I665" s="56"/>
      <x:c r="J665" s="28"/>
      <x:c r="K665" s="28"/>
      <x:c r="L665" s="56"/>
      <x:c r="M665" s="28"/>
      <x:c r="N665" s="28"/>
      <x:c r="O665" s="28"/>
      <x:c r="P665" s="28"/>
      <x:c r="Q665" s="28"/>
      <x:c r="R665" s="28"/>
      <x:c r="S665" s="28"/>
      <x:c r="T665" s="28"/>
      <x:c r="U665" s="28"/>
      <x:c r="V665" s="28"/>
      <x:c r="W665" s="28"/>
      <x:c r="X665" s="28"/>
      <x:c r="Y665" s="28"/>
      <x:c r="Z665" s="28"/>
      <x:c r="AA665" s="28"/>
      <x:c r="AB665" s="56" t="str">
        <x:f>IF($A665="","",IF(Z665="Y",20,IF(Z665="Unknown",10,0))+$L665*5+IF(AA665="Y",15,IF(AA665="Unknown",5,0))+IF($J665="Public",10,IF($J665="Partner",7,IF($J665="Internal",3,0)))+IF($W665="Hard-coded",10,IF($W665="Unknown",7,IF($W665="Configurable",3,0)))+IF($I665&gt;=10,10,IF($I665&gt;=5,7,IF($I665&gt;=2,3,0)))+IF($K665="High",10,IF($K665="Medium",5,0)))</x:f>
      </x:c>
      <x:c r="AC665" s="28" t="str">
        <x:f>IF($A665="","",IF(AB665&gt;=70,"P0 - Immediate",IF(AB665&gt;=50,"P1 - High",IF(AB665&gt;=30,"P2 - Medium",IF(AB665&gt;=15,"P3 - Low","P4 - Monitor")))))</x:f>
      </x:c>
      <x:c r="AD665" s="28"/>
      <x:c r="AE665" s="28"/>
      <x:c r="AF665" s="28"/>
      <x:c r="AG665" s="58"/>
      <x:c r="AH665" s="28"/>
    </x:row>
    <x:row r="666">
      <x:c r="A666" s="28"/>
      <x:c r="B666" s="28"/>
      <x:c r="C666" s="28"/>
      <x:c r="D666" s="28"/>
      <x:c r="E666" s="28"/>
      <x:c r="F666" s="28"/>
      <x:c r="G666" s="28"/>
      <x:c r="H666" s="28"/>
      <x:c r="I666" s="56"/>
      <x:c r="J666" s="28"/>
      <x:c r="K666" s="28"/>
      <x:c r="L666" s="56"/>
      <x:c r="M666" s="28"/>
      <x:c r="N666" s="28"/>
      <x:c r="O666" s="28"/>
      <x:c r="P666" s="28"/>
      <x:c r="Q666" s="28"/>
      <x:c r="R666" s="28"/>
      <x:c r="S666" s="28"/>
      <x:c r="T666" s="28"/>
      <x:c r="U666" s="28"/>
      <x:c r="V666" s="28"/>
      <x:c r="W666" s="28"/>
      <x:c r="X666" s="28"/>
      <x:c r="Y666" s="28"/>
      <x:c r="Z666" s="28"/>
      <x:c r="AA666" s="28"/>
      <x:c r="AB666" s="56" t="str">
        <x:f>IF($A666="","",IF(Z666="Y",20,IF(Z666="Unknown",10,0))+$L666*5+IF(AA666="Y",15,IF(AA666="Unknown",5,0))+IF($J666="Public",10,IF($J666="Partner",7,IF($J666="Internal",3,0)))+IF($W666="Hard-coded",10,IF($W666="Unknown",7,IF($W666="Configurable",3,0)))+IF($I666&gt;=10,10,IF($I666&gt;=5,7,IF($I666&gt;=2,3,0)))+IF($K666="High",10,IF($K666="Medium",5,0)))</x:f>
      </x:c>
      <x:c r="AC666" s="28" t="str">
        <x:f>IF($A666="","",IF(AB666&gt;=70,"P0 - Immediate",IF(AB666&gt;=50,"P1 - High",IF(AB666&gt;=30,"P2 - Medium",IF(AB666&gt;=15,"P3 - Low","P4 - Monitor")))))</x:f>
      </x:c>
      <x:c r="AD666" s="28"/>
      <x:c r="AE666" s="28"/>
      <x:c r="AF666" s="28"/>
      <x:c r="AG666" s="58"/>
      <x:c r="AH666" s="28"/>
    </x:row>
    <x:row r="667">
      <x:c r="A667" s="28"/>
      <x:c r="B667" s="28"/>
      <x:c r="C667" s="28"/>
      <x:c r="D667" s="28"/>
      <x:c r="E667" s="28"/>
      <x:c r="F667" s="28"/>
      <x:c r="G667" s="28"/>
      <x:c r="H667" s="28"/>
      <x:c r="I667" s="56"/>
      <x:c r="J667" s="28"/>
      <x:c r="K667" s="28"/>
      <x:c r="L667" s="56"/>
      <x:c r="M667" s="28"/>
      <x:c r="N667" s="28"/>
      <x:c r="O667" s="28"/>
      <x:c r="P667" s="28"/>
      <x:c r="Q667" s="28"/>
      <x:c r="R667" s="28"/>
      <x:c r="S667" s="28"/>
      <x:c r="T667" s="28"/>
      <x:c r="U667" s="28"/>
      <x:c r="V667" s="28"/>
      <x:c r="W667" s="28"/>
      <x:c r="X667" s="28"/>
      <x:c r="Y667" s="28"/>
      <x:c r="Z667" s="28"/>
      <x:c r="AA667" s="28"/>
      <x:c r="AB667" s="56" t="str">
        <x:f>IF($A667="","",IF(Z667="Y",20,IF(Z667="Unknown",10,0))+$L667*5+IF(AA667="Y",15,IF(AA667="Unknown",5,0))+IF($J667="Public",10,IF($J667="Partner",7,IF($J667="Internal",3,0)))+IF($W667="Hard-coded",10,IF($W667="Unknown",7,IF($W667="Configurable",3,0)))+IF($I667&gt;=10,10,IF($I667&gt;=5,7,IF($I667&gt;=2,3,0)))+IF($K667="High",10,IF($K667="Medium",5,0)))</x:f>
      </x:c>
      <x:c r="AC667" s="28" t="str">
        <x:f>IF($A667="","",IF(AB667&gt;=70,"P0 - Immediate",IF(AB667&gt;=50,"P1 - High",IF(AB667&gt;=30,"P2 - Medium",IF(AB667&gt;=15,"P3 - Low","P4 - Monitor")))))</x:f>
      </x:c>
      <x:c r="AD667" s="28"/>
      <x:c r="AE667" s="28"/>
      <x:c r="AF667" s="28"/>
      <x:c r="AG667" s="58"/>
      <x:c r="AH667" s="28"/>
    </x:row>
    <x:row r="668">
      <x:c r="A668" s="28"/>
      <x:c r="B668" s="28"/>
      <x:c r="C668" s="28"/>
      <x:c r="D668" s="28"/>
      <x:c r="E668" s="28"/>
      <x:c r="F668" s="28"/>
      <x:c r="G668" s="28"/>
      <x:c r="H668" s="28"/>
      <x:c r="I668" s="56"/>
      <x:c r="J668" s="28"/>
      <x:c r="K668" s="28"/>
      <x:c r="L668" s="56"/>
      <x:c r="M668" s="28"/>
      <x:c r="N668" s="28"/>
      <x:c r="O668" s="28"/>
      <x:c r="P668" s="28"/>
      <x:c r="Q668" s="28"/>
      <x:c r="R668" s="28"/>
      <x:c r="S668" s="28"/>
      <x:c r="T668" s="28"/>
      <x:c r="U668" s="28"/>
      <x:c r="V668" s="28"/>
      <x:c r="W668" s="28"/>
      <x:c r="X668" s="28"/>
      <x:c r="Y668" s="28"/>
      <x:c r="Z668" s="28"/>
      <x:c r="AA668" s="28"/>
      <x:c r="AB668" s="56" t="str">
        <x:f>IF($A668="","",IF(Z668="Y",20,IF(Z668="Unknown",10,0))+$L668*5+IF(AA668="Y",15,IF(AA668="Unknown",5,0))+IF($J668="Public",10,IF($J668="Partner",7,IF($J668="Internal",3,0)))+IF($W668="Hard-coded",10,IF($W668="Unknown",7,IF($W668="Configurable",3,0)))+IF($I668&gt;=10,10,IF($I668&gt;=5,7,IF($I668&gt;=2,3,0)))+IF($K668="High",10,IF($K668="Medium",5,0)))</x:f>
      </x:c>
      <x:c r="AC668" s="28" t="str">
        <x:f>IF($A668="","",IF(AB668&gt;=70,"P0 - Immediate",IF(AB668&gt;=50,"P1 - High",IF(AB668&gt;=30,"P2 - Medium",IF(AB668&gt;=15,"P3 - Low","P4 - Monitor")))))</x:f>
      </x:c>
      <x:c r="AD668" s="28"/>
      <x:c r="AE668" s="28"/>
      <x:c r="AF668" s="28"/>
      <x:c r="AG668" s="58"/>
      <x:c r="AH668" s="28"/>
    </x:row>
    <x:row r="669">
      <x:c r="A669" s="28"/>
      <x:c r="B669" s="28"/>
      <x:c r="C669" s="28"/>
      <x:c r="D669" s="28"/>
      <x:c r="E669" s="28"/>
      <x:c r="F669" s="28"/>
      <x:c r="G669" s="28"/>
      <x:c r="H669" s="28"/>
      <x:c r="I669" s="56"/>
      <x:c r="J669" s="28"/>
      <x:c r="K669" s="28"/>
      <x:c r="L669" s="56"/>
      <x:c r="M669" s="28"/>
      <x:c r="N669" s="28"/>
      <x:c r="O669" s="28"/>
      <x:c r="P669" s="28"/>
      <x:c r="Q669" s="28"/>
      <x:c r="R669" s="28"/>
      <x:c r="S669" s="28"/>
      <x:c r="T669" s="28"/>
      <x:c r="U669" s="28"/>
      <x:c r="V669" s="28"/>
      <x:c r="W669" s="28"/>
      <x:c r="X669" s="28"/>
      <x:c r="Y669" s="28"/>
      <x:c r="Z669" s="28"/>
      <x:c r="AA669" s="28"/>
      <x:c r="AB669" s="56" t="str">
        <x:f>IF($A669="","",IF(Z669="Y",20,IF(Z669="Unknown",10,0))+$L669*5+IF(AA669="Y",15,IF(AA669="Unknown",5,0))+IF($J669="Public",10,IF($J669="Partner",7,IF($J669="Internal",3,0)))+IF($W669="Hard-coded",10,IF($W669="Unknown",7,IF($W669="Configurable",3,0)))+IF($I669&gt;=10,10,IF($I669&gt;=5,7,IF($I669&gt;=2,3,0)))+IF($K669="High",10,IF($K669="Medium",5,0)))</x:f>
      </x:c>
      <x:c r="AC669" s="28" t="str">
        <x:f>IF($A669="","",IF(AB669&gt;=70,"P0 - Immediate",IF(AB669&gt;=50,"P1 - High",IF(AB669&gt;=30,"P2 - Medium",IF(AB669&gt;=15,"P3 - Low","P4 - Monitor")))))</x:f>
      </x:c>
      <x:c r="AD669" s="28"/>
      <x:c r="AE669" s="28"/>
      <x:c r="AF669" s="28"/>
      <x:c r="AG669" s="58"/>
      <x:c r="AH669" s="28"/>
    </x:row>
    <x:row r="670">
      <x:c r="A670" s="28"/>
      <x:c r="B670" s="28"/>
      <x:c r="C670" s="28"/>
      <x:c r="D670" s="28"/>
      <x:c r="E670" s="28"/>
      <x:c r="F670" s="28"/>
      <x:c r="G670" s="28"/>
      <x:c r="H670" s="28"/>
      <x:c r="I670" s="56"/>
      <x:c r="J670" s="28"/>
      <x:c r="K670" s="28"/>
      <x:c r="L670" s="56"/>
      <x:c r="M670" s="28"/>
      <x:c r="N670" s="28"/>
      <x:c r="O670" s="28"/>
      <x:c r="P670" s="28"/>
      <x:c r="Q670" s="28"/>
      <x:c r="R670" s="28"/>
      <x:c r="S670" s="28"/>
      <x:c r="T670" s="28"/>
      <x:c r="U670" s="28"/>
      <x:c r="V670" s="28"/>
      <x:c r="W670" s="28"/>
      <x:c r="X670" s="28"/>
      <x:c r="Y670" s="28"/>
      <x:c r="Z670" s="28"/>
      <x:c r="AA670" s="28"/>
      <x:c r="AB670" s="56" t="str">
        <x:f>IF($A670="","",IF(Z670="Y",20,IF(Z670="Unknown",10,0))+$L670*5+IF(AA670="Y",15,IF(AA670="Unknown",5,0))+IF($J670="Public",10,IF($J670="Partner",7,IF($J670="Internal",3,0)))+IF($W670="Hard-coded",10,IF($W670="Unknown",7,IF($W670="Configurable",3,0)))+IF($I670&gt;=10,10,IF($I670&gt;=5,7,IF($I670&gt;=2,3,0)))+IF($K670="High",10,IF($K670="Medium",5,0)))</x:f>
      </x:c>
      <x:c r="AC670" s="28" t="str">
        <x:f>IF($A670="","",IF(AB670&gt;=70,"P0 - Immediate",IF(AB670&gt;=50,"P1 - High",IF(AB670&gt;=30,"P2 - Medium",IF(AB670&gt;=15,"P3 - Low","P4 - Monitor")))))</x:f>
      </x:c>
      <x:c r="AD670" s="28"/>
      <x:c r="AE670" s="28"/>
      <x:c r="AF670" s="28"/>
      <x:c r="AG670" s="58"/>
      <x:c r="AH670" s="28"/>
    </x:row>
    <x:row r="671">
      <x:c r="A671" s="28"/>
      <x:c r="B671" s="28"/>
      <x:c r="C671" s="28"/>
      <x:c r="D671" s="28"/>
      <x:c r="E671" s="28"/>
      <x:c r="F671" s="28"/>
      <x:c r="G671" s="28"/>
      <x:c r="H671" s="28"/>
      <x:c r="I671" s="56"/>
      <x:c r="J671" s="28"/>
      <x:c r="K671" s="28"/>
      <x:c r="L671" s="56"/>
      <x:c r="M671" s="28"/>
      <x:c r="N671" s="28"/>
      <x:c r="O671" s="28"/>
      <x:c r="P671" s="28"/>
      <x:c r="Q671" s="28"/>
      <x:c r="R671" s="28"/>
      <x:c r="S671" s="28"/>
      <x:c r="T671" s="28"/>
      <x:c r="U671" s="28"/>
      <x:c r="V671" s="28"/>
      <x:c r="W671" s="28"/>
      <x:c r="X671" s="28"/>
      <x:c r="Y671" s="28"/>
      <x:c r="Z671" s="28"/>
      <x:c r="AA671" s="28"/>
      <x:c r="AB671" s="56" t="str">
        <x:f>IF($A671="","",IF(Z671="Y",20,IF(Z671="Unknown",10,0))+$L671*5+IF(AA671="Y",15,IF(AA671="Unknown",5,0))+IF($J671="Public",10,IF($J671="Partner",7,IF($J671="Internal",3,0)))+IF($W671="Hard-coded",10,IF($W671="Unknown",7,IF($W671="Configurable",3,0)))+IF($I671&gt;=10,10,IF($I671&gt;=5,7,IF($I671&gt;=2,3,0)))+IF($K671="High",10,IF($K671="Medium",5,0)))</x:f>
      </x:c>
      <x:c r="AC671" s="28" t="str">
        <x:f>IF($A671="","",IF(AB671&gt;=70,"P0 - Immediate",IF(AB671&gt;=50,"P1 - High",IF(AB671&gt;=30,"P2 - Medium",IF(AB671&gt;=15,"P3 - Low","P4 - Monitor")))))</x:f>
      </x:c>
      <x:c r="AD671" s="28"/>
      <x:c r="AE671" s="28"/>
      <x:c r="AF671" s="28"/>
      <x:c r="AG671" s="58"/>
      <x:c r="AH671" s="28"/>
    </x:row>
    <x:row r="672">
      <x:c r="A672" s="28"/>
      <x:c r="B672" s="28"/>
      <x:c r="C672" s="28"/>
      <x:c r="D672" s="28"/>
      <x:c r="E672" s="28"/>
      <x:c r="F672" s="28"/>
      <x:c r="G672" s="28"/>
      <x:c r="H672" s="28"/>
      <x:c r="I672" s="56"/>
      <x:c r="J672" s="28"/>
      <x:c r="K672" s="28"/>
      <x:c r="L672" s="56"/>
      <x:c r="M672" s="28"/>
      <x:c r="N672" s="28"/>
      <x:c r="O672" s="28"/>
      <x:c r="P672" s="28"/>
      <x:c r="Q672" s="28"/>
      <x:c r="R672" s="28"/>
      <x:c r="S672" s="28"/>
      <x:c r="T672" s="28"/>
      <x:c r="U672" s="28"/>
      <x:c r="V672" s="28"/>
      <x:c r="W672" s="28"/>
      <x:c r="X672" s="28"/>
      <x:c r="Y672" s="28"/>
      <x:c r="Z672" s="28"/>
      <x:c r="AA672" s="28"/>
      <x:c r="AB672" s="56" t="str">
        <x:f>IF($A672="","",IF(Z672="Y",20,IF(Z672="Unknown",10,0))+$L672*5+IF(AA672="Y",15,IF(AA672="Unknown",5,0))+IF($J672="Public",10,IF($J672="Partner",7,IF($J672="Internal",3,0)))+IF($W672="Hard-coded",10,IF($W672="Unknown",7,IF($W672="Configurable",3,0)))+IF($I672&gt;=10,10,IF($I672&gt;=5,7,IF($I672&gt;=2,3,0)))+IF($K672="High",10,IF($K672="Medium",5,0)))</x:f>
      </x:c>
      <x:c r="AC672" s="28" t="str">
        <x:f>IF($A672="","",IF(AB672&gt;=70,"P0 - Immediate",IF(AB672&gt;=50,"P1 - High",IF(AB672&gt;=30,"P2 - Medium",IF(AB672&gt;=15,"P3 - Low","P4 - Monitor")))))</x:f>
      </x:c>
      <x:c r="AD672" s="28"/>
      <x:c r="AE672" s="28"/>
      <x:c r="AF672" s="28"/>
      <x:c r="AG672" s="58"/>
      <x:c r="AH672" s="28"/>
    </x:row>
    <x:row r="673">
      <x:c r="A673" s="28"/>
      <x:c r="B673" s="28"/>
      <x:c r="C673" s="28"/>
      <x:c r="D673" s="28"/>
      <x:c r="E673" s="28"/>
      <x:c r="F673" s="28"/>
      <x:c r="G673" s="28"/>
      <x:c r="H673" s="28"/>
      <x:c r="I673" s="56"/>
      <x:c r="J673" s="28"/>
      <x:c r="K673" s="28"/>
      <x:c r="L673" s="56"/>
      <x:c r="M673" s="28"/>
      <x:c r="N673" s="28"/>
      <x:c r="O673" s="28"/>
      <x:c r="P673" s="28"/>
      <x:c r="Q673" s="28"/>
      <x:c r="R673" s="28"/>
      <x:c r="S673" s="28"/>
      <x:c r="T673" s="28"/>
      <x:c r="U673" s="28"/>
      <x:c r="V673" s="28"/>
      <x:c r="W673" s="28"/>
      <x:c r="X673" s="28"/>
      <x:c r="Y673" s="28"/>
      <x:c r="Z673" s="28"/>
      <x:c r="AA673" s="28"/>
      <x:c r="AB673" s="56" t="str">
        <x:f>IF($A673="","",IF(Z673="Y",20,IF(Z673="Unknown",10,0))+$L673*5+IF(AA673="Y",15,IF(AA673="Unknown",5,0))+IF($J673="Public",10,IF($J673="Partner",7,IF($J673="Internal",3,0)))+IF($W673="Hard-coded",10,IF($W673="Unknown",7,IF($W673="Configurable",3,0)))+IF($I673&gt;=10,10,IF($I673&gt;=5,7,IF($I673&gt;=2,3,0)))+IF($K673="High",10,IF($K673="Medium",5,0)))</x:f>
      </x:c>
      <x:c r="AC673" s="28" t="str">
        <x:f>IF($A673="","",IF(AB673&gt;=70,"P0 - Immediate",IF(AB673&gt;=50,"P1 - High",IF(AB673&gt;=30,"P2 - Medium",IF(AB673&gt;=15,"P3 - Low","P4 - Monitor")))))</x:f>
      </x:c>
      <x:c r="AD673" s="28"/>
      <x:c r="AE673" s="28"/>
      <x:c r="AF673" s="28"/>
      <x:c r="AG673" s="58"/>
      <x:c r="AH673" s="28"/>
    </x:row>
    <x:row r="674">
      <x:c r="A674" s="28"/>
      <x:c r="B674" s="28"/>
      <x:c r="C674" s="28"/>
      <x:c r="D674" s="28"/>
      <x:c r="E674" s="28"/>
      <x:c r="F674" s="28"/>
      <x:c r="G674" s="28"/>
      <x:c r="H674" s="28"/>
      <x:c r="I674" s="56"/>
      <x:c r="J674" s="28"/>
      <x:c r="K674" s="28"/>
      <x:c r="L674" s="56"/>
      <x:c r="M674" s="28"/>
      <x:c r="N674" s="28"/>
      <x:c r="O674" s="28"/>
      <x:c r="P674" s="28"/>
      <x:c r="Q674" s="28"/>
      <x:c r="R674" s="28"/>
      <x:c r="S674" s="28"/>
      <x:c r="T674" s="28"/>
      <x:c r="U674" s="28"/>
      <x:c r="V674" s="28"/>
      <x:c r="W674" s="28"/>
      <x:c r="X674" s="28"/>
      <x:c r="Y674" s="28"/>
      <x:c r="Z674" s="28"/>
      <x:c r="AA674" s="28"/>
      <x:c r="AB674" s="56" t="str">
        <x:f>IF($A674="","",IF(Z674="Y",20,IF(Z674="Unknown",10,0))+$L674*5+IF(AA674="Y",15,IF(AA674="Unknown",5,0))+IF($J674="Public",10,IF($J674="Partner",7,IF($J674="Internal",3,0)))+IF($W674="Hard-coded",10,IF($W674="Unknown",7,IF($W674="Configurable",3,0)))+IF($I674&gt;=10,10,IF($I674&gt;=5,7,IF($I674&gt;=2,3,0)))+IF($K674="High",10,IF($K674="Medium",5,0)))</x:f>
      </x:c>
      <x:c r="AC674" s="28" t="str">
        <x:f>IF($A674="","",IF(AB674&gt;=70,"P0 - Immediate",IF(AB674&gt;=50,"P1 - High",IF(AB674&gt;=30,"P2 - Medium",IF(AB674&gt;=15,"P3 - Low","P4 - Monitor")))))</x:f>
      </x:c>
      <x:c r="AD674" s="28"/>
      <x:c r="AE674" s="28"/>
      <x:c r="AF674" s="28"/>
      <x:c r="AG674" s="58"/>
      <x:c r="AH674" s="28"/>
    </x:row>
    <x:row r="675">
      <x:c r="A675" s="28"/>
      <x:c r="B675" s="28"/>
      <x:c r="C675" s="28"/>
      <x:c r="D675" s="28"/>
      <x:c r="E675" s="28"/>
      <x:c r="F675" s="28"/>
      <x:c r="G675" s="28"/>
      <x:c r="H675" s="28"/>
      <x:c r="I675" s="56"/>
      <x:c r="J675" s="28"/>
      <x:c r="K675" s="28"/>
      <x:c r="L675" s="56"/>
      <x:c r="M675" s="28"/>
      <x:c r="N675" s="28"/>
      <x:c r="O675" s="28"/>
      <x:c r="P675" s="28"/>
      <x:c r="Q675" s="28"/>
      <x:c r="R675" s="28"/>
      <x:c r="S675" s="28"/>
      <x:c r="T675" s="28"/>
      <x:c r="U675" s="28"/>
      <x:c r="V675" s="28"/>
      <x:c r="W675" s="28"/>
      <x:c r="X675" s="28"/>
      <x:c r="Y675" s="28"/>
      <x:c r="Z675" s="28"/>
      <x:c r="AA675" s="28"/>
      <x:c r="AB675" s="56" t="str">
        <x:f>IF($A675="","",IF(Z675="Y",20,IF(Z675="Unknown",10,0))+$L675*5+IF(AA675="Y",15,IF(AA675="Unknown",5,0))+IF($J675="Public",10,IF($J675="Partner",7,IF($J675="Internal",3,0)))+IF($W675="Hard-coded",10,IF($W675="Unknown",7,IF($W675="Configurable",3,0)))+IF($I675&gt;=10,10,IF($I675&gt;=5,7,IF($I675&gt;=2,3,0)))+IF($K675="High",10,IF($K675="Medium",5,0)))</x:f>
      </x:c>
      <x:c r="AC675" s="28" t="str">
        <x:f>IF($A675="","",IF(AB675&gt;=70,"P0 - Immediate",IF(AB675&gt;=50,"P1 - High",IF(AB675&gt;=30,"P2 - Medium",IF(AB675&gt;=15,"P3 - Low","P4 - Monitor")))))</x:f>
      </x:c>
      <x:c r="AD675" s="28"/>
      <x:c r="AE675" s="28"/>
      <x:c r="AF675" s="28"/>
      <x:c r="AG675" s="58"/>
      <x:c r="AH675" s="28"/>
    </x:row>
    <x:row r="676">
      <x:c r="A676" s="28"/>
      <x:c r="B676" s="28"/>
      <x:c r="C676" s="28"/>
      <x:c r="D676" s="28"/>
      <x:c r="E676" s="28"/>
      <x:c r="F676" s="28"/>
      <x:c r="G676" s="28"/>
      <x:c r="H676" s="28"/>
      <x:c r="I676" s="56"/>
      <x:c r="J676" s="28"/>
      <x:c r="K676" s="28"/>
      <x:c r="L676" s="56"/>
      <x:c r="M676" s="28"/>
      <x:c r="N676" s="28"/>
      <x:c r="O676" s="28"/>
      <x:c r="P676" s="28"/>
      <x:c r="Q676" s="28"/>
      <x:c r="R676" s="28"/>
      <x:c r="S676" s="28"/>
      <x:c r="T676" s="28"/>
      <x:c r="U676" s="28"/>
      <x:c r="V676" s="28"/>
      <x:c r="W676" s="28"/>
      <x:c r="X676" s="28"/>
      <x:c r="Y676" s="28"/>
      <x:c r="Z676" s="28"/>
      <x:c r="AA676" s="28"/>
      <x:c r="AB676" s="56" t="str">
        <x:f>IF($A676="","",IF(Z676="Y",20,IF(Z676="Unknown",10,0))+$L676*5+IF(AA676="Y",15,IF(AA676="Unknown",5,0))+IF($J676="Public",10,IF($J676="Partner",7,IF($J676="Internal",3,0)))+IF($W676="Hard-coded",10,IF($W676="Unknown",7,IF($W676="Configurable",3,0)))+IF($I676&gt;=10,10,IF($I676&gt;=5,7,IF($I676&gt;=2,3,0)))+IF($K676="High",10,IF($K676="Medium",5,0)))</x:f>
      </x:c>
      <x:c r="AC676" s="28" t="str">
        <x:f>IF($A676="","",IF(AB676&gt;=70,"P0 - Immediate",IF(AB676&gt;=50,"P1 - High",IF(AB676&gt;=30,"P2 - Medium",IF(AB676&gt;=15,"P3 - Low","P4 - Monitor")))))</x:f>
      </x:c>
      <x:c r="AD676" s="28"/>
      <x:c r="AE676" s="28"/>
      <x:c r="AF676" s="28"/>
      <x:c r="AG676" s="58"/>
      <x:c r="AH676" s="28"/>
    </x:row>
    <x:row r="677">
      <x:c r="A677" s="28"/>
      <x:c r="B677" s="28"/>
      <x:c r="C677" s="28"/>
      <x:c r="D677" s="28"/>
      <x:c r="E677" s="28"/>
      <x:c r="F677" s="28"/>
      <x:c r="G677" s="28"/>
      <x:c r="H677" s="28"/>
      <x:c r="I677" s="56"/>
      <x:c r="J677" s="28"/>
      <x:c r="K677" s="28"/>
      <x:c r="L677" s="56"/>
      <x:c r="M677" s="28"/>
      <x:c r="N677" s="28"/>
      <x:c r="O677" s="28"/>
      <x:c r="P677" s="28"/>
      <x:c r="Q677" s="28"/>
      <x:c r="R677" s="28"/>
      <x:c r="S677" s="28"/>
      <x:c r="T677" s="28"/>
      <x:c r="U677" s="28"/>
      <x:c r="V677" s="28"/>
      <x:c r="W677" s="28"/>
      <x:c r="X677" s="28"/>
      <x:c r="Y677" s="28"/>
      <x:c r="Z677" s="28"/>
      <x:c r="AA677" s="28"/>
      <x:c r="AB677" s="56" t="str">
        <x:f>IF($A677="","",IF(Z677="Y",20,IF(Z677="Unknown",10,0))+$L677*5+IF(AA677="Y",15,IF(AA677="Unknown",5,0))+IF($J677="Public",10,IF($J677="Partner",7,IF($J677="Internal",3,0)))+IF($W677="Hard-coded",10,IF($W677="Unknown",7,IF($W677="Configurable",3,0)))+IF($I677&gt;=10,10,IF($I677&gt;=5,7,IF($I677&gt;=2,3,0)))+IF($K677="High",10,IF($K677="Medium",5,0)))</x:f>
      </x:c>
      <x:c r="AC677" s="28" t="str">
        <x:f>IF($A677="","",IF(AB677&gt;=70,"P0 - Immediate",IF(AB677&gt;=50,"P1 - High",IF(AB677&gt;=30,"P2 - Medium",IF(AB677&gt;=15,"P3 - Low","P4 - Monitor")))))</x:f>
      </x:c>
      <x:c r="AD677" s="28"/>
      <x:c r="AE677" s="28"/>
      <x:c r="AF677" s="28"/>
      <x:c r="AG677" s="58"/>
      <x:c r="AH677" s="28"/>
    </x:row>
    <x:row r="678">
      <x:c r="A678" s="28"/>
      <x:c r="B678" s="28"/>
      <x:c r="C678" s="28"/>
      <x:c r="D678" s="28"/>
      <x:c r="E678" s="28"/>
      <x:c r="F678" s="28"/>
      <x:c r="G678" s="28"/>
      <x:c r="H678" s="28"/>
      <x:c r="I678" s="56"/>
      <x:c r="J678" s="28"/>
      <x:c r="K678" s="28"/>
      <x:c r="L678" s="56"/>
      <x:c r="M678" s="28"/>
      <x:c r="N678" s="28"/>
      <x:c r="O678" s="28"/>
      <x:c r="P678" s="28"/>
      <x:c r="Q678" s="28"/>
      <x:c r="R678" s="28"/>
      <x:c r="S678" s="28"/>
      <x:c r="T678" s="28"/>
      <x:c r="U678" s="28"/>
      <x:c r="V678" s="28"/>
      <x:c r="W678" s="28"/>
      <x:c r="X678" s="28"/>
      <x:c r="Y678" s="28"/>
      <x:c r="Z678" s="28"/>
      <x:c r="AA678" s="28"/>
      <x:c r="AB678" s="56" t="str">
        <x:f>IF($A678="","",IF(Z678="Y",20,IF(Z678="Unknown",10,0))+$L678*5+IF(AA678="Y",15,IF(AA678="Unknown",5,0))+IF($J678="Public",10,IF($J678="Partner",7,IF($J678="Internal",3,0)))+IF($W678="Hard-coded",10,IF($W678="Unknown",7,IF($W678="Configurable",3,0)))+IF($I678&gt;=10,10,IF($I678&gt;=5,7,IF($I678&gt;=2,3,0)))+IF($K678="High",10,IF($K678="Medium",5,0)))</x:f>
      </x:c>
      <x:c r="AC678" s="28" t="str">
        <x:f>IF($A678="","",IF(AB678&gt;=70,"P0 - Immediate",IF(AB678&gt;=50,"P1 - High",IF(AB678&gt;=30,"P2 - Medium",IF(AB678&gt;=15,"P3 - Low","P4 - Monitor")))))</x:f>
      </x:c>
      <x:c r="AD678" s="28"/>
      <x:c r="AE678" s="28"/>
      <x:c r="AF678" s="28"/>
      <x:c r="AG678" s="58"/>
      <x:c r="AH678" s="28"/>
    </x:row>
    <x:row r="679">
      <x:c r="A679" s="28"/>
      <x:c r="B679" s="28"/>
      <x:c r="C679" s="28"/>
      <x:c r="D679" s="28"/>
      <x:c r="E679" s="28"/>
      <x:c r="F679" s="28"/>
      <x:c r="G679" s="28"/>
      <x:c r="H679" s="28"/>
      <x:c r="I679" s="56"/>
      <x:c r="J679" s="28"/>
      <x:c r="K679" s="28"/>
      <x:c r="L679" s="56"/>
      <x:c r="M679" s="28"/>
      <x:c r="N679" s="28"/>
      <x:c r="O679" s="28"/>
      <x:c r="P679" s="28"/>
      <x:c r="Q679" s="28"/>
      <x:c r="R679" s="28"/>
      <x:c r="S679" s="28"/>
      <x:c r="T679" s="28"/>
      <x:c r="U679" s="28"/>
      <x:c r="V679" s="28"/>
      <x:c r="W679" s="28"/>
      <x:c r="X679" s="28"/>
      <x:c r="Y679" s="28"/>
      <x:c r="Z679" s="28"/>
      <x:c r="AA679" s="28"/>
      <x:c r="AB679" s="56" t="str">
        <x:f>IF($A679="","",IF(Z679="Y",20,IF(Z679="Unknown",10,0))+$L679*5+IF(AA679="Y",15,IF(AA679="Unknown",5,0))+IF($J679="Public",10,IF($J679="Partner",7,IF($J679="Internal",3,0)))+IF($W679="Hard-coded",10,IF($W679="Unknown",7,IF($W679="Configurable",3,0)))+IF($I679&gt;=10,10,IF($I679&gt;=5,7,IF($I679&gt;=2,3,0)))+IF($K679="High",10,IF($K679="Medium",5,0)))</x:f>
      </x:c>
      <x:c r="AC679" s="28" t="str">
        <x:f>IF($A679="","",IF(AB679&gt;=70,"P0 - Immediate",IF(AB679&gt;=50,"P1 - High",IF(AB679&gt;=30,"P2 - Medium",IF(AB679&gt;=15,"P3 - Low","P4 - Monitor")))))</x:f>
      </x:c>
      <x:c r="AD679" s="28"/>
      <x:c r="AE679" s="28"/>
      <x:c r="AF679" s="28"/>
      <x:c r="AG679" s="58"/>
      <x:c r="AH679" s="28"/>
    </x:row>
    <x:row r="680">
      <x:c r="A680" s="28"/>
      <x:c r="B680" s="28"/>
      <x:c r="C680" s="28"/>
      <x:c r="D680" s="28"/>
      <x:c r="E680" s="28"/>
      <x:c r="F680" s="28"/>
      <x:c r="G680" s="28"/>
      <x:c r="H680" s="28"/>
      <x:c r="I680" s="56"/>
      <x:c r="J680" s="28"/>
      <x:c r="K680" s="28"/>
      <x:c r="L680" s="56"/>
      <x:c r="M680" s="28"/>
      <x:c r="N680" s="28"/>
      <x:c r="O680" s="28"/>
      <x:c r="P680" s="28"/>
      <x:c r="Q680" s="28"/>
      <x:c r="R680" s="28"/>
      <x:c r="S680" s="28"/>
      <x:c r="T680" s="28"/>
      <x:c r="U680" s="28"/>
      <x:c r="V680" s="28"/>
      <x:c r="W680" s="28"/>
      <x:c r="X680" s="28"/>
      <x:c r="Y680" s="28"/>
      <x:c r="Z680" s="28"/>
      <x:c r="AA680" s="28"/>
      <x:c r="AB680" s="56" t="str">
        <x:f>IF($A680="","",IF(Z680="Y",20,IF(Z680="Unknown",10,0))+$L680*5+IF(AA680="Y",15,IF(AA680="Unknown",5,0))+IF($J680="Public",10,IF($J680="Partner",7,IF($J680="Internal",3,0)))+IF($W680="Hard-coded",10,IF($W680="Unknown",7,IF($W680="Configurable",3,0)))+IF($I680&gt;=10,10,IF($I680&gt;=5,7,IF($I680&gt;=2,3,0)))+IF($K680="High",10,IF($K680="Medium",5,0)))</x:f>
      </x:c>
      <x:c r="AC680" s="28" t="str">
        <x:f>IF($A680="","",IF(AB680&gt;=70,"P0 - Immediate",IF(AB680&gt;=50,"P1 - High",IF(AB680&gt;=30,"P2 - Medium",IF(AB680&gt;=15,"P3 - Low","P4 - Monitor")))))</x:f>
      </x:c>
      <x:c r="AD680" s="28"/>
      <x:c r="AE680" s="28"/>
      <x:c r="AF680" s="28"/>
      <x:c r="AG680" s="58"/>
      <x:c r="AH680" s="28"/>
    </x:row>
    <x:row r="681">
      <x:c r="A681" s="28"/>
      <x:c r="B681" s="28"/>
      <x:c r="C681" s="28"/>
      <x:c r="D681" s="28"/>
      <x:c r="E681" s="28"/>
      <x:c r="F681" s="28"/>
      <x:c r="G681" s="28"/>
      <x:c r="H681" s="28"/>
      <x:c r="I681" s="56"/>
      <x:c r="J681" s="28"/>
      <x:c r="K681" s="28"/>
      <x:c r="L681" s="56"/>
      <x:c r="M681" s="28"/>
      <x:c r="N681" s="28"/>
      <x:c r="O681" s="28"/>
      <x:c r="P681" s="28"/>
      <x:c r="Q681" s="28"/>
      <x:c r="R681" s="28"/>
      <x:c r="S681" s="28"/>
      <x:c r="T681" s="28"/>
      <x:c r="U681" s="28"/>
      <x:c r="V681" s="28"/>
      <x:c r="W681" s="28"/>
      <x:c r="X681" s="28"/>
      <x:c r="Y681" s="28"/>
      <x:c r="Z681" s="28"/>
      <x:c r="AA681" s="28"/>
      <x:c r="AB681" s="56" t="str">
        <x:f>IF($A681="","",IF(Z681="Y",20,IF(Z681="Unknown",10,0))+$L681*5+IF(AA681="Y",15,IF(AA681="Unknown",5,0))+IF($J681="Public",10,IF($J681="Partner",7,IF($J681="Internal",3,0)))+IF($W681="Hard-coded",10,IF($W681="Unknown",7,IF($W681="Configurable",3,0)))+IF($I681&gt;=10,10,IF($I681&gt;=5,7,IF($I681&gt;=2,3,0)))+IF($K681="High",10,IF($K681="Medium",5,0)))</x:f>
      </x:c>
      <x:c r="AC681" s="28" t="str">
        <x:f>IF($A681="","",IF(AB681&gt;=70,"P0 - Immediate",IF(AB681&gt;=50,"P1 - High",IF(AB681&gt;=30,"P2 - Medium",IF(AB681&gt;=15,"P3 - Low","P4 - Monitor")))))</x:f>
      </x:c>
      <x:c r="AD681" s="28"/>
      <x:c r="AE681" s="28"/>
      <x:c r="AF681" s="28"/>
      <x:c r="AG681" s="58"/>
      <x:c r="AH681" s="28"/>
    </x:row>
    <x:row r="682">
      <x:c r="A682" s="28"/>
      <x:c r="B682" s="28"/>
      <x:c r="C682" s="28"/>
      <x:c r="D682" s="28"/>
      <x:c r="E682" s="28"/>
      <x:c r="F682" s="28"/>
      <x:c r="G682" s="28"/>
      <x:c r="H682" s="28"/>
      <x:c r="I682" s="56"/>
      <x:c r="J682" s="28"/>
      <x:c r="K682" s="28"/>
      <x:c r="L682" s="56"/>
      <x:c r="M682" s="28"/>
      <x:c r="N682" s="28"/>
      <x:c r="O682" s="28"/>
      <x:c r="P682" s="28"/>
      <x:c r="Q682" s="28"/>
      <x:c r="R682" s="28"/>
      <x:c r="S682" s="28"/>
      <x:c r="T682" s="28"/>
      <x:c r="U682" s="28"/>
      <x:c r="V682" s="28"/>
      <x:c r="W682" s="28"/>
      <x:c r="X682" s="28"/>
      <x:c r="Y682" s="28"/>
      <x:c r="Z682" s="28"/>
      <x:c r="AA682" s="28"/>
      <x:c r="AB682" s="56" t="str">
        <x:f>IF($A682="","",IF(Z682="Y",20,IF(Z682="Unknown",10,0))+$L682*5+IF(AA682="Y",15,IF(AA682="Unknown",5,0))+IF($J682="Public",10,IF($J682="Partner",7,IF($J682="Internal",3,0)))+IF($W682="Hard-coded",10,IF($W682="Unknown",7,IF($W682="Configurable",3,0)))+IF($I682&gt;=10,10,IF($I682&gt;=5,7,IF($I682&gt;=2,3,0)))+IF($K682="High",10,IF($K682="Medium",5,0)))</x:f>
      </x:c>
      <x:c r="AC682" s="28" t="str">
        <x:f>IF($A682="","",IF(AB682&gt;=70,"P0 - Immediate",IF(AB682&gt;=50,"P1 - High",IF(AB682&gt;=30,"P2 - Medium",IF(AB682&gt;=15,"P3 - Low","P4 - Monitor")))))</x:f>
      </x:c>
      <x:c r="AD682" s="28"/>
      <x:c r="AE682" s="28"/>
      <x:c r="AF682" s="28"/>
      <x:c r="AG682" s="58"/>
      <x:c r="AH682" s="28"/>
    </x:row>
    <x:row r="683">
      <x:c r="A683" s="28"/>
      <x:c r="B683" s="28"/>
      <x:c r="C683" s="28"/>
      <x:c r="D683" s="28"/>
      <x:c r="E683" s="28"/>
      <x:c r="F683" s="28"/>
      <x:c r="G683" s="28"/>
      <x:c r="H683" s="28"/>
      <x:c r="I683" s="56"/>
      <x:c r="J683" s="28"/>
      <x:c r="K683" s="28"/>
      <x:c r="L683" s="56"/>
      <x:c r="M683" s="28"/>
      <x:c r="N683" s="28"/>
      <x:c r="O683" s="28"/>
      <x:c r="P683" s="28"/>
      <x:c r="Q683" s="28"/>
      <x:c r="R683" s="28"/>
      <x:c r="S683" s="28"/>
      <x:c r="T683" s="28"/>
      <x:c r="U683" s="28"/>
      <x:c r="V683" s="28"/>
      <x:c r="W683" s="28"/>
      <x:c r="X683" s="28"/>
      <x:c r="Y683" s="28"/>
      <x:c r="Z683" s="28"/>
      <x:c r="AA683" s="28"/>
      <x:c r="AB683" s="56" t="str">
        <x:f>IF($A683="","",IF(Z683="Y",20,IF(Z683="Unknown",10,0))+$L683*5+IF(AA683="Y",15,IF(AA683="Unknown",5,0))+IF($J683="Public",10,IF($J683="Partner",7,IF($J683="Internal",3,0)))+IF($W683="Hard-coded",10,IF($W683="Unknown",7,IF($W683="Configurable",3,0)))+IF($I683&gt;=10,10,IF($I683&gt;=5,7,IF($I683&gt;=2,3,0)))+IF($K683="High",10,IF($K683="Medium",5,0)))</x:f>
      </x:c>
      <x:c r="AC683" s="28" t="str">
        <x:f>IF($A683="","",IF(AB683&gt;=70,"P0 - Immediate",IF(AB683&gt;=50,"P1 - High",IF(AB683&gt;=30,"P2 - Medium",IF(AB683&gt;=15,"P3 - Low","P4 - Monitor")))))</x:f>
      </x:c>
      <x:c r="AD683" s="28"/>
      <x:c r="AE683" s="28"/>
      <x:c r="AF683" s="28"/>
      <x:c r="AG683" s="58"/>
      <x:c r="AH683" s="28"/>
    </x:row>
    <x:row r="684">
      <x:c r="A684" s="28"/>
      <x:c r="B684" s="28"/>
      <x:c r="C684" s="28"/>
      <x:c r="D684" s="28"/>
      <x:c r="E684" s="28"/>
      <x:c r="F684" s="28"/>
      <x:c r="G684" s="28"/>
      <x:c r="H684" s="28"/>
      <x:c r="I684" s="56"/>
      <x:c r="J684" s="28"/>
      <x:c r="K684" s="28"/>
      <x:c r="L684" s="56"/>
      <x:c r="M684" s="28"/>
      <x:c r="N684" s="28"/>
      <x:c r="O684" s="28"/>
      <x:c r="P684" s="28"/>
      <x:c r="Q684" s="28"/>
      <x:c r="R684" s="28"/>
      <x:c r="S684" s="28"/>
      <x:c r="T684" s="28"/>
      <x:c r="U684" s="28"/>
      <x:c r="V684" s="28"/>
      <x:c r="W684" s="28"/>
      <x:c r="X684" s="28"/>
      <x:c r="Y684" s="28"/>
      <x:c r="Z684" s="28"/>
      <x:c r="AA684" s="28"/>
      <x:c r="AB684" s="56" t="str">
        <x:f>IF($A684="","",IF(Z684="Y",20,IF(Z684="Unknown",10,0))+$L684*5+IF(AA684="Y",15,IF(AA684="Unknown",5,0))+IF($J684="Public",10,IF($J684="Partner",7,IF($J684="Internal",3,0)))+IF($W684="Hard-coded",10,IF($W684="Unknown",7,IF($W684="Configurable",3,0)))+IF($I684&gt;=10,10,IF($I684&gt;=5,7,IF($I684&gt;=2,3,0)))+IF($K684="High",10,IF($K684="Medium",5,0)))</x:f>
      </x:c>
      <x:c r="AC684" s="28" t="str">
        <x:f>IF($A684="","",IF(AB684&gt;=70,"P0 - Immediate",IF(AB684&gt;=50,"P1 - High",IF(AB684&gt;=30,"P2 - Medium",IF(AB684&gt;=15,"P3 - Low","P4 - Monitor")))))</x:f>
      </x:c>
      <x:c r="AD684" s="28"/>
      <x:c r="AE684" s="28"/>
      <x:c r="AF684" s="28"/>
      <x:c r="AG684" s="58"/>
      <x:c r="AH684" s="28"/>
    </x:row>
    <x:row r="685">
      <x:c r="A685" s="28"/>
      <x:c r="B685" s="28"/>
      <x:c r="C685" s="28"/>
      <x:c r="D685" s="28"/>
      <x:c r="E685" s="28"/>
      <x:c r="F685" s="28"/>
      <x:c r="G685" s="28"/>
      <x:c r="H685" s="28"/>
      <x:c r="I685" s="56"/>
      <x:c r="J685" s="28"/>
      <x:c r="K685" s="28"/>
      <x:c r="L685" s="56"/>
      <x:c r="M685" s="28"/>
      <x:c r="N685" s="28"/>
      <x:c r="O685" s="28"/>
      <x:c r="P685" s="28"/>
      <x:c r="Q685" s="28"/>
      <x:c r="R685" s="28"/>
      <x:c r="S685" s="28"/>
      <x:c r="T685" s="28"/>
      <x:c r="U685" s="28"/>
      <x:c r="V685" s="28"/>
      <x:c r="W685" s="28"/>
      <x:c r="X685" s="28"/>
      <x:c r="Y685" s="28"/>
      <x:c r="Z685" s="28"/>
      <x:c r="AA685" s="28"/>
      <x:c r="AB685" s="56" t="str">
        <x:f>IF($A685="","",IF(Z685="Y",20,IF(Z685="Unknown",10,0))+$L685*5+IF(AA685="Y",15,IF(AA685="Unknown",5,0))+IF($J685="Public",10,IF($J685="Partner",7,IF($J685="Internal",3,0)))+IF($W685="Hard-coded",10,IF($W685="Unknown",7,IF($W685="Configurable",3,0)))+IF($I685&gt;=10,10,IF($I685&gt;=5,7,IF($I685&gt;=2,3,0)))+IF($K685="High",10,IF($K685="Medium",5,0)))</x:f>
      </x:c>
      <x:c r="AC685" s="28" t="str">
        <x:f>IF($A685="","",IF(AB685&gt;=70,"P0 - Immediate",IF(AB685&gt;=50,"P1 - High",IF(AB685&gt;=30,"P2 - Medium",IF(AB685&gt;=15,"P3 - Low","P4 - Monitor")))))</x:f>
      </x:c>
      <x:c r="AD685" s="28"/>
      <x:c r="AE685" s="28"/>
      <x:c r="AF685" s="28"/>
      <x:c r="AG685" s="58"/>
      <x:c r="AH685" s="28"/>
    </x:row>
    <x:row r="686">
      <x:c r="A686" s="28"/>
      <x:c r="B686" s="28"/>
      <x:c r="C686" s="28"/>
      <x:c r="D686" s="28"/>
      <x:c r="E686" s="28"/>
      <x:c r="F686" s="28"/>
      <x:c r="G686" s="28"/>
      <x:c r="H686" s="28"/>
      <x:c r="I686" s="56"/>
      <x:c r="J686" s="28"/>
      <x:c r="K686" s="28"/>
      <x:c r="L686" s="56"/>
      <x:c r="M686" s="28"/>
      <x:c r="N686" s="28"/>
      <x:c r="O686" s="28"/>
      <x:c r="P686" s="28"/>
      <x:c r="Q686" s="28"/>
      <x:c r="R686" s="28"/>
      <x:c r="S686" s="28"/>
      <x:c r="T686" s="28"/>
      <x:c r="U686" s="28"/>
      <x:c r="V686" s="28"/>
      <x:c r="W686" s="28"/>
      <x:c r="X686" s="28"/>
      <x:c r="Y686" s="28"/>
      <x:c r="Z686" s="28"/>
      <x:c r="AA686" s="28"/>
      <x:c r="AB686" s="56" t="str">
        <x:f>IF($A686="","",IF(Z686="Y",20,IF(Z686="Unknown",10,0))+$L686*5+IF(AA686="Y",15,IF(AA686="Unknown",5,0))+IF($J686="Public",10,IF($J686="Partner",7,IF($J686="Internal",3,0)))+IF($W686="Hard-coded",10,IF($W686="Unknown",7,IF($W686="Configurable",3,0)))+IF($I686&gt;=10,10,IF($I686&gt;=5,7,IF($I686&gt;=2,3,0)))+IF($K686="High",10,IF($K686="Medium",5,0)))</x:f>
      </x:c>
      <x:c r="AC686" s="28" t="str">
        <x:f>IF($A686="","",IF(AB686&gt;=70,"P0 - Immediate",IF(AB686&gt;=50,"P1 - High",IF(AB686&gt;=30,"P2 - Medium",IF(AB686&gt;=15,"P3 - Low","P4 - Monitor")))))</x:f>
      </x:c>
      <x:c r="AD686" s="28"/>
      <x:c r="AE686" s="28"/>
      <x:c r="AF686" s="28"/>
      <x:c r="AG686" s="58"/>
      <x:c r="AH686" s="28"/>
    </x:row>
    <x:row r="687">
      <x:c r="A687" s="28"/>
      <x:c r="B687" s="28"/>
      <x:c r="C687" s="28"/>
      <x:c r="D687" s="28"/>
      <x:c r="E687" s="28"/>
      <x:c r="F687" s="28"/>
      <x:c r="G687" s="28"/>
      <x:c r="H687" s="28"/>
      <x:c r="I687" s="56"/>
      <x:c r="J687" s="28"/>
      <x:c r="K687" s="28"/>
      <x:c r="L687" s="56"/>
      <x:c r="M687" s="28"/>
      <x:c r="N687" s="28"/>
      <x:c r="O687" s="28"/>
      <x:c r="P687" s="28"/>
      <x:c r="Q687" s="28"/>
      <x:c r="R687" s="28"/>
      <x:c r="S687" s="28"/>
      <x:c r="T687" s="28"/>
      <x:c r="U687" s="28"/>
      <x:c r="V687" s="28"/>
      <x:c r="W687" s="28"/>
      <x:c r="X687" s="28"/>
      <x:c r="Y687" s="28"/>
      <x:c r="Z687" s="28"/>
      <x:c r="AA687" s="28"/>
      <x:c r="AB687" s="56" t="str">
        <x:f>IF($A687="","",IF(Z687="Y",20,IF(Z687="Unknown",10,0))+$L687*5+IF(AA687="Y",15,IF(AA687="Unknown",5,0))+IF($J687="Public",10,IF($J687="Partner",7,IF($J687="Internal",3,0)))+IF($W687="Hard-coded",10,IF($W687="Unknown",7,IF($W687="Configurable",3,0)))+IF($I687&gt;=10,10,IF($I687&gt;=5,7,IF($I687&gt;=2,3,0)))+IF($K687="High",10,IF($K687="Medium",5,0)))</x:f>
      </x:c>
      <x:c r="AC687" s="28" t="str">
        <x:f>IF($A687="","",IF(AB687&gt;=70,"P0 - Immediate",IF(AB687&gt;=50,"P1 - High",IF(AB687&gt;=30,"P2 - Medium",IF(AB687&gt;=15,"P3 - Low","P4 - Monitor")))))</x:f>
      </x:c>
      <x:c r="AD687" s="28"/>
      <x:c r="AE687" s="28"/>
      <x:c r="AF687" s="28"/>
      <x:c r="AG687" s="58"/>
      <x:c r="AH687" s="28"/>
    </x:row>
    <x:row r="688">
      <x:c r="A688" s="28"/>
      <x:c r="B688" s="28"/>
      <x:c r="C688" s="28"/>
      <x:c r="D688" s="28"/>
      <x:c r="E688" s="28"/>
      <x:c r="F688" s="28"/>
      <x:c r="G688" s="28"/>
      <x:c r="H688" s="28"/>
      <x:c r="I688" s="56"/>
      <x:c r="J688" s="28"/>
      <x:c r="K688" s="28"/>
      <x:c r="L688" s="56"/>
      <x:c r="M688" s="28"/>
      <x:c r="N688" s="28"/>
      <x:c r="O688" s="28"/>
      <x:c r="P688" s="28"/>
      <x:c r="Q688" s="28"/>
      <x:c r="R688" s="28"/>
      <x:c r="S688" s="28"/>
      <x:c r="T688" s="28"/>
      <x:c r="U688" s="28"/>
      <x:c r="V688" s="28"/>
      <x:c r="W688" s="28"/>
      <x:c r="X688" s="28"/>
      <x:c r="Y688" s="28"/>
      <x:c r="Z688" s="28"/>
      <x:c r="AA688" s="28"/>
      <x:c r="AB688" s="56" t="str">
        <x:f>IF($A688="","",IF(Z688="Y",20,IF(Z688="Unknown",10,0))+$L688*5+IF(AA688="Y",15,IF(AA688="Unknown",5,0))+IF($J688="Public",10,IF($J688="Partner",7,IF($J688="Internal",3,0)))+IF($W688="Hard-coded",10,IF($W688="Unknown",7,IF($W688="Configurable",3,0)))+IF($I688&gt;=10,10,IF($I688&gt;=5,7,IF($I688&gt;=2,3,0)))+IF($K688="High",10,IF($K688="Medium",5,0)))</x:f>
      </x:c>
      <x:c r="AC688" s="28" t="str">
        <x:f>IF($A688="","",IF(AB688&gt;=70,"P0 - Immediate",IF(AB688&gt;=50,"P1 - High",IF(AB688&gt;=30,"P2 - Medium",IF(AB688&gt;=15,"P3 - Low","P4 - Monitor")))))</x:f>
      </x:c>
      <x:c r="AD688" s="28"/>
      <x:c r="AE688" s="28"/>
      <x:c r="AF688" s="28"/>
      <x:c r="AG688" s="58"/>
      <x:c r="AH688" s="28"/>
    </x:row>
    <x:row r="689">
      <x:c r="A689" s="28"/>
      <x:c r="B689" s="28"/>
      <x:c r="C689" s="28"/>
      <x:c r="D689" s="28"/>
      <x:c r="E689" s="28"/>
      <x:c r="F689" s="28"/>
      <x:c r="G689" s="28"/>
      <x:c r="H689" s="28"/>
      <x:c r="I689" s="56"/>
      <x:c r="J689" s="28"/>
      <x:c r="K689" s="28"/>
      <x:c r="L689" s="56"/>
      <x:c r="M689" s="28"/>
      <x:c r="N689" s="28"/>
      <x:c r="O689" s="28"/>
      <x:c r="P689" s="28"/>
      <x:c r="Q689" s="28"/>
      <x:c r="R689" s="28"/>
      <x:c r="S689" s="28"/>
      <x:c r="T689" s="28"/>
      <x:c r="U689" s="28"/>
      <x:c r="V689" s="28"/>
      <x:c r="W689" s="28"/>
      <x:c r="X689" s="28"/>
      <x:c r="Y689" s="28"/>
      <x:c r="Z689" s="28"/>
      <x:c r="AA689" s="28"/>
      <x:c r="AB689" s="56" t="str">
        <x:f>IF($A689="","",IF(Z689="Y",20,IF(Z689="Unknown",10,0))+$L689*5+IF(AA689="Y",15,IF(AA689="Unknown",5,0))+IF($J689="Public",10,IF($J689="Partner",7,IF($J689="Internal",3,0)))+IF($W689="Hard-coded",10,IF($W689="Unknown",7,IF($W689="Configurable",3,0)))+IF($I689&gt;=10,10,IF($I689&gt;=5,7,IF($I689&gt;=2,3,0)))+IF($K689="High",10,IF($K689="Medium",5,0)))</x:f>
      </x:c>
      <x:c r="AC689" s="28" t="str">
        <x:f>IF($A689="","",IF(AB689&gt;=70,"P0 - Immediate",IF(AB689&gt;=50,"P1 - High",IF(AB689&gt;=30,"P2 - Medium",IF(AB689&gt;=15,"P3 - Low","P4 - Monitor")))))</x:f>
      </x:c>
      <x:c r="AD689" s="28"/>
      <x:c r="AE689" s="28"/>
      <x:c r="AF689" s="28"/>
      <x:c r="AG689" s="58"/>
      <x:c r="AH689" s="28"/>
    </x:row>
    <x:row r="690">
      <x:c r="A690" s="28"/>
      <x:c r="B690" s="28"/>
      <x:c r="C690" s="28"/>
      <x:c r="D690" s="28"/>
      <x:c r="E690" s="28"/>
      <x:c r="F690" s="28"/>
      <x:c r="G690" s="28"/>
      <x:c r="H690" s="28"/>
      <x:c r="I690" s="56"/>
      <x:c r="J690" s="28"/>
      <x:c r="K690" s="28"/>
      <x:c r="L690" s="56"/>
      <x:c r="M690" s="28"/>
      <x:c r="N690" s="28"/>
      <x:c r="O690" s="28"/>
      <x:c r="P690" s="28"/>
      <x:c r="Q690" s="28"/>
      <x:c r="R690" s="28"/>
      <x:c r="S690" s="28"/>
      <x:c r="T690" s="28"/>
      <x:c r="U690" s="28"/>
      <x:c r="V690" s="28"/>
      <x:c r="W690" s="28"/>
      <x:c r="X690" s="28"/>
      <x:c r="Y690" s="28"/>
      <x:c r="Z690" s="28"/>
      <x:c r="AA690" s="28"/>
      <x:c r="AB690" s="56" t="str">
        <x:f>IF($A690="","",IF(Z690="Y",20,IF(Z690="Unknown",10,0))+$L690*5+IF(AA690="Y",15,IF(AA690="Unknown",5,0))+IF($J690="Public",10,IF($J690="Partner",7,IF($J690="Internal",3,0)))+IF($W690="Hard-coded",10,IF($W690="Unknown",7,IF($W690="Configurable",3,0)))+IF($I690&gt;=10,10,IF($I690&gt;=5,7,IF($I690&gt;=2,3,0)))+IF($K690="High",10,IF($K690="Medium",5,0)))</x:f>
      </x:c>
      <x:c r="AC690" s="28" t="str">
        <x:f>IF($A690="","",IF(AB690&gt;=70,"P0 - Immediate",IF(AB690&gt;=50,"P1 - High",IF(AB690&gt;=30,"P2 - Medium",IF(AB690&gt;=15,"P3 - Low","P4 - Monitor")))))</x:f>
      </x:c>
      <x:c r="AD690" s="28"/>
      <x:c r="AE690" s="28"/>
      <x:c r="AF690" s="28"/>
      <x:c r="AG690" s="58"/>
      <x:c r="AH690" s="28"/>
    </x:row>
    <x:row r="691">
      <x:c r="A691" s="28"/>
      <x:c r="B691" s="28"/>
      <x:c r="C691" s="28"/>
      <x:c r="D691" s="28"/>
      <x:c r="E691" s="28"/>
      <x:c r="F691" s="28"/>
      <x:c r="G691" s="28"/>
      <x:c r="H691" s="28"/>
      <x:c r="I691" s="56"/>
      <x:c r="J691" s="28"/>
      <x:c r="K691" s="28"/>
      <x:c r="L691" s="56"/>
      <x:c r="M691" s="28"/>
      <x:c r="N691" s="28"/>
      <x:c r="O691" s="28"/>
      <x:c r="P691" s="28"/>
      <x:c r="Q691" s="28"/>
      <x:c r="R691" s="28"/>
      <x:c r="S691" s="28"/>
      <x:c r="T691" s="28"/>
      <x:c r="U691" s="28"/>
      <x:c r="V691" s="28"/>
      <x:c r="W691" s="28"/>
      <x:c r="X691" s="28"/>
      <x:c r="Y691" s="28"/>
      <x:c r="Z691" s="28"/>
      <x:c r="AA691" s="28"/>
      <x:c r="AB691" s="56" t="str">
        <x:f>IF($A691="","",IF(Z691="Y",20,IF(Z691="Unknown",10,0))+$L691*5+IF(AA691="Y",15,IF(AA691="Unknown",5,0))+IF($J691="Public",10,IF($J691="Partner",7,IF($J691="Internal",3,0)))+IF($W691="Hard-coded",10,IF($W691="Unknown",7,IF($W691="Configurable",3,0)))+IF($I691&gt;=10,10,IF($I691&gt;=5,7,IF($I691&gt;=2,3,0)))+IF($K691="High",10,IF($K691="Medium",5,0)))</x:f>
      </x:c>
      <x:c r="AC691" s="28" t="str">
        <x:f>IF($A691="","",IF(AB691&gt;=70,"P0 - Immediate",IF(AB691&gt;=50,"P1 - High",IF(AB691&gt;=30,"P2 - Medium",IF(AB691&gt;=15,"P3 - Low","P4 - Monitor")))))</x:f>
      </x:c>
      <x:c r="AD691" s="28"/>
      <x:c r="AE691" s="28"/>
      <x:c r="AF691" s="28"/>
      <x:c r="AG691" s="58"/>
      <x:c r="AH691" s="28"/>
    </x:row>
    <x:row r="692">
      <x:c r="A692" s="28"/>
      <x:c r="B692" s="28"/>
      <x:c r="C692" s="28"/>
      <x:c r="D692" s="28"/>
      <x:c r="E692" s="28"/>
      <x:c r="F692" s="28"/>
      <x:c r="G692" s="28"/>
      <x:c r="H692" s="28"/>
      <x:c r="I692" s="56"/>
      <x:c r="J692" s="28"/>
      <x:c r="K692" s="28"/>
      <x:c r="L692" s="56"/>
      <x:c r="M692" s="28"/>
      <x:c r="N692" s="28"/>
      <x:c r="O692" s="28"/>
      <x:c r="P692" s="28"/>
      <x:c r="Q692" s="28"/>
      <x:c r="R692" s="28"/>
      <x:c r="S692" s="28"/>
      <x:c r="T692" s="28"/>
      <x:c r="U692" s="28"/>
      <x:c r="V692" s="28"/>
      <x:c r="W692" s="28"/>
      <x:c r="X692" s="28"/>
      <x:c r="Y692" s="28"/>
      <x:c r="Z692" s="28"/>
      <x:c r="AA692" s="28"/>
      <x:c r="AB692" s="56" t="str">
        <x:f>IF($A692="","",IF(Z692="Y",20,IF(Z692="Unknown",10,0))+$L692*5+IF(AA692="Y",15,IF(AA692="Unknown",5,0))+IF($J692="Public",10,IF($J692="Partner",7,IF($J692="Internal",3,0)))+IF($W692="Hard-coded",10,IF($W692="Unknown",7,IF($W692="Configurable",3,0)))+IF($I692&gt;=10,10,IF($I692&gt;=5,7,IF($I692&gt;=2,3,0)))+IF($K692="High",10,IF($K692="Medium",5,0)))</x:f>
      </x:c>
      <x:c r="AC692" s="28" t="str">
        <x:f>IF($A692="","",IF(AB692&gt;=70,"P0 - Immediate",IF(AB692&gt;=50,"P1 - High",IF(AB692&gt;=30,"P2 - Medium",IF(AB692&gt;=15,"P3 - Low","P4 - Monitor")))))</x:f>
      </x:c>
      <x:c r="AD692" s="28"/>
      <x:c r="AE692" s="28"/>
      <x:c r="AF692" s="28"/>
      <x:c r="AG692" s="58"/>
      <x:c r="AH692" s="28"/>
    </x:row>
    <x:row r="693">
      <x:c r="A693" s="28"/>
      <x:c r="B693" s="28"/>
      <x:c r="C693" s="28"/>
      <x:c r="D693" s="28"/>
      <x:c r="E693" s="28"/>
      <x:c r="F693" s="28"/>
      <x:c r="G693" s="28"/>
      <x:c r="H693" s="28"/>
      <x:c r="I693" s="56"/>
      <x:c r="J693" s="28"/>
      <x:c r="K693" s="28"/>
      <x:c r="L693" s="56"/>
      <x:c r="M693" s="28"/>
      <x:c r="N693" s="28"/>
      <x:c r="O693" s="28"/>
      <x:c r="P693" s="28"/>
      <x:c r="Q693" s="28"/>
      <x:c r="R693" s="28"/>
      <x:c r="S693" s="28"/>
      <x:c r="T693" s="28"/>
      <x:c r="U693" s="28"/>
      <x:c r="V693" s="28"/>
      <x:c r="W693" s="28"/>
      <x:c r="X693" s="28"/>
      <x:c r="Y693" s="28"/>
      <x:c r="Z693" s="28"/>
      <x:c r="AA693" s="28"/>
      <x:c r="AB693" s="56" t="str">
        <x:f>IF($A693="","",IF(Z693="Y",20,IF(Z693="Unknown",10,0))+$L693*5+IF(AA693="Y",15,IF(AA693="Unknown",5,0))+IF($J693="Public",10,IF($J693="Partner",7,IF($J693="Internal",3,0)))+IF($W693="Hard-coded",10,IF($W693="Unknown",7,IF($W693="Configurable",3,0)))+IF($I693&gt;=10,10,IF($I693&gt;=5,7,IF($I693&gt;=2,3,0)))+IF($K693="High",10,IF($K693="Medium",5,0)))</x:f>
      </x:c>
      <x:c r="AC693" s="28" t="str">
        <x:f>IF($A693="","",IF(AB693&gt;=70,"P0 - Immediate",IF(AB693&gt;=50,"P1 - High",IF(AB693&gt;=30,"P2 - Medium",IF(AB693&gt;=15,"P3 - Low","P4 - Monitor")))))</x:f>
      </x:c>
      <x:c r="AD693" s="28"/>
      <x:c r="AE693" s="28"/>
      <x:c r="AF693" s="28"/>
      <x:c r="AG693" s="58"/>
      <x:c r="AH693" s="28"/>
    </x:row>
    <x:row r="694">
      <x:c r="A694" s="28"/>
      <x:c r="B694" s="28"/>
      <x:c r="C694" s="28"/>
      <x:c r="D694" s="28"/>
      <x:c r="E694" s="28"/>
      <x:c r="F694" s="28"/>
      <x:c r="G694" s="28"/>
      <x:c r="H694" s="28"/>
      <x:c r="I694" s="56"/>
      <x:c r="J694" s="28"/>
      <x:c r="K694" s="28"/>
      <x:c r="L694" s="56"/>
      <x:c r="M694" s="28"/>
      <x:c r="N694" s="28"/>
      <x:c r="O694" s="28"/>
      <x:c r="P694" s="28"/>
      <x:c r="Q694" s="28"/>
      <x:c r="R694" s="28"/>
      <x:c r="S694" s="28"/>
      <x:c r="T694" s="28"/>
      <x:c r="U694" s="28"/>
      <x:c r="V694" s="28"/>
      <x:c r="W694" s="28"/>
      <x:c r="X694" s="28"/>
      <x:c r="Y694" s="28"/>
      <x:c r="Z694" s="28"/>
      <x:c r="AA694" s="28"/>
      <x:c r="AB694" s="56" t="str">
        <x:f>IF($A694="","",IF(Z694="Y",20,IF(Z694="Unknown",10,0))+$L694*5+IF(AA694="Y",15,IF(AA694="Unknown",5,0))+IF($J694="Public",10,IF($J694="Partner",7,IF($J694="Internal",3,0)))+IF($W694="Hard-coded",10,IF($W694="Unknown",7,IF($W694="Configurable",3,0)))+IF($I694&gt;=10,10,IF($I694&gt;=5,7,IF($I694&gt;=2,3,0)))+IF($K694="High",10,IF($K694="Medium",5,0)))</x:f>
      </x:c>
      <x:c r="AC694" s="28" t="str">
        <x:f>IF($A694="","",IF(AB694&gt;=70,"P0 - Immediate",IF(AB694&gt;=50,"P1 - High",IF(AB694&gt;=30,"P2 - Medium",IF(AB694&gt;=15,"P3 - Low","P4 - Monitor")))))</x:f>
      </x:c>
      <x:c r="AD694" s="28"/>
      <x:c r="AE694" s="28"/>
      <x:c r="AF694" s="28"/>
      <x:c r="AG694" s="58"/>
      <x:c r="AH694" s="28"/>
    </x:row>
    <x:row r="695">
      <x:c r="A695" s="28"/>
      <x:c r="B695" s="28"/>
      <x:c r="C695" s="28"/>
      <x:c r="D695" s="28"/>
      <x:c r="E695" s="28"/>
      <x:c r="F695" s="28"/>
      <x:c r="G695" s="28"/>
      <x:c r="H695" s="28"/>
      <x:c r="I695" s="56"/>
      <x:c r="J695" s="28"/>
      <x:c r="K695" s="28"/>
      <x:c r="L695" s="56"/>
      <x:c r="M695" s="28"/>
      <x:c r="N695" s="28"/>
      <x:c r="O695" s="28"/>
      <x:c r="P695" s="28"/>
      <x:c r="Q695" s="28"/>
      <x:c r="R695" s="28"/>
      <x:c r="S695" s="28"/>
      <x:c r="T695" s="28"/>
      <x:c r="U695" s="28"/>
      <x:c r="V695" s="28"/>
      <x:c r="W695" s="28"/>
      <x:c r="X695" s="28"/>
      <x:c r="Y695" s="28"/>
      <x:c r="Z695" s="28"/>
      <x:c r="AA695" s="28"/>
      <x:c r="AB695" s="56" t="str">
        <x:f>IF($A695="","",IF(Z695="Y",20,IF(Z695="Unknown",10,0))+$L695*5+IF(AA695="Y",15,IF(AA695="Unknown",5,0))+IF($J695="Public",10,IF($J695="Partner",7,IF($J695="Internal",3,0)))+IF($W695="Hard-coded",10,IF($W695="Unknown",7,IF($W695="Configurable",3,0)))+IF($I695&gt;=10,10,IF($I695&gt;=5,7,IF($I695&gt;=2,3,0)))+IF($K695="High",10,IF($K695="Medium",5,0)))</x:f>
      </x:c>
      <x:c r="AC695" s="28" t="str">
        <x:f>IF($A695="","",IF(AB695&gt;=70,"P0 - Immediate",IF(AB695&gt;=50,"P1 - High",IF(AB695&gt;=30,"P2 - Medium",IF(AB695&gt;=15,"P3 - Low","P4 - Monitor")))))</x:f>
      </x:c>
      <x:c r="AD695" s="28"/>
      <x:c r="AE695" s="28"/>
      <x:c r="AF695" s="28"/>
      <x:c r="AG695" s="58"/>
      <x:c r="AH695" s="28"/>
    </x:row>
    <x:row r="696">
      <x:c r="A696" s="28"/>
      <x:c r="B696" s="28"/>
      <x:c r="C696" s="28"/>
      <x:c r="D696" s="28"/>
      <x:c r="E696" s="28"/>
      <x:c r="F696" s="28"/>
      <x:c r="G696" s="28"/>
      <x:c r="H696" s="28"/>
      <x:c r="I696" s="56"/>
      <x:c r="J696" s="28"/>
      <x:c r="K696" s="28"/>
      <x:c r="L696" s="56"/>
      <x:c r="M696" s="28"/>
      <x:c r="N696" s="28"/>
      <x:c r="O696" s="28"/>
      <x:c r="P696" s="28"/>
      <x:c r="Q696" s="28"/>
      <x:c r="R696" s="28"/>
      <x:c r="S696" s="28"/>
      <x:c r="T696" s="28"/>
      <x:c r="U696" s="28"/>
      <x:c r="V696" s="28"/>
      <x:c r="W696" s="28"/>
      <x:c r="X696" s="28"/>
      <x:c r="Y696" s="28"/>
      <x:c r="Z696" s="28"/>
      <x:c r="AA696" s="28"/>
      <x:c r="AB696" s="56" t="str">
        <x:f>IF($A696="","",IF(Z696="Y",20,IF(Z696="Unknown",10,0))+$L696*5+IF(AA696="Y",15,IF(AA696="Unknown",5,0))+IF($J696="Public",10,IF($J696="Partner",7,IF($J696="Internal",3,0)))+IF($W696="Hard-coded",10,IF($W696="Unknown",7,IF($W696="Configurable",3,0)))+IF($I696&gt;=10,10,IF($I696&gt;=5,7,IF($I696&gt;=2,3,0)))+IF($K696="High",10,IF($K696="Medium",5,0)))</x:f>
      </x:c>
      <x:c r="AC696" s="28" t="str">
        <x:f>IF($A696="","",IF(AB696&gt;=70,"P0 - Immediate",IF(AB696&gt;=50,"P1 - High",IF(AB696&gt;=30,"P2 - Medium",IF(AB696&gt;=15,"P3 - Low","P4 - Monitor")))))</x:f>
      </x:c>
      <x:c r="AD696" s="28"/>
      <x:c r="AE696" s="28"/>
      <x:c r="AF696" s="28"/>
      <x:c r="AG696" s="58"/>
      <x:c r="AH696" s="28"/>
    </x:row>
    <x:row r="697">
      <x:c r="A697" s="28"/>
      <x:c r="B697" s="28"/>
      <x:c r="C697" s="28"/>
      <x:c r="D697" s="28"/>
      <x:c r="E697" s="28"/>
      <x:c r="F697" s="28"/>
      <x:c r="G697" s="28"/>
      <x:c r="H697" s="28"/>
      <x:c r="I697" s="56"/>
      <x:c r="J697" s="28"/>
      <x:c r="K697" s="28"/>
      <x:c r="L697" s="56"/>
      <x:c r="M697" s="28"/>
      <x:c r="N697" s="28"/>
      <x:c r="O697" s="28"/>
      <x:c r="P697" s="28"/>
      <x:c r="Q697" s="28"/>
      <x:c r="R697" s="28"/>
      <x:c r="S697" s="28"/>
      <x:c r="T697" s="28"/>
      <x:c r="U697" s="28"/>
      <x:c r="V697" s="28"/>
      <x:c r="W697" s="28"/>
      <x:c r="X697" s="28"/>
      <x:c r="Y697" s="28"/>
      <x:c r="Z697" s="28"/>
      <x:c r="AA697" s="28"/>
      <x:c r="AB697" s="56" t="str">
        <x:f>IF($A697="","",IF(Z697="Y",20,IF(Z697="Unknown",10,0))+$L697*5+IF(AA697="Y",15,IF(AA697="Unknown",5,0))+IF($J697="Public",10,IF($J697="Partner",7,IF($J697="Internal",3,0)))+IF($W697="Hard-coded",10,IF($W697="Unknown",7,IF($W697="Configurable",3,0)))+IF($I697&gt;=10,10,IF($I697&gt;=5,7,IF($I697&gt;=2,3,0)))+IF($K697="High",10,IF($K697="Medium",5,0)))</x:f>
      </x:c>
      <x:c r="AC697" s="28" t="str">
        <x:f>IF($A697="","",IF(AB697&gt;=70,"P0 - Immediate",IF(AB697&gt;=50,"P1 - High",IF(AB697&gt;=30,"P2 - Medium",IF(AB697&gt;=15,"P3 - Low","P4 - Monitor")))))</x:f>
      </x:c>
      <x:c r="AD697" s="28"/>
      <x:c r="AE697" s="28"/>
      <x:c r="AF697" s="28"/>
      <x:c r="AG697" s="58"/>
      <x:c r="AH697" s="28"/>
    </x:row>
    <x:row r="698">
      <x:c r="A698" s="28"/>
      <x:c r="B698" s="28"/>
      <x:c r="C698" s="28"/>
      <x:c r="D698" s="28"/>
      <x:c r="E698" s="28"/>
      <x:c r="F698" s="28"/>
      <x:c r="G698" s="28"/>
      <x:c r="H698" s="28"/>
      <x:c r="I698" s="56"/>
      <x:c r="J698" s="28"/>
      <x:c r="K698" s="28"/>
      <x:c r="L698" s="56"/>
      <x:c r="M698" s="28"/>
      <x:c r="N698" s="28"/>
      <x:c r="O698" s="28"/>
      <x:c r="P698" s="28"/>
      <x:c r="Q698" s="28"/>
      <x:c r="R698" s="28"/>
      <x:c r="S698" s="28"/>
      <x:c r="T698" s="28"/>
      <x:c r="U698" s="28"/>
      <x:c r="V698" s="28"/>
      <x:c r="W698" s="28"/>
      <x:c r="X698" s="28"/>
      <x:c r="Y698" s="28"/>
      <x:c r="Z698" s="28"/>
      <x:c r="AA698" s="28"/>
      <x:c r="AB698" s="56" t="str">
        <x:f>IF($A698="","",IF(Z698="Y",20,IF(Z698="Unknown",10,0))+$L698*5+IF(AA698="Y",15,IF(AA698="Unknown",5,0))+IF($J698="Public",10,IF($J698="Partner",7,IF($J698="Internal",3,0)))+IF($W698="Hard-coded",10,IF($W698="Unknown",7,IF($W698="Configurable",3,0)))+IF($I698&gt;=10,10,IF($I698&gt;=5,7,IF($I698&gt;=2,3,0)))+IF($K698="High",10,IF($K698="Medium",5,0)))</x:f>
      </x:c>
      <x:c r="AC698" s="28" t="str">
        <x:f>IF($A698="","",IF(AB698&gt;=70,"P0 - Immediate",IF(AB698&gt;=50,"P1 - High",IF(AB698&gt;=30,"P2 - Medium",IF(AB698&gt;=15,"P3 - Low","P4 - Monitor")))))</x:f>
      </x:c>
      <x:c r="AD698" s="28"/>
      <x:c r="AE698" s="28"/>
      <x:c r="AF698" s="28"/>
      <x:c r="AG698" s="58"/>
      <x:c r="AH698" s="28"/>
    </x:row>
    <x:row r="699">
      <x:c r="A699" s="28"/>
      <x:c r="B699" s="28"/>
      <x:c r="C699" s="28"/>
      <x:c r="D699" s="28"/>
      <x:c r="E699" s="28"/>
      <x:c r="F699" s="28"/>
      <x:c r="G699" s="28"/>
      <x:c r="H699" s="28"/>
      <x:c r="I699" s="56"/>
      <x:c r="J699" s="28"/>
      <x:c r="K699" s="28"/>
      <x:c r="L699" s="56"/>
      <x:c r="M699" s="28"/>
      <x:c r="N699" s="28"/>
      <x:c r="O699" s="28"/>
      <x:c r="P699" s="28"/>
      <x:c r="Q699" s="28"/>
      <x:c r="R699" s="28"/>
      <x:c r="S699" s="28"/>
      <x:c r="T699" s="28"/>
      <x:c r="U699" s="28"/>
      <x:c r="V699" s="28"/>
      <x:c r="W699" s="28"/>
      <x:c r="X699" s="28"/>
      <x:c r="Y699" s="28"/>
      <x:c r="Z699" s="28"/>
      <x:c r="AA699" s="28"/>
      <x:c r="AB699" s="56" t="str">
        <x:f>IF($A699="","",IF(Z699="Y",20,IF(Z699="Unknown",10,0))+$L699*5+IF(AA699="Y",15,IF(AA699="Unknown",5,0))+IF($J699="Public",10,IF($J699="Partner",7,IF($J699="Internal",3,0)))+IF($W699="Hard-coded",10,IF($W699="Unknown",7,IF($W699="Configurable",3,0)))+IF($I699&gt;=10,10,IF($I699&gt;=5,7,IF($I699&gt;=2,3,0)))+IF($K699="High",10,IF($K699="Medium",5,0)))</x:f>
      </x:c>
      <x:c r="AC699" s="28" t="str">
        <x:f>IF($A699="","",IF(AB699&gt;=70,"P0 - Immediate",IF(AB699&gt;=50,"P1 - High",IF(AB699&gt;=30,"P2 - Medium",IF(AB699&gt;=15,"P3 - Low","P4 - Monitor")))))</x:f>
      </x:c>
      <x:c r="AD699" s="28"/>
      <x:c r="AE699" s="28"/>
      <x:c r="AF699" s="28"/>
      <x:c r="AG699" s="58"/>
      <x:c r="AH699" s="28"/>
    </x:row>
    <x:row r="700">
      <x:c r="A700" s="28"/>
      <x:c r="B700" s="28"/>
      <x:c r="C700" s="28"/>
      <x:c r="D700" s="28"/>
      <x:c r="E700" s="28"/>
      <x:c r="F700" s="28"/>
      <x:c r="G700" s="28"/>
      <x:c r="H700" s="28"/>
      <x:c r="I700" s="56"/>
      <x:c r="J700" s="28"/>
      <x:c r="K700" s="28"/>
      <x:c r="L700" s="56"/>
      <x:c r="M700" s="28"/>
      <x:c r="N700" s="28"/>
      <x:c r="O700" s="28"/>
      <x:c r="P700" s="28"/>
      <x:c r="Q700" s="28"/>
      <x:c r="R700" s="28"/>
      <x:c r="S700" s="28"/>
      <x:c r="T700" s="28"/>
      <x:c r="U700" s="28"/>
      <x:c r="V700" s="28"/>
      <x:c r="W700" s="28"/>
      <x:c r="X700" s="28"/>
      <x:c r="Y700" s="28"/>
      <x:c r="Z700" s="28"/>
      <x:c r="AA700" s="28"/>
      <x:c r="AB700" s="56" t="str">
        <x:f>IF($A700="","",IF(Z700="Y",20,IF(Z700="Unknown",10,0))+$L700*5+IF(AA700="Y",15,IF(AA700="Unknown",5,0))+IF($J700="Public",10,IF($J700="Partner",7,IF($J700="Internal",3,0)))+IF($W700="Hard-coded",10,IF($W700="Unknown",7,IF($W700="Configurable",3,0)))+IF($I700&gt;=10,10,IF($I700&gt;=5,7,IF($I700&gt;=2,3,0)))+IF($K700="High",10,IF($K700="Medium",5,0)))</x:f>
      </x:c>
      <x:c r="AC700" s="28" t="str">
        <x:f>IF($A700="","",IF(AB700&gt;=70,"P0 - Immediate",IF(AB700&gt;=50,"P1 - High",IF(AB700&gt;=30,"P2 - Medium",IF(AB700&gt;=15,"P3 - Low","P4 - Monitor")))))</x:f>
      </x:c>
      <x:c r="AD700" s="28"/>
      <x:c r="AE700" s="28"/>
      <x:c r="AF700" s="28"/>
      <x:c r="AG700" s="58"/>
      <x:c r="AH700" s="28"/>
    </x:row>
    <x:row r="701">
      <x:c r="A701" s="28"/>
      <x:c r="B701" s="28"/>
      <x:c r="C701" s="28"/>
      <x:c r="D701" s="28"/>
      <x:c r="E701" s="28"/>
      <x:c r="F701" s="28"/>
      <x:c r="G701" s="28"/>
      <x:c r="H701" s="28"/>
      <x:c r="I701" s="56"/>
      <x:c r="J701" s="28"/>
      <x:c r="K701" s="28"/>
      <x:c r="L701" s="56"/>
      <x:c r="M701" s="28"/>
      <x:c r="N701" s="28"/>
      <x:c r="O701" s="28"/>
      <x:c r="P701" s="28"/>
      <x:c r="Q701" s="28"/>
      <x:c r="R701" s="28"/>
      <x:c r="S701" s="28"/>
      <x:c r="T701" s="28"/>
      <x:c r="U701" s="28"/>
      <x:c r="V701" s="28"/>
      <x:c r="W701" s="28"/>
      <x:c r="X701" s="28"/>
      <x:c r="Y701" s="28"/>
      <x:c r="Z701" s="28"/>
      <x:c r="AA701" s="28"/>
      <x:c r="AB701" s="56" t="str">
        <x:f>IF($A701="","",IF(Z701="Y",20,IF(Z701="Unknown",10,0))+$L701*5+IF(AA701="Y",15,IF(AA701="Unknown",5,0))+IF($J701="Public",10,IF($J701="Partner",7,IF($J701="Internal",3,0)))+IF($W701="Hard-coded",10,IF($W701="Unknown",7,IF($W701="Configurable",3,0)))+IF($I701&gt;=10,10,IF($I701&gt;=5,7,IF($I701&gt;=2,3,0)))+IF($K701="High",10,IF($K701="Medium",5,0)))</x:f>
      </x:c>
      <x:c r="AC701" s="28" t="str">
        <x:f>IF($A701="","",IF(AB701&gt;=70,"P0 - Immediate",IF(AB701&gt;=50,"P1 - High",IF(AB701&gt;=30,"P2 - Medium",IF(AB701&gt;=15,"P3 - Low","P4 - Monitor")))))</x:f>
      </x:c>
      <x:c r="AD701" s="28"/>
      <x:c r="AE701" s="28"/>
      <x:c r="AF701" s="28"/>
      <x:c r="AG701" s="58"/>
      <x:c r="AH701" s="28"/>
    </x:row>
    <x:row r="702">
      <x:c r="A702" s="28"/>
      <x:c r="B702" s="28"/>
      <x:c r="C702" s="28"/>
      <x:c r="D702" s="28"/>
      <x:c r="E702" s="28"/>
      <x:c r="F702" s="28"/>
      <x:c r="G702" s="28"/>
      <x:c r="H702" s="28"/>
      <x:c r="I702" s="56"/>
      <x:c r="J702" s="28"/>
      <x:c r="K702" s="28"/>
      <x:c r="L702" s="56"/>
      <x:c r="M702" s="28"/>
      <x:c r="N702" s="28"/>
      <x:c r="O702" s="28"/>
      <x:c r="P702" s="28"/>
      <x:c r="Q702" s="28"/>
      <x:c r="R702" s="28"/>
      <x:c r="S702" s="28"/>
      <x:c r="T702" s="28"/>
      <x:c r="U702" s="28"/>
      <x:c r="V702" s="28"/>
      <x:c r="W702" s="28"/>
      <x:c r="X702" s="28"/>
      <x:c r="Y702" s="28"/>
      <x:c r="Z702" s="28"/>
      <x:c r="AA702" s="28"/>
      <x:c r="AB702" s="56" t="str">
        <x:f>IF($A702="","",IF(Z702="Y",20,IF(Z702="Unknown",10,0))+$L702*5+IF(AA702="Y",15,IF(AA702="Unknown",5,0))+IF($J702="Public",10,IF($J702="Partner",7,IF($J702="Internal",3,0)))+IF($W702="Hard-coded",10,IF($W702="Unknown",7,IF($W702="Configurable",3,0)))+IF($I702&gt;=10,10,IF($I702&gt;=5,7,IF($I702&gt;=2,3,0)))+IF($K702="High",10,IF($K702="Medium",5,0)))</x:f>
      </x:c>
      <x:c r="AC702" s="28" t="str">
        <x:f>IF($A702="","",IF(AB702&gt;=70,"P0 - Immediate",IF(AB702&gt;=50,"P1 - High",IF(AB702&gt;=30,"P2 - Medium",IF(AB702&gt;=15,"P3 - Low","P4 - Monitor")))))</x:f>
      </x:c>
      <x:c r="AD702" s="28"/>
      <x:c r="AE702" s="28"/>
      <x:c r="AF702" s="28"/>
      <x:c r="AG702" s="58"/>
      <x:c r="AH702" s="28"/>
    </x:row>
    <x:row r="703">
      <x:c r="A703" s="28"/>
      <x:c r="B703" s="28"/>
      <x:c r="C703" s="28"/>
      <x:c r="D703" s="28"/>
      <x:c r="E703" s="28"/>
      <x:c r="F703" s="28"/>
      <x:c r="G703" s="28"/>
      <x:c r="H703" s="28"/>
      <x:c r="I703" s="56"/>
      <x:c r="J703" s="28"/>
      <x:c r="K703" s="28"/>
      <x:c r="L703" s="56"/>
      <x:c r="M703" s="28"/>
      <x:c r="N703" s="28"/>
      <x:c r="O703" s="28"/>
      <x:c r="P703" s="28"/>
      <x:c r="Q703" s="28"/>
      <x:c r="R703" s="28"/>
      <x:c r="S703" s="28"/>
      <x:c r="T703" s="28"/>
      <x:c r="U703" s="28"/>
      <x:c r="V703" s="28"/>
      <x:c r="W703" s="28"/>
      <x:c r="X703" s="28"/>
      <x:c r="Y703" s="28"/>
      <x:c r="Z703" s="28"/>
      <x:c r="AA703" s="28"/>
      <x:c r="AB703" s="56" t="str">
        <x:f>IF($A703="","",IF(Z703="Y",20,IF(Z703="Unknown",10,0))+$L703*5+IF(AA703="Y",15,IF(AA703="Unknown",5,0))+IF($J703="Public",10,IF($J703="Partner",7,IF($J703="Internal",3,0)))+IF($W703="Hard-coded",10,IF($W703="Unknown",7,IF($W703="Configurable",3,0)))+IF($I703&gt;=10,10,IF($I703&gt;=5,7,IF($I703&gt;=2,3,0)))+IF($K703="High",10,IF($K703="Medium",5,0)))</x:f>
      </x:c>
      <x:c r="AC703" s="28" t="str">
        <x:f>IF($A703="","",IF(AB703&gt;=70,"P0 - Immediate",IF(AB703&gt;=50,"P1 - High",IF(AB703&gt;=30,"P2 - Medium",IF(AB703&gt;=15,"P3 - Low","P4 - Monitor")))))</x:f>
      </x:c>
      <x:c r="AD703" s="28"/>
      <x:c r="AE703" s="28"/>
      <x:c r="AF703" s="28"/>
      <x:c r="AG703" s="58"/>
      <x:c r="AH703" s="28"/>
    </x:row>
    <x:row r="704">
      <x:c r="A704" s="28"/>
      <x:c r="B704" s="28"/>
      <x:c r="C704" s="28"/>
      <x:c r="D704" s="28"/>
      <x:c r="E704" s="28"/>
      <x:c r="F704" s="28"/>
      <x:c r="G704" s="28"/>
      <x:c r="H704" s="28"/>
      <x:c r="I704" s="56"/>
      <x:c r="J704" s="28"/>
      <x:c r="K704" s="28"/>
      <x:c r="L704" s="56"/>
      <x:c r="M704" s="28"/>
      <x:c r="N704" s="28"/>
      <x:c r="O704" s="28"/>
      <x:c r="P704" s="28"/>
      <x:c r="Q704" s="28"/>
      <x:c r="R704" s="28"/>
      <x:c r="S704" s="28"/>
      <x:c r="T704" s="28"/>
      <x:c r="U704" s="28"/>
      <x:c r="V704" s="28"/>
      <x:c r="W704" s="28"/>
      <x:c r="X704" s="28"/>
      <x:c r="Y704" s="28"/>
      <x:c r="Z704" s="28"/>
      <x:c r="AA704" s="28"/>
      <x:c r="AB704" s="56" t="str">
        <x:f>IF($A704="","",IF(Z704="Y",20,IF(Z704="Unknown",10,0))+$L704*5+IF(AA704="Y",15,IF(AA704="Unknown",5,0))+IF($J704="Public",10,IF($J704="Partner",7,IF($J704="Internal",3,0)))+IF($W704="Hard-coded",10,IF($W704="Unknown",7,IF($W704="Configurable",3,0)))+IF($I704&gt;=10,10,IF($I704&gt;=5,7,IF($I704&gt;=2,3,0)))+IF($K704="High",10,IF($K704="Medium",5,0)))</x:f>
      </x:c>
      <x:c r="AC704" s="28" t="str">
        <x:f>IF($A704="","",IF(AB704&gt;=70,"P0 - Immediate",IF(AB704&gt;=50,"P1 - High",IF(AB704&gt;=30,"P2 - Medium",IF(AB704&gt;=15,"P3 - Low","P4 - Monitor")))))</x:f>
      </x:c>
      <x:c r="AD704" s="28"/>
      <x:c r="AE704" s="28"/>
      <x:c r="AF704" s="28"/>
      <x:c r="AG704" s="58"/>
      <x:c r="AH704" s="28"/>
    </x:row>
    <x:row r="705">
      <x:c r="A705" s="28"/>
      <x:c r="B705" s="28"/>
      <x:c r="C705" s="28"/>
      <x:c r="D705" s="28"/>
      <x:c r="E705" s="28"/>
      <x:c r="F705" s="28"/>
      <x:c r="G705" s="28"/>
      <x:c r="H705" s="28"/>
      <x:c r="I705" s="56"/>
      <x:c r="J705" s="28"/>
      <x:c r="K705" s="28"/>
      <x:c r="L705" s="56"/>
      <x:c r="M705" s="28"/>
      <x:c r="N705" s="28"/>
      <x:c r="O705" s="28"/>
      <x:c r="P705" s="28"/>
      <x:c r="Q705" s="28"/>
      <x:c r="R705" s="28"/>
      <x:c r="S705" s="28"/>
      <x:c r="T705" s="28"/>
      <x:c r="U705" s="28"/>
      <x:c r="V705" s="28"/>
      <x:c r="W705" s="28"/>
      <x:c r="X705" s="28"/>
      <x:c r="Y705" s="28"/>
      <x:c r="Z705" s="28"/>
      <x:c r="AA705" s="28"/>
      <x:c r="AB705" s="56" t="str">
        <x:f>IF($A705="","",IF(Z705="Y",20,IF(Z705="Unknown",10,0))+$L705*5+IF(AA705="Y",15,IF(AA705="Unknown",5,0))+IF($J705="Public",10,IF($J705="Partner",7,IF($J705="Internal",3,0)))+IF($W705="Hard-coded",10,IF($W705="Unknown",7,IF($W705="Configurable",3,0)))+IF($I705&gt;=10,10,IF($I705&gt;=5,7,IF($I705&gt;=2,3,0)))+IF($K705="High",10,IF($K705="Medium",5,0)))</x:f>
      </x:c>
      <x:c r="AC705" s="28" t="str">
        <x:f>IF($A705="","",IF(AB705&gt;=70,"P0 - Immediate",IF(AB705&gt;=50,"P1 - High",IF(AB705&gt;=30,"P2 - Medium",IF(AB705&gt;=15,"P3 - Low","P4 - Monitor")))))</x:f>
      </x:c>
      <x:c r="AD705" s="28"/>
      <x:c r="AE705" s="28"/>
      <x:c r="AF705" s="28"/>
      <x:c r="AG705" s="58"/>
      <x:c r="AH705" s="28"/>
    </x:row>
    <x:row r="706">
      <x:c r="A706" s="28"/>
      <x:c r="B706" s="28"/>
      <x:c r="C706" s="28"/>
      <x:c r="D706" s="28"/>
      <x:c r="E706" s="28"/>
      <x:c r="F706" s="28"/>
      <x:c r="G706" s="28"/>
      <x:c r="H706" s="28"/>
      <x:c r="I706" s="56"/>
      <x:c r="J706" s="28"/>
      <x:c r="K706" s="28"/>
      <x:c r="L706" s="56"/>
      <x:c r="M706" s="28"/>
      <x:c r="N706" s="28"/>
      <x:c r="O706" s="28"/>
      <x:c r="P706" s="28"/>
      <x:c r="Q706" s="28"/>
      <x:c r="R706" s="28"/>
      <x:c r="S706" s="28"/>
      <x:c r="T706" s="28"/>
      <x:c r="U706" s="28"/>
      <x:c r="V706" s="28"/>
      <x:c r="W706" s="28"/>
      <x:c r="X706" s="28"/>
      <x:c r="Y706" s="28"/>
      <x:c r="Z706" s="28"/>
      <x:c r="AA706" s="28"/>
      <x:c r="AB706" s="56" t="str">
        <x:f>IF($A706="","",IF(Z706="Y",20,IF(Z706="Unknown",10,0))+$L706*5+IF(AA706="Y",15,IF(AA706="Unknown",5,0))+IF($J706="Public",10,IF($J706="Partner",7,IF($J706="Internal",3,0)))+IF($W706="Hard-coded",10,IF($W706="Unknown",7,IF($W706="Configurable",3,0)))+IF($I706&gt;=10,10,IF($I706&gt;=5,7,IF($I706&gt;=2,3,0)))+IF($K706="High",10,IF($K706="Medium",5,0)))</x:f>
      </x:c>
      <x:c r="AC706" s="28" t="str">
        <x:f>IF($A706="","",IF(AB706&gt;=70,"P0 - Immediate",IF(AB706&gt;=50,"P1 - High",IF(AB706&gt;=30,"P2 - Medium",IF(AB706&gt;=15,"P3 - Low","P4 - Monitor")))))</x:f>
      </x:c>
      <x:c r="AD706" s="28"/>
      <x:c r="AE706" s="28"/>
      <x:c r="AF706" s="28"/>
      <x:c r="AG706" s="58"/>
      <x:c r="AH706" s="28"/>
    </x:row>
    <x:row r="707">
      <x:c r="A707" s="28"/>
      <x:c r="B707" s="28"/>
      <x:c r="C707" s="28"/>
      <x:c r="D707" s="28"/>
      <x:c r="E707" s="28"/>
      <x:c r="F707" s="28"/>
      <x:c r="G707" s="28"/>
      <x:c r="H707" s="28"/>
      <x:c r="I707" s="56"/>
      <x:c r="J707" s="28"/>
      <x:c r="K707" s="28"/>
      <x:c r="L707" s="56"/>
      <x:c r="M707" s="28"/>
      <x:c r="N707" s="28"/>
      <x:c r="O707" s="28"/>
      <x:c r="P707" s="28"/>
      <x:c r="Q707" s="28"/>
      <x:c r="R707" s="28"/>
      <x:c r="S707" s="28"/>
      <x:c r="T707" s="28"/>
      <x:c r="U707" s="28"/>
      <x:c r="V707" s="28"/>
      <x:c r="W707" s="28"/>
      <x:c r="X707" s="28"/>
      <x:c r="Y707" s="28"/>
      <x:c r="Z707" s="28"/>
      <x:c r="AA707" s="28"/>
      <x:c r="AB707" s="56" t="str">
        <x:f>IF($A707="","",IF(Z707="Y",20,IF(Z707="Unknown",10,0))+$L707*5+IF(AA707="Y",15,IF(AA707="Unknown",5,0))+IF($J707="Public",10,IF($J707="Partner",7,IF($J707="Internal",3,0)))+IF($W707="Hard-coded",10,IF($W707="Unknown",7,IF($W707="Configurable",3,0)))+IF($I707&gt;=10,10,IF($I707&gt;=5,7,IF($I707&gt;=2,3,0)))+IF($K707="High",10,IF($K707="Medium",5,0)))</x:f>
      </x:c>
      <x:c r="AC707" s="28" t="str">
        <x:f>IF($A707="","",IF(AB707&gt;=70,"P0 - Immediate",IF(AB707&gt;=50,"P1 - High",IF(AB707&gt;=30,"P2 - Medium",IF(AB707&gt;=15,"P3 - Low","P4 - Monitor")))))</x:f>
      </x:c>
      <x:c r="AD707" s="28"/>
      <x:c r="AE707" s="28"/>
      <x:c r="AF707" s="28"/>
      <x:c r="AG707" s="58"/>
      <x:c r="AH707" s="28"/>
    </x:row>
    <x:row r="708">
      <x:c r="A708" s="28"/>
      <x:c r="B708" s="28"/>
      <x:c r="C708" s="28"/>
      <x:c r="D708" s="28"/>
      <x:c r="E708" s="28"/>
      <x:c r="F708" s="28"/>
      <x:c r="G708" s="28"/>
      <x:c r="H708" s="28"/>
      <x:c r="I708" s="56"/>
      <x:c r="J708" s="28"/>
      <x:c r="K708" s="28"/>
      <x:c r="L708" s="56"/>
      <x:c r="M708" s="28"/>
      <x:c r="N708" s="28"/>
      <x:c r="O708" s="28"/>
      <x:c r="P708" s="28"/>
      <x:c r="Q708" s="28"/>
      <x:c r="R708" s="28"/>
      <x:c r="S708" s="28"/>
      <x:c r="T708" s="28"/>
      <x:c r="U708" s="28"/>
      <x:c r="V708" s="28"/>
      <x:c r="W708" s="28"/>
      <x:c r="X708" s="28"/>
      <x:c r="Y708" s="28"/>
      <x:c r="Z708" s="28"/>
      <x:c r="AA708" s="28"/>
      <x:c r="AB708" s="56" t="str">
        <x:f>IF($A708="","",IF(Z708="Y",20,IF(Z708="Unknown",10,0))+$L708*5+IF(AA708="Y",15,IF(AA708="Unknown",5,0))+IF($J708="Public",10,IF($J708="Partner",7,IF($J708="Internal",3,0)))+IF($W708="Hard-coded",10,IF($W708="Unknown",7,IF($W708="Configurable",3,0)))+IF($I708&gt;=10,10,IF($I708&gt;=5,7,IF($I708&gt;=2,3,0)))+IF($K708="High",10,IF($K708="Medium",5,0)))</x:f>
      </x:c>
      <x:c r="AC708" s="28" t="str">
        <x:f>IF($A708="","",IF(AB708&gt;=70,"P0 - Immediate",IF(AB708&gt;=50,"P1 - High",IF(AB708&gt;=30,"P2 - Medium",IF(AB708&gt;=15,"P3 - Low","P4 - Monitor")))))</x:f>
      </x:c>
      <x:c r="AD708" s="28"/>
      <x:c r="AE708" s="28"/>
      <x:c r="AF708" s="28"/>
      <x:c r="AG708" s="58"/>
      <x:c r="AH708" s="28"/>
    </x:row>
    <x:row r="709">
      <x:c r="A709" s="28"/>
      <x:c r="B709" s="28"/>
      <x:c r="C709" s="28"/>
      <x:c r="D709" s="28"/>
      <x:c r="E709" s="28"/>
      <x:c r="F709" s="28"/>
      <x:c r="G709" s="28"/>
      <x:c r="H709" s="28"/>
      <x:c r="I709" s="56"/>
      <x:c r="J709" s="28"/>
      <x:c r="K709" s="28"/>
      <x:c r="L709" s="56"/>
      <x:c r="M709" s="28"/>
      <x:c r="N709" s="28"/>
      <x:c r="O709" s="28"/>
      <x:c r="P709" s="28"/>
      <x:c r="Q709" s="28"/>
      <x:c r="R709" s="28"/>
      <x:c r="S709" s="28"/>
      <x:c r="T709" s="28"/>
      <x:c r="U709" s="28"/>
      <x:c r="V709" s="28"/>
      <x:c r="W709" s="28"/>
      <x:c r="X709" s="28"/>
      <x:c r="Y709" s="28"/>
      <x:c r="Z709" s="28"/>
      <x:c r="AA709" s="28"/>
      <x:c r="AB709" s="56" t="str">
        <x:f>IF($A709="","",IF(Z709="Y",20,IF(Z709="Unknown",10,0))+$L709*5+IF(AA709="Y",15,IF(AA709="Unknown",5,0))+IF($J709="Public",10,IF($J709="Partner",7,IF($J709="Internal",3,0)))+IF($W709="Hard-coded",10,IF($W709="Unknown",7,IF($W709="Configurable",3,0)))+IF($I709&gt;=10,10,IF($I709&gt;=5,7,IF($I709&gt;=2,3,0)))+IF($K709="High",10,IF($K709="Medium",5,0)))</x:f>
      </x:c>
      <x:c r="AC709" s="28" t="str">
        <x:f>IF($A709="","",IF(AB709&gt;=70,"P0 - Immediate",IF(AB709&gt;=50,"P1 - High",IF(AB709&gt;=30,"P2 - Medium",IF(AB709&gt;=15,"P3 - Low","P4 - Monitor")))))</x:f>
      </x:c>
      <x:c r="AD709" s="28"/>
      <x:c r="AE709" s="28"/>
      <x:c r="AF709" s="28"/>
      <x:c r="AG709" s="58"/>
      <x:c r="AH709" s="28"/>
    </x:row>
    <x:row r="710">
      <x:c r="A710" s="28"/>
      <x:c r="B710" s="28"/>
      <x:c r="C710" s="28"/>
      <x:c r="D710" s="28"/>
      <x:c r="E710" s="28"/>
      <x:c r="F710" s="28"/>
      <x:c r="G710" s="28"/>
      <x:c r="H710" s="28"/>
      <x:c r="I710" s="56"/>
      <x:c r="J710" s="28"/>
      <x:c r="K710" s="28"/>
      <x:c r="L710" s="56"/>
      <x:c r="M710" s="28"/>
      <x:c r="N710" s="28"/>
      <x:c r="O710" s="28"/>
      <x:c r="P710" s="28"/>
      <x:c r="Q710" s="28"/>
      <x:c r="R710" s="28"/>
      <x:c r="S710" s="28"/>
      <x:c r="T710" s="28"/>
      <x:c r="U710" s="28"/>
      <x:c r="V710" s="28"/>
      <x:c r="W710" s="28"/>
      <x:c r="X710" s="28"/>
      <x:c r="Y710" s="28"/>
      <x:c r="Z710" s="28"/>
      <x:c r="AA710" s="28"/>
      <x:c r="AB710" s="56" t="str">
        <x:f>IF($A710="","",IF(Z710="Y",20,IF(Z710="Unknown",10,0))+$L710*5+IF(AA710="Y",15,IF(AA710="Unknown",5,0))+IF($J710="Public",10,IF($J710="Partner",7,IF($J710="Internal",3,0)))+IF($W710="Hard-coded",10,IF($W710="Unknown",7,IF($W710="Configurable",3,0)))+IF($I710&gt;=10,10,IF($I710&gt;=5,7,IF($I710&gt;=2,3,0)))+IF($K710="High",10,IF($K710="Medium",5,0)))</x:f>
      </x:c>
      <x:c r="AC710" s="28" t="str">
        <x:f>IF($A710="","",IF(AB710&gt;=70,"P0 - Immediate",IF(AB710&gt;=50,"P1 - High",IF(AB710&gt;=30,"P2 - Medium",IF(AB710&gt;=15,"P3 - Low","P4 - Monitor")))))</x:f>
      </x:c>
      <x:c r="AD710" s="28"/>
      <x:c r="AE710" s="28"/>
      <x:c r="AF710" s="28"/>
      <x:c r="AG710" s="58"/>
      <x:c r="AH710" s="28"/>
    </x:row>
    <x:row r="711">
      <x:c r="A711" s="28"/>
      <x:c r="B711" s="28"/>
      <x:c r="C711" s="28"/>
      <x:c r="D711" s="28"/>
      <x:c r="E711" s="28"/>
      <x:c r="F711" s="28"/>
      <x:c r="G711" s="28"/>
      <x:c r="H711" s="28"/>
      <x:c r="I711" s="56"/>
      <x:c r="J711" s="28"/>
      <x:c r="K711" s="28"/>
      <x:c r="L711" s="56"/>
      <x:c r="M711" s="28"/>
      <x:c r="N711" s="28"/>
      <x:c r="O711" s="28"/>
      <x:c r="P711" s="28"/>
      <x:c r="Q711" s="28"/>
      <x:c r="R711" s="28"/>
      <x:c r="S711" s="28"/>
      <x:c r="T711" s="28"/>
      <x:c r="U711" s="28"/>
      <x:c r="V711" s="28"/>
      <x:c r="W711" s="28"/>
      <x:c r="X711" s="28"/>
      <x:c r="Y711" s="28"/>
      <x:c r="Z711" s="28"/>
      <x:c r="AA711" s="28"/>
      <x:c r="AB711" s="56" t="str">
        <x:f>IF($A711="","",IF(Z711="Y",20,IF(Z711="Unknown",10,0))+$L711*5+IF(AA711="Y",15,IF(AA711="Unknown",5,0))+IF($J711="Public",10,IF($J711="Partner",7,IF($J711="Internal",3,0)))+IF($W711="Hard-coded",10,IF($W711="Unknown",7,IF($W711="Configurable",3,0)))+IF($I711&gt;=10,10,IF($I711&gt;=5,7,IF($I711&gt;=2,3,0)))+IF($K711="High",10,IF($K711="Medium",5,0)))</x:f>
      </x:c>
      <x:c r="AC711" s="28" t="str">
        <x:f>IF($A711="","",IF(AB711&gt;=70,"P0 - Immediate",IF(AB711&gt;=50,"P1 - High",IF(AB711&gt;=30,"P2 - Medium",IF(AB711&gt;=15,"P3 - Low","P4 - Monitor")))))</x:f>
      </x:c>
      <x:c r="AD711" s="28"/>
      <x:c r="AE711" s="28"/>
      <x:c r="AF711" s="28"/>
      <x:c r="AG711" s="58"/>
      <x:c r="AH711" s="28"/>
    </x:row>
    <x:row r="712">
      <x:c r="A712" s="28"/>
      <x:c r="B712" s="28"/>
      <x:c r="C712" s="28"/>
      <x:c r="D712" s="28"/>
      <x:c r="E712" s="28"/>
      <x:c r="F712" s="28"/>
      <x:c r="G712" s="28"/>
      <x:c r="H712" s="28"/>
      <x:c r="I712" s="56"/>
      <x:c r="J712" s="28"/>
      <x:c r="K712" s="28"/>
      <x:c r="L712" s="56"/>
      <x:c r="M712" s="28"/>
      <x:c r="N712" s="28"/>
      <x:c r="O712" s="28"/>
      <x:c r="P712" s="28"/>
      <x:c r="Q712" s="28"/>
      <x:c r="R712" s="28"/>
      <x:c r="S712" s="28"/>
      <x:c r="T712" s="28"/>
      <x:c r="U712" s="28"/>
      <x:c r="V712" s="28"/>
      <x:c r="W712" s="28"/>
      <x:c r="X712" s="28"/>
      <x:c r="Y712" s="28"/>
      <x:c r="Z712" s="28"/>
      <x:c r="AA712" s="28"/>
      <x:c r="AB712" s="56" t="str">
        <x:f>IF($A712="","",IF(Z712="Y",20,IF(Z712="Unknown",10,0))+$L712*5+IF(AA712="Y",15,IF(AA712="Unknown",5,0))+IF($J712="Public",10,IF($J712="Partner",7,IF($J712="Internal",3,0)))+IF($W712="Hard-coded",10,IF($W712="Unknown",7,IF($W712="Configurable",3,0)))+IF($I712&gt;=10,10,IF($I712&gt;=5,7,IF($I712&gt;=2,3,0)))+IF($K712="High",10,IF($K712="Medium",5,0)))</x:f>
      </x:c>
      <x:c r="AC712" s="28" t="str">
        <x:f>IF($A712="","",IF(AB712&gt;=70,"P0 - Immediate",IF(AB712&gt;=50,"P1 - High",IF(AB712&gt;=30,"P2 - Medium",IF(AB712&gt;=15,"P3 - Low","P4 - Monitor")))))</x:f>
      </x:c>
      <x:c r="AD712" s="28"/>
      <x:c r="AE712" s="28"/>
      <x:c r="AF712" s="28"/>
      <x:c r="AG712" s="58"/>
      <x:c r="AH712" s="28"/>
    </x:row>
    <x:row r="713">
      <x:c r="A713" s="28"/>
      <x:c r="B713" s="28"/>
      <x:c r="C713" s="28"/>
      <x:c r="D713" s="28"/>
      <x:c r="E713" s="28"/>
      <x:c r="F713" s="28"/>
      <x:c r="G713" s="28"/>
      <x:c r="H713" s="28"/>
      <x:c r="I713" s="56"/>
      <x:c r="J713" s="28"/>
      <x:c r="K713" s="28"/>
      <x:c r="L713" s="56"/>
      <x:c r="M713" s="28"/>
      <x:c r="N713" s="28"/>
      <x:c r="O713" s="28"/>
      <x:c r="P713" s="28"/>
      <x:c r="Q713" s="28"/>
      <x:c r="R713" s="28"/>
      <x:c r="S713" s="28"/>
      <x:c r="T713" s="28"/>
      <x:c r="U713" s="28"/>
      <x:c r="V713" s="28"/>
      <x:c r="W713" s="28"/>
      <x:c r="X713" s="28"/>
      <x:c r="Y713" s="28"/>
      <x:c r="Z713" s="28"/>
      <x:c r="AA713" s="28"/>
      <x:c r="AB713" s="56" t="str">
        <x:f>IF($A713="","",IF(Z713="Y",20,IF(Z713="Unknown",10,0))+$L713*5+IF(AA713="Y",15,IF(AA713="Unknown",5,0))+IF($J713="Public",10,IF($J713="Partner",7,IF($J713="Internal",3,0)))+IF($W713="Hard-coded",10,IF($W713="Unknown",7,IF($W713="Configurable",3,0)))+IF($I713&gt;=10,10,IF($I713&gt;=5,7,IF($I713&gt;=2,3,0)))+IF($K713="High",10,IF($K713="Medium",5,0)))</x:f>
      </x:c>
      <x:c r="AC713" s="28" t="str">
        <x:f>IF($A713="","",IF(AB713&gt;=70,"P0 - Immediate",IF(AB713&gt;=50,"P1 - High",IF(AB713&gt;=30,"P2 - Medium",IF(AB713&gt;=15,"P3 - Low","P4 - Monitor")))))</x:f>
      </x:c>
      <x:c r="AD713" s="28"/>
      <x:c r="AE713" s="28"/>
      <x:c r="AF713" s="28"/>
      <x:c r="AG713" s="58"/>
      <x:c r="AH713" s="28"/>
    </x:row>
    <x:row r="714">
      <x:c r="A714" s="28"/>
      <x:c r="B714" s="28"/>
      <x:c r="C714" s="28"/>
      <x:c r="D714" s="28"/>
      <x:c r="E714" s="28"/>
      <x:c r="F714" s="28"/>
      <x:c r="G714" s="28"/>
      <x:c r="H714" s="28"/>
      <x:c r="I714" s="56"/>
      <x:c r="J714" s="28"/>
      <x:c r="K714" s="28"/>
      <x:c r="L714" s="56"/>
      <x:c r="M714" s="28"/>
      <x:c r="N714" s="28"/>
      <x:c r="O714" s="28"/>
      <x:c r="P714" s="28"/>
      <x:c r="Q714" s="28"/>
      <x:c r="R714" s="28"/>
      <x:c r="S714" s="28"/>
      <x:c r="T714" s="28"/>
      <x:c r="U714" s="28"/>
      <x:c r="V714" s="28"/>
      <x:c r="W714" s="28"/>
      <x:c r="X714" s="28"/>
      <x:c r="Y714" s="28"/>
      <x:c r="Z714" s="28"/>
      <x:c r="AA714" s="28"/>
      <x:c r="AB714" s="56" t="str">
        <x:f>IF($A714="","",IF(Z714="Y",20,IF(Z714="Unknown",10,0))+$L714*5+IF(AA714="Y",15,IF(AA714="Unknown",5,0))+IF($J714="Public",10,IF($J714="Partner",7,IF($J714="Internal",3,0)))+IF($W714="Hard-coded",10,IF($W714="Unknown",7,IF($W714="Configurable",3,0)))+IF($I714&gt;=10,10,IF($I714&gt;=5,7,IF($I714&gt;=2,3,0)))+IF($K714="High",10,IF($K714="Medium",5,0)))</x:f>
      </x:c>
      <x:c r="AC714" s="28" t="str">
        <x:f>IF($A714="","",IF(AB714&gt;=70,"P0 - Immediate",IF(AB714&gt;=50,"P1 - High",IF(AB714&gt;=30,"P2 - Medium",IF(AB714&gt;=15,"P3 - Low","P4 - Monitor")))))</x:f>
      </x:c>
      <x:c r="AD714" s="28"/>
      <x:c r="AE714" s="28"/>
      <x:c r="AF714" s="28"/>
      <x:c r="AG714" s="58"/>
      <x:c r="AH714" s="28"/>
    </x:row>
    <x:row r="715">
      <x:c r="A715" s="28"/>
      <x:c r="B715" s="28"/>
      <x:c r="C715" s="28"/>
      <x:c r="D715" s="28"/>
      <x:c r="E715" s="28"/>
      <x:c r="F715" s="28"/>
      <x:c r="G715" s="28"/>
      <x:c r="H715" s="28"/>
      <x:c r="I715" s="56"/>
      <x:c r="J715" s="28"/>
      <x:c r="K715" s="28"/>
      <x:c r="L715" s="56"/>
      <x:c r="M715" s="28"/>
      <x:c r="N715" s="28"/>
      <x:c r="O715" s="28"/>
      <x:c r="P715" s="28"/>
      <x:c r="Q715" s="28"/>
      <x:c r="R715" s="28"/>
      <x:c r="S715" s="28"/>
      <x:c r="T715" s="28"/>
      <x:c r="U715" s="28"/>
      <x:c r="V715" s="28"/>
      <x:c r="W715" s="28"/>
      <x:c r="X715" s="28"/>
      <x:c r="Y715" s="28"/>
      <x:c r="Z715" s="28"/>
      <x:c r="AA715" s="28"/>
      <x:c r="AB715" s="56" t="str">
        <x:f>IF($A715="","",IF(Z715="Y",20,IF(Z715="Unknown",10,0))+$L715*5+IF(AA715="Y",15,IF(AA715="Unknown",5,0))+IF($J715="Public",10,IF($J715="Partner",7,IF($J715="Internal",3,0)))+IF($W715="Hard-coded",10,IF($W715="Unknown",7,IF($W715="Configurable",3,0)))+IF($I715&gt;=10,10,IF($I715&gt;=5,7,IF($I715&gt;=2,3,0)))+IF($K715="High",10,IF($K715="Medium",5,0)))</x:f>
      </x:c>
      <x:c r="AC715" s="28" t="str">
        <x:f>IF($A715="","",IF(AB715&gt;=70,"P0 - Immediate",IF(AB715&gt;=50,"P1 - High",IF(AB715&gt;=30,"P2 - Medium",IF(AB715&gt;=15,"P3 - Low","P4 - Monitor")))))</x:f>
      </x:c>
      <x:c r="AD715" s="28"/>
      <x:c r="AE715" s="28"/>
      <x:c r="AF715" s="28"/>
      <x:c r="AG715" s="58"/>
      <x:c r="AH715" s="28"/>
    </x:row>
    <x:row r="716">
      <x:c r="A716" s="28"/>
      <x:c r="B716" s="28"/>
      <x:c r="C716" s="28"/>
      <x:c r="D716" s="28"/>
      <x:c r="E716" s="28"/>
      <x:c r="F716" s="28"/>
      <x:c r="G716" s="28"/>
      <x:c r="H716" s="28"/>
      <x:c r="I716" s="56"/>
      <x:c r="J716" s="28"/>
      <x:c r="K716" s="28"/>
      <x:c r="L716" s="56"/>
      <x:c r="M716" s="28"/>
      <x:c r="N716" s="28"/>
      <x:c r="O716" s="28"/>
      <x:c r="P716" s="28"/>
      <x:c r="Q716" s="28"/>
      <x:c r="R716" s="28"/>
      <x:c r="S716" s="28"/>
      <x:c r="T716" s="28"/>
      <x:c r="U716" s="28"/>
      <x:c r="V716" s="28"/>
      <x:c r="W716" s="28"/>
      <x:c r="X716" s="28"/>
      <x:c r="Y716" s="28"/>
      <x:c r="Z716" s="28"/>
      <x:c r="AA716" s="28"/>
      <x:c r="AB716" s="56" t="str">
        <x:f>IF($A716="","",IF(Z716="Y",20,IF(Z716="Unknown",10,0))+$L716*5+IF(AA716="Y",15,IF(AA716="Unknown",5,0))+IF($J716="Public",10,IF($J716="Partner",7,IF($J716="Internal",3,0)))+IF($W716="Hard-coded",10,IF($W716="Unknown",7,IF($W716="Configurable",3,0)))+IF($I716&gt;=10,10,IF($I716&gt;=5,7,IF($I716&gt;=2,3,0)))+IF($K716="High",10,IF($K716="Medium",5,0)))</x:f>
      </x:c>
      <x:c r="AC716" s="28" t="str">
        <x:f>IF($A716="","",IF(AB716&gt;=70,"P0 - Immediate",IF(AB716&gt;=50,"P1 - High",IF(AB716&gt;=30,"P2 - Medium",IF(AB716&gt;=15,"P3 - Low","P4 - Monitor")))))</x:f>
      </x:c>
      <x:c r="AD716" s="28"/>
      <x:c r="AE716" s="28"/>
      <x:c r="AF716" s="28"/>
      <x:c r="AG716" s="58"/>
      <x:c r="AH716" s="28"/>
    </x:row>
    <x:row r="717">
      <x:c r="A717" s="28"/>
      <x:c r="B717" s="28"/>
      <x:c r="C717" s="28"/>
      <x:c r="D717" s="28"/>
      <x:c r="E717" s="28"/>
      <x:c r="F717" s="28"/>
      <x:c r="G717" s="28"/>
      <x:c r="H717" s="28"/>
      <x:c r="I717" s="56"/>
      <x:c r="J717" s="28"/>
      <x:c r="K717" s="28"/>
      <x:c r="L717" s="56"/>
      <x:c r="M717" s="28"/>
      <x:c r="N717" s="28"/>
      <x:c r="O717" s="28"/>
      <x:c r="P717" s="28"/>
      <x:c r="Q717" s="28"/>
      <x:c r="R717" s="28"/>
      <x:c r="S717" s="28"/>
      <x:c r="T717" s="28"/>
      <x:c r="U717" s="28"/>
      <x:c r="V717" s="28"/>
      <x:c r="W717" s="28"/>
      <x:c r="X717" s="28"/>
      <x:c r="Y717" s="28"/>
      <x:c r="Z717" s="28"/>
      <x:c r="AA717" s="28"/>
      <x:c r="AB717" s="56" t="str">
        <x:f>IF($A717="","",IF(Z717="Y",20,IF(Z717="Unknown",10,0))+$L717*5+IF(AA717="Y",15,IF(AA717="Unknown",5,0))+IF($J717="Public",10,IF($J717="Partner",7,IF($J717="Internal",3,0)))+IF($W717="Hard-coded",10,IF($W717="Unknown",7,IF($W717="Configurable",3,0)))+IF($I717&gt;=10,10,IF($I717&gt;=5,7,IF($I717&gt;=2,3,0)))+IF($K717="High",10,IF($K717="Medium",5,0)))</x:f>
      </x:c>
      <x:c r="AC717" s="28" t="str">
        <x:f>IF($A717="","",IF(AB717&gt;=70,"P0 - Immediate",IF(AB717&gt;=50,"P1 - High",IF(AB717&gt;=30,"P2 - Medium",IF(AB717&gt;=15,"P3 - Low","P4 - Monitor")))))</x:f>
      </x:c>
      <x:c r="AD717" s="28"/>
      <x:c r="AE717" s="28"/>
      <x:c r="AF717" s="28"/>
      <x:c r="AG717" s="58"/>
      <x:c r="AH717" s="28"/>
    </x:row>
    <x:row r="718">
      <x:c r="A718" s="28"/>
      <x:c r="B718" s="28"/>
      <x:c r="C718" s="28"/>
      <x:c r="D718" s="28"/>
      <x:c r="E718" s="28"/>
      <x:c r="F718" s="28"/>
      <x:c r="G718" s="28"/>
      <x:c r="H718" s="28"/>
      <x:c r="I718" s="56"/>
      <x:c r="J718" s="28"/>
      <x:c r="K718" s="28"/>
      <x:c r="L718" s="56"/>
      <x:c r="M718" s="28"/>
      <x:c r="N718" s="28"/>
      <x:c r="O718" s="28"/>
      <x:c r="P718" s="28"/>
      <x:c r="Q718" s="28"/>
      <x:c r="R718" s="28"/>
      <x:c r="S718" s="28"/>
      <x:c r="T718" s="28"/>
      <x:c r="U718" s="28"/>
      <x:c r="V718" s="28"/>
      <x:c r="W718" s="28"/>
      <x:c r="X718" s="28"/>
      <x:c r="Y718" s="28"/>
      <x:c r="Z718" s="28"/>
      <x:c r="AA718" s="28"/>
      <x:c r="AB718" s="56" t="str">
        <x:f>IF($A718="","",IF(Z718="Y",20,IF(Z718="Unknown",10,0))+$L718*5+IF(AA718="Y",15,IF(AA718="Unknown",5,0))+IF($J718="Public",10,IF($J718="Partner",7,IF($J718="Internal",3,0)))+IF($W718="Hard-coded",10,IF($W718="Unknown",7,IF($W718="Configurable",3,0)))+IF($I718&gt;=10,10,IF($I718&gt;=5,7,IF($I718&gt;=2,3,0)))+IF($K718="High",10,IF($K718="Medium",5,0)))</x:f>
      </x:c>
      <x:c r="AC718" s="28" t="str">
        <x:f>IF($A718="","",IF(AB718&gt;=70,"P0 - Immediate",IF(AB718&gt;=50,"P1 - High",IF(AB718&gt;=30,"P2 - Medium",IF(AB718&gt;=15,"P3 - Low","P4 - Monitor")))))</x:f>
      </x:c>
      <x:c r="AD718" s="28"/>
      <x:c r="AE718" s="28"/>
      <x:c r="AF718" s="28"/>
      <x:c r="AG718" s="58"/>
      <x:c r="AH718" s="28"/>
    </x:row>
    <x:row r="719">
      <x:c r="A719" s="28"/>
      <x:c r="B719" s="28"/>
      <x:c r="C719" s="28"/>
      <x:c r="D719" s="28"/>
      <x:c r="E719" s="28"/>
      <x:c r="F719" s="28"/>
      <x:c r="G719" s="28"/>
      <x:c r="H719" s="28"/>
      <x:c r="I719" s="56"/>
      <x:c r="J719" s="28"/>
      <x:c r="K719" s="28"/>
      <x:c r="L719" s="56"/>
      <x:c r="M719" s="28"/>
      <x:c r="N719" s="28"/>
      <x:c r="O719" s="28"/>
      <x:c r="P719" s="28"/>
      <x:c r="Q719" s="28"/>
      <x:c r="R719" s="28"/>
      <x:c r="S719" s="28"/>
      <x:c r="T719" s="28"/>
      <x:c r="U719" s="28"/>
      <x:c r="V719" s="28"/>
      <x:c r="W719" s="28"/>
      <x:c r="X719" s="28"/>
      <x:c r="Y719" s="28"/>
      <x:c r="Z719" s="28"/>
      <x:c r="AA719" s="28"/>
      <x:c r="AB719" s="56" t="str">
        <x:f>IF($A719="","",IF(Z719="Y",20,IF(Z719="Unknown",10,0))+$L719*5+IF(AA719="Y",15,IF(AA719="Unknown",5,0))+IF($J719="Public",10,IF($J719="Partner",7,IF($J719="Internal",3,0)))+IF($W719="Hard-coded",10,IF($W719="Unknown",7,IF($W719="Configurable",3,0)))+IF($I719&gt;=10,10,IF($I719&gt;=5,7,IF($I719&gt;=2,3,0)))+IF($K719="High",10,IF($K719="Medium",5,0)))</x:f>
      </x:c>
      <x:c r="AC719" s="28" t="str">
        <x:f>IF($A719="","",IF(AB719&gt;=70,"P0 - Immediate",IF(AB719&gt;=50,"P1 - High",IF(AB719&gt;=30,"P2 - Medium",IF(AB719&gt;=15,"P3 - Low","P4 - Monitor")))))</x:f>
      </x:c>
      <x:c r="AD719" s="28"/>
      <x:c r="AE719" s="28"/>
      <x:c r="AF719" s="28"/>
      <x:c r="AG719" s="58"/>
      <x:c r="AH719" s="28"/>
    </x:row>
    <x:row r="720">
      <x:c r="A720" s="28"/>
      <x:c r="B720" s="28"/>
      <x:c r="C720" s="28"/>
      <x:c r="D720" s="28"/>
      <x:c r="E720" s="28"/>
      <x:c r="F720" s="28"/>
      <x:c r="G720" s="28"/>
      <x:c r="H720" s="28"/>
      <x:c r="I720" s="56"/>
      <x:c r="J720" s="28"/>
      <x:c r="K720" s="28"/>
      <x:c r="L720" s="56"/>
      <x:c r="M720" s="28"/>
      <x:c r="N720" s="28"/>
      <x:c r="O720" s="28"/>
      <x:c r="P720" s="28"/>
      <x:c r="Q720" s="28"/>
      <x:c r="R720" s="28"/>
      <x:c r="S720" s="28"/>
      <x:c r="T720" s="28"/>
      <x:c r="U720" s="28"/>
      <x:c r="V720" s="28"/>
      <x:c r="W720" s="28"/>
      <x:c r="X720" s="28"/>
      <x:c r="Y720" s="28"/>
      <x:c r="Z720" s="28"/>
      <x:c r="AA720" s="28"/>
      <x:c r="AB720" s="56" t="str">
        <x:f>IF($A720="","",IF(Z720="Y",20,IF(Z720="Unknown",10,0))+$L720*5+IF(AA720="Y",15,IF(AA720="Unknown",5,0))+IF($J720="Public",10,IF($J720="Partner",7,IF($J720="Internal",3,0)))+IF($W720="Hard-coded",10,IF($W720="Unknown",7,IF($W720="Configurable",3,0)))+IF($I720&gt;=10,10,IF($I720&gt;=5,7,IF($I720&gt;=2,3,0)))+IF($K720="High",10,IF($K720="Medium",5,0)))</x:f>
      </x:c>
      <x:c r="AC720" s="28" t="str">
        <x:f>IF($A720="","",IF(AB720&gt;=70,"P0 - Immediate",IF(AB720&gt;=50,"P1 - High",IF(AB720&gt;=30,"P2 - Medium",IF(AB720&gt;=15,"P3 - Low","P4 - Monitor")))))</x:f>
      </x:c>
      <x:c r="AD720" s="28"/>
      <x:c r="AE720" s="28"/>
      <x:c r="AF720" s="28"/>
      <x:c r="AG720" s="58"/>
      <x:c r="AH720" s="28"/>
    </x:row>
    <x:row r="721">
      <x:c r="A721" s="28"/>
      <x:c r="B721" s="28"/>
      <x:c r="C721" s="28"/>
      <x:c r="D721" s="28"/>
      <x:c r="E721" s="28"/>
      <x:c r="F721" s="28"/>
      <x:c r="G721" s="28"/>
      <x:c r="H721" s="28"/>
      <x:c r="I721" s="56"/>
      <x:c r="J721" s="28"/>
      <x:c r="K721" s="28"/>
      <x:c r="L721" s="56"/>
      <x:c r="M721" s="28"/>
      <x:c r="N721" s="28"/>
      <x:c r="O721" s="28"/>
      <x:c r="P721" s="28"/>
      <x:c r="Q721" s="28"/>
      <x:c r="R721" s="28"/>
      <x:c r="S721" s="28"/>
      <x:c r="T721" s="28"/>
      <x:c r="U721" s="28"/>
      <x:c r="V721" s="28"/>
      <x:c r="W721" s="28"/>
      <x:c r="X721" s="28"/>
      <x:c r="Y721" s="28"/>
      <x:c r="Z721" s="28"/>
      <x:c r="AA721" s="28"/>
      <x:c r="AB721" s="56" t="str">
        <x:f>IF($A721="","",IF(Z721="Y",20,IF(Z721="Unknown",10,0))+$L721*5+IF(AA721="Y",15,IF(AA721="Unknown",5,0))+IF($J721="Public",10,IF($J721="Partner",7,IF($J721="Internal",3,0)))+IF($W721="Hard-coded",10,IF($W721="Unknown",7,IF($W721="Configurable",3,0)))+IF($I721&gt;=10,10,IF($I721&gt;=5,7,IF($I721&gt;=2,3,0)))+IF($K721="High",10,IF($K721="Medium",5,0)))</x:f>
      </x:c>
      <x:c r="AC721" s="28" t="str">
        <x:f>IF($A721="","",IF(AB721&gt;=70,"P0 - Immediate",IF(AB721&gt;=50,"P1 - High",IF(AB721&gt;=30,"P2 - Medium",IF(AB721&gt;=15,"P3 - Low","P4 - Monitor")))))</x:f>
      </x:c>
      <x:c r="AD721" s="28"/>
      <x:c r="AE721" s="28"/>
      <x:c r="AF721" s="28"/>
      <x:c r="AG721" s="58"/>
      <x:c r="AH721" s="28"/>
    </x:row>
    <x:row r="722">
      <x:c r="A722" s="28"/>
      <x:c r="B722" s="28"/>
      <x:c r="C722" s="28"/>
      <x:c r="D722" s="28"/>
      <x:c r="E722" s="28"/>
      <x:c r="F722" s="28"/>
      <x:c r="G722" s="28"/>
      <x:c r="H722" s="28"/>
      <x:c r="I722" s="56"/>
      <x:c r="J722" s="28"/>
      <x:c r="K722" s="28"/>
      <x:c r="L722" s="56"/>
      <x:c r="M722" s="28"/>
      <x:c r="N722" s="28"/>
      <x:c r="O722" s="28"/>
      <x:c r="P722" s="28"/>
      <x:c r="Q722" s="28"/>
      <x:c r="R722" s="28"/>
      <x:c r="S722" s="28"/>
      <x:c r="T722" s="28"/>
      <x:c r="U722" s="28"/>
      <x:c r="V722" s="28"/>
      <x:c r="W722" s="28"/>
      <x:c r="X722" s="28"/>
      <x:c r="Y722" s="28"/>
      <x:c r="Z722" s="28"/>
      <x:c r="AA722" s="28"/>
      <x:c r="AB722" s="56" t="str">
        <x:f>IF($A722="","",IF(Z722="Y",20,IF(Z722="Unknown",10,0))+$L722*5+IF(AA722="Y",15,IF(AA722="Unknown",5,0))+IF($J722="Public",10,IF($J722="Partner",7,IF($J722="Internal",3,0)))+IF($W722="Hard-coded",10,IF($W722="Unknown",7,IF($W722="Configurable",3,0)))+IF($I722&gt;=10,10,IF($I722&gt;=5,7,IF($I722&gt;=2,3,0)))+IF($K722="High",10,IF($K722="Medium",5,0)))</x:f>
      </x:c>
      <x:c r="AC722" s="28" t="str">
        <x:f>IF($A722="","",IF(AB722&gt;=70,"P0 - Immediate",IF(AB722&gt;=50,"P1 - High",IF(AB722&gt;=30,"P2 - Medium",IF(AB722&gt;=15,"P3 - Low","P4 - Monitor")))))</x:f>
      </x:c>
      <x:c r="AD722" s="28"/>
      <x:c r="AE722" s="28"/>
      <x:c r="AF722" s="28"/>
      <x:c r="AG722" s="58"/>
      <x:c r="AH722" s="28"/>
    </x:row>
    <x:row r="723">
      <x:c r="A723" s="28"/>
      <x:c r="B723" s="28"/>
      <x:c r="C723" s="28"/>
      <x:c r="D723" s="28"/>
      <x:c r="E723" s="28"/>
      <x:c r="F723" s="28"/>
      <x:c r="G723" s="28"/>
      <x:c r="H723" s="28"/>
      <x:c r="I723" s="56"/>
      <x:c r="J723" s="28"/>
      <x:c r="K723" s="28"/>
      <x:c r="L723" s="56"/>
      <x:c r="M723" s="28"/>
      <x:c r="N723" s="28"/>
      <x:c r="O723" s="28"/>
      <x:c r="P723" s="28"/>
      <x:c r="Q723" s="28"/>
      <x:c r="R723" s="28"/>
      <x:c r="S723" s="28"/>
      <x:c r="T723" s="28"/>
      <x:c r="U723" s="28"/>
      <x:c r="V723" s="28"/>
      <x:c r="W723" s="28"/>
      <x:c r="X723" s="28"/>
      <x:c r="Y723" s="28"/>
      <x:c r="Z723" s="28"/>
      <x:c r="AA723" s="28"/>
      <x:c r="AB723" s="56" t="str">
        <x:f>IF($A723="","",IF(Z723="Y",20,IF(Z723="Unknown",10,0))+$L723*5+IF(AA723="Y",15,IF(AA723="Unknown",5,0))+IF($J723="Public",10,IF($J723="Partner",7,IF($J723="Internal",3,0)))+IF($W723="Hard-coded",10,IF($W723="Unknown",7,IF($W723="Configurable",3,0)))+IF($I723&gt;=10,10,IF($I723&gt;=5,7,IF($I723&gt;=2,3,0)))+IF($K723="High",10,IF($K723="Medium",5,0)))</x:f>
      </x:c>
      <x:c r="AC723" s="28" t="str">
        <x:f>IF($A723="","",IF(AB723&gt;=70,"P0 - Immediate",IF(AB723&gt;=50,"P1 - High",IF(AB723&gt;=30,"P2 - Medium",IF(AB723&gt;=15,"P3 - Low","P4 - Monitor")))))</x:f>
      </x:c>
      <x:c r="AD723" s="28"/>
      <x:c r="AE723" s="28"/>
      <x:c r="AF723" s="28"/>
      <x:c r="AG723" s="58"/>
      <x:c r="AH723" s="28"/>
    </x:row>
    <x:row r="724">
      <x:c r="A724" s="28"/>
      <x:c r="B724" s="28"/>
      <x:c r="C724" s="28"/>
      <x:c r="D724" s="28"/>
      <x:c r="E724" s="28"/>
      <x:c r="F724" s="28"/>
      <x:c r="G724" s="28"/>
      <x:c r="H724" s="28"/>
      <x:c r="I724" s="56"/>
      <x:c r="J724" s="28"/>
      <x:c r="K724" s="28"/>
      <x:c r="L724" s="56"/>
      <x:c r="M724" s="28"/>
      <x:c r="N724" s="28"/>
      <x:c r="O724" s="28"/>
      <x:c r="P724" s="28"/>
      <x:c r="Q724" s="28"/>
      <x:c r="R724" s="28"/>
      <x:c r="S724" s="28"/>
      <x:c r="T724" s="28"/>
      <x:c r="U724" s="28"/>
      <x:c r="V724" s="28"/>
      <x:c r="W724" s="28"/>
      <x:c r="X724" s="28"/>
      <x:c r="Y724" s="28"/>
      <x:c r="Z724" s="28"/>
      <x:c r="AA724" s="28"/>
      <x:c r="AB724" s="56" t="str">
        <x:f>IF($A724="","",IF(Z724="Y",20,IF(Z724="Unknown",10,0))+$L724*5+IF(AA724="Y",15,IF(AA724="Unknown",5,0))+IF($J724="Public",10,IF($J724="Partner",7,IF($J724="Internal",3,0)))+IF($W724="Hard-coded",10,IF($W724="Unknown",7,IF($W724="Configurable",3,0)))+IF($I724&gt;=10,10,IF($I724&gt;=5,7,IF($I724&gt;=2,3,0)))+IF($K724="High",10,IF($K724="Medium",5,0)))</x:f>
      </x:c>
      <x:c r="AC724" s="28" t="str">
        <x:f>IF($A724="","",IF(AB724&gt;=70,"P0 - Immediate",IF(AB724&gt;=50,"P1 - High",IF(AB724&gt;=30,"P2 - Medium",IF(AB724&gt;=15,"P3 - Low","P4 - Monitor")))))</x:f>
      </x:c>
      <x:c r="AD724" s="28"/>
      <x:c r="AE724" s="28"/>
      <x:c r="AF724" s="28"/>
      <x:c r="AG724" s="58"/>
      <x:c r="AH724" s="28"/>
    </x:row>
    <x:row r="725">
      <x:c r="A725" s="28"/>
      <x:c r="B725" s="28"/>
      <x:c r="C725" s="28"/>
      <x:c r="D725" s="28"/>
      <x:c r="E725" s="28"/>
      <x:c r="F725" s="28"/>
      <x:c r="G725" s="28"/>
      <x:c r="H725" s="28"/>
      <x:c r="I725" s="56"/>
      <x:c r="J725" s="28"/>
      <x:c r="K725" s="28"/>
      <x:c r="L725" s="56"/>
      <x:c r="M725" s="28"/>
      <x:c r="N725" s="28"/>
      <x:c r="O725" s="28"/>
      <x:c r="P725" s="28"/>
      <x:c r="Q725" s="28"/>
      <x:c r="R725" s="28"/>
      <x:c r="S725" s="28"/>
      <x:c r="T725" s="28"/>
      <x:c r="U725" s="28"/>
      <x:c r="V725" s="28"/>
      <x:c r="W725" s="28"/>
      <x:c r="X725" s="28"/>
      <x:c r="Y725" s="28"/>
      <x:c r="Z725" s="28"/>
      <x:c r="AA725" s="28"/>
      <x:c r="AB725" s="56" t="str">
        <x:f>IF($A725="","",IF(Z725="Y",20,IF(Z725="Unknown",10,0))+$L725*5+IF(AA725="Y",15,IF(AA725="Unknown",5,0))+IF($J725="Public",10,IF($J725="Partner",7,IF($J725="Internal",3,0)))+IF($W725="Hard-coded",10,IF($W725="Unknown",7,IF($W725="Configurable",3,0)))+IF($I725&gt;=10,10,IF($I725&gt;=5,7,IF($I725&gt;=2,3,0)))+IF($K725="High",10,IF($K725="Medium",5,0)))</x:f>
      </x:c>
      <x:c r="AC725" s="28" t="str">
        <x:f>IF($A725="","",IF(AB725&gt;=70,"P0 - Immediate",IF(AB725&gt;=50,"P1 - High",IF(AB725&gt;=30,"P2 - Medium",IF(AB725&gt;=15,"P3 - Low","P4 - Monitor")))))</x:f>
      </x:c>
      <x:c r="AD725" s="28"/>
      <x:c r="AE725" s="28"/>
      <x:c r="AF725" s="28"/>
      <x:c r="AG725" s="58"/>
      <x:c r="AH725" s="28"/>
    </x:row>
    <x:row r="726">
      <x:c r="A726" s="28"/>
      <x:c r="B726" s="28"/>
      <x:c r="C726" s="28"/>
      <x:c r="D726" s="28"/>
      <x:c r="E726" s="28"/>
      <x:c r="F726" s="28"/>
      <x:c r="G726" s="28"/>
      <x:c r="H726" s="28"/>
      <x:c r="I726" s="56"/>
      <x:c r="J726" s="28"/>
      <x:c r="K726" s="28"/>
      <x:c r="L726" s="56"/>
      <x:c r="M726" s="28"/>
      <x:c r="N726" s="28"/>
      <x:c r="O726" s="28"/>
      <x:c r="P726" s="28"/>
      <x:c r="Q726" s="28"/>
      <x:c r="R726" s="28"/>
      <x:c r="S726" s="28"/>
      <x:c r="T726" s="28"/>
      <x:c r="U726" s="28"/>
      <x:c r="V726" s="28"/>
      <x:c r="W726" s="28"/>
      <x:c r="X726" s="28"/>
      <x:c r="Y726" s="28"/>
      <x:c r="Z726" s="28"/>
      <x:c r="AA726" s="28"/>
      <x:c r="AB726" s="56" t="str">
        <x:f>IF($A726="","",IF(Z726="Y",20,IF(Z726="Unknown",10,0))+$L726*5+IF(AA726="Y",15,IF(AA726="Unknown",5,0))+IF($J726="Public",10,IF($J726="Partner",7,IF($J726="Internal",3,0)))+IF($W726="Hard-coded",10,IF($W726="Unknown",7,IF($W726="Configurable",3,0)))+IF($I726&gt;=10,10,IF($I726&gt;=5,7,IF($I726&gt;=2,3,0)))+IF($K726="High",10,IF($K726="Medium",5,0)))</x:f>
      </x:c>
      <x:c r="AC726" s="28" t="str">
        <x:f>IF($A726="","",IF(AB726&gt;=70,"P0 - Immediate",IF(AB726&gt;=50,"P1 - High",IF(AB726&gt;=30,"P2 - Medium",IF(AB726&gt;=15,"P3 - Low","P4 - Monitor")))))</x:f>
      </x:c>
      <x:c r="AD726" s="28"/>
      <x:c r="AE726" s="28"/>
      <x:c r="AF726" s="28"/>
      <x:c r="AG726" s="58"/>
      <x:c r="AH726" s="28"/>
    </x:row>
    <x:row r="727">
      <x:c r="A727" s="28"/>
      <x:c r="B727" s="28"/>
      <x:c r="C727" s="28"/>
      <x:c r="D727" s="28"/>
      <x:c r="E727" s="28"/>
      <x:c r="F727" s="28"/>
      <x:c r="G727" s="28"/>
      <x:c r="H727" s="28"/>
      <x:c r="I727" s="56"/>
      <x:c r="J727" s="28"/>
      <x:c r="K727" s="28"/>
      <x:c r="L727" s="56"/>
      <x:c r="M727" s="28"/>
      <x:c r="N727" s="28"/>
      <x:c r="O727" s="28"/>
      <x:c r="P727" s="28"/>
      <x:c r="Q727" s="28"/>
      <x:c r="R727" s="28"/>
      <x:c r="S727" s="28"/>
      <x:c r="T727" s="28"/>
      <x:c r="U727" s="28"/>
      <x:c r="V727" s="28"/>
      <x:c r="W727" s="28"/>
      <x:c r="X727" s="28"/>
      <x:c r="Y727" s="28"/>
      <x:c r="Z727" s="28"/>
      <x:c r="AA727" s="28"/>
      <x:c r="AB727" s="56" t="str">
        <x:f>IF($A727="","",IF(Z727="Y",20,IF(Z727="Unknown",10,0))+$L727*5+IF(AA727="Y",15,IF(AA727="Unknown",5,0))+IF($J727="Public",10,IF($J727="Partner",7,IF($J727="Internal",3,0)))+IF($W727="Hard-coded",10,IF($W727="Unknown",7,IF($W727="Configurable",3,0)))+IF($I727&gt;=10,10,IF($I727&gt;=5,7,IF($I727&gt;=2,3,0)))+IF($K727="High",10,IF($K727="Medium",5,0)))</x:f>
      </x:c>
      <x:c r="AC727" s="28" t="str">
        <x:f>IF($A727="","",IF(AB727&gt;=70,"P0 - Immediate",IF(AB727&gt;=50,"P1 - High",IF(AB727&gt;=30,"P2 - Medium",IF(AB727&gt;=15,"P3 - Low","P4 - Monitor")))))</x:f>
      </x:c>
      <x:c r="AD727" s="28"/>
      <x:c r="AE727" s="28"/>
      <x:c r="AF727" s="28"/>
      <x:c r="AG727" s="58"/>
      <x:c r="AH727" s="28"/>
    </x:row>
    <x:row r="728">
      <x:c r="A728" s="28"/>
      <x:c r="B728" s="28"/>
      <x:c r="C728" s="28"/>
      <x:c r="D728" s="28"/>
      <x:c r="E728" s="28"/>
      <x:c r="F728" s="28"/>
      <x:c r="G728" s="28"/>
      <x:c r="H728" s="28"/>
      <x:c r="I728" s="56"/>
      <x:c r="J728" s="28"/>
      <x:c r="K728" s="28"/>
      <x:c r="L728" s="56"/>
      <x:c r="M728" s="28"/>
      <x:c r="N728" s="28"/>
      <x:c r="O728" s="28"/>
      <x:c r="P728" s="28"/>
      <x:c r="Q728" s="28"/>
      <x:c r="R728" s="28"/>
      <x:c r="S728" s="28"/>
      <x:c r="T728" s="28"/>
      <x:c r="U728" s="28"/>
      <x:c r="V728" s="28"/>
      <x:c r="W728" s="28"/>
      <x:c r="X728" s="28"/>
      <x:c r="Y728" s="28"/>
      <x:c r="Z728" s="28"/>
      <x:c r="AA728" s="28"/>
      <x:c r="AB728" s="56" t="str">
        <x:f>IF($A728="","",IF(Z728="Y",20,IF(Z728="Unknown",10,0))+$L728*5+IF(AA728="Y",15,IF(AA728="Unknown",5,0))+IF($J728="Public",10,IF($J728="Partner",7,IF($J728="Internal",3,0)))+IF($W728="Hard-coded",10,IF($W728="Unknown",7,IF($W728="Configurable",3,0)))+IF($I728&gt;=10,10,IF($I728&gt;=5,7,IF($I728&gt;=2,3,0)))+IF($K728="High",10,IF($K728="Medium",5,0)))</x:f>
      </x:c>
      <x:c r="AC728" s="28" t="str">
        <x:f>IF($A728="","",IF(AB728&gt;=70,"P0 - Immediate",IF(AB728&gt;=50,"P1 - High",IF(AB728&gt;=30,"P2 - Medium",IF(AB728&gt;=15,"P3 - Low","P4 - Monitor")))))</x:f>
      </x:c>
      <x:c r="AD728" s="28"/>
      <x:c r="AE728" s="28"/>
      <x:c r="AF728" s="28"/>
      <x:c r="AG728" s="58"/>
      <x:c r="AH728" s="28"/>
    </x:row>
    <x:row r="729">
      <x:c r="A729" s="28"/>
      <x:c r="B729" s="28"/>
      <x:c r="C729" s="28"/>
      <x:c r="D729" s="28"/>
      <x:c r="E729" s="28"/>
      <x:c r="F729" s="28"/>
      <x:c r="G729" s="28"/>
      <x:c r="H729" s="28"/>
      <x:c r="I729" s="56"/>
      <x:c r="J729" s="28"/>
      <x:c r="K729" s="28"/>
      <x:c r="L729" s="56"/>
      <x:c r="M729" s="28"/>
      <x:c r="N729" s="28"/>
      <x:c r="O729" s="28"/>
      <x:c r="P729" s="28"/>
      <x:c r="Q729" s="28"/>
      <x:c r="R729" s="28"/>
      <x:c r="S729" s="28"/>
      <x:c r="T729" s="28"/>
      <x:c r="U729" s="28"/>
      <x:c r="V729" s="28"/>
      <x:c r="W729" s="28"/>
      <x:c r="X729" s="28"/>
      <x:c r="Y729" s="28"/>
      <x:c r="Z729" s="28"/>
      <x:c r="AA729" s="28"/>
      <x:c r="AB729" s="56" t="str">
        <x:f>IF($A729="","",IF(Z729="Y",20,IF(Z729="Unknown",10,0))+$L729*5+IF(AA729="Y",15,IF(AA729="Unknown",5,0))+IF($J729="Public",10,IF($J729="Partner",7,IF($J729="Internal",3,0)))+IF($W729="Hard-coded",10,IF($W729="Unknown",7,IF($W729="Configurable",3,0)))+IF($I729&gt;=10,10,IF($I729&gt;=5,7,IF($I729&gt;=2,3,0)))+IF($K729="High",10,IF($K729="Medium",5,0)))</x:f>
      </x:c>
      <x:c r="AC729" s="28" t="str">
        <x:f>IF($A729="","",IF(AB729&gt;=70,"P0 - Immediate",IF(AB729&gt;=50,"P1 - High",IF(AB729&gt;=30,"P2 - Medium",IF(AB729&gt;=15,"P3 - Low","P4 - Monitor")))))</x:f>
      </x:c>
      <x:c r="AD729" s="28"/>
      <x:c r="AE729" s="28"/>
      <x:c r="AF729" s="28"/>
      <x:c r="AG729" s="58"/>
      <x:c r="AH729" s="28"/>
    </x:row>
    <x:row r="730">
      <x:c r="A730" s="28"/>
      <x:c r="B730" s="28"/>
      <x:c r="C730" s="28"/>
      <x:c r="D730" s="28"/>
      <x:c r="E730" s="28"/>
      <x:c r="F730" s="28"/>
      <x:c r="G730" s="28"/>
      <x:c r="H730" s="28"/>
      <x:c r="I730" s="56"/>
      <x:c r="J730" s="28"/>
      <x:c r="K730" s="28"/>
      <x:c r="L730" s="56"/>
      <x:c r="M730" s="28"/>
      <x:c r="N730" s="28"/>
      <x:c r="O730" s="28"/>
      <x:c r="P730" s="28"/>
      <x:c r="Q730" s="28"/>
      <x:c r="R730" s="28"/>
      <x:c r="S730" s="28"/>
      <x:c r="T730" s="28"/>
      <x:c r="U730" s="28"/>
      <x:c r="V730" s="28"/>
      <x:c r="W730" s="28"/>
      <x:c r="X730" s="28"/>
      <x:c r="Y730" s="28"/>
      <x:c r="Z730" s="28"/>
      <x:c r="AA730" s="28"/>
      <x:c r="AB730" s="56" t="str">
        <x:f>IF($A730="","",IF(Z730="Y",20,IF(Z730="Unknown",10,0))+$L730*5+IF(AA730="Y",15,IF(AA730="Unknown",5,0))+IF($J730="Public",10,IF($J730="Partner",7,IF($J730="Internal",3,0)))+IF($W730="Hard-coded",10,IF($W730="Unknown",7,IF($W730="Configurable",3,0)))+IF($I730&gt;=10,10,IF($I730&gt;=5,7,IF($I730&gt;=2,3,0)))+IF($K730="High",10,IF($K730="Medium",5,0)))</x:f>
      </x:c>
      <x:c r="AC730" s="28" t="str">
        <x:f>IF($A730="","",IF(AB730&gt;=70,"P0 - Immediate",IF(AB730&gt;=50,"P1 - High",IF(AB730&gt;=30,"P2 - Medium",IF(AB730&gt;=15,"P3 - Low","P4 - Monitor")))))</x:f>
      </x:c>
      <x:c r="AD730" s="28"/>
      <x:c r="AE730" s="28"/>
      <x:c r="AF730" s="28"/>
      <x:c r="AG730" s="58"/>
      <x:c r="AH730" s="28"/>
    </x:row>
    <x:row r="731">
      <x:c r="A731" s="28"/>
      <x:c r="B731" s="28"/>
      <x:c r="C731" s="28"/>
      <x:c r="D731" s="28"/>
      <x:c r="E731" s="28"/>
      <x:c r="F731" s="28"/>
      <x:c r="G731" s="28"/>
      <x:c r="H731" s="28"/>
      <x:c r="I731" s="56"/>
      <x:c r="J731" s="28"/>
      <x:c r="K731" s="28"/>
      <x:c r="L731" s="56"/>
      <x:c r="M731" s="28"/>
      <x:c r="N731" s="28"/>
      <x:c r="O731" s="28"/>
      <x:c r="P731" s="28"/>
      <x:c r="Q731" s="28"/>
      <x:c r="R731" s="28"/>
      <x:c r="S731" s="28"/>
      <x:c r="T731" s="28"/>
      <x:c r="U731" s="28"/>
      <x:c r="V731" s="28"/>
      <x:c r="W731" s="28"/>
      <x:c r="X731" s="28"/>
      <x:c r="Y731" s="28"/>
      <x:c r="Z731" s="28"/>
      <x:c r="AA731" s="28"/>
      <x:c r="AB731" s="56" t="str">
        <x:f>IF($A731="","",IF(Z731="Y",20,IF(Z731="Unknown",10,0))+$L731*5+IF(AA731="Y",15,IF(AA731="Unknown",5,0))+IF($J731="Public",10,IF($J731="Partner",7,IF($J731="Internal",3,0)))+IF($W731="Hard-coded",10,IF($W731="Unknown",7,IF($W731="Configurable",3,0)))+IF($I731&gt;=10,10,IF($I731&gt;=5,7,IF($I731&gt;=2,3,0)))+IF($K731="High",10,IF($K731="Medium",5,0)))</x:f>
      </x:c>
      <x:c r="AC731" s="28" t="str">
        <x:f>IF($A731="","",IF(AB731&gt;=70,"P0 - Immediate",IF(AB731&gt;=50,"P1 - High",IF(AB731&gt;=30,"P2 - Medium",IF(AB731&gt;=15,"P3 - Low","P4 - Monitor")))))</x:f>
      </x:c>
      <x:c r="AD731" s="28"/>
      <x:c r="AE731" s="28"/>
      <x:c r="AF731" s="28"/>
      <x:c r="AG731" s="58"/>
      <x:c r="AH731" s="28"/>
    </x:row>
    <x:row r="732">
      <x:c r="A732" s="28"/>
      <x:c r="B732" s="28"/>
      <x:c r="C732" s="28"/>
      <x:c r="D732" s="28"/>
      <x:c r="E732" s="28"/>
      <x:c r="F732" s="28"/>
      <x:c r="G732" s="28"/>
      <x:c r="H732" s="28"/>
      <x:c r="I732" s="56"/>
      <x:c r="J732" s="28"/>
      <x:c r="K732" s="28"/>
      <x:c r="L732" s="56"/>
      <x:c r="M732" s="28"/>
      <x:c r="N732" s="28"/>
      <x:c r="O732" s="28"/>
      <x:c r="P732" s="28"/>
      <x:c r="Q732" s="28"/>
      <x:c r="R732" s="28"/>
      <x:c r="S732" s="28"/>
      <x:c r="T732" s="28"/>
      <x:c r="U732" s="28"/>
      <x:c r="V732" s="28"/>
      <x:c r="W732" s="28"/>
      <x:c r="X732" s="28"/>
      <x:c r="Y732" s="28"/>
      <x:c r="Z732" s="28"/>
      <x:c r="AA732" s="28"/>
      <x:c r="AB732" s="56" t="str">
        <x:f>IF($A732="","",IF(Z732="Y",20,IF(Z732="Unknown",10,0))+$L732*5+IF(AA732="Y",15,IF(AA732="Unknown",5,0))+IF($J732="Public",10,IF($J732="Partner",7,IF($J732="Internal",3,0)))+IF($W732="Hard-coded",10,IF($W732="Unknown",7,IF($W732="Configurable",3,0)))+IF($I732&gt;=10,10,IF($I732&gt;=5,7,IF($I732&gt;=2,3,0)))+IF($K732="High",10,IF($K732="Medium",5,0)))</x:f>
      </x:c>
      <x:c r="AC732" s="28" t="str">
        <x:f>IF($A732="","",IF(AB732&gt;=70,"P0 - Immediate",IF(AB732&gt;=50,"P1 - High",IF(AB732&gt;=30,"P2 - Medium",IF(AB732&gt;=15,"P3 - Low","P4 - Monitor")))))</x:f>
      </x:c>
      <x:c r="AD732" s="28"/>
      <x:c r="AE732" s="28"/>
      <x:c r="AF732" s="28"/>
      <x:c r="AG732" s="58"/>
      <x:c r="AH732" s="28"/>
    </x:row>
    <x:row r="733">
      <x:c r="A733" s="28"/>
      <x:c r="B733" s="28"/>
      <x:c r="C733" s="28"/>
      <x:c r="D733" s="28"/>
      <x:c r="E733" s="28"/>
      <x:c r="F733" s="28"/>
      <x:c r="G733" s="28"/>
      <x:c r="H733" s="28"/>
      <x:c r="I733" s="56"/>
      <x:c r="J733" s="28"/>
      <x:c r="K733" s="28"/>
      <x:c r="L733" s="56"/>
      <x:c r="M733" s="28"/>
      <x:c r="N733" s="28"/>
      <x:c r="O733" s="28"/>
      <x:c r="P733" s="28"/>
      <x:c r="Q733" s="28"/>
      <x:c r="R733" s="28"/>
      <x:c r="S733" s="28"/>
      <x:c r="T733" s="28"/>
      <x:c r="U733" s="28"/>
      <x:c r="V733" s="28"/>
      <x:c r="W733" s="28"/>
      <x:c r="X733" s="28"/>
      <x:c r="Y733" s="28"/>
      <x:c r="Z733" s="28"/>
      <x:c r="AA733" s="28"/>
      <x:c r="AB733" s="56" t="str">
        <x:f>IF($A733="","",IF(Z733="Y",20,IF(Z733="Unknown",10,0))+$L733*5+IF(AA733="Y",15,IF(AA733="Unknown",5,0))+IF($J733="Public",10,IF($J733="Partner",7,IF($J733="Internal",3,0)))+IF($W733="Hard-coded",10,IF($W733="Unknown",7,IF($W733="Configurable",3,0)))+IF($I733&gt;=10,10,IF($I733&gt;=5,7,IF($I733&gt;=2,3,0)))+IF($K733="High",10,IF($K733="Medium",5,0)))</x:f>
      </x:c>
      <x:c r="AC733" s="28" t="str">
        <x:f>IF($A733="","",IF(AB733&gt;=70,"P0 - Immediate",IF(AB733&gt;=50,"P1 - High",IF(AB733&gt;=30,"P2 - Medium",IF(AB733&gt;=15,"P3 - Low","P4 - Monitor")))))</x:f>
      </x:c>
      <x:c r="AD733" s="28"/>
      <x:c r="AE733" s="28"/>
      <x:c r="AF733" s="28"/>
      <x:c r="AG733" s="58"/>
      <x:c r="AH733" s="28"/>
    </x:row>
    <x:row r="734">
      <x:c r="A734" s="28"/>
      <x:c r="B734" s="28"/>
      <x:c r="C734" s="28"/>
      <x:c r="D734" s="28"/>
      <x:c r="E734" s="28"/>
      <x:c r="F734" s="28"/>
      <x:c r="G734" s="28"/>
      <x:c r="H734" s="28"/>
      <x:c r="I734" s="56"/>
      <x:c r="J734" s="28"/>
      <x:c r="K734" s="28"/>
      <x:c r="L734" s="56"/>
      <x:c r="M734" s="28"/>
      <x:c r="N734" s="28"/>
      <x:c r="O734" s="28"/>
      <x:c r="P734" s="28"/>
      <x:c r="Q734" s="28"/>
      <x:c r="R734" s="28"/>
      <x:c r="S734" s="28"/>
      <x:c r="T734" s="28"/>
      <x:c r="U734" s="28"/>
      <x:c r="V734" s="28"/>
      <x:c r="W734" s="28"/>
      <x:c r="X734" s="28"/>
      <x:c r="Y734" s="28"/>
      <x:c r="Z734" s="28"/>
      <x:c r="AA734" s="28"/>
      <x:c r="AB734" s="56" t="str">
        <x:f>IF($A734="","",IF(Z734="Y",20,IF(Z734="Unknown",10,0))+$L734*5+IF(AA734="Y",15,IF(AA734="Unknown",5,0))+IF($J734="Public",10,IF($J734="Partner",7,IF($J734="Internal",3,0)))+IF($W734="Hard-coded",10,IF($W734="Unknown",7,IF($W734="Configurable",3,0)))+IF($I734&gt;=10,10,IF($I734&gt;=5,7,IF($I734&gt;=2,3,0)))+IF($K734="High",10,IF($K734="Medium",5,0)))</x:f>
      </x:c>
      <x:c r="AC734" s="28" t="str">
        <x:f>IF($A734="","",IF(AB734&gt;=70,"P0 - Immediate",IF(AB734&gt;=50,"P1 - High",IF(AB734&gt;=30,"P2 - Medium",IF(AB734&gt;=15,"P3 - Low","P4 - Monitor")))))</x:f>
      </x:c>
      <x:c r="AD734" s="28"/>
      <x:c r="AE734" s="28"/>
      <x:c r="AF734" s="28"/>
      <x:c r="AG734" s="58"/>
      <x:c r="AH734" s="28"/>
    </x:row>
    <x:row r="735">
      <x:c r="A735" s="28"/>
      <x:c r="B735" s="28"/>
      <x:c r="C735" s="28"/>
      <x:c r="D735" s="28"/>
      <x:c r="E735" s="28"/>
      <x:c r="F735" s="28"/>
      <x:c r="G735" s="28"/>
      <x:c r="H735" s="28"/>
      <x:c r="I735" s="56"/>
      <x:c r="J735" s="28"/>
      <x:c r="K735" s="28"/>
      <x:c r="L735" s="56"/>
      <x:c r="M735" s="28"/>
      <x:c r="N735" s="28"/>
      <x:c r="O735" s="28"/>
      <x:c r="P735" s="28"/>
      <x:c r="Q735" s="28"/>
      <x:c r="R735" s="28"/>
      <x:c r="S735" s="28"/>
      <x:c r="T735" s="28"/>
      <x:c r="U735" s="28"/>
      <x:c r="V735" s="28"/>
      <x:c r="W735" s="28"/>
      <x:c r="X735" s="28"/>
      <x:c r="Y735" s="28"/>
      <x:c r="Z735" s="28"/>
      <x:c r="AA735" s="28"/>
      <x:c r="AB735" s="56" t="str">
        <x:f>IF($A735="","",IF(Z735="Y",20,IF(Z735="Unknown",10,0))+$L735*5+IF(AA735="Y",15,IF(AA735="Unknown",5,0))+IF($J735="Public",10,IF($J735="Partner",7,IF($J735="Internal",3,0)))+IF($W735="Hard-coded",10,IF($W735="Unknown",7,IF($W735="Configurable",3,0)))+IF($I735&gt;=10,10,IF($I735&gt;=5,7,IF($I735&gt;=2,3,0)))+IF($K735="High",10,IF($K735="Medium",5,0)))</x:f>
      </x:c>
      <x:c r="AC735" s="28" t="str">
        <x:f>IF($A735="","",IF(AB735&gt;=70,"P0 - Immediate",IF(AB735&gt;=50,"P1 - High",IF(AB735&gt;=30,"P2 - Medium",IF(AB735&gt;=15,"P3 - Low","P4 - Monitor")))))</x:f>
      </x:c>
      <x:c r="AD735" s="28"/>
      <x:c r="AE735" s="28"/>
      <x:c r="AF735" s="28"/>
      <x:c r="AG735" s="58"/>
      <x:c r="AH735" s="28"/>
    </x:row>
    <x:row r="736">
      <x:c r="A736" s="28"/>
      <x:c r="B736" s="28"/>
      <x:c r="C736" s="28"/>
      <x:c r="D736" s="28"/>
      <x:c r="E736" s="28"/>
      <x:c r="F736" s="28"/>
      <x:c r="G736" s="28"/>
      <x:c r="H736" s="28"/>
      <x:c r="I736" s="56"/>
      <x:c r="J736" s="28"/>
      <x:c r="K736" s="28"/>
      <x:c r="L736" s="56"/>
      <x:c r="M736" s="28"/>
      <x:c r="N736" s="28"/>
      <x:c r="O736" s="28"/>
      <x:c r="P736" s="28"/>
      <x:c r="Q736" s="28"/>
      <x:c r="R736" s="28"/>
      <x:c r="S736" s="28"/>
      <x:c r="T736" s="28"/>
      <x:c r="U736" s="28"/>
      <x:c r="V736" s="28"/>
      <x:c r="W736" s="28"/>
      <x:c r="X736" s="28"/>
      <x:c r="Y736" s="28"/>
      <x:c r="Z736" s="28"/>
      <x:c r="AA736" s="28"/>
      <x:c r="AB736" s="56" t="str">
        <x:f>IF($A736="","",IF(Z736="Y",20,IF(Z736="Unknown",10,0))+$L736*5+IF(AA736="Y",15,IF(AA736="Unknown",5,0))+IF($J736="Public",10,IF($J736="Partner",7,IF($J736="Internal",3,0)))+IF($W736="Hard-coded",10,IF($W736="Unknown",7,IF($W736="Configurable",3,0)))+IF($I736&gt;=10,10,IF($I736&gt;=5,7,IF($I736&gt;=2,3,0)))+IF($K736="High",10,IF($K736="Medium",5,0)))</x:f>
      </x:c>
      <x:c r="AC736" s="28" t="str">
        <x:f>IF($A736="","",IF(AB736&gt;=70,"P0 - Immediate",IF(AB736&gt;=50,"P1 - High",IF(AB736&gt;=30,"P2 - Medium",IF(AB736&gt;=15,"P3 - Low","P4 - Monitor")))))</x:f>
      </x:c>
      <x:c r="AD736" s="28"/>
      <x:c r="AE736" s="28"/>
      <x:c r="AF736" s="28"/>
      <x:c r="AG736" s="58"/>
      <x:c r="AH736" s="28"/>
    </x:row>
    <x:row r="737">
      <x:c r="A737" s="28"/>
      <x:c r="B737" s="28"/>
      <x:c r="C737" s="28"/>
      <x:c r="D737" s="28"/>
      <x:c r="E737" s="28"/>
      <x:c r="F737" s="28"/>
      <x:c r="G737" s="28"/>
      <x:c r="H737" s="28"/>
      <x:c r="I737" s="56"/>
      <x:c r="J737" s="28"/>
      <x:c r="K737" s="28"/>
      <x:c r="L737" s="56"/>
      <x:c r="M737" s="28"/>
      <x:c r="N737" s="28"/>
      <x:c r="O737" s="28"/>
      <x:c r="P737" s="28"/>
      <x:c r="Q737" s="28"/>
      <x:c r="R737" s="28"/>
      <x:c r="S737" s="28"/>
      <x:c r="T737" s="28"/>
      <x:c r="U737" s="28"/>
      <x:c r="V737" s="28"/>
      <x:c r="W737" s="28"/>
      <x:c r="X737" s="28"/>
      <x:c r="Y737" s="28"/>
      <x:c r="Z737" s="28"/>
      <x:c r="AA737" s="28"/>
      <x:c r="AB737" s="56" t="str">
        <x:f>IF($A737="","",IF(Z737="Y",20,IF(Z737="Unknown",10,0))+$L737*5+IF(AA737="Y",15,IF(AA737="Unknown",5,0))+IF($J737="Public",10,IF($J737="Partner",7,IF($J737="Internal",3,0)))+IF($W737="Hard-coded",10,IF($W737="Unknown",7,IF($W737="Configurable",3,0)))+IF($I737&gt;=10,10,IF($I737&gt;=5,7,IF($I737&gt;=2,3,0)))+IF($K737="High",10,IF($K737="Medium",5,0)))</x:f>
      </x:c>
      <x:c r="AC737" s="28" t="str">
        <x:f>IF($A737="","",IF(AB737&gt;=70,"P0 - Immediate",IF(AB737&gt;=50,"P1 - High",IF(AB737&gt;=30,"P2 - Medium",IF(AB737&gt;=15,"P3 - Low","P4 - Monitor")))))</x:f>
      </x:c>
      <x:c r="AD737" s="28"/>
      <x:c r="AE737" s="28"/>
      <x:c r="AF737" s="28"/>
      <x:c r="AG737" s="58"/>
      <x:c r="AH737" s="28"/>
    </x:row>
    <x:row r="738">
      <x:c r="A738" s="28"/>
      <x:c r="B738" s="28"/>
      <x:c r="C738" s="28"/>
      <x:c r="D738" s="28"/>
      <x:c r="E738" s="28"/>
      <x:c r="F738" s="28"/>
      <x:c r="G738" s="28"/>
      <x:c r="H738" s="28"/>
      <x:c r="I738" s="56"/>
      <x:c r="J738" s="28"/>
      <x:c r="K738" s="28"/>
      <x:c r="L738" s="56"/>
      <x:c r="M738" s="28"/>
      <x:c r="N738" s="28"/>
      <x:c r="O738" s="28"/>
      <x:c r="P738" s="28"/>
      <x:c r="Q738" s="28"/>
      <x:c r="R738" s="28"/>
      <x:c r="S738" s="28"/>
      <x:c r="T738" s="28"/>
      <x:c r="U738" s="28"/>
      <x:c r="V738" s="28"/>
      <x:c r="W738" s="28"/>
      <x:c r="X738" s="28"/>
      <x:c r="Y738" s="28"/>
      <x:c r="Z738" s="28"/>
      <x:c r="AA738" s="28"/>
      <x:c r="AB738" s="56" t="str">
        <x:f>IF($A738="","",IF(Z738="Y",20,IF(Z738="Unknown",10,0))+$L738*5+IF(AA738="Y",15,IF(AA738="Unknown",5,0))+IF($J738="Public",10,IF($J738="Partner",7,IF($J738="Internal",3,0)))+IF($W738="Hard-coded",10,IF($W738="Unknown",7,IF($W738="Configurable",3,0)))+IF($I738&gt;=10,10,IF($I738&gt;=5,7,IF($I738&gt;=2,3,0)))+IF($K738="High",10,IF($K738="Medium",5,0)))</x:f>
      </x:c>
      <x:c r="AC738" s="28" t="str">
        <x:f>IF($A738="","",IF(AB738&gt;=70,"P0 - Immediate",IF(AB738&gt;=50,"P1 - High",IF(AB738&gt;=30,"P2 - Medium",IF(AB738&gt;=15,"P3 - Low","P4 - Monitor")))))</x:f>
      </x:c>
      <x:c r="AD738" s="28"/>
      <x:c r="AE738" s="28"/>
      <x:c r="AF738" s="28"/>
      <x:c r="AG738" s="58"/>
      <x:c r="AH738" s="28"/>
    </x:row>
    <x:row r="739">
      <x:c r="A739" s="28"/>
      <x:c r="B739" s="28"/>
      <x:c r="C739" s="28"/>
      <x:c r="D739" s="28"/>
      <x:c r="E739" s="28"/>
      <x:c r="F739" s="28"/>
      <x:c r="G739" s="28"/>
      <x:c r="H739" s="28"/>
      <x:c r="I739" s="56"/>
      <x:c r="J739" s="28"/>
      <x:c r="K739" s="28"/>
      <x:c r="L739" s="56"/>
      <x:c r="M739" s="28"/>
      <x:c r="N739" s="28"/>
      <x:c r="O739" s="28"/>
      <x:c r="P739" s="28"/>
      <x:c r="Q739" s="28"/>
      <x:c r="R739" s="28"/>
      <x:c r="S739" s="28"/>
      <x:c r="T739" s="28"/>
      <x:c r="U739" s="28"/>
      <x:c r="V739" s="28"/>
      <x:c r="W739" s="28"/>
      <x:c r="X739" s="28"/>
      <x:c r="Y739" s="28"/>
      <x:c r="Z739" s="28"/>
      <x:c r="AA739" s="28"/>
      <x:c r="AB739" s="56" t="str">
        <x:f>IF($A739="","",IF(Z739="Y",20,IF(Z739="Unknown",10,0))+$L739*5+IF(AA739="Y",15,IF(AA739="Unknown",5,0))+IF($J739="Public",10,IF($J739="Partner",7,IF($J739="Internal",3,0)))+IF($W739="Hard-coded",10,IF($W739="Unknown",7,IF($W739="Configurable",3,0)))+IF($I739&gt;=10,10,IF($I739&gt;=5,7,IF($I739&gt;=2,3,0)))+IF($K739="High",10,IF($K739="Medium",5,0)))</x:f>
      </x:c>
      <x:c r="AC739" s="28" t="str">
        <x:f>IF($A739="","",IF(AB739&gt;=70,"P0 - Immediate",IF(AB739&gt;=50,"P1 - High",IF(AB739&gt;=30,"P2 - Medium",IF(AB739&gt;=15,"P3 - Low","P4 - Monitor")))))</x:f>
      </x:c>
      <x:c r="AD739" s="28"/>
      <x:c r="AE739" s="28"/>
      <x:c r="AF739" s="28"/>
      <x:c r="AG739" s="58"/>
      <x:c r="AH739" s="28"/>
    </x:row>
    <x:row r="740">
      <x:c r="A740" s="28"/>
      <x:c r="B740" s="28"/>
      <x:c r="C740" s="28"/>
      <x:c r="D740" s="28"/>
      <x:c r="E740" s="28"/>
      <x:c r="F740" s="28"/>
      <x:c r="G740" s="28"/>
      <x:c r="H740" s="28"/>
      <x:c r="I740" s="56"/>
      <x:c r="J740" s="28"/>
      <x:c r="K740" s="28"/>
      <x:c r="L740" s="56"/>
      <x:c r="M740" s="28"/>
      <x:c r="N740" s="28"/>
      <x:c r="O740" s="28"/>
      <x:c r="P740" s="28"/>
      <x:c r="Q740" s="28"/>
      <x:c r="R740" s="28"/>
      <x:c r="S740" s="28"/>
      <x:c r="T740" s="28"/>
      <x:c r="U740" s="28"/>
      <x:c r="V740" s="28"/>
      <x:c r="W740" s="28"/>
      <x:c r="X740" s="28"/>
      <x:c r="Y740" s="28"/>
      <x:c r="Z740" s="28"/>
      <x:c r="AA740" s="28"/>
      <x:c r="AB740" s="56" t="str">
        <x:f>IF($A740="","",IF(Z740="Y",20,IF(Z740="Unknown",10,0))+$L740*5+IF(AA740="Y",15,IF(AA740="Unknown",5,0))+IF($J740="Public",10,IF($J740="Partner",7,IF($J740="Internal",3,0)))+IF($W740="Hard-coded",10,IF($W740="Unknown",7,IF($W740="Configurable",3,0)))+IF($I740&gt;=10,10,IF($I740&gt;=5,7,IF($I740&gt;=2,3,0)))+IF($K740="High",10,IF($K740="Medium",5,0)))</x:f>
      </x:c>
      <x:c r="AC740" s="28" t="str">
        <x:f>IF($A740="","",IF(AB740&gt;=70,"P0 - Immediate",IF(AB740&gt;=50,"P1 - High",IF(AB740&gt;=30,"P2 - Medium",IF(AB740&gt;=15,"P3 - Low","P4 - Monitor")))))</x:f>
      </x:c>
      <x:c r="AD740" s="28"/>
      <x:c r="AE740" s="28"/>
      <x:c r="AF740" s="28"/>
      <x:c r="AG740" s="58"/>
      <x:c r="AH740" s="28"/>
    </x:row>
    <x:row r="741">
      <x:c r="A741" s="28"/>
      <x:c r="B741" s="28"/>
      <x:c r="C741" s="28"/>
      <x:c r="D741" s="28"/>
      <x:c r="E741" s="28"/>
      <x:c r="F741" s="28"/>
      <x:c r="G741" s="28"/>
      <x:c r="H741" s="28"/>
      <x:c r="I741" s="56"/>
      <x:c r="J741" s="28"/>
      <x:c r="K741" s="28"/>
      <x:c r="L741" s="56"/>
      <x:c r="M741" s="28"/>
      <x:c r="N741" s="28"/>
      <x:c r="O741" s="28"/>
      <x:c r="P741" s="28"/>
      <x:c r="Q741" s="28"/>
      <x:c r="R741" s="28"/>
      <x:c r="S741" s="28"/>
      <x:c r="T741" s="28"/>
      <x:c r="U741" s="28"/>
      <x:c r="V741" s="28"/>
      <x:c r="W741" s="28"/>
      <x:c r="X741" s="28"/>
      <x:c r="Y741" s="28"/>
      <x:c r="Z741" s="28"/>
      <x:c r="AA741" s="28"/>
      <x:c r="AB741" s="56" t="str">
        <x:f>IF($A741="","",IF(Z741="Y",20,IF(Z741="Unknown",10,0))+$L741*5+IF(AA741="Y",15,IF(AA741="Unknown",5,0))+IF($J741="Public",10,IF($J741="Partner",7,IF($J741="Internal",3,0)))+IF($W741="Hard-coded",10,IF($W741="Unknown",7,IF($W741="Configurable",3,0)))+IF($I741&gt;=10,10,IF($I741&gt;=5,7,IF($I741&gt;=2,3,0)))+IF($K741="High",10,IF($K741="Medium",5,0)))</x:f>
      </x:c>
      <x:c r="AC741" s="28" t="str">
        <x:f>IF($A741="","",IF(AB741&gt;=70,"P0 - Immediate",IF(AB741&gt;=50,"P1 - High",IF(AB741&gt;=30,"P2 - Medium",IF(AB741&gt;=15,"P3 - Low","P4 - Monitor")))))</x:f>
      </x:c>
      <x:c r="AD741" s="28"/>
      <x:c r="AE741" s="28"/>
      <x:c r="AF741" s="28"/>
      <x:c r="AG741" s="58"/>
      <x:c r="AH741" s="28"/>
    </x:row>
    <x:row r="742">
      <x:c r="A742" s="28"/>
      <x:c r="B742" s="28"/>
      <x:c r="C742" s="28"/>
      <x:c r="D742" s="28"/>
      <x:c r="E742" s="28"/>
      <x:c r="F742" s="28"/>
      <x:c r="G742" s="28"/>
      <x:c r="H742" s="28"/>
      <x:c r="I742" s="56"/>
      <x:c r="J742" s="28"/>
      <x:c r="K742" s="28"/>
      <x:c r="L742" s="56"/>
      <x:c r="M742" s="28"/>
      <x:c r="N742" s="28"/>
      <x:c r="O742" s="28"/>
      <x:c r="P742" s="28"/>
      <x:c r="Q742" s="28"/>
      <x:c r="R742" s="28"/>
      <x:c r="S742" s="28"/>
      <x:c r="T742" s="28"/>
      <x:c r="U742" s="28"/>
      <x:c r="V742" s="28"/>
      <x:c r="W742" s="28"/>
      <x:c r="X742" s="28"/>
      <x:c r="Y742" s="28"/>
      <x:c r="Z742" s="28"/>
      <x:c r="AA742" s="28"/>
      <x:c r="AB742" s="56" t="str">
        <x:f>IF($A742="","",IF(Z742="Y",20,IF(Z742="Unknown",10,0))+$L742*5+IF(AA742="Y",15,IF(AA742="Unknown",5,0))+IF($J742="Public",10,IF($J742="Partner",7,IF($J742="Internal",3,0)))+IF($W742="Hard-coded",10,IF($W742="Unknown",7,IF($W742="Configurable",3,0)))+IF($I742&gt;=10,10,IF($I742&gt;=5,7,IF($I742&gt;=2,3,0)))+IF($K742="High",10,IF($K742="Medium",5,0)))</x:f>
      </x:c>
      <x:c r="AC742" s="28" t="str">
        <x:f>IF($A742="","",IF(AB742&gt;=70,"P0 - Immediate",IF(AB742&gt;=50,"P1 - High",IF(AB742&gt;=30,"P2 - Medium",IF(AB742&gt;=15,"P3 - Low","P4 - Monitor")))))</x:f>
      </x:c>
      <x:c r="AD742" s="28"/>
      <x:c r="AE742" s="28"/>
      <x:c r="AF742" s="28"/>
      <x:c r="AG742" s="58"/>
      <x:c r="AH742" s="28"/>
    </x:row>
    <x:row r="743">
      <x:c r="A743" s="28"/>
      <x:c r="B743" s="28"/>
      <x:c r="C743" s="28"/>
      <x:c r="D743" s="28"/>
      <x:c r="E743" s="28"/>
      <x:c r="F743" s="28"/>
      <x:c r="G743" s="28"/>
      <x:c r="H743" s="28"/>
      <x:c r="I743" s="56"/>
      <x:c r="J743" s="28"/>
      <x:c r="K743" s="28"/>
      <x:c r="L743" s="56"/>
      <x:c r="M743" s="28"/>
      <x:c r="N743" s="28"/>
      <x:c r="O743" s="28"/>
      <x:c r="P743" s="28"/>
      <x:c r="Q743" s="28"/>
      <x:c r="R743" s="28"/>
      <x:c r="S743" s="28"/>
      <x:c r="T743" s="28"/>
      <x:c r="U743" s="28"/>
      <x:c r="V743" s="28"/>
      <x:c r="W743" s="28"/>
      <x:c r="X743" s="28"/>
      <x:c r="Y743" s="28"/>
      <x:c r="Z743" s="28"/>
      <x:c r="AA743" s="28"/>
      <x:c r="AB743" s="56" t="str">
        <x:f>IF($A743="","",IF(Z743="Y",20,IF(Z743="Unknown",10,0))+$L743*5+IF(AA743="Y",15,IF(AA743="Unknown",5,0))+IF($J743="Public",10,IF($J743="Partner",7,IF($J743="Internal",3,0)))+IF($W743="Hard-coded",10,IF($W743="Unknown",7,IF($W743="Configurable",3,0)))+IF($I743&gt;=10,10,IF($I743&gt;=5,7,IF($I743&gt;=2,3,0)))+IF($K743="High",10,IF($K743="Medium",5,0)))</x:f>
      </x:c>
      <x:c r="AC743" s="28" t="str">
        <x:f>IF($A743="","",IF(AB743&gt;=70,"P0 - Immediate",IF(AB743&gt;=50,"P1 - High",IF(AB743&gt;=30,"P2 - Medium",IF(AB743&gt;=15,"P3 - Low","P4 - Monitor")))))</x:f>
      </x:c>
      <x:c r="AD743" s="28"/>
      <x:c r="AE743" s="28"/>
      <x:c r="AF743" s="28"/>
      <x:c r="AG743" s="58"/>
      <x:c r="AH743" s="28"/>
    </x:row>
    <x:row r="744">
      <x:c r="A744" s="28"/>
      <x:c r="B744" s="28"/>
      <x:c r="C744" s="28"/>
      <x:c r="D744" s="28"/>
      <x:c r="E744" s="28"/>
      <x:c r="F744" s="28"/>
      <x:c r="G744" s="28"/>
      <x:c r="H744" s="28"/>
      <x:c r="I744" s="56"/>
      <x:c r="J744" s="28"/>
      <x:c r="K744" s="28"/>
      <x:c r="L744" s="56"/>
      <x:c r="M744" s="28"/>
      <x:c r="N744" s="28"/>
      <x:c r="O744" s="28"/>
      <x:c r="P744" s="28"/>
      <x:c r="Q744" s="28"/>
      <x:c r="R744" s="28"/>
      <x:c r="S744" s="28"/>
      <x:c r="T744" s="28"/>
      <x:c r="U744" s="28"/>
      <x:c r="V744" s="28"/>
      <x:c r="W744" s="28"/>
      <x:c r="X744" s="28"/>
      <x:c r="Y744" s="28"/>
      <x:c r="Z744" s="28"/>
      <x:c r="AA744" s="28"/>
      <x:c r="AB744" s="56" t="str">
        <x:f>IF($A744="","",IF(Z744="Y",20,IF(Z744="Unknown",10,0))+$L744*5+IF(AA744="Y",15,IF(AA744="Unknown",5,0))+IF($J744="Public",10,IF($J744="Partner",7,IF($J744="Internal",3,0)))+IF($W744="Hard-coded",10,IF($W744="Unknown",7,IF($W744="Configurable",3,0)))+IF($I744&gt;=10,10,IF($I744&gt;=5,7,IF($I744&gt;=2,3,0)))+IF($K744="High",10,IF($K744="Medium",5,0)))</x:f>
      </x:c>
      <x:c r="AC744" s="28" t="str">
        <x:f>IF($A744="","",IF(AB744&gt;=70,"P0 - Immediate",IF(AB744&gt;=50,"P1 - High",IF(AB744&gt;=30,"P2 - Medium",IF(AB744&gt;=15,"P3 - Low","P4 - Monitor")))))</x:f>
      </x:c>
      <x:c r="AD744" s="28"/>
      <x:c r="AE744" s="28"/>
      <x:c r="AF744" s="28"/>
      <x:c r="AG744" s="58"/>
      <x:c r="AH744" s="28"/>
    </x:row>
    <x:row r="745">
      <x:c r="A745" s="28"/>
      <x:c r="B745" s="28"/>
      <x:c r="C745" s="28"/>
      <x:c r="D745" s="28"/>
      <x:c r="E745" s="28"/>
      <x:c r="F745" s="28"/>
      <x:c r="G745" s="28"/>
      <x:c r="H745" s="28"/>
      <x:c r="I745" s="56"/>
      <x:c r="J745" s="28"/>
      <x:c r="K745" s="28"/>
      <x:c r="L745" s="56"/>
      <x:c r="M745" s="28"/>
      <x:c r="N745" s="28"/>
      <x:c r="O745" s="28"/>
      <x:c r="P745" s="28"/>
      <x:c r="Q745" s="28"/>
      <x:c r="R745" s="28"/>
      <x:c r="S745" s="28"/>
      <x:c r="T745" s="28"/>
      <x:c r="U745" s="28"/>
      <x:c r="V745" s="28"/>
      <x:c r="W745" s="28"/>
      <x:c r="X745" s="28"/>
      <x:c r="Y745" s="28"/>
      <x:c r="Z745" s="28"/>
      <x:c r="AA745" s="28"/>
      <x:c r="AB745" s="56" t="str">
        <x:f>IF($A745="","",IF(Z745="Y",20,IF(Z745="Unknown",10,0))+$L745*5+IF(AA745="Y",15,IF(AA745="Unknown",5,0))+IF($J745="Public",10,IF($J745="Partner",7,IF($J745="Internal",3,0)))+IF($W745="Hard-coded",10,IF($W745="Unknown",7,IF($W745="Configurable",3,0)))+IF($I745&gt;=10,10,IF($I745&gt;=5,7,IF($I745&gt;=2,3,0)))+IF($K745="High",10,IF($K745="Medium",5,0)))</x:f>
      </x:c>
      <x:c r="AC745" s="28" t="str">
        <x:f>IF($A745="","",IF(AB745&gt;=70,"P0 - Immediate",IF(AB745&gt;=50,"P1 - High",IF(AB745&gt;=30,"P2 - Medium",IF(AB745&gt;=15,"P3 - Low","P4 - Monitor")))))</x:f>
      </x:c>
      <x:c r="AD745" s="28"/>
      <x:c r="AE745" s="28"/>
      <x:c r="AF745" s="28"/>
      <x:c r="AG745" s="58"/>
      <x:c r="AH745" s="28"/>
    </x:row>
    <x:row r="746">
      <x:c r="A746" s="28"/>
      <x:c r="B746" s="28"/>
      <x:c r="C746" s="28"/>
      <x:c r="D746" s="28"/>
      <x:c r="E746" s="28"/>
      <x:c r="F746" s="28"/>
      <x:c r="G746" s="28"/>
      <x:c r="H746" s="28"/>
      <x:c r="I746" s="56"/>
      <x:c r="J746" s="28"/>
      <x:c r="K746" s="28"/>
      <x:c r="L746" s="56"/>
      <x:c r="M746" s="28"/>
      <x:c r="N746" s="28"/>
      <x:c r="O746" s="28"/>
      <x:c r="P746" s="28"/>
      <x:c r="Q746" s="28"/>
      <x:c r="R746" s="28"/>
      <x:c r="S746" s="28"/>
      <x:c r="T746" s="28"/>
      <x:c r="U746" s="28"/>
      <x:c r="V746" s="28"/>
      <x:c r="W746" s="28"/>
      <x:c r="X746" s="28"/>
      <x:c r="Y746" s="28"/>
      <x:c r="Z746" s="28"/>
      <x:c r="AA746" s="28"/>
      <x:c r="AB746" s="56" t="str">
        <x:f>IF($A746="","",IF(Z746="Y",20,IF(Z746="Unknown",10,0))+$L746*5+IF(AA746="Y",15,IF(AA746="Unknown",5,0))+IF($J746="Public",10,IF($J746="Partner",7,IF($J746="Internal",3,0)))+IF($W746="Hard-coded",10,IF($W746="Unknown",7,IF($W746="Configurable",3,0)))+IF($I746&gt;=10,10,IF($I746&gt;=5,7,IF($I746&gt;=2,3,0)))+IF($K746="High",10,IF($K746="Medium",5,0)))</x:f>
      </x:c>
      <x:c r="AC746" s="28" t="str">
        <x:f>IF($A746="","",IF(AB746&gt;=70,"P0 - Immediate",IF(AB746&gt;=50,"P1 - High",IF(AB746&gt;=30,"P2 - Medium",IF(AB746&gt;=15,"P3 - Low","P4 - Monitor")))))</x:f>
      </x:c>
      <x:c r="AD746" s="28"/>
      <x:c r="AE746" s="28"/>
      <x:c r="AF746" s="28"/>
      <x:c r="AG746" s="58"/>
      <x:c r="AH746" s="28"/>
    </x:row>
    <x:row r="747">
      <x:c r="A747" s="28"/>
      <x:c r="B747" s="28"/>
      <x:c r="C747" s="28"/>
      <x:c r="D747" s="28"/>
      <x:c r="E747" s="28"/>
      <x:c r="F747" s="28"/>
      <x:c r="G747" s="28"/>
      <x:c r="H747" s="28"/>
      <x:c r="I747" s="56"/>
      <x:c r="J747" s="28"/>
      <x:c r="K747" s="28"/>
      <x:c r="L747" s="56"/>
      <x:c r="M747" s="28"/>
      <x:c r="N747" s="28"/>
      <x:c r="O747" s="28"/>
      <x:c r="P747" s="28"/>
      <x:c r="Q747" s="28"/>
      <x:c r="R747" s="28"/>
      <x:c r="S747" s="28"/>
      <x:c r="T747" s="28"/>
      <x:c r="U747" s="28"/>
      <x:c r="V747" s="28"/>
      <x:c r="W747" s="28"/>
      <x:c r="X747" s="28"/>
      <x:c r="Y747" s="28"/>
      <x:c r="Z747" s="28"/>
      <x:c r="AA747" s="28"/>
      <x:c r="AB747" s="56" t="str">
        <x:f>IF($A747="","",IF(Z747="Y",20,IF(Z747="Unknown",10,0))+$L747*5+IF(AA747="Y",15,IF(AA747="Unknown",5,0))+IF($J747="Public",10,IF($J747="Partner",7,IF($J747="Internal",3,0)))+IF($W747="Hard-coded",10,IF($W747="Unknown",7,IF($W747="Configurable",3,0)))+IF($I747&gt;=10,10,IF($I747&gt;=5,7,IF($I747&gt;=2,3,0)))+IF($K747="High",10,IF($K747="Medium",5,0)))</x:f>
      </x:c>
      <x:c r="AC747" s="28" t="str">
        <x:f>IF($A747="","",IF(AB747&gt;=70,"P0 - Immediate",IF(AB747&gt;=50,"P1 - High",IF(AB747&gt;=30,"P2 - Medium",IF(AB747&gt;=15,"P3 - Low","P4 - Monitor")))))</x:f>
      </x:c>
      <x:c r="AD747" s="28"/>
      <x:c r="AE747" s="28"/>
      <x:c r="AF747" s="28"/>
      <x:c r="AG747" s="58"/>
      <x:c r="AH747" s="28"/>
    </x:row>
    <x:row r="748">
      <x:c r="A748" s="28"/>
      <x:c r="B748" s="28"/>
      <x:c r="C748" s="28"/>
      <x:c r="D748" s="28"/>
      <x:c r="E748" s="28"/>
      <x:c r="F748" s="28"/>
      <x:c r="G748" s="28"/>
      <x:c r="H748" s="28"/>
      <x:c r="I748" s="56"/>
      <x:c r="J748" s="28"/>
      <x:c r="K748" s="28"/>
      <x:c r="L748" s="56"/>
      <x:c r="M748" s="28"/>
      <x:c r="N748" s="28"/>
      <x:c r="O748" s="28"/>
      <x:c r="P748" s="28"/>
      <x:c r="Q748" s="28"/>
      <x:c r="R748" s="28"/>
      <x:c r="S748" s="28"/>
      <x:c r="T748" s="28"/>
      <x:c r="U748" s="28"/>
      <x:c r="V748" s="28"/>
      <x:c r="W748" s="28"/>
      <x:c r="X748" s="28"/>
      <x:c r="Y748" s="28"/>
      <x:c r="Z748" s="28"/>
      <x:c r="AA748" s="28"/>
      <x:c r="AB748" s="56" t="str">
        <x:f>IF($A748="","",IF(Z748="Y",20,IF(Z748="Unknown",10,0))+$L748*5+IF(AA748="Y",15,IF(AA748="Unknown",5,0))+IF($J748="Public",10,IF($J748="Partner",7,IF($J748="Internal",3,0)))+IF($W748="Hard-coded",10,IF($W748="Unknown",7,IF($W748="Configurable",3,0)))+IF($I748&gt;=10,10,IF($I748&gt;=5,7,IF($I748&gt;=2,3,0)))+IF($K748="High",10,IF($K748="Medium",5,0)))</x:f>
      </x:c>
      <x:c r="AC748" s="28" t="str">
        <x:f>IF($A748="","",IF(AB748&gt;=70,"P0 - Immediate",IF(AB748&gt;=50,"P1 - High",IF(AB748&gt;=30,"P2 - Medium",IF(AB748&gt;=15,"P3 - Low","P4 - Monitor")))))</x:f>
      </x:c>
      <x:c r="AD748" s="28"/>
      <x:c r="AE748" s="28"/>
      <x:c r="AF748" s="28"/>
      <x:c r="AG748" s="58"/>
      <x:c r="AH748" s="28"/>
    </x:row>
    <x:row r="749">
      <x:c r="A749" s="28"/>
      <x:c r="B749" s="28"/>
      <x:c r="C749" s="28"/>
      <x:c r="D749" s="28"/>
      <x:c r="E749" s="28"/>
      <x:c r="F749" s="28"/>
      <x:c r="G749" s="28"/>
      <x:c r="H749" s="28"/>
      <x:c r="I749" s="56"/>
      <x:c r="J749" s="28"/>
      <x:c r="K749" s="28"/>
      <x:c r="L749" s="56"/>
      <x:c r="M749" s="28"/>
      <x:c r="N749" s="28"/>
      <x:c r="O749" s="28"/>
      <x:c r="P749" s="28"/>
      <x:c r="Q749" s="28"/>
      <x:c r="R749" s="28"/>
      <x:c r="S749" s="28"/>
      <x:c r="T749" s="28"/>
      <x:c r="U749" s="28"/>
      <x:c r="V749" s="28"/>
      <x:c r="W749" s="28"/>
      <x:c r="X749" s="28"/>
      <x:c r="Y749" s="28"/>
      <x:c r="Z749" s="28"/>
      <x:c r="AA749" s="28"/>
      <x:c r="AB749" s="56" t="str">
        <x:f>IF($A749="","",IF(Z749="Y",20,IF(Z749="Unknown",10,0))+$L749*5+IF(AA749="Y",15,IF(AA749="Unknown",5,0))+IF($J749="Public",10,IF($J749="Partner",7,IF($J749="Internal",3,0)))+IF($W749="Hard-coded",10,IF($W749="Unknown",7,IF($W749="Configurable",3,0)))+IF($I749&gt;=10,10,IF($I749&gt;=5,7,IF($I749&gt;=2,3,0)))+IF($K749="High",10,IF($K749="Medium",5,0)))</x:f>
      </x:c>
      <x:c r="AC749" s="28" t="str">
        <x:f>IF($A749="","",IF(AB749&gt;=70,"P0 - Immediate",IF(AB749&gt;=50,"P1 - High",IF(AB749&gt;=30,"P2 - Medium",IF(AB749&gt;=15,"P3 - Low","P4 - Monitor")))))</x:f>
      </x:c>
      <x:c r="AD749" s="28"/>
      <x:c r="AE749" s="28"/>
      <x:c r="AF749" s="28"/>
      <x:c r="AG749" s="58"/>
      <x:c r="AH749" s="28"/>
    </x:row>
    <x:row r="750">
      <x:c r="A750" s="28"/>
      <x:c r="B750" s="28"/>
      <x:c r="C750" s="28"/>
      <x:c r="D750" s="28"/>
      <x:c r="E750" s="28"/>
      <x:c r="F750" s="28"/>
      <x:c r="G750" s="28"/>
      <x:c r="H750" s="28"/>
      <x:c r="I750" s="56"/>
      <x:c r="J750" s="28"/>
      <x:c r="K750" s="28"/>
      <x:c r="L750" s="56"/>
      <x:c r="M750" s="28"/>
      <x:c r="N750" s="28"/>
      <x:c r="O750" s="28"/>
      <x:c r="P750" s="28"/>
      <x:c r="Q750" s="28"/>
      <x:c r="R750" s="28"/>
      <x:c r="S750" s="28"/>
      <x:c r="T750" s="28"/>
      <x:c r="U750" s="28"/>
      <x:c r="V750" s="28"/>
      <x:c r="W750" s="28"/>
      <x:c r="X750" s="28"/>
      <x:c r="Y750" s="28"/>
      <x:c r="Z750" s="28"/>
      <x:c r="AA750" s="28"/>
      <x:c r="AB750" s="56" t="str">
        <x:f>IF($A750="","",IF(Z750="Y",20,IF(Z750="Unknown",10,0))+$L750*5+IF(AA750="Y",15,IF(AA750="Unknown",5,0))+IF($J750="Public",10,IF($J750="Partner",7,IF($J750="Internal",3,0)))+IF($W750="Hard-coded",10,IF($W750="Unknown",7,IF($W750="Configurable",3,0)))+IF($I750&gt;=10,10,IF($I750&gt;=5,7,IF($I750&gt;=2,3,0)))+IF($K750="High",10,IF($K750="Medium",5,0)))</x:f>
      </x:c>
      <x:c r="AC750" s="28" t="str">
        <x:f>IF($A750="","",IF(AB750&gt;=70,"P0 - Immediate",IF(AB750&gt;=50,"P1 - High",IF(AB750&gt;=30,"P2 - Medium",IF(AB750&gt;=15,"P3 - Low","P4 - Monitor")))))</x:f>
      </x:c>
      <x:c r="AD750" s="28"/>
      <x:c r="AE750" s="28"/>
      <x:c r="AF750" s="28"/>
      <x:c r="AG750" s="58"/>
      <x:c r="AH750" s="28"/>
    </x:row>
    <x:row r="751">
      <x:c r="A751" s="28"/>
      <x:c r="B751" s="28"/>
      <x:c r="C751" s="28"/>
      <x:c r="D751" s="28"/>
      <x:c r="E751" s="28"/>
      <x:c r="F751" s="28"/>
      <x:c r="G751" s="28"/>
      <x:c r="H751" s="28"/>
      <x:c r="I751" s="56"/>
      <x:c r="J751" s="28"/>
      <x:c r="K751" s="28"/>
      <x:c r="L751" s="56"/>
      <x:c r="M751" s="28"/>
      <x:c r="N751" s="28"/>
      <x:c r="O751" s="28"/>
      <x:c r="P751" s="28"/>
      <x:c r="Q751" s="28"/>
      <x:c r="R751" s="28"/>
      <x:c r="S751" s="28"/>
      <x:c r="T751" s="28"/>
      <x:c r="U751" s="28"/>
      <x:c r="V751" s="28"/>
      <x:c r="W751" s="28"/>
      <x:c r="X751" s="28"/>
      <x:c r="Y751" s="28"/>
      <x:c r="Z751" s="28"/>
      <x:c r="AA751" s="28"/>
      <x:c r="AB751" s="56" t="str">
        <x:f>IF($A751="","",IF(Z751="Y",20,IF(Z751="Unknown",10,0))+$L751*5+IF(AA751="Y",15,IF(AA751="Unknown",5,0))+IF($J751="Public",10,IF($J751="Partner",7,IF($J751="Internal",3,0)))+IF($W751="Hard-coded",10,IF($W751="Unknown",7,IF($W751="Configurable",3,0)))+IF($I751&gt;=10,10,IF($I751&gt;=5,7,IF($I751&gt;=2,3,0)))+IF($K751="High",10,IF($K751="Medium",5,0)))</x:f>
      </x:c>
      <x:c r="AC751" s="28" t="str">
        <x:f>IF($A751="","",IF(AB751&gt;=70,"P0 - Immediate",IF(AB751&gt;=50,"P1 - High",IF(AB751&gt;=30,"P2 - Medium",IF(AB751&gt;=15,"P3 - Low","P4 - Monitor")))))</x:f>
      </x:c>
      <x:c r="AD751" s="28"/>
      <x:c r="AE751" s="28"/>
      <x:c r="AF751" s="28"/>
      <x:c r="AG751" s="58"/>
      <x:c r="AH751" s="28"/>
    </x:row>
    <x:row r="752">
      <x:c r="A752" s="28"/>
      <x:c r="B752" s="28"/>
      <x:c r="C752" s="28"/>
      <x:c r="D752" s="28"/>
      <x:c r="E752" s="28"/>
      <x:c r="F752" s="28"/>
      <x:c r="G752" s="28"/>
      <x:c r="H752" s="28"/>
      <x:c r="I752" s="56"/>
      <x:c r="J752" s="28"/>
      <x:c r="K752" s="28"/>
      <x:c r="L752" s="56"/>
      <x:c r="M752" s="28"/>
      <x:c r="N752" s="28"/>
      <x:c r="O752" s="28"/>
      <x:c r="P752" s="28"/>
      <x:c r="Q752" s="28"/>
      <x:c r="R752" s="28"/>
      <x:c r="S752" s="28"/>
      <x:c r="T752" s="28"/>
      <x:c r="U752" s="28"/>
      <x:c r="V752" s="28"/>
      <x:c r="W752" s="28"/>
      <x:c r="X752" s="28"/>
      <x:c r="Y752" s="28"/>
      <x:c r="Z752" s="28"/>
      <x:c r="AA752" s="28"/>
      <x:c r="AB752" s="56" t="str">
        <x:f>IF($A752="","",IF(Z752="Y",20,IF(Z752="Unknown",10,0))+$L752*5+IF(AA752="Y",15,IF(AA752="Unknown",5,0))+IF($J752="Public",10,IF($J752="Partner",7,IF($J752="Internal",3,0)))+IF($W752="Hard-coded",10,IF($W752="Unknown",7,IF($W752="Configurable",3,0)))+IF($I752&gt;=10,10,IF($I752&gt;=5,7,IF($I752&gt;=2,3,0)))+IF($K752="High",10,IF($K752="Medium",5,0)))</x:f>
      </x:c>
      <x:c r="AC752" s="28" t="str">
        <x:f>IF($A752="","",IF(AB752&gt;=70,"P0 - Immediate",IF(AB752&gt;=50,"P1 - High",IF(AB752&gt;=30,"P2 - Medium",IF(AB752&gt;=15,"P3 - Low","P4 - Monitor")))))</x:f>
      </x:c>
      <x:c r="AD752" s="28"/>
      <x:c r="AE752" s="28"/>
      <x:c r="AF752" s="28"/>
      <x:c r="AG752" s="58"/>
      <x:c r="AH752" s="28"/>
    </x:row>
    <x:row r="753">
      <x:c r="A753" s="28"/>
      <x:c r="B753" s="28"/>
      <x:c r="C753" s="28"/>
      <x:c r="D753" s="28"/>
      <x:c r="E753" s="28"/>
      <x:c r="F753" s="28"/>
      <x:c r="G753" s="28"/>
      <x:c r="H753" s="28"/>
      <x:c r="I753" s="56"/>
      <x:c r="J753" s="28"/>
      <x:c r="K753" s="28"/>
      <x:c r="L753" s="56"/>
      <x:c r="M753" s="28"/>
      <x:c r="N753" s="28"/>
      <x:c r="O753" s="28"/>
      <x:c r="P753" s="28"/>
      <x:c r="Q753" s="28"/>
      <x:c r="R753" s="28"/>
      <x:c r="S753" s="28"/>
      <x:c r="T753" s="28"/>
      <x:c r="U753" s="28"/>
      <x:c r="V753" s="28"/>
      <x:c r="W753" s="28"/>
      <x:c r="X753" s="28"/>
      <x:c r="Y753" s="28"/>
      <x:c r="Z753" s="28"/>
      <x:c r="AA753" s="28"/>
      <x:c r="AB753" s="56" t="str">
        <x:f>IF($A753="","",IF(Z753="Y",20,IF(Z753="Unknown",10,0))+$L753*5+IF(AA753="Y",15,IF(AA753="Unknown",5,0))+IF($J753="Public",10,IF($J753="Partner",7,IF($J753="Internal",3,0)))+IF($W753="Hard-coded",10,IF($W753="Unknown",7,IF($W753="Configurable",3,0)))+IF($I753&gt;=10,10,IF($I753&gt;=5,7,IF($I753&gt;=2,3,0)))+IF($K753="High",10,IF($K753="Medium",5,0)))</x:f>
      </x:c>
      <x:c r="AC753" s="28" t="str">
        <x:f>IF($A753="","",IF(AB753&gt;=70,"P0 - Immediate",IF(AB753&gt;=50,"P1 - High",IF(AB753&gt;=30,"P2 - Medium",IF(AB753&gt;=15,"P3 - Low","P4 - Monitor")))))</x:f>
      </x:c>
      <x:c r="AD753" s="28"/>
      <x:c r="AE753" s="28"/>
      <x:c r="AF753" s="28"/>
      <x:c r="AG753" s="58"/>
      <x:c r="AH753" s="28"/>
    </x:row>
    <x:row r="754">
      <x:c r="A754" s="28"/>
      <x:c r="B754" s="28"/>
      <x:c r="C754" s="28"/>
      <x:c r="D754" s="28"/>
      <x:c r="E754" s="28"/>
      <x:c r="F754" s="28"/>
      <x:c r="G754" s="28"/>
      <x:c r="H754" s="28"/>
      <x:c r="I754" s="56"/>
      <x:c r="J754" s="28"/>
      <x:c r="K754" s="28"/>
      <x:c r="L754" s="56"/>
      <x:c r="M754" s="28"/>
      <x:c r="N754" s="28"/>
      <x:c r="O754" s="28"/>
      <x:c r="P754" s="28"/>
      <x:c r="Q754" s="28"/>
      <x:c r="R754" s="28"/>
      <x:c r="S754" s="28"/>
      <x:c r="T754" s="28"/>
      <x:c r="U754" s="28"/>
      <x:c r="V754" s="28"/>
      <x:c r="W754" s="28"/>
      <x:c r="X754" s="28"/>
      <x:c r="Y754" s="28"/>
      <x:c r="Z754" s="28"/>
      <x:c r="AA754" s="28"/>
      <x:c r="AB754" s="56" t="str">
        <x:f>IF($A754="","",IF(Z754="Y",20,IF(Z754="Unknown",10,0))+$L754*5+IF(AA754="Y",15,IF(AA754="Unknown",5,0))+IF($J754="Public",10,IF($J754="Partner",7,IF($J754="Internal",3,0)))+IF($W754="Hard-coded",10,IF($W754="Unknown",7,IF($W754="Configurable",3,0)))+IF($I754&gt;=10,10,IF($I754&gt;=5,7,IF($I754&gt;=2,3,0)))+IF($K754="High",10,IF($K754="Medium",5,0)))</x:f>
      </x:c>
      <x:c r="AC754" s="28" t="str">
        <x:f>IF($A754="","",IF(AB754&gt;=70,"P0 - Immediate",IF(AB754&gt;=50,"P1 - High",IF(AB754&gt;=30,"P2 - Medium",IF(AB754&gt;=15,"P3 - Low","P4 - Monitor")))))</x:f>
      </x:c>
      <x:c r="AD754" s="28"/>
      <x:c r="AE754" s="28"/>
      <x:c r="AF754" s="28"/>
      <x:c r="AG754" s="58"/>
      <x:c r="AH754" s="28"/>
    </x:row>
    <x:row r="755">
      <x:c r="A755" s="28"/>
      <x:c r="B755" s="28"/>
      <x:c r="C755" s="28"/>
      <x:c r="D755" s="28"/>
      <x:c r="E755" s="28"/>
      <x:c r="F755" s="28"/>
      <x:c r="G755" s="28"/>
      <x:c r="H755" s="28"/>
      <x:c r="I755" s="56"/>
      <x:c r="J755" s="28"/>
      <x:c r="K755" s="28"/>
      <x:c r="L755" s="56"/>
      <x:c r="M755" s="28"/>
      <x:c r="N755" s="28"/>
      <x:c r="O755" s="28"/>
      <x:c r="P755" s="28"/>
      <x:c r="Q755" s="28"/>
      <x:c r="R755" s="28"/>
      <x:c r="S755" s="28"/>
      <x:c r="T755" s="28"/>
      <x:c r="U755" s="28"/>
      <x:c r="V755" s="28"/>
      <x:c r="W755" s="28"/>
      <x:c r="X755" s="28"/>
      <x:c r="Y755" s="28"/>
      <x:c r="Z755" s="28"/>
      <x:c r="AA755" s="28"/>
      <x:c r="AB755" s="56" t="str">
        <x:f>IF($A755="","",IF(Z755="Y",20,IF(Z755="Unknown",10,0))+$L755*5+IF(AA755="Y",15,IF(AA755="Unknown",5,0))+IF($J755="Public",10,IF($J755="Partner",7,IF($J755="Internal",3,0)))+IF($W755="Hard-coded",10,IF($W755="Unknown",7,IF($W755="Configurable",3,0)))+IF($I755&gt;=10,10,IF($I755&gt;=5,7,IF($I755&gt;=2,3,0)))+IF($K755="High",10,IF($K755="Medium",5,0)))</x:f>
      </x:c>
      <x:c r="AC755" s="28" t="str">
        <x:f>IF($A755="","",IF(AB755&gt;=70,"P0 - Immediate",IF(AB755&gt;=50,"P1 - High",IF(AB755&gt;=30,"P2 - Medium",IF(AB755&gt;=15,"P3 - Low","P4 - Monitor")))))</x:f>
      </x:c>
      <x:c r="AD755" s="28"/>
      <x:c r="AE755" s="28"/>
      <x:c r="AF755" s="28"/>
      <x:c r="AG755" s="58"/>
      <x:c r="AH755" s="28"/>
    </x:row>
    <x:row r="756">
      <x:c r="A756" s="28"/>
      <x:c r="B756" s="28"/>
      <x:c r="C756" s="28"/>
      <x:c r="D756" s="28"/>
      <x:c r="E756" s="28"/>
      <x:c r="F756" s="28"/>
      <x:c r="G756" s="28"/>
      <x:c r="H756" s="28"/>
      <x:c r="I756" s="56"/>
      <x:c r="J756" s="28"/>
      <x:c r="K756" s="28"/>
      <x:c r="L756" s="56"/>
      <x:c r="M756" s="28"/>
      <x:c r="N756" s="28"/>
      <x:c r="O756" s="28"/>
      <x:c r="P756" s="28"/>
      <x:c r="Q756" s="28"/>
      <x:c r="R756" s="28"/>
      <x:c r="S756" s="28"/>
      <x:c r="T756" s="28"/>
      <x:c r="U756" s="28"/>
      <x:c r="V756" s="28"/>
      <x:c r="W756" s="28"/>
      <x:c r="X756" s="28"/>
      <x:c r="Y756" s="28"/>
      <x:c r="Z756" s="28"/>
      <x:c r="AA756" s="28"/>
      <x:c r="AB756" s="56" t="str">
        <x:f>IF($A756="","",IF(Z756="Y",20,IF(Z756="Unknown",10,0))+$L756*5+IF(AA756="Y",15,IF(AA756="Unknown",5,0))+IF($J756="Public",10,IF($J756="Partner",7,IF($J756="Internal",3,0)))+IF($W756="Hard-coded",10,IF($W756="Unknown",7,IF($W756="Configurable",3,0)))+IF($I756&gt;=10,10,IF($I756&gt;=5,7,IF($I756&gt;=2,3,0)))+IF($K756="High",10,IF($K756="Medium",5,0)))</x:f>
      </x:c>
      <x:c r="AC756" s="28" t="str">
        <x:f>IF($A756="","",IF(AB756&gt;=70,"P0 - Immediate",IF(AB756&gt;=50,"P1 - High",IF(AB756&gt;=30,"P2 - Medium",IF(AB756&gt;=15,"P3 - Low","P4 - Monitor")))))</x:f>
      </x:c>
      <x:c r="AD756" s="28"/>
      <x:c r="AE756" s="28"/>
      <x:c r="AF756" s="28"/>
      <x:c r="AG756" s="58"/>
      <x:c r="AH756" s="28"/>
    </x:row>
    <x:row r="757">
      <x:c r="A757" s="28"/>
      <x:c r="B757" s="28"/>
      <x:c r="C757" s="28"/>
      <x:c r="D757" s="28"/>
      <x:c r="E757" s="28"/>
      <x:c r="F757" s="28"/>
      <x:c r="G757" s="28"/>
      <x:c r="H757" s="28"/>
      <x:c r="I757" s="56"/>
      <x:c r="J757" s="28"/>
      <x:c r="K757" s="28"/>
      <x:c r="L757" s="56"/>
      <x:c r="M757" s="28"/>
      <x:c r="N757" s="28"/>
      <x:c r="O757" s="28"/>
      <x:c r="P757" s="28"/>
      <x:c r="Q757" s="28"/>
      <x:c r="R757" s="28"/>
      <x:c r="S757" s="28"/>
      <x:c r="T757" s="28"/>
      <x:c r="U757" s="28"/>
      <x:c r="V757" s="28"/>
      <x:c r="W757" s="28"/>
      <x:c r="X757" s="28"/>
      <x:c r="Y757" s="28"/>
      <x:c r="Z757" s="28"/>
      <x:c r="AA757" s="28"/>
      <x:c r="AB757" s="56" t="str">
        <x:f>IF($A757="","",IF(Z757="Y",20,IF(Z757="Unknown",10,0))+$L757*5+IF(AA757="Y",15,IF(AA757="Unknown",5,0))+IF($J757="Public",10,IF($J757="Partner",7,IF($J757="Internal",3,0)))+IF($W757="Hard-coded",10,IF($W757="Unknown",7,IF($W757="Configurable",3,0)))+IF($I757&gt;=10,10,IF($I757&gt;=5,7,IF($I757&gt;=2,3,0)))+IF($K757="High",10,IF($K757="Medium",5,0)))</x:f>
      </x:c>
      <x:c r="AC757" s="28" t="str">
        <x:f>IF($A757="","",IF(AB757&gt;=70,"P0 - Immediate",IF(AB757&gt;=50,"P1 - High",IF(AB757&gt;=30,"P2 - Medium",IF(AB757&gt;=15,"P3 - Low","P4 - Monitor")))))</x:f>
      </x:c>
      <x:c r="AD757" s="28"/>
      <x:c r="AE757" s="28"/>
      <x:c r="AF757" s="28"/>
      <x:c r="AG757" s="58"/>
      <x:c r="AH757" s="28"/>
    </x:row>
    <x:row r="758">
      <x:c r="A758" s="28"/>
      <x:c r="B758" s="28"/>
      <x:c r="C758" s="28"/>
      <x:c r="D758" s="28"/>
      <x:c r="E758" s="28"/>
      <x:c r="F758" s="28"/>
      <x:c r="G758" s="28"/>
      <x:c r="H758" s="28"/>
      <x:c r="I758" s="56"/>
      <x:c r="J758" s="28"/>
      <x:c r="K758" s="28"/>
      <x:c r="L758" s="56"/>
      <x:c r="M758" s="28"/>
      <x:c r="N758" s="28"/>
      <x:c r="O758" s="28"/>
      <x:c r="P758" s="28"/>
      <x:c r="Q758" s="28"/>
      <x:c r="R758" s="28"/>
      <x:c r="S758" s="28"/>
      <x:c r="T758" s="28"/>
      <x:c r="U758" s="28"/>
      <x:c r="V758" s="28"/>
      <x:c r="W758" s="28"/>
      <x:c r="X758" s="28"/>
      <x:c r="Y758" s="28"/>
      <x:c r="Z758" s="28"/>
      <x:c r="AA758" s="28"/>
      <x:c r="AB758" s="56" t="str">
        <x:f>IF($A758="","",IF(Z758="Y",20,IF(Z758="Unknown",10,0))+$L758*5+IF(AA758="Y",15,IF(AA758="Unknown",5,0))+IF($J758="Public",10,IF($J758="Partner",7,IF($J758="Internal",3,0)))+IF($W758="Hard-coded",10,IF($W758="Unknown",7,IF($W758="Configurable",3,0)))+IF($I758&gt;=10,10,IF($I758&gt;=5,7,IF($I758&gt;=2,3,0)))+IF($K758="High",10,IF($K758="Medium",5,0)))</x:f>
      </x:c>
      <x:c r="AC758" s="28" t="str">
        <x:f>IF($A758="","",IF(AB758&gt;=70,"P0 - Immediate",IF(AB758&gt;=50,"P1 - High",IF(AB758&gt;=30,"P2 - Medium",IF(AB758&gt;=15,"P3 - Low","P4 - Monitor")))))</x:f>
      </x:c>
      <x:c r="AD758" s="28"/>
      <x:c r="AE758" s="28"/>
      <x:c r="AF758" s="28"/>
      <x:c r="AG758" s="58"/>
      <x:c r="AH758" s="28"/>
    </x:row>
    <x:row r="759">
      <x:c r="A759" s="28"/>
      <x:c r="B759" s="28"/>
      <x:c r="C759" s="28"/>
      <x:c r="D759" s="28"/>
      <x:c r="E759" s="28"/>
      <x:c r="F759" s="28"/>
      <x:c r="G759" s="28"/>
      <x:c r="H759" s="28"/>
      <x:c r="I759" s="56"/>
      <x:c r="J759" s="28"/>
      <x:c r="K759" s="28"/>
      <x:c r="L759" s="56"/>
      <x:c r="M759" s="28"/>
      <x:c r="N759" s="28"/>
      <x:c r="O759" s="28"/>
      <x:c r="P759" s="28"/>
      <x:c r="Q759" s="28"/>
      <x:c r="R759" s="28"/>
      <x:c r="S759" s="28"/>
      <x:c r="T759" s="28"/>
      <x:c r="U759" s="28"/>
      <x:c r="V759" s="28"/>
      <x:c r="W759" s="28"/>
      <x:c r="X759" s="28"/>
      <x:c r="Y759" s="28"/>
      <x:c r="Z759" s="28"/>
      <x:c r="AA759" s="28"/>
      <x:c r="AB759" s="56" t="str">
        <x:f>IF($A759="","",IF(Z759="Y",20,IF(Z759="Unknown",10,0))+$L759*5+IF(AA759="Y",15,IF(AA759="Unknown",5,0))+IF($J759="Public",10,IF($J759="Partner",7,IF($J759="Internal",3,0)))+IF($W759="Hard-coded",10,IF($W759="Unknown",7,IF($W759="Configurable",3,0)))+IF($I759&gt;=10,10,IF($I759&gt;=5,7,IF($I759&gt;=2,3,0)))+IF($K759="High",10,IF($K759="Medium",5,0)))</x:f>
      </x:c>
      <x:c r="AC759" s="28" t="str">
        <x:f>IF($A759="","",IF(AB759&gt;=70,"P0 - Immediate",IF(AB759&gt;=50,"P1 - High",IF(AB759&gt;=30,"P2 - Medium",IF(AB759&gt;=15,"P3 - Low","P4 - Monitor")))))</x:f>
      </x:c>
      <x:c r="AD759" s="28"/>
      <x:c r="AE759" s="28"/>
      <x:c r="AF759" s="28"/>
      <x:c r="AG759" s="58"/>
      <x:c r="AH759" s="28"/>
    </x:row>
    <x:row r="760">
      <x:c r="A760" s="28"/>
      <x:c r="B760" s="28"/>
      <x:c r="C760" s="28"/>
      <x:c r="D760" s="28"/>
      <x:c r="E760" s="28"/>
      <x:c r="F760" s="28"/>
      <x:c r="G760" s="28"/>
      <x:c r="H760" s="28"/>
      <x:c r="I760" s="56"/>
      <x:c r="J760" s="28"/>
      <x:c r="K760" s="28"/>
      <x:c r="L760" s="56"/>
      <x:c r="M760" s="28"/>
      <x:c r="N760" s="28"/>
      <x:c r="O760" s="28"/>
      <x:c r="P760" s="28"/>
      <x:c r="Q760" s="28"/>
      <x:c r="R760" s="28"/>
      <x:c r="S760" s="28"/>
      <x:c r="T760" s="28"/>
      <x:c r="U760" s="28"/>
      <x:c r="V760" s="28"/>
      <x:c r="W760" s="28"/>
      <x:c r="X760" s="28"/>
      <x:c r="Y760" s="28"/>
      <x:c r="Z760" s="28"/>
      <x:c r="AA760" s="28"/>
      <x:c r="AB760" s="56" t="str">
        <x:f>IF($A760="","",IF(Z760="Y",20,IF(Z760="Unknown",10,0))+$L760*5+IF(AA760="Y",15,IF(AA760="Unknown",5,0))+IF($J760="Public",10,IF($J760="Partner",7,IF($J760="Internal",3,0)))+IF($W760="Hard-coded",10,IF($W760="Unknown",7,IF($W760="Configurable",3,0)))+IF($I760&gt;=10,10,IF($I760&gt;=5,7,IF($I760&gt;=2,3,0)))+IF($K760="High",10,IF($K760="Medium",5,0)))</x:f>
      </x:c>
      <x:c r="AC760" s="28" t="str">
        <x:f>IF($A760="","",IF(AB760&gt;=70,"P0 - Immediate",IF(AB760&gt;=50,"P1 - High",IF(AB760&gt;=30,"P2 - Medium",IF(AB760&gt;=15,"P3 - Low","P4 - Monitor")))))</x:f>
      </x:c>
      <x:c r="AD760" s="28"/>
      <x:c r="AE760" s="28"/>
      <x:c r="AF760" s="28"/>
      <x:c r="AG760" s="58"/>
      <x:c r="AH760" s="28"/>
    </x:row>
    <x:row r="761">
      <x:c r="A761" s="28"/>
      <x:c r="B761" s="28"/>
      <x:c r="C761" s="28"/>
      <x:c r="D761" s="28"/>
      <x:c r="E761" s="28"/>
      <x:c r="F761" s="28"/>
      <x:c r="G761" s="28"/>
      <x:c r="H761" s="28"/>
      <x:c r="I761" s="56"/>
      <x:c r="J761" s="28"/>
      <x:c r="K761" s="28"/>
      <x:c r="L761" s="56"/>
      <x:c r="M761" s="28"/>
      <x:c r="N761" s="28"/>
      <x:c r="O761" s="28"/>
      <x:c r="P761" s="28"/>
      <x:c r="Q761" s="28"/>
      <x:c r="R761" s="28"/>
      <x:c r="S761" s="28"/>
      <x:c r="T761" s="28"/>
      <x:c r="U761" s="28"/>
      <x:c r="V761" s="28"/>
      <x:c r="W761" s="28"/>
      <x:c r="X761" s="28"/>
      <x:c r="Y761" s="28"/>
      <x:c r="Z761" s="28"/>
      <x:c r="AA761" s="28"/>
      <x:c r="AB761" s="56" t="str">
        <x:f>IF($A761="","",IF(Z761="Y",20,IF(Z761="Unknown",10,0))+$L761*5+IF(AA761="Y",15,IF(AA761="Unknown",5,0))+IF($J761="Public",10,IF($J761="Partner",7,IF($J761="Internal",3,0)))+IF($W761="Hard-coded",10,IF($W761="Unknown",7,IF($W761="Configurable",3,0)))+IF($I761&gt;=10,10,IF($I761&gt;=5,7,IF($I761&gt;=2,3,0)))+IF($K761="High",10,IF($K761="Medium",5,0)))</x:f>
      </x:c>
      <x:c r="AC761" s="28" t="str">
        <x:f>IF($A761="","",IF(AB761&gt;=70,"P0 - Immediate",IF(AB761&gt;=50,"P1 - High",IF(AB761&gt;=30,"P2 - Medium",IF(AB761&gt;=15,"P3 - Low","P4 - Monitor")))))</x:f>
      </x:c>
      <x:c r="AD761" s="28"/>
      <x:c r="AE761" s="28"/>
      <x:c r="AF761" s="28"/>
      <x:c r="AG761" s="58"/>
      <x:c r="AH761" s="28"/>
    </x:row>
    <x:row r="762">
      <x:c r="A762" s="28"/>
      <x:c r="B762" s="28"/>
      <x:c r="C762" s="28"/>
      <x:c r="D762" s="28"/>
      <x:c r="E762" s="28"/>
      <x:c r="F762" s="28"/>
      <x:c r="G762" s="28"/>
      <x:c r="H762" s="28"/>
      <x:c r="I762" s="56"/>
      <x:c r="J762" s="28"/>
      <x:c r="K762" s="28"/>
      <x:c r="L762" s="56"/>
      <x:c r="M762" s="28"/>
      <x:c r="N762" s="28"/>
      <x:c r="O762" s="28"/>
      <x:c r="P762" s="28"/>
      <x:c r="Q762" s="28"/>
      <x:c r="R762" s="28"/>
      <x:c r="S762" s="28"/>
      <x:c r="T762" s="28"/>
      <x:c r="U762" s="28"/>
      <x:c r="V762" s="28"/>
      <x:c r="W762" s="28"/>
      <x:c r="X762" s="28"/>
      <x:c r="Y762" s="28"/>
      <x:c r="Z762" s="28"/>
      <x:c r="AA762" s="28"/>
      <x:c r="AB762" s="56" t="str">
        <x:f>IF($A762="","",IF(Z762="Y",20,IF(Z762="Unknown",10,0))+$L762*5+IF(AA762="Y",15,IF(AA762="Unknown",5,0))+IF($J762="Public",10,IF($J762="Partner",7,IF($J762="Internal",3,0)))+IF($W762="Hard-coded",10,IF($W762="Unknown",7,IF($W762="Configurable",3,0)))+IF($I762&gt;=10,10,IF($I762&gt;=5,7,IF($I762&gt;=2,3,0)))+IF($K762="High",10,IF($K762="Medium",5,0)))</x:f>
      </x:c>
      <x:c r="AC762" s="28" t="str">
        <x:f>IF($A762="","",IF(AB762&gt;=70,"P0 - Immediate",IF(AB762&gt;=50,"P1 - High",IF(AB762&gt;=30,"P2 - Medium",IF(AB762&gt;=15,"P3 - Low","P4 - Monitor")))))</x:f>
      </x:c>
      <x:c r="AD762" s="28"/>
      <x:c r="AE762" s="28"/>
      <x:c r="AF762" s="28"/>
      <x:c r="AG762" s="58"/>
      <x:c r="AH762" s="28"/>
    </x:row>
    <x:row r="763">
      <x:c r="A763" s="28"/>
      <x:c r="B763" s="28"/>
      <x:c r="C763" s="28"/>
      <x:c r="D763" s="28"/>
      <x:c r="E763" s="28"/>
      <x:c r="F763" s="28"/>
      <x:c r="G763" s="28"/>
      <x:c r="H763" s="28"/>
      <x:c r="I763" s="56"/>
      <x:c r="J763" s="28"/>
      <x:c r="K763" s="28"/>
      <x:c r="L763" s="56"/>
      <x:c r="M763" s="28"/>
      <x:c r="N763" s="28"/>
      <x:c r="O763" s="28"/>
      <x:c r="P763" s="28"/>
      <x:c r="Q763" s="28"/>
      <x:c r="R763" s="28"/>
      <x:c r="S763" s="28"/>
      <x:c r="T763" s="28"/>
      <x:c r="U763" s="28"/>
      <x:c r="V763" s="28"/>
      <x:c r="W763" s="28"/>
      <x:c r="X763" s="28"/>
      <x:c r="Y763" s="28"/>
      <x:c r="Z763" s="28"/>
      <x:c r="AA763" s="28"/>
      <x:c r="AB763" s="56" t="str">
        <x:f>IF($A763="","",IF(Z763="Y",20,IF(Z763="Unknown",10,0))+$L763*5+IF(AA763="Y",15,IF(AA763="Unknown",5,0))+IF($J763="Public",10,IF($J763="Partner",7,IF($J763="Internal",3,0)))+IF($W763="Hard-coded",10,IF($W763="Unknown",7,IF($W763="Configurable",3,0)))+IF($I763&gt;=10,10,IF($I763&gt;=5,7,IF($I763&gt;=2,3,0)))+IF($K763="High",10,IF($K763="Medium",5,0)))</x:f>
      </x:c>
      <x:c r="AC763" s="28" t="str">
        <x:f>IF($A763="","",IF(AB763&gt;=70,"P0 - Immediate",IF(AB763&gt;=50,"P1 - High",IF(AB763&gt;=30,"P2 - Medium",IF(AB763&gt;=15,"P3 - Low","P4 - Monitor")))))</x:f>
      </x:c>
      <x:c r="AD763" s="28"/>
      <x:c r="AE763" s="28"/>
      <x:c r="AF763" s="28"/>
      <x:c r="AG763" s="58"/>
      <x:c r="AH763" s="28"/>
    </x:row>
    <x:row r="764">
      <x:c r="A764" s="28"/>
      <x:c r="B764" s="28"/>
      <x:c r="C764" s="28"/>
      <x:c r="D764" s="28"/>
      <x:c r="E764" s="28"/>
      <x:c r="F764" s="28"/>
      <x:c r="G764" s="28"/>
      <x:c r="H764" s="28"/>
      <x:c r="I764" s="56"/>
      <x:c r="J764" s="28"/>
      <x:c r="K764" s="28"/>
      <x:c r="L764" s="56"/>
      <x:c r="M764" s="28"/>
      <x:c r="N764" s="28"/>
      <x:c r="O764" s="28"/>
      <x:c r="P764" s="28"/>
      <x:c r="Q764" s="28"/>
      <x:c r="R764" s="28"/>
      <x:c r="S764" s="28"/>
      <x:c r="T764" s="28"/>
      <x:c r="U764" s="28"/>
      <x:c r="V764" s="28"/>
      <x:c r="W764" s="28"/>
      <x:c r="X764" s="28"/>
      <x:c r="Y764" s="28"/>
      <x:c r="Z764" s="28"/>
      <x:c r="AA764" s="28"/>
      <x:c r="AB764" s="56" t="str">
        <x:f>IF($A764="","",IF(Z764="Y",20,IF(Z764="Unknown",10,0))+$L764*5+IF(AA764="Y",15,IF(AA764="Unknown",5,0))+IF($J764="Public",10,IF($J764="Partner",7,IF($J764="Internal",3,0)))+IF($W764="Hard-coded",10,IF($W764="Unknown",7,IF($W764="Configurable",3,0)))+IF($I764&gt;=10,10,IF($I764&gt;=5,7,IF($I764&gt;=2,3,0)))+IF($K764="High",10,IF($K764="Medium",5,0)))</x:f>
      </x:c>
      <x:c r="AC764" s="28" t="str">
        <x:f>IF($A764="","",IF(AB764&gt;=70,"P0 - Immediate",IF(AB764&gt;=50,"P1 - High",IF(AB764&gt;=30,"P2 - Medium",IF(AB764&gt;=15,"P3 - Low","P4 - Monitor")))))</x:f>
      </x:c>
      <x:c r="AD764" s="28"/>
      <x:c r="AE764" s="28"/>
      <x:c r="AF764" s="28"/>
      <x:c r="AG764" s="58"/>
      <x:c r="AH764" s="28"/>
    </x:row>
    <x:row r="765">
      <x:c r="A765" s="28"/>
      <x:c r="B765" s="28"/>
      <x:c r="C765" s="28"/>
      <x:c r="D765" s="28"/>
      <x:c r="E765" s="28"/>
      <x:c r="F765" s="28"/>
      <x:c r="G765" s="28"/>
      <x:c r="H765" s="28"/>
      <x:c r="I765" s="56"/>
      <x:c r="J765" s="28"/>
      <x:c r="K765" s="28"/>
      <x:c r="L765" s="56"/>
      <x:c r="M765" s="28"/>
      <x:c r="N765" s="28"/>
      <x:c r="O765" s="28"/>
      <x:c r="P765" s="28"/>
      <x:c r="Q765" s="28"/>
      <x:c r="R765" s="28"/>
      <x:c r="S765" s="28"/>
      <x:c r="T765" s="28"/>
      <x:c r="U765" s="28"/>
      <x:c r="V765" s="28"/>
      <x:c r="W765" s="28"/>
      <x:c r="X765" s="28"/>
      <x:c r="Y765" s="28"/>
      <x:c r="Z765" s="28"/>
      <x:c r="AA765" s="28"/>
      <x:c r="AB765" s="56" t="str">
        <x:f>IF($A765="","",IF(Z765="Y",20,IF(Z765="Unknown",10,0))+$L765*5+IF(AA765="Y",15,IF(AA765="Unknown",5,0))+IF($J765="Public",10,IF($J765="Partner",7,IF($J765="Internal",3,0)))+IF($W765="Hard-coded",10,IF($W765="Unknown",7,IF($W765="Configurable",3,0)))+IF($I765&gt;=10,10,IF($I765&gt;=5,7,IF($I765&gt;=2,3,0)))+IF($K765="High",10,IF($K765="Medium",5,0)))</x:f>
      </x:c>
      <x:c r="AC765" s="28" t="str">
        <x:f>IF($A765="","",IF(AB765&gt;=70,"P0 - Immediate",IF(AB765&gt;=50,"P1 - High",IF(AB765&gt;=30,"P2 - Medium",IF(AB765&gt;=15,"P3 - Low","P4 - Monitor")))))</x:f>
      </x:c>
      <x:c r="AD765" s="28"/>
      <x:c r="AE765" s="28"/>
      <x:c r="AF765" s="28"/>
      <x:c r="AG765" s="58"/>
      <x:c r="AH765" s="28"/>
    </x:row>
    <x:row r="766">
      <x:c r="A766" s="28"/>
      <x:c r="B766" s="28"/>
      <x:c r="C766" s="28"/>
      <x:c r="D766" s="28"/>
      <x:c r="E766" s="28"/>
      <x:c r="F766" s="28"/>
      <x:c r="G766" s="28"/>
      <x:c r="H766" s="28"/>
      <x:c r="I766" s="56"/>
      <x:c r="J766" s="28"/>
      <x:c r="K766" s="28"/>
      <x:c r="L766" s="56"/>
      <x:c r="M766" s="28"/>
      <x:c r="N766" s="28"/>
      <x:c r="O766" s="28"/>
      <x:c r="P766" s="28"/>
      <x:c r="Q766" s="28"/>
      <x:c r="R766" s="28"/>
      <x:c r="S766" s="28"/>
      <x:c r="T766" s="28"/>
      <x:c r="U766" s="28"/>
      <x:c r="V766" s="28"/>
      <x:c r="W766" s="28"/>
      <x:c r="X766" s="28"/>
      <x:c r="Y766" s="28"/>
      <x:c r="Z766" s="28"/>
      <x:c r="AA766" s="28"/>
      <x:c r="AB766" s="56" t="str">
        <x:f>IF($A766="","",IF(Z766="Y",20,IF(Z766="Unknown",10,0))+$L766*5+IF(AA766="Y",15,IF(AA766="Unknown",5,0))+IF($J766="Public",10,IF($J766="Partner",7,IF($J766="Internal",3,0)))+IF($W766="Hard-coded",10,IF($W766="Unknown",7,IF($W766="Configurable",3,0)))+IF($I766&gt;=10,10,IF($I766&gt;=5,7,IF($I766&gt;=2,3,0)))+IF($K766="High",10,IF($K766="Medium",5,0)))</x:f>
      </x:c>
      <x:c r="AC766" s="28" t="str">
        <x:f>IF($A766="","",IF(AB766&gt;=70,"P0 - Immediate",IF(AB766&gt;=50,"P1 - High",IF(AB766&gt;=30,"P2 - Medium",IF(AB766&gt;=15,"P3 - Low","P4 - Monitor")))))</x:f>
      </x:c>
      <x:c r="AD766" s="28"/>
      <x:c r="AE766" s="28"/>
      <x:c r="AF766" s="28"/>
      <x:c r="AG766" s="58"/>
      <x:c r="AH766" s="28"/>
    </x:row>
    <x:row r="767">
      <x:c r="A767" s="28"/>
      <x:c r="B767" s="28"/>
      <x:c r="C767" s="28"/>
      <x:c r="D767" s="28"/>
      <x:c r="E767" s="28"/>
      <x:c r="F767" s="28"/>
      <x:c r="G767" s="28"/>
      <x:c r="H767" s="28"/>
      <x:c r="I767" s="56"/>
      <x:c r="J767" s="28"/>
      <x:c r="K767" s="28"/>
      <x:c r="L767" s="56"/>
      <x:c r="M767" s="28"/>
      <x:c r="N767" s="28"/>
      <x:c r="O767" s="28"/>
      <x:c r="P767" s="28"/>
      <x:c r="Q767" s="28"/>
      <x:c r="R767" s="28"/>
      <x:c r="S767" s="28"/>
      <x:c r="T767" s="28"/>
      <x:c r="U767" s="28"/>
      <x:c r="V767" s="28"/>
      <x:c r="W767" s="28"/>
      <x:c r="X767" s="28"/>
      <x:c r="Y767" s="28"/>
      <x:c r="Z767" s="28"/>
      <x:c r="AA767" s="28"/>
      <x:c r="AB767" s="56" t="str">
        <x:f>IF($A767="","",IF(Z767="Y",20,IF(Z767="Unknown",10,0))+$L767*5+IF(AA767="Y",15,IF(AA767="Unknown",5,0))+IF($J767="Public",10,IF($J767="Partner",7,IF($J767="Internal",3,0)))+IF($W767="Hard-coded",10,IF($W767="Unknown",7,IF($W767="Configurable",3,0)))+IF($I767&gt;=10,10,IF($I767&gt;=5,7,IF($I767&gt;=2,3,0)))+IF($K767="High",10,IF($K767="Medium",5,0)))</x:f>
      </x:c>
      <x:c r="AC767" s="28" t="str">
        <x:f>IF($A767="","",IF(AB767&gt;=70,"P0 - Immediate",IF(AB767&gt;=50,"P1 - High",IF(AB767&gt;=30,"P2 - Medium",IF(AB767&gt;=15,"P3 - Low","P4 - Monitor")))))</x:f>
      </x:c>
      <x:c r="AD767" s="28"/>
      <x:c r="AE767" s="28"/>
      <x:c r="AF767" s="28"/>
      <x:c r="AG767" s="58"/>
      <x:c r="AH767" s="28"/>
    </x:row>
    <x:row r="768">
      <x:c r="A768" s="28"/>
      <x:c r="B768" s="28"/>
      <x:c r="C768" s="28"/>
      <x:c r="D768" s="28"/>
      <x:c r="E768" s="28"/>
      <x:c r="F768" s="28"/>
      <x:c r="G768" s="28"/>
      <x:c r="H768" s="28"/>
      <x:c r="I768" s="56"/>
      <x:c r="J768" s="28"/>
      <x:c r="K768" s="28"/>
      <x:c r="L768" s="56"/>
      <x:c r="M768" s="28"/>
      <x:c r="N768" s="28"/>
      <x:c r="O768" s="28"/>
      <x:c r="P768" s="28"/>
      <x:c r="Q768" s="28"/>
      <x:c r="R768" s="28"/>
      <x:c r="S768" s="28"/>
      <x:c r="T768" s="28"/>
      <x:c r="U768" s="28"/>
      <x:c r="V768" s="28"/>
      <x:c r="W768" s="28"/>
      <x:c r="X768" s="28"/>
      <x:c r="Y768" s="28"/>
      <x:c r="Z768" s="28"/>
      <x:c r="AA768" s="28"/>
      <x:c r="AB768" s="56" t="str">
        <x:f>IF($A768="","",IF(Z768="Y",20,IF(Z768="Unknown",10,0))+$L768*5+IF(AA768="Y",15,IF(AA768="Unknown",5,0))+IF($J768="Public",10,IF($J768="Partner",7,IF($J768="Internal",3,0)))+IF($W768="Hard-coded",10,IF($W768="Unknown",7,IF($W768="Configurable",3,0)))+IF($I768&gt;=10,10,IF($I768&gt;=5,7,IF($I768&gt;=2,3,0)))+IF($K768="High",10,IF($K768="Medium",5,0)))</x:f>
      </x:c>
      <x:c r="AC768" s="28" t="str">
        <x:f>IF($A768="","",IF(AB768&gt;=70,"P0 - Immediate",IF(AB768&gt;=50,"P1 - High",IF(AB768&gt;=30,"P2 - Medium",IF(AB768&gt;=15,"P3 - Low","P4 - Monitor")))))</x:f>
      </x:c>
      <x:c r="AD768" s="28"/>
      <x:c r="AE768" s="28"/>
      <x:c r="AF768" s="28"/>
      <x:c r="AG768" s="58"/>
      <x:c r="AH768" s="28"/>
    </x:row>
    <x:row r="769">
      <x:c r="A769" s="28"/>
      <x:c r="B769" s="28"/>
      <x:c r="C769" s="28"/>
      <x:c r="D769" s="28"/>
      <x:c r="E769" s="28"/>
      <x:c r="F769" s="28"/>
      <x:c r="G769" s="28"/>
      <x:c r="H769" s="28"/>
      <x:c r="I769" s="56"/>
      <x:c r="J769" s="28"/>
      <x:c r="K769" s="28"/>
      <x:c r="L769" s="56"/>
      <x:c r="M769" s="28"/>
      <x:c r="N769" s="28"/>
      <x:c r="O769" s="28"/>
      <x:c r="P769" s="28"/>
      <x:c r="Q769" s="28"/>
      <x:c r="R769" s="28"/>
      <x:c r="S769" s="28"/>
      <x:c r="T769" s="28"/>
      <x:c r="U769" s="28"/>
      <x:c r="V769" s="28"/>
      <x:c r="W769" s="28"/>
      <x:c r="X769" s="28"/>
      <x:c r="Y769" s="28"/>
      <x:c r="Z769" s="28"/>
      <x:c r="AA769" s="28"/>
      <x:c r="AB769" s="56" t="str">
        <x:f>IF($A769="","",IF(Z769="Y",20,IF(Z769="Unknown",10,0))+$L769*5+IF(AA769="Y",15,IF(AA769="Unknown",5,0))+IF($J769="Public",10,IF($J769="Partner",7,IF($J769="Internal",3,0)))+IF($W769="Hard-coded",10,IF($W769="Unknown",7,IF($W769="Configurable",3,0)))+IF($I769&gt;=10,10,IF($I769&gt;=5,7,IF($I769&gt;=2,3,0)))+IF($K769="High",10,IF($K769="Medium",5,0)))</x:f>
      </x:c>
      <x:c r="AC769" s="28" t="str">
        <x:f>IF($A769="","",IF(AB769&gt;=70,"P0 - Immediate",IF(AB769&gt;=50,"P1 - High",IF(AB769&gt;=30,"P2 - Medium",IF(AB769&gt;=15,"P3 - Low","P4 - Monitor")))))</x:f>
      </x:c>
      <x:c r="AD769" s="28"/>
      <x:c r="AE769" s="28"/>
      <x:c r="AF769" s="28"/>
      <x:c r="AG769" s="58"/>
      <x:c r="AH769" s="28"/>
    </x:row>
    <x:row r="770">
      <x:c r="A770" s="28"/>
      <x:c r="B770" s="28"/>
      <x:c r="C770" s="28"/>
      <x:c r="D770" s="28"/>
      <x:c r="E770" s="28"/>
      <x:c r="F770" s="28"/>
      <x:c r="G770" s="28"/>
      <x:c r="H770" s="28"/>
      <x:c r="I770" s="56"/>
      <x:c r="J770" s="28"/>
      <x:c r="K770" s="28"/>
      <x:c r="L770" s="56"/>
      <x:c r="M770" s="28"/>
      <x:c r="N770" s="28"/>
      <x:c r="O770" s="28"/>
      <x:c r="P770" s="28"/>
      <x:c r="Q770" s="28"/>
      <x:c r="R770" s="28"/>
      <x:c r="S770" s="28"/>
      <x:c r="T770" s="28"/>
      <x:c r="U770" s="28"/>
      <x:c r="V770" s="28"/>
      <x:c r="W770" s="28"/>
      <x:c r="X770" s="28"/>
      <x:c r="Y770" s="28"/>
      <x:c r="Z770" s="28"/>
      <x:c r="AA770" s="28"/>
      <x:c r="AB770" s="56" t="str">
        <x:f>IF($A770="","",IF(Z770="Y",20,IF(Z770="Unknown",10,0))+$L770*5+IF(AA770="Y",15,IF(AA770="Unknown",5,0))+IF($J770="Public",10,IF($J770="Partner",7,IF($J770="Internal",3,0)))+IF($W770="Hard-coded",10,IF($W770="Unknown",7,IF($W770="Configurable",3,0)))+IF($I770&gt;=10,10,IF($I770&gt;=5,7,IF($I770&gt;=2,3,0)))+IF($K770="High",10,IF($K770="Medium",5,0)))</x:f>
      </x:c>
      <x:c r="AC770" s="28" t="str">
        <x:f>IF($A770="","",IF(AB770&gt;=70,"P0 - Immediate",IF(AB770&gt;=50,"P1 - High",IF(AB770&gt;=30,"P2 - Medium",IF(AB770&gt;=15,"P3 - Low","P4 - Monitor")))))</x:f>
      </x:c>
      <x:c r="AD770" s="28"/>
      <x:c r="AE770" s="28"/>
      <x:c r="AF770" s="28"/>
      <x:c r="AG770" s="58"/>
      <x:c r="AH770" s="28"/>
    </x:row>
    <x:row r="771">
      <x:c r="A771" s="28"/>
      <x:c r="B771" s="28"/>
      <x:c r="C771" s="28"/>
      <x:c r="D771" s="28"/>
      <x:c r="E771" s="28"/>
      <x:c r="F771" s="28"/>
      <x:c r="G771" s="28"/>
      <x:c r="H771" s="28"/>
      <x:c r="I771" s="56"/>
      <x:c r="J771" s="28"/>
      <x:c r="K771" s="28"/>
      <x:c r="L771" s="56"/>
      <x:c r="M771" s="28"/>
      <x:c r="N771" s="28"/>
      <x:c r="O771" s="28"/>
      <x:c r="P771" s="28"/>
      <x:c r="Q771" s="28"/>
      <x:c r="R771" s="28"/>
      <x:c r="S771" s="28"/>
      <x:c r="T771" s="28"/>
      <x:c r="U771" s="28"/>
      <x:c r="V771" s="28"/>
      <x:c r="W771" s="28"/>
      <x:c r="X771" s="28"/>
      <x:c r="Y771" s="28"/>
      <x:c r="Z771" s="28"/>
      <x:c r="AA771" s="28"/>
      <x:c r="AB771" s="56" t="str">
        <x:f>IF($A771="","",IF(Z771="Y",20,IF(Z771="Unknown",10,0))+$L771*5+IF(AA771="Y",15,IF(AA771="Unknown",5,0))+IF($J771="Public",10,IF($J771="Partner",7,IF($J771="Internal",3,0)))+IF($W771="Hard-coded",10,IF($W771="Unknown",7,IF($W771="Configurable",3,0)))+IF($I771&gt;=10,10,IF($I771&gt;=5,7,IF($I771&gt;=2,3,0)))+IF($K771="High",10,IF($K771="Medium",5,0)))</x:f>
      </x:c>
      <x:c r="AC771" s="28" t="str">
        <x:f>IF($A771="","",IF(AB771&gt;=70,"P0 - Immediate",IF(AB771&gt;=50,"P1 - High",IF(AB771&gt;=30,"P2 - Medium",IF(AB771&gt;=15,"P3 - Low","P4 - Monitor")))))</x:f>
      </x:c>
      <x:c r="AD771" s="28"/>
      <x:c r="AE771" s="28"/>
      <x:c r="AF771" s="28"/>
      <x:c r="AG771" s="58"/>
      <x:c r="AH771" s="28"/>
    </x:row>
    <x:row r="772">
      <x:c r="A772" s="28"/>
      <x:c r="B772" s="28"/>
      <x:c r="C772" s="28"/>
      <x:c r="D772" s="28"/>
      <x:c r="E772" s="28"/>
      <x:c r="F772" s="28"/>
      <x:c r="G772" s="28"/>
      <x:c r="H772" s="28"/>
      <x:c r="I772" s="56"/>
      <x:c r="J772" s="28"/>
      <x:c r="K772" s="28"/>
      <x:c r="L772" s="56"/>
      <x:c r="M772" s="28"/>
      <x:c r="N772" s="28"/>
      <x:c r="O772" s="28"/>
      <x:c r="P772" s="28"/>
      <x:c r="Q772" s="28"/>
      <x:c r="R772" s="28"/>
      <x:c r="S772" s="28"/>
      <x:c r="T772" s="28"/>
      <x:c r="U772" s="28"/>
      <x:c r="V772" s="28"/>
      <x:c r="W772" s="28"/>
      <x:c r="X772" s="28"/>
      <x:c r="Y772" s="28"/>
      <x:c r="Z772" s="28"/>
      <x:c r="AA772" s="28"/>
      <x:c r="AB772" s="56" t="str">
        <x:f>IF($A772="","",IF(Z772="Y",20,IF(Z772="Unknown",10,0))+$L772*5+IF(AA772="Y",15,IF(AA772="Unknown",5,0))+IF($J772="Public",10,IF($J772="Partner",7,IF($J772="Internal",3,0)))+IF($W772="Hard-coded",10,IF($W772="Unknown",7,IF($W772="Configurable",3,0)))+IF($I772&gt;=10,10,IF($I772&gt;=5,7,IF($I772&gt;=2,3,0)))+IF($K772="High",10,IF($K772="Medium",5,0)))</x:f>
      </x:c>
      <x:c r="AC772" s="28" t="str">
        <x:f>IF($A772="","",IF(AB772&gt;=70,"P0 - Immediate",IF(AB772&gt;=50,"P1 - High",IF(AB772&gt;=30,"P2 - Medium",IF(AB772&gt;=15,"P3 - Low","P4 - Monitor")))))</x:f>
      </x:c>
      <x:c r="AD772" s="28"/>
      <x:c r="AE772" s="28"/>
      <x:c r="AF772" s="28"/>
      <x:c r="AG772" s="58"/>
      <x:c r="AH772" s="28"/>
    </x:row>
    <x:row r="773">
      <x:c r="A773" s="28"/>
      <x:c r="B773" s="28"/>
      <x:c r="C773" s="28"/>
      <x:c r="D773" s="28"/>
      <x:c r="E773" s="28"/>
      <x:c r="F773" s="28"/>
      <x:c r="G773" s="28"/>
      <x:c r="H773" s="28"/>
      <x:c r="I773" s="56"/>
      <x:c r="J773" s="28"/>
      <x:c r="K773" s="28"/>
      <x:c r="L773" s="56"/>
      <x:c r="M773" s="28"/>
      <x:c r="N773" s="28"/>
      <x:c r="O773" s="28"/>
      <x:c r="P773" s="28"/>
      <x:c r="Q773" s="28"/>
      <x:c r="R773" s="28"/>
      <x:c r="S773" s="28"/>
      <x:c r="T773" s="28"/>
      <x:c r="U773" s="28"/>
      <x:c r="V773" s="28"/>
      <x:c r="W773" s="28"/>
      <x:c r="X773" s="28"/>
      <x:c r="Y773" s="28"/>
      <x:c r="Z773" s="28"/>
      <x:c r="AA773" s="28"/>
      <x:c r="AB773" s="56" t="str">
        <x:f>IF($A773="","",IF(Z773="Y",20,IF(Z773="Unknown",10,0))+$L773*5+IF(AA773="Y",15,IF(AA773="Unknown",5,0))+IF($J773="Public",10,IF($J773="Partner",7,IF($J773="Internal",3,0)))+IF($W773="Hard-coded",10,IF($W773="Unknown",7,IF($W773="Configurable",3,0)))+IF($I773&gt;=10,10,IF($I773&gt;=5,7,IF($I773&gt;=2,3,0)))+IF($K773="High",10,IF($K773="Medium",5,0)))</x:f>
      </x:c>
      <x:c r="AC773" s="28" t="str">
        <x:f>IF($A773="","",IF(AB773&gt;=70,"P0 - Immediate",IF(AB773&gt;=50,"P1 - High",IF(AB773&gt;=30,"P2 - Medium",IF(AB773&gt;=15,"P3 - Low","P4 - Monitor")))))</x:f>
      </x:c>
      <x:c r="AD773" s="28"/>
      <x:c r="AE773" s="28"/>
      <x:c r="AF773" s="28"/>
      <x:c r="AG773" s="58"/>
      <x:c r="AH773" s="28"/>
    </x:row>
    <x:row r="774">
      <x:c r="A774" s="28"/>
      <x:c r="B774" s="28"/>
      <x:c r="C774" s="28"/>
      <x:c r="D774" s="28"/>
      <x:c r="E774" s="28"/>
      <x:c r="F774" s="28"/>
      <x:c r="G774" s="28"/>
      <x:c r="H774" s="28"/>
      <x:c r="I774" s="56"/>
      <x:c r="J774" s="28"/>
      <x:c r="K774" s="28"/>
      <x:c r="L774" s="56"/>
      <x:c r="M774" s="28"/>
      <x:c r="N774" s="28"/>
      <x:c r="O774" s="28"/>
      <x:c r="P774" s="28"/>
      <x:c r="Q774" s="28"/>
      <x:c r="R774" s="28"/>
      <x:c r="S774" s="28"/>
      <x:c r="T774" s="28"/>
      <x:c r="U774" s="28"/>
      <x:c r="V774" s="28"/>
      <x:c r="W774" s="28"/>
      <x:c r="X774" s="28"/>
      <x:c r="Y774" s="28"/>
      <x:c r="Z774" s="28"/>
      <x:c r="AA774" s="28"/>
      <x:c r="AB774" s="56" t="str">
        <x:f>IF($A774="","",IF(Z774="Y",20,IF(Z774="Unknown",10,0))+$L774*5+IF(AA774="Y",15,IF(AA774="Unknown",5,0))+IF($J774="Public",10,IF($J774="Partner",7,IF($J774="Internal",3,0)))+IF($W774="Hard-coded",10,IF($W774="Unknown",7,IF($W774="Configurable",3,0)))+IF($I774&gt;=10,10,IF($I774&gt;=5,7,IF($I774&gt;=2,3,0)))+IF($K774="High",10,IF($K774="Medium",5,0)))</x:f>
      </x:c>
      <x:c r="AC774" s="28" t="str">
        <x:f>IF($A774="","",IF(AB774&gt;=70,"P0 - Immediate",IF(AB774&gt;=50,"P1 - High",IF(AB774&gt;=30,"P2 - Medium",IF(AB774&gt;=15,"P3 - Low","P4 - Monitor")))))</x:f>
      </x:c>
      <x:c r="AD774" s="28"/>
      <x:c r="AE774" s="28"/>
      <x:c r="AF774" s="28"/>
      <x:c r="AG774" s="58"/>
      <x:c r="AH774" s="28"/>
    </x:row>
    <x:row r="775">
      <x:c r="A775" s="28"/>
      <x:c r="B775" s="28"/>
      <x:c r="C775" s="28"/>
      <x:c r="D775" s="28"/>
      <x:c r="E775" s="28"/>
      <x:c r="F775" s="28"/>
      <x:c r="G775" s="28"/>
      <x:c r="H775" s="28"/>
      <x:c r="I775" s="56"/>
      <x:c r="J775" s="28"/>
      <x:c r="K775" s="28"/>
      <x:c r="L775" s="56"/>
      <x:c r="M775" s="28"/>
      <x:c r="N775" s="28"/>
      <x:c r="O775" s="28"/>
      <x:c r="P775" s="28"/>
      <x:c r="Q775" s="28"/>
      <x:c r="R775" s="28"/>
      <x:c r="S775" s="28"/>
      <x:c r="T775" s="28"/>
      <x:c r="U775" s="28"/>
      <x:c r="V775" s="28"/>
      <x:c r="W775" s="28"/>
      <x:c r="X775" s="28"/>
      <x:c r="Y775" s="28"/>
      <x:c r="Z775" s="28"/>
      <x:c r="AA775" s="28"/>
      <x:c r="AB775" s="56" t="str">
        <x:f>IF($A775="","",IF(Z775="Y",20,IF(Z775="Unknown",10,0))+$L775*5+IF(AA775="Y",15,IF(AA775="Unknown",5,0))+IF($J775="Public",10,IF($J775="Partner",7,IF($J775="Internal",3,0)))+IF($W775="Hard-coded",10,IF($W775="Unknown",7,IF($W775="Configurable",3,0)))+IF($I775&gt;=10,10,IF($I775&gt;=5,7,IF($I775&gt;=2,3,0)))+IF($K775="High",10,IF($K775="Medium",5,0)))</x:f>
      </x:c>
      <x:c r="AC775" s="28" t="str">
        <x:f>IF($A775="","",IF(AB775&gt;=70,"P0 - Immediate",IF(AB775&gt;=50,"P1 - High",IF(AB775&gt;=30,"P2 - Medium",IF(AB775&gt;=15,"P3 - Low","P4 - Monitor")))))</x:f>
      </x:c>
      <x:c r="AD775" s="28"/>
      <x:c r="AE775" s="28"/>
      <x:c r="AF775" s="28"/>
      <x:c r="AG775" s="58"/>
      <x:c r="AH775" s="28"/>
    </x:row>
    <x:row r="776">
      <x:c r="A776" s="28"/>
      <x:c r="B776" s="28"/>
      <x:c r="C776" s="28"/>
      <x:c r="D776" s="28"/>
      <x:c r="E776" s="28"/>
      <x:c r="F776" s="28"/>
      <x:c r="G776" s="28"/>
      <x:c r="H776" s="28"/>
      <x:c r="I776" s="56"/>
      <x:c r="J776" s="28"/>
      <x:c r="K776" s="28"/>
      <x:c r="L776" s="56"/>
      <x:c r="M776" s="28"/>
      <x:c r="N776" s="28"/>
      <x:c r="O776" s="28"/>
      <x:c r="P776" s="28"/>
      <x:c r="Q776" s="28"/>
      <x:c r="R776" s="28"/>
      <x:c r="S776" s="28"/>
      <x:c r="T776" s="28"/>
      <x:c r="U776" s="28"/>
      <x:c r="V776" s="28"/>
      <x:c r="W776" s="28"/>
      <x:c r="X776" s="28"/>
      <x:c r="Y776" s="28"/>
      <x:c r="Z776" s="28"/>
      <x:c r="AA776" s="28"/>
      <x:c r="AB776" s="56" t="str">
        <x:f>IF($A776="","",IF(Z776="Y",20,IF(Z776="Unknown",10,0))+$L776*5+IF(AA776="Y",15,IF(AA776="Unknown",5,0))+IF($J776="Public",10,IF($J776="Partner",7,IF($J776="Internal",3,0)))+IF($W776="Hard-coded",10,IF($W776="Unknown",7,IF($W776="Configurable",3,0)))+IF($I776&gt;=10,10,IF($I776&gt;=5,7,IF($I776&gt;=2,3,0)))+IF($K776="High",10,IF($K776="Medium",5,0)))</x:f>
      </x:c>
      <x:c r="AC776" s="28" t="str">
        <x:f>IF($A776="","",IF(AB776&gt;=70,"P0 - Immediate",IF(AB776&gt;=50,"P1 - High",IF(AB776&gt;=30,"P2 - Medium",IF(AB776&gt;=15,"P3 - Low","P4 - Monitor")))))</x:f>
      </x:c>
      <x:c r="AD776" s="28"/>
      <x:c r="AE776" s="28"/>
      <x:c r="AF776" s="28"/>
      <x:c r="AG776" s="58"/>
      <x:c r="AH776" s="28"/>
    </x:row>
    <x:row r="777">
      <x:c r="A777" s="28"/>
      <x:c r="B777" s="28"/>
      <x:c r="C777" s="28"/>
      <x:c r="D777" s="28"/>
      <x:c r="E777" s="28"/>
      <x:c r="F777" s="28"/>
      <x:c r="G777" s="28"/>
      <x:c r="H777" s="28"/>
      <x:c r="I777" s="56"/>
      <x:c r="J777" s="28"/>
      <x:c r="K777" s="28"/>
      <x:c r="L777" s="56"/>
      <x:c r="M777" s="28"/>
      <x:c r="N777" s="28"/>
      <x:c r="O777" s="28"/>
      <x:c r="P777" s="28"/>
      <x:c r="Q777" s="28"/>
      <x:c r="R777" s="28"/>
      <x:c r="S777" s="28"/>
      <x:c r="T777" s="28"/>
      <x:c r="U777" s="28"/>
      <x:c r="V777" s="28"/>
      <x:c r="W777" s="28"/>
      <x:c r="X777" s="28"/>
      <x:c r="Y777" s="28"/>
      <x:c r="Z777" s="28"/>
      <x:c r="AA777" s="28"/>
      <x:c r="AB777" s="56" t="str">
        <x:f>IF($A777="","",IF(Z777="Y",20,IF(Z777="Unknown",10,0))+$L777*5+IF(AA777="Y",15,IF(AA777="Unknown",5,0))+IF($J777="Public",10,IF($J777="Partner",7,IF($J777="Internal",3,0)))+IF($W777="Hard-coded",10,IF($W777="Unknown",7,IF($W777="Configurable",3,0)))+IF($I777&gt;=10,10,IF($I777&gt;=5,7,IF($I777&gt;=2,3,0)))+IF($K777="High",10,IF($K777="Medium",5,0)))</x:f>
      </x:c>
      <x:c r="AC777" s="28" t="str">
        <x:f>IF($A777="","",IF(AB777&gt;=70,"P0 - Immediate",IF(AB777&gt;=50,"P1 - High",IF(AB777&gt;=30,"P2 - Medium",IF(AB777&gt;=15,"P3 - Low","P4 - Monitor")))))</x:f>
      </x:c>
      <x:c r="AD777" s="28"/>
      <x:c r="AE777" s="28"/>
      <x:c r="AF777" s="28"/>
      <x:c r="AG777" s="58"/>
      <x:c r="AH777" s="28"/>
    </x:row>
    <x:row r="778">
      <x:c r="A778" s="28"/>
      <x:c r="B778" s="28"/>
      <x:c r="C778" s="28"/>
      <x:c r="D778" s="28"/>
      <x:c r="E778" s="28"/>
      <x:c r="F778" s="28"/>
      <x:c r="G778" s="28"/>
      <x:c r="H778" s="28"/>
      <x:c r="I778" s="56"/>
      <x:c r="J778" s="28"/>
      <x:c r="K778" s="28"/>
      <x:c r="L778" s="56"/>
      <x:c r="M778" s="28"/>
      <x:c r="N778" s="28"/>
      <x:c r="O778" s="28"/>
      <x:c r="P778" s="28"/>
      <x:c r="Q778" s="28"/>
      <x:c r="R778" s="28"/>
      <x:c r="S778" s="28"/>
      <x:c r="T778" s="28"/>
      <x:c r="U778" s="28"/>
      <x:c r="V778" s="28"/>
      <x:c r="W778" s="28"/>
      <x:c r="X778" s="28"/>
      <x:c r="Y778" s="28"/>
      <x:c r="Z778" s="28"/>
      <x:c r="AA778" s="28"/>
      <x:c r="AB778" s="56" t="str">
        <x:f>IF($A778="","",IF(Z778="Y",20,IF(Z778="Unknown",10,0))+$L778*5+IF(AA778="Y",15,IF(AA778="Unknown",5,0))+IF($J778="Public",10,IF($J778="Partner",7,IF($J778="Internal",3,0)))+IF($W778="Hard-coded",10,IF($W778="Unknown",7,IF($W778="Configurable",3,0)))+IF($I778&gt;=10,10,IF($I778&gt;=5,7,IF($I778&gt;=2,3,0)))+IF($K778="High",10,IF($K778="Medium",5,0)))</x:f>
      </x:c>
      <x:c r="AC778" s="28" t="str">
        <x:f>IF($A778="","",IF(AB778&gt;=70,"P0 - Immediate",IF(AB778&gt;=50,"P1 - High",IF(AB778&gt;=30,"P2 - Medium",IF(AB778&gt;=15,"P3 - Low","P4 - Monitor")))))</x:f>
      </x:c>
      <x:c r="AD778" s="28"/>
      <x:c r="AE778" s="28"/>
      <x:c r="AF778" s="28"/>
      <x:c r="AG778" s="58"/>
      <x:c r="AH778" s="28"/>
    </x:row>
    <x:row r="779">
      <x:c r="A779" s="28"/>
      <x:c r="B779" s="28"/>
      <x:c r="C779" s="28"/>
      <x:c r="D779" s="28"/>
      <x:c r="E779" s="28"/>
      <x:c r="F779" s="28"/>
      <x:c r="G779" s="28"/>
      <x:c r="H779" s="28"/>
      <x:c r="I779" s="56"/>
      <x:c r="J779" s="28"/>
      <x:c r="K779" s="28"/>
      <x:c r="L779" s="56"/>
      <x:c r="M779" s="28"/>
      <x:c r="N779" s="28"/>
      <x:c r="O779" s="28"/>
      <x:c r="P779" s="28"/>
      <x:c r="Q779" s="28"/>
      <x:c r="R779" s="28"/>
      <x:c r="S779" s="28"/>
      <x:c r="T779" s="28"/>
      <x:c r="U779" s="28"/>
      <x:c r="V779" s="28"/>
      <x:c r="W779" s="28"/>
      <x:c r="X779" s="28"/>
      <x:c r="Y779" s="28"/>
      <x:c r="Z779" s="28"/>
      <x:c r="AA779" s="28"/>
      <x:c r="AB779" s="56" t="str">
        <x:f>IF($A779="","",IF(Z779="Y",20,IF(Z779="Unknown",10,0))+$L779*5+IF(AA779="Y",15,IF(AA779="Unknown",5,0))+IF($J779="Public",10,IF($J779="Partner",7,IF($J779="Internal",3,0)))+IF($W779="Hard-coded",10,IF($W779="Unknown",7,IF($W779="Configurable",3,0)))+IF($I779&gt;=10,10,IF($I779&gt;=5,7,IF($I779&gt;=2,3,0)))+IF($K779="High",10,IF($K779="Medium",5,0)))</x:f>
      </x:c>
      <x:c r="AC779" s="28" t="str">
        <x:f>IF($A779="","",IF(AB779&gt;=70,"P0 - Immediate",IF(AB779&gt;=50,"P1 - High",IF(AB779&gt;=30,"P2 - Medium",IF(AB779&gt;=15,"P3 - Low","P4 - Monitor")))))</x:f>
      </x:c>
      <x:c r="AD779" s="28"/>
      <x:c r="AE779" s="28"/>
      <x:c r="AF779" s="28"/>
      <x:c r="AG779" s="58"/>
      <x:c r="AH779" s="28"/>
    </x:row>
    <x:row r="780">
      <x:c r="A780" s="28"/>
      <x:c r="B780" s="28"/>
      <x:c r="C780" s="28"/>
      <x:c r="D780" s="28"/>
      <x:c r="E780" s="28"/>
      <x:c r="F780" s="28"/>
      <x:c r="G780" s="28"/>
      <x:c r="H780" s="28"/>
      <x:c r="I780" s="56"/>
      <x:c r="J780" s="28"/>
      <x:c r="K780" s="28"/>
      <x:c r="L780" s="56"/>
      <x:c r="M780" s="28"/>
      <x:c r="N780" s="28"/>
      <x:c r="O780" s="28"/>
      <x:c r="P780" s="28"/>
      <x:c r="Q780" s="28"/>
      <x:c r="R780" s="28"/>
      <x:c r="S780" s="28"/>
      <x:c r="T780" s="28"/>
      <x:c r="U780" s="28"/>
      <x:c r="V780" s="28"/>
      <x:c r="W780" s="28"/>
      <x:c r="X780" s="28"/>
      <x:c r="Y780" s="28"/>
      <x:c r="Z780" s="28"/>
      <x:c r="AA780" s="28"/>
      <x:c r="AB780" s="56" t="str">
        <x:f>IF($A780="","",IF(Z780="Y",20,IF(Z780="Unknown",10,0))+$L780*5+IF(AA780="Y",15,IF(AA780="Unknown",5,0))+IF($J780="Public",10,IF($J780="Partner",7,IF($J780="Internal",3,0)))+IF($W780="Hard-coded",10,IF($W780="Unknown",7,IF($W780="Configurable",3,0)))+IF($I780&gt;=10,10,IF($I780&gt;=5,7,IF($I780&gt;=2,3,0)))+IF($K780="High",10,IF($K780="Medium",5,0)))</x:f>
      </x:c>
      <x:c r="AC780" s="28" t="str">
        <x:f>IF($A780="","",IF(AB780&gt;=70,"P0 - Immediate",IF(AB780&gt;=50,"P1 - High",IF(AB780&gt;=30,"P2 - Medium",IF(AB780&gt;=15,"P3 - Low","P4 - Monitor")))))</x:f>
      </x:c>
      <x:c r="AD780" s="28"/>
      <x:c r="AE780" s="28"/>
      <x:c r="AF780" s="28"/>
      <x:c r="AG780" s="58"/>
      <x:c r="AH780" s="28"/>
    </x:row>
    <x:row r="781">
      <x:c r="A781" s="28"/>
      <x:c r="B781" s="28"/>
      <x:c r="C781" s="28"/>
      <x:c r="D781" s="28"/>
      <x:c r="E781" s="28"/>
      <x:c r="F781" s="28"/>
      <x:c r="G781" s="28"/>
      <x:c r="H781" s="28"/>
      <x:c r="I781" s="56"/>
      <x:c r="J781" s="28"/>
      <x:c r="K781" s="28"/>
      <x:c r="L781" s="56"/>
      <x:c r="M781" s="28"/>
      <x:c r="N781" s="28"/>
      <x:c r="O781" s="28"/>
      <x:c r="P781" s="28"/>
      <x:c r="Q781" s="28"/>
      <x:c r="R781" s="28"/>
      <x:c r="S781" s="28"/>
      <x:c r="T781" s="28"/>
      <x:c r="U781" s="28"/>
      <x:c r="V781" s="28"/>
      <x:c r="W781" s="28"/>
      <x:c r="X781" s="28"/>
      <x:c r="Y781" s="28"/>
      <x:c r="Z781" s="28"/>
      <x:c r="AA781" s="28"/>
      <x:c r="AB781" s="56" t="str">
        <x:f>IF($A781="","",IF(Z781="Y",20,IF(Z781="Unknown",10,0))+$L781*5+IF(AA781="Y",15,IF(AA781="Unknown",5,0))+IF($J781="Public",10,IF($J781="Partner",7,IF($J781="Internal",3,0)))+IF($W781="Hard-coded",10,IF($W781="Unknown",7,IF($W781="Configurable",3,0)))+IF($I781&gt;=10,10,IF($I781&gt;=5,7,IF($I781&gt;=2,3,0)))+IF($K781="High",10,IF($K781="Medium",5,0)))</x:f>
      </x:c>
      <x:c r="AC781" s="28" t="str">
        <x:f>IF($A781="","",IF(AB781&gt;=70,"P0 - Immediate",IF(AB781&gt;=50,"P1 - High",IF(AB781&gt;=30,"P2 - Medium",IF(AB781&gt;=15,"P3 - Low","P4 - Monitor")))))</x:f>
      </x:c>
      <x:c r="AD781" s="28"/>
      <x:c r="AE781" s="28"/>
      <x:c r="AF781" s="28"/>
      <x:c r="AG781" s="58"/>
      <x:c r="AH781" s="28"/>
    </x:row>
    <x:row r="782">
      <x:c r="A782" s="28"/>
      <x:c r="B782" s="28"/>
      <x:c r="C782" s="28"/>
      <x:c r="D782" s="28"/>
      <x:c r="E782" s="28"/>
      <x:c r="F782" s="28"/>
      <x:c r="G782" s="28"/>
      <x:c r="H782" s="28"/>
      <x:c r="I782" s="56"/>
      <x:c r="J782" s="28"/>
      <x:c r="K782" s="28"/>
      <x:c r="L782" s="56"/>
      <x:c r="M782" s="28"/>
      <x:c r="N782" s="28"/>
      <x:c r="O782" s="28"/>
      <x:c r="P782" s="28"/>
      <x:c r="Q782" s="28"/>
      <x:c r="R782" s="28"/>
      <x:c r="S782" s="28"/>
      <x:c r="T782" s="28"/>
      <x:c r="U782" s="28"/>
      <x:c r="V782" s="28"/>
      <x:c r="W782" s="28"/>
      <x:c r="X782" s="28"/>
      <x:c r="Y782" s="28"/>
      <x:c r="Z782" s="28"/>
      <x:c r="AA782" s="28"/>
      <x:c r="AB782" s="56" t="str">
        <x:f>IF($A782="","",IF(Z782="Y",20,IF(Z782="Unknown",10,0))+$L782*5+IF(AA782="Y",15,IF(AA782="Unknown",5,0))+IF($J782="Public",10,IF($J782="Partner",7,IF($J782="Internal",3,0)))+IF($W782="Hard-coded",10,IF($W782="Unknown",7,IF($W782="Configurable",3,0)))+IF($I782&gt;=10,10,IF($I782&gt;=5,7,IF($I782&gt;=2,3,0)))+IF($K782="High",10,IF($K782="Medium",5,0)))</x:f>
      </x:c>
      <x:c r="AC782" s="28" t="str">
        <x:f>IF($A782="","",IF(AB782&gt;=70,"P0 - Immediate",IF(AB782&gt;=50,"P1 - High",IF(AB782&gt;=30,"P2 - Medium",IF(AB782&gt;=15,"P3 - Low","P4 - Monitor")))))</x:f>
      </x:c>
      <x:c r="AD782" s="28"/>
      <x:c r="AE782" s="28"/>
      <x:c r="AF782" s="28"/>
      <x:c r="AG782" s="58"/>
      <x:c r="AH782" s="28"/>
    </x:row>
    <x:row r="783">
      <x:c r="A783" s="28"/>
      <x:c r="B783" s="28"/>
      <x:c r="C783" s="28"/>
      <x:c r="D783" s="28"/>
      <x:c r="E783" s="28"/>
      <x:c r="F783" s="28"/>
      <x:c r="G783" s="28"/>
      <x:c r="H783" s="28"/>
      <x:c r="I783" s="56"/>
      <x:c r="J783" s="28"/>
      <x:c r="K783" s="28"/>
      <x:c r="L783" s="56"/>
      <x:c r="M783" s="28"/>
      <x:c r="N783" s="28"/>
      <x:c r="O783" s="28"/>
      <x:c r="P783" s="28"/>
      <x:c r="Q783" s="28"/>
      <x:c r="R783" s="28"/>
      <x:c r="S783" s="28"/>
      <x:c r="T783" s="28"/>
      <x:c r="U783" s="28"/>
      <x:c r="V783" s="28"/>
      <x:c r="W783" s="28"/>
      <x:c r="X783" s="28"/>
      <x:c r="Y783" s="28"/>
      <x:c r="Z783" s="28"/>
      <x:c r="AA783" s="28"/>
      <x:c r="AB783" s="56" t="str">
        <x:f>IF($A783="","",IF(Z783="Y",20,IF(Z783="Unknown",10,0))+$L783*5+IF(AA783="Y",15,IF(AA783="Unknown",5,0))+IF($J783="Public",10,IF($J783="Partner",7,IF($J783="Internal",3,0)))+IF($W783="Hard-coded",10,IF($W783="Unknown",7,IF($W783="Configurable",3,0)))+IF($I783&gt;=10,10,IF($I783&gt;=5,7,IF($I783&gt;=2,3,0)))+IF($K783="High",10,IF($K783="Medium",5,0)))</x:f>
      </x:c>
      <x:c r="AC783" s="28" t="str">
        <x:f>IF($A783="","",IF(AB783&gt;=70,"P0 - Immediate",IF(AB783&gt;=50,"P1 - High",IF(AB783&gt;=30,"P2 - Medium",IF(AB783&gt;=15,"P3 - Low","P4 - Monitor")))))</x:f>
      </x:c>
      <x:c r="AD783" s="28"/>
      <x:c r="AE783" s="28"/>
      <x:c r="AF783" s="28"/>
      <x:c r="AG783" s="58"/>
      <x:c r="AH783" s="28"/>
    </x:row>
    <x:row r="784">
      <x:c r="A784" s="28"/>
      <x:c r="B784" s="28"/>
      <x:c r="C784" s="28"/>
      <x:c r="D784" s="28"/>
      <x:c r="E784" s="28"/>
      <x:c r="F784" s="28"/>
      <x:c r="G784" s="28"/>
      <x:c r="H784" s="28"/>
      <x:c r="I784" s="56"/>
      <x:c r="J784" s="28"/>
      <x:c r="K784" s="28"/>
      <x:c r="L784" s="56"/>
      <x:c r="M784" s="28"/>
      <x:c r="N784" s="28"/>
      <x:c r="O784" s="28"/>
      <x:c r="P784" s="28"/>
      <x:c r="Q784" s="28"/>
      <x:c r="R784" s="28"/>
      <x:c r="S784" s="28"/>
      <x:c r="T784" s="28"/>
      <x:c r="U784" s="28"/>
      <x:c r="V784" s="28"/>
      <x:c r="W784" s="28"/>
      <x:c r="X784" s="28"/>
      <x:c r="Y784" s="28"/>
      <x:c r="Z784" s="28"/>
      <x:c r="AA784" s="28"/>
      <x:c r="AB784" s="56" t="str">
        <x:f>IF($A784="","",IF(Z784="Y",20,IF(Z784="Unknown",10,0))+$L784*5+IF(AA784="Y",15,IF(AA784="Unknown",5,0))+IF($J784="Public",10,IF($J784="Partner",7,IF($J784="Internal",3,0)))+IF($W784="Hard-coded",10,IF($W784="Unknown",7,IF($W784="Configurable",3,0)))+IF($I784&gt;=10,10,IF($I784&gt;=5,7,IF($I784&gt;=2,3,0)))+IF($K784="High",10,IF($K784="Medium",5,0)))</x:f>
      </x:c>
      <x:c r="AC784" s="28" t="str">
        <x:f>IF($A784="","",IF(AB784&gt;=70,"P0 - Immediate",IF(AB784&gt;=50,"P1 - High",IF(AB784&gt;=30,"P2 - Medium",IF(AB784&gt;=15,"P3 - Low","P4 - Monitor")))))</x:f>
      </x:c>
      <x:c r="AD784" s="28"/>
      <x:c r="AE784" s="28"/>
      <x:c r="AF784" s="28"/>
      <x:c r="AG784" s="58"/>
      <x:c r="AH784" s="28"/>
    </x:row>
    <x:row r="785">
      <x:c r="A785" s="28"/>
      <x:c r="B785" s="28"/>
      <x:c r="C785" s="28"/>
      <x:c r="D785" s="28"/>
      <x:c r="E785" s="28"/>
      <x:c r="F785" s="28"/>
      <x:c r="G785" s="28"/>
      <x:c r="H785" s="28"/>
      <x:c r="I785" s="56"/>
      <x:c r="J785" s="28"/>
      <x:c r="K785" s="28"/>
      <x:c r="L785" s="56"/>
      <x:c r="M785" s="28"/>
      <x:c r="N785" s="28"/>
      <x:c r="O785" s="28"/>
      <x:c r="P785" s="28"/>
      <x:c r="Q785" s="28"/>
      <x:c r="R785" s="28"/>
      <x:c r="S785" s="28"/>
      <x:c r="T785" s="28"/>
      <x:c r="U785" s="28"/>
      <x:c r="V785" s="28"/>
      <x:c r="W785" s="28"/>
      <x:c r="X785" s="28"/>
      <x:c r="Y785" s="28"/>
      <x:c r="Z785" s="28"/>
      <x:c r="AA785" s="28"/>
      <x:c r="AB785" s="56" t="str">
        <x:f>IF($A785="","",IF(Z785="Y",20,IF(Z785="Unknown",10,0))+$L785*5+IF(AA785="Y",15,IF(AA785="Unknown",5,0))+IF($J785="Public",10,IF($J785="Partner",7,IF($J785="Internal",3,0)))+IF($W785="Hard-coded",10,IF($W785="Unknown",7,IF($W785="Configurable",3,0)))+IF($I785&gt;=10,10,IF($I785&gt;=5,7,IF($I785&gt;=2,3,0)))+IF($K785="High",10,IF($K785="Medium",5,0)))</x:f>
      </x:c>
      <x:c r="AC785" s="28" t="str">
        <x:f>IF($A785="","",IF(AB785&gt;=70,"P0 - Immediate",IF(AB785&gt;=50,"P1 - High",IF(AB785&gt;=30,"P2 - Medium",IF(AB785&gt;=15,"P3 - Low","P4 - Monitor")))))</x:f>
      </x:c>
      <x:c r="AD785" s="28"/>
      <x:c r="AE785" s="28"/>
      <x:c r="AF785" s="28"/>
      <x:c r="AG785" s="58"/>
      <x:c r="AH785" s="28"/>
    </x:row>
    <x:row r="786">
      <x:c r="A786" s="28"/>
      <x:c r="B786" s="28"/>
      <x:c r="C786" s="28"/>
      <x:c r="D786" s="28"/>
      <x:c r="E786" s="28"/>
      <x:c r="F786" s="28"/>
      <x:c r="G786" s="28"/>
      <x:c r="H786" s="28"/>
      <x:c r="I786" s="56"/>
      <x:c r="J786" s="28"/>
      <x:c r="K786" s="28"/>
      <x:c r="L786" s="56"/>
      <x:c r="M786" s="28"/>
      <x:c r="N786" s="28"/>
      <x:c r="O786" s="28"/>
      <x:c r="P786" s="28"/>
      <x:c r="Q786" s="28"/>
      <x:c r="R786" s="28"/>
      <x:c r="S786" s="28"/>
      <x:c r="T786" s="28"/>
      <x:c r="U786" s="28"/>
      <x:c r="V786" s="28"/>
      <x:c r="W786" s="28"/>
      <x:c r="X786" s="28"/>
      <x:c r="Y786" s="28"/>
      <x:c r="Z786" s="28"/>
      <x:c r="AA786" s="28"/>
      <x:c r="AB786" s="56" t="str">
        <x:f>IF($A786="","",IF(Z786="Y",20,IF(Z786="Unknown",10,0))+$L786*5+IF(AA786="Y",15,IF(AA786="Unknown",5,0))+IF($J786="Public",10,IF($J786="Partner",7,IF($J786="Internal",3,0)))+IF($W786="Hard-coded",10,IF($W786="Unknown",7,IF($W786="Configurable",3,0)))+IF($I786&gt;=10,10,IF($I786&gt;=5,7,IF($I786&gt;=2,3,0)))+IF($K786="High",10,IF($K786="Medium",5,0)))</x:f>
      </x:c>
      <x:c r="AC786" s="28" t="str">
        <x:f>IF($A786="","",IF(AB786&gt;=70,"P0 - Immediate",IF(AB786&gt;=50,"P1 - High",IF(AB786&gt;=30,"P2 - Medium",IF(AB786&gt;=15,"P3 - Low","P4 - Monitor")))))</x:f>
      </x:c>
      <x:c r="AD786" s="28"/>
      <x:c r="AE786" s="28"/>
      <x:c r="AF786" s="28"/>
      <x:c r="AG786" s="58"/>
      <x:c r="AH786" s="28"/>
    </x:row>
    <x:row r="787">
      <x:c r="A787" s="28"/>
      <x:c r="B787" s="28"/>
      <x:c r="C787" s="28"/>
      <x:c r="D787" s="28"/>
      <x:c r="E787" s="28"/>
      <x:c r="F787" s="28"/>
      <x:c r="G787" s="28"/>
      <x:c r="H787" s="28"/>
      <x:c r="I787" s="56"/>
      <x:c r="J787" s="28"/>
      <x:c r="K787" s="28"/>
      <x:c r="L787" s="56"/>
      <x:c r="M787" s="28"/>
      <x:c r="N787" s="28"/>
      <x:c r="O787" s="28"/>
      <x:c r="P787" s="28"/>
      <x:c r="Q787" s="28"/>
      <x:c r="R787" s="28"/>
      <x:c r="S787" s="28"/>
      <x:c r="T787" s="28"/>
      <x:c r="U787" s="28"/>
      <x:c r="V787" s="28"/>
      <x:c r="W787" s="28"/>
      <x:c r="X787" s="28"/>
      <x:c r="Y787" s="28"/>
      <x:c r="Z787" s="28"/>
      <x:c r="AA787" s="28"/>
      <x:c r="AB787" s="56" t="str">
        <x:f>IF($A787="","",IF(Z787="Y",20,IF(Z787="Unknown",10,0))+$L787*5+IF(AA787="Y",15,IF(AA787="Unknown",5,0))+IF($J787="Public",10,IF($J787="Partner",7,IF($J787="Internal",3,0)))+IF($W787="Hard-coded",10,IF($W787="Unknown",7,IF($W787="Configurable",3,0)))+IF($I787&gt;=10,10,IF($I787&gt;=5,7,IF($I787&gt;=2,3,0)))+IF($K787="High",10,IF($K787="Medium",5,0)))</x:f>
      </x:c>
      <x:c r="AC787" s="28" t="str">
        <x:f>IF($A787="","",IF(AB787&gt;=70,"P0 - Immediate",IF(AB787&gt;=50,"P1 - High",IF(AB787&gt;=30,"P2 - Medium",IF(AB787&gt;=15,"P3 - Low","P4 - Monitor")))))</x:f>
      </x:c>
      <x:c r="AD787" s="28"/>
      <x:c r="AE787" s="28"/>
      <x:c r="AF787" s="28"/>
      <x:c r="AG787" s="58"/>
      <x:c r="AH787" s="28"/>
    </x:row>
    <x:row r="788">
      <x:c r="A788" s="28"/>
      <x:c r="B788" s="28"/>
      <x:c r="C788" s="28"/>
      <x:c r="D788" s="28"/>
      <x:c r="E788" s="28"/>
      <x:c r="F788" s="28"/>
      <x:c r="G788" s="28"/>
      <x:c r="H788" s="28"/>
      <x:c r="I788" s="56"/>
      <x:c r="J788" s="28"/>
      <x:c r="K788" s="28"/>
      <x:c r="L788" s="56"/>
      <x:c r="M788" s="28"/>
      <x:c r="N788" s="28"/>
      <x:c r="O788" s="28"/>
      <x:c r="P788" s="28"/>
      <x:c r="Q788" s="28"/>
      <x:c r="R788" s="28"/>
      <x:c r="S788" s="28"/>
      <x:c r="T788" s="28"/>
      <x:c r="U788" s="28"/>
      <x:c r="V788" s="28"/>
      <x:c r="W788" s="28"/>
      <x:c r="X788" s="28"/>
      <x:c r="Y788" s="28"/>
      <x:c r="Z788" s="28"/>
      <x:c r="AA788" s="28"/>
      <x:c r="AB788" s="56" t="str">
        <x:f>IF($A788="","",IF(Z788="Y",20,IF(Z788="Unknown",10,0))+$L788*5+IF(AA788="Y",15,IF(AA788="Unknown",5,0))+IF($J788="Public",10,IF($J788="Partner",7,IF($J788="Internal",3,0)))+IF($W788="Hard-coded",10,IF($W788="Unknown",7,IF($W788="Configurable",3,0)))+IF($I788&gt;=10,10,IF($I788&gt;=5,7,IF($I788&gt;=2,3,0)))+IF($K788="High",10,IF($K788="Medium",5,0)))</x:f>
      </x:c>
      <x:c r="AC788" s="28" t="str">
        <x:f>IF($A788="","",IF(AB788&gt;=70,"P0 - Immediate",IF(AB788&gt;=50,"P1 - High",IF(AB788&gt;=30,"P2 - Medium",IF(AB788&gt;=15,"P3 - Low","P4 - Monitor")))))</x:f>
      </x:c>
      <x:c r="AD788" s="28"/>
      <x:c r="AE788" s="28"/>
      <x:c r="AF788" s="28"/>
      <x:c r="AG788" s="58"/>
      <x:c r="AH788" s="28"/>
    </x:row>
    <x:row r="789">
      <x:c r="A789" s="28"/>
      <x:c r="B789" s="28"/>
      <x:c r="C789" s="28"/>
      <x:c r="D789" s="28"/>
      <x:c r="E789" s="28"/>
      <x:c r="F789" s="28"/>
      <x:c r="G789" s="28"/>
      <x:c r="H789" s="28"/>
      <x:c r="I789" s="56"/>
      <x:c r="J789" s="28"/>
      <x:c r="K789" s="28"/>
      <x:c r="L789" s="56"/>
      <x:c r="M789" s="28"/>
      <x:c r="N789" s="28"/>
      <x:c r="O789" s="28"/>
      <x:c r="P789" s="28"/>
      <x:c r="Q789" s="28"/>
      <x:c r="R789" s="28"/>
      <x:c r="S789" s="28"/>
      <x:c r="T789" s="28"/>
      <x:c r="U789" s="28"/>
      <x:c r="V789" s="28"/>
      <x:c r="W789" s="28"/>
      <x:c r="X789" s="28"/>
      <x:c r="Y789" s="28"/>
      <x:c r="Z789" s="28"/>
      <x:c r="AA789" s="28"/>
      <x:c r="AB789" s="56" t="str">
        <x:f>IF($A789="","",IF(Z789="Y",20,IF(Z789="Unknown",10,0))+$L789*5+IF(AA789="Y",15,IF(AA789="Unknown",5,0))+IF($J789="Public",10,IF($J789="Partner",7,IF($J789="Internal",3,0)))+IF($W789="Hard-coded",10,IF($W789="Unknown",7,IF($W789="Configurable",3,0)))+IF($I789&gt;=10,10,IF($I789&gt;=5,7,IF($I789&gt;=2,3,0)))+IF($K789="High",10,IF($K789="Medium",5,0)))</x:f>
      </x:c>
      <x:c r="AC789" s="28" t="str">
        <x:f>IF($A789="","",IF(AB789&gt;=70,"P0 - Immediate",IF(AB789&gt;=50,"P1 - High",IF(AB789&gt;=30,"P2 - Medium",IF(AB789&gt;=15,"P3 - Low","P4 - Monitor")))))</x:f>
      </x:c>
      <x:c r="AD789" s="28"/>
      <x:c r="AE789" s="28"/>
      <x:c r="AF789" s="28"/>
      <x:c r="AG789" s="58"/>
      <x:c r="AH789" s="28"/>
    </x:row>
    <x:row r="790">
      <x:c r="A790" s="28"/>
      <x:c r="B790" s="28"/>
      <x:c r="C790" s="28"/>
      <x:c r="D790" s="28"/>
      <x:c r="E790" s="28"/>
      <x:c r="F790" s="28"/>
      <x:c r="G790" s="28"/>
      <x:c r="H790" s="28"/>
      <x:c r="I790" s="56"/>
      <x:c r="J790" s="28"/>
      <x:c r="K790" s="28"/>
      <x:c r="L790" s="56"/>
      <x:c r="M790" s="28"/>
      <x:c r="N790" s="28"/>
      <x:c r="O790" s="28"/>
      <x:c r="P790" s="28"/>
      <x:c r="Q790" s="28"/>
      <x:c r="R790" s="28"/>
      <x:c r="S790" s="28"/>
      <x:c r="T790" s="28"/>
      <x:c r="U790" s="28"/>
      <x:c r="V790" s="28"/>
      <x:c r="W790" s="28"/>
      <x:c r="X790" s="28"/>
      <x:c r="Y790" s="28"/>
      <x:c r="Z790" s="28"/>
      <x:c r="AA790" s="28"/>
      <x:c r="AB790" s="56" t="str">
        <x:f>IF($A790="","",IF(Z790="Y",20,IF(Z790="Unknown",10,0))+$L790*5+IF(AA790="Y",15,IF(AA790="Unknown",5,0))+IF($J790="Public",10,IF($J790="Partner",7,IF($J790="Internal",3,0)))+IF($W790="Hard-coded",10,IF($W790="Unknown",7,IF($W790="Configurable",3,0)))+IF($I790&gt;=10,10,IF($I790&gt;=5,7,IF($I790&gt;=2,3,0)))+IF($K790="High",10,IF($K790="Medium",5,0)))</x:f>
      </x:c>
      <x:c r="AC790" s="28" t="str">
        <x:f>IF($A790="","",IF(AB790&gt;=70,"P0 - Immediate",IF(AB790&gt;=50,"P1 - High",IF(AB790&gt;=30,"P2 - Medium",IF(AB790&gt;=15,"P3 - Low","P4 - Monitor")))))</x:f>
      </x:c>
      <x:c r="AD790" s="28"/>
      <x:c r="AE790" s="28"/>
      <x:c r="AF790" s="28"/>
      <x:c r="AG790" s="58"/>
      <x:c r="AH790" s="28"/>
    </x:row>
    <x:row r="791">
      <x:c r="A791" s="28"/>
      <x:c r="B791" s="28"/>
      <x:c r="C791" s="28"/>
      <x:c r="D791" s="28"/>
      <x:c r="E791" s="28"/>
      <x:c r="F791" s="28"/>
      <x:c r="G791" s="28"/>
      <x:c r="H791" s="28"/>
      <x:c r="I791" s="56"/>
      <x:c r="J791" s="28"/>
      <x:c r="K791" s="28"/>
      <x:c r="L791" s="56"/>
      <x:c r="M791" s="28"/>
      <x:c r="N791" s="28"/>
      <x:c r="O791" s="28"/>
      <x:c r="P791" s="28"/>
      <x:c r="Q791" s="28"/>
      <x:c r="R791" s="28"/>
      <x:c r="S791" s="28"/>
      <x:c r="T791" s="28"/>
      <x:c r="U791" s="28"/>
      <x:c r="V791" s="28"/>
      <x:c r="W791" s="28"/>
      <x:c r="X791" s="28"/>
      <x:c r="Y791" s="28"/>
      <x:c r="Z791" s="28"/>
      <x:c r="AA791" s="28"/>
      <x:c r="AB791" s="56" t="str">
        <x:f>IF($A791="","",IF(Z791="Y",20,IF(Z791="Unknown",10,0))+$L791*5+IF(AA791="Y",15,IF(AA791="Unknown",5,0))+IF($J791="Public",10,IF($J791="Partner",7,IF($J791="Internal",3,0)))+IF($W791="Hard-coded",10,IF($W791="Unknown",7,IF($W791="Configurable",3,0)))+IF($I791&gt;=10,10,IF($I791&gt;=5,7,IF($I791&gt;=2,3,0)))+IF($K791="High",10,IF($K791="Medium",5,0)))</x:f>
      </x:c>
      <x:c r="AC791" s="28" t="str">
        <x:f>IF($A791="","",IF(AB791&gt;=70,"P0 - Immediate",IF(AB791&gt;=50,"P1 - High",IF(AB791&gt;=30,"P2 - Medium",IF(AB791&gt;=15,"P3 - Low","P4 - Monitor")))))</x:f>
      </x:c>
      <x:c r="AD791" s="28"/>
      <x:c r="AE791" s="28"/>
      <x:c r="AF791" s="28"/>
      <x:c r="AG791" s="58"/>
      <x:c r="AH791" s="28"/>
    </x:row>
    <x:row r="792">
      <x:c r="A792" s="28"/>
      <x:c r="B792" s="28"/>
      <x:c r="C792" s="28"/>
      <x:c r="D792" s="28"/>
      <x:c r="E792" s="28"/>
      <x:c r="F792" s="28"/>
      <x:c r="G792" s="28"/>
      <x:c r="H792" s="28"/>
      <x:c r="I792" s="56"/>
      <x:c r="J792" s="28"/>
      <x:c r="K792" s="28"/>
      <x:c r="L792" s="56"/>
      <x:c r="M792" s="28"/>
      <x:c r="N792" s="28"/>
      <x:c r="O792" s="28"/>
      <x:c r="P792" s="28"/>
      <x:c r="Q792" s="28"/>
      <x:c r="R792" s="28"/>
      <x:c r="S792" s="28"/>
      <x:c r="T792" s="28"/>
      <x:c r="U792" s="28"/>
      <x:c r="V792" s="28"/>
      <x:c r="W792" s="28"/>
      <x:c r="X792" s="28"/>
      <x:c r="Y792" s="28"/>
      <x:c r="Z792" s="28"/>
      <x:c r="AA792" s="28"/>
      <x:c r="AB792" s="56" t="str">
        <x:f>IF($A792="","",IF(Z792="Y",20,IF(Z792="Unknown",10,0))+$L792*5+IF(AA792="Y",15,IF(AA792="Unknown",5,0))+IF($J792="Public",10,IF($J792="Partner",7,IF($J792="Internal",3,0)))+IF($W792="Hard-coded",10,IF($W792="Unknown",7,IF($W792="Configurable",3,0)))+IF($I792&gt;=10,10,IF($I792&gt;=5,7,IF($I792&gt;=2,3,0)))+IF($K792="High",10,IF($K792="Medium",5,0)))</x:f>
      </x:c>
      <x:c r="AC792" s="28" t="str">
        <x:f>IF($A792="","",IF(AB792&gt;=70,"P0 - Immediate",IF(AB792&gt;=50,"P1 - High",IF(AB792&gt;=30,"P2 - Medium",IF(AB792&gt;=15,"P3 - Low","P4 - Monitor")))))</x:f>
      </x:c>
      <x:c r="AD792" s="28"/>
      <x:c r="AE792" s="28"/>
      <x:c r="AF792" s="28"/>
      <x:c r="AG792" s="58"/>
      <x:c r="AH792" s="28"/>
    </x:row>
    <x:row r="793">
      <x:c r="A793" s="28"/>
      <x:c r="B793" s="28"/>
      <x:c r="C793" s="28"/>
      <x:c r="D793" s="28"/>
      <x:c r="E793" s="28"/>
      <x:c r="F793" s="28"/>
      <x:c r="G793" s="28"/>
      <x:c r="H793" s="28"/>
      <x:c r="I793" s="56"/>
      <x:c r="J793" s="28"/>
      <x:c r="K793" s="28"/>
      <x:c r="L793" s="56"/>
      <x:c r="M793" s="28"/>
      <x:c r="N793" s="28"/>
      <x:c r="O793" s="28"/>
      <x:c r="P793" s="28"/>
      <x:c r="Q793" s="28"/>
      <x:c r="R793" s="28"/>
      <x:c r="S793" s="28"/>
      <x:c r="T793" s="28"/>
      <x:c r="U793" s="28"/>
      <x:c r="V793" s="28"/>
      <x:c r="W793" s="28"/>
      <x:c r="X793" s="28"/>
      <x:c r="Y793" s="28"/>
      <x:c r="Z793" s="28"/>
      <x:c r="AA793" s="28"/>
      <x:c r="AB793" s="56" t="str">
        <x:f>IF($A793="","",IF(Z793="Y",20,IF(Z793="Unknown",10,0))+$L793*5+IF(AA793="Y",15,IF(AA793="Unknown",5,0))+IF($J793="Public",10,IF($J793="Partner",7,IF($J793="Internal",3,0)))+IF($W793="Hard-coded",10,IF($W793="Unknown",7,IF($W793="Configurable",3,0)))+IF($I793&gt;=10,10,IF($I793&gt;=5,7,IF($I793&gt;=2,3,0)))+IF($K793="High",10,IF($K793="Medium",5,0)))</x:f>
      </x:c>
      <x:c r="AC793" s="28" t="str">
        <x:f>IF($A793="","",IF(AB793&gt;=70,"P0 - Immediate",IF(AB793&gt;=50,"P1 - High",IF(AB793&gt;=30,"P2 - Medium",IF(AB793&gt;=15,"P3 - Low","P4 - Monitor")))))</x:f>
      </x:c>
      <x:c r="AD793" s="28"/>
      <x:c r="AE793" s="28"/>
      <x:c r="AF793" s="28"/>
      <x:c r="AG793" s="58"/>
      <x:c r="AH793" s="28"/>
    </x:row>
    <x:row r="794">
      <x:c r="A794" s="28"/>
      <x:c r="B794" s="28"/>
      <x:c r="C794" s="28"/>
      <x:c r="D794" s="28"/>
      <x:c r="E794" s="28"/>
      <x:c r="F794" s="28"/>
      <x:c r="G794" s="28"/>
      <x:c r="H794" s="28"/>
      <x:c r="I794" s="56"/>
      <x:c r="J794" s="28"/>
      <x:c r="K794" s="28"/>
      <x:c r="L794" s="56"/>
      <x:c r="M794" s="28"/>
      <x:c r="N794" s="28"/>
      <x:c r="O794" s="28"/>
      <x:c r="P794" s="28"/>
      <x:c r="Q794" s="28"/>
      <x:c r="R794" s="28"/>
      <x:c r="S794" s="28"/>
      <x:c r="T794" s="28"/>
      <x:c r="U794" s="28"/>
      <x:c r="V794" s="28"/>
      <x:c r="W794" s="28"/>
      <x:c r="X794" s="28"/>
      <x:c r="Y794" s="28"/>
      <x:c r="Z794" s="28"/>
      <x:c r="AA794" s="28"/>
      <x:c r="AB794" s="56" t="str">
        <x:f>IF($A794="","",IF(Z794="Y",20,IF(Z794="Unknown",10,0))+$L794*5+IF(AA794="Y",15,IF(AA794="Unknown",5,0))+IF($J794="Public",10,IF($J794="Partner",7,IF($J794="Internal",3,0)))+IF($W794="Hard-coded",10,IF($W794="Unknown",7,IF($W794="Configurable",3,0)))+IF($I794&gt;=10,10,IF($I794&gt;=5,7,IF($I794&gt;=2,3,0)))+IF($K794="High",10,IF($K794="Medium",5,0)))</x:f>
      </x:c>
      <x:c r="AC794" s="28" t="str">
        <x:f>IF($A794="","",IF(AB794&gt;=70,"P0 - Immediate",IF(AB794&gt;=50,"P1 - High",IF(AB794&gt;=30,"P2 - Medium",IF(AB794&gt;=15,"P3 - Low","P4 - Monitor")))))</x:f>
      </x:c>
      <x:c r="AD794" s="28"/>
      <x:c r="AE794" s="28"/>
      <x:c r="AF794" s="28"/>
      <x:c r="AG794" s="58"/>
      <x:c r="AH794" s="28"/>
    </x:row>
    <x:row r="795">
      <x:c r="A795" s="28"/>
      <x:c r="B795" s="28"/>
      <x:c r="C795" s="28"/>
      <x:c r="D795" s="28"/>
      <x:c r="E795" s="28"/>
      <x:c r="F795" s="28"/>
      <x:c r="G795" s="28"/>
      <x:c r="H795" s="28"/>
      <x:c r="I795" s="56"/>
      <x:c r="J795" s="28"/>
      <x:c r="K795" s="28"/>
      <x:c r="L795" s="56"/>
      <x:c r="M795" s="28"/>
      <x:c r="N795" s="28"/>
      <x:c r="O795" s="28"/>
      <x:c r="P795" s="28"/>
      <x:c r="Q795" s="28"/>
      <x:c r="R795" s="28"/>
      <x:c r="S795" s="28"/>
      <x:c r="T795" s="28"/>
      <x:c r="U795" s="28"/>
      <x:c r="V795" s="28"/>
      <x:c r="W795" s="28"/>
      <x:c r="X795" s="28"/>
      <x:c r="Y795" s="28"/>
      <x:c r="Z795" s="28"/>
      <x:c r="AA795" s="28"/>
      <x:c r="AB795" s="56" t="str">
        <x:f>IF($A795="","",IF(Z795="Y",20,IF(Z795="Unknown",10,0))+$L795*5+IF(AA795="Y",15,IF(AA795="Unknown",5,0))+IF($J795="Public",10,IF($J795="Partner",7,IF($J795="Internal",3,0)))+IF($W795="Hard-coded",10,IF($W795="Unknown",7,IF($W795="Configurable",3,0)))+IF($I795&gt;=10,10,IF($I795&gt;=5,7,IF($I795&gt;=2,3,0)))+IF($K795="High",10,IF($K795="Medium",5,0)))</x:f>
      </x:c>
      <x:c r="AC795" s="28" t="str">
        <x:f>IF($A795="","",IF(AB795&gt;=70,"P0 - Immediate",IF(AB795&gt;=50,"P1 - High",IF(AB795&gt;=30,"P2 - Medium",IF(AB795&gt;=15,"P3 - Low","P4 - Monitor")))))</x:f>
      </x:c>
      <x:c r="AD795" s="28"/>
      <x:c r="AE795" s="28"/>
      <x:c r="AF795" s="28"/>
      <x:c r="AG795" s="58"/>
      <x:c r="AH795" s="28"/>
    </x:row>
    <x:row r="796">
      <x:c r="A796" s="28"/>
      <x:c r="B796" s="28"/>
      <x:c r="C796" s="28"/>
      <x:c r="D796" s="28"/>
      <x:c r="E796" s="28"/>
      <x:c r="F796" s="28"/>
      <x:c r="G796" s="28"/>
      <x:c r="H796" s="28"/>
      <x:c r="I796" s="56"/>
      <x:c r="J796" s="28"/>
      <x:c r="K796" s="28"/>
      <x:c r="L796" s="56"/>
      <x:c r="M796" s="28"/>
      <x:c r="N796" s="28"/>
      <x:c r="O796" s="28"/>
      <x:c r="P796" s="28"/>
      <x:c r="Q796" s="28"/>
      <x:c r="R796" s="28"/>
      <x:c r="S796" s="28"/>
      <x:c r="T796" s="28"/>
      <x:c r="U796" s="28"/>
      <x:c r="V796" s="28"/>
      <x:c r="W796" s="28"/>
      <x:c r="X796" s="28"/>
      <x:c r="Y796" s="28"/>
      <x:c r="Z796" s="28"/>
      <x:c r="AA796" s="28"/>
      <x:c r="AB796" s="56" t="str">
        <x:f>IF($A796="","",IF(Z796="Y",20,IF(Z796="Unknown",10,0))+$L796*5+IF(AA796="Y",15,IF(AA796="Unknown",5,0))+IF($J796="Public",10,IF($J796="Partner",7,IF($J796="Internal",3,0)))+IF($W796="Hard-coded",10,IF($W796="Unknown",7,IF($W796="Configurable",3,0)))+IF($I796&gt;=10,10,IF($I796&gt;=5,7,IF($I796&gt;=2,3,0)))+IF($K796="High",10,IF($K796="Medium",5,0)))</x:f>
      </x:c>
      <x:c r="AC796" s="28" t="str">
        <x:f>IF($A796="","",IF(AB796&gt;=70,"P0 - Immediate",IF(AB796&gt;=50,"P1 - High",IF(AB796&gt;=30,"P2 - Medium",IF(AB796&gt;=15,"P3 - Low","P4 - Monitor")))))</x:f>
      </x:c>
      <x:c r="AD796" s="28"/>
      <x:c r="AE796" s="28"/>
      <x:c r="AF796" s="28"/>
      <x:c r="AG796" s="58"/>
      <x:c r="AH796" s="28"/>
    </x:row>
    <x:row r="797">
      <x:c r="A797" s="28"/>
      <x:c r="B797" s="28"/>
      <x:c r="C797" s="28"/>
      <x:c r="D797" s="28"/>
      <x:c r="E797" s="28"/>
      <x:c r="F797" s="28"/>
      <x:c r="G797" s="28"/>
      <x:c r="H797" s="28"/>
      <x:c r="I797" s="56"/>
      <x:c r="J797" s="28"/>
      <x:c r="K797" s="28"/>
      <x:c r="L797" s="56"/>
      <x:c r="M797" s="28"/>
      <x:c r="N797" s="28"/>
      <x:c r="O797" s="28"/>
      <x:c r="P797" s="28"/>
      <x:c r="Q797" s="28"/>
      <x:c r="R797" s="28"/>
      <x:c r="S797" s="28"/>
      <x:c r="T797" s="28"/>
      <x:c r="U797" s="28"/>
      <x:c r="V797" s="28"/>
      <x:c r="W797" s="28"/>
      <x:c r="X797" s="28"/>
      <x:c r="Y797" s="28"/>
      <x:c r="Z797" s="28"/>
      <x:c r="AA797" s="28"/>
      <x:c r="AB797" s="56" t="str">
        <x:f>IF($A797="","",IF(Z797="Y",20,IF(Z797="Unknown",10,0))+$L797*5+IF(AA797="Y",15,IF(AA797="Unknown",5,0))+IF($J797="Public",10,IF($J797="Partner",7,IF($J797="Internal",3,0)))+IF($W797="Hard-coded",10,IF($W797="Unknown",7,IF($W797="Configurable",3,0)))+IF($I797&gt;=10,10,IF($I797&gt;=5,7,IF($I797&gt;=2,3,0)))+IF($K797="High",10,IF($K797="Medium",5,0)))</x:f>
      </x:c>
      <x:c r="AC797" s="28" t="str">
        <x:f>IF($A797="","",IF(AB797&gt;=70,"P0 - Immediate",IF(AB797&gt;=50,"P1 - High",IF(AB797&gt;=30,"P2 - Medium",IF(AB797&gt;=15,"P3 - Low","P4 - Monitor")))))</x:f>
      </x:c>
      <x:c r="AD797" s="28"/>
      <x:c r="AE797" s="28"/>
      <x:c r="AF797" s="28"/>
      <x:c r="AG797" s="58"/>
      <x:c r="AH797" s="28"/>
    </x:row>
    <x:row r="798">
      <x:c r="A798" s="28"/>
      <x:c r="B798" s="28"/>
      <x:c r="C798" s="28"/>
      <x:c r="D798" s="28"/>
      <x:c r="E798" s="28"/>
      <x:c r="F798" s="28"/>
      <x:c r="G798" s="28"/>
      <x:c r="H798" s="28"/>
      <x:c r="I798" s="56"/>
      <x:c r="J798" s="28"/>
      <x:c r="K798" s="28"/>
      <x:c r="L798" s="56"/>
      <x:c r="M798" s="28"/>
      <x:c r="N798" s="28"/>
      <x:c r="O798" s="28"/>
      <x:c r="P798" s="28"/>
      <x:c r="Q798" s="28"/>
      <x:c r="R798" s="28"/>
      <x:c r="S798" s="28"/>
      <x:c r="T798" s="28"/>
      <x:c r="U798" s="28"/>
      <x:c r="V798" s="28"/>
      <x:c r="W798" s="28"/>
      <x:c r="X798" s="28"/>
      <x:c r="Y798" s="28"/>
      <x:c r="Z798" s="28"/>
      <x:c r="AA798" s="28"/>
      <x:c r="AB798" s="56" t="str">
        <x:f>IF($A798="","",IF(Z798="Y",20,IF(Z798="Unknown",10,0))+$L798*5+IF(AA798="Y",15,IF(AA798="Unknown",5,0))+IF($J798="Public",10,IF($J798="Partner",7,IF($J798="Internal",3,0)))+IF($W798="Hard-coded",10,IF($W798="Unknown",7,IF($W798="Configurable",3,0)))+IF($I798&gt;=10,10,IF($I798&gt;=5,7,IF($I798&gt;=2,3,0)))+IF($K798="High",10,IF($K798="Medium",5,0)))</x:f>
      </x:c>
      <x:c r="AC798" s="28" t="str">
        <x:f>IF($A798="","",IF(AB798&gt;=70,"P0 - Immediate",IF(AB798&gt;=50,"P1 - High",IF(AB798&gt;=30,"P2 - Medium",IF(AB798&gt;=15,"P3 - Low","P4 - Monitor")))))</x:f>
      </x:c>
      <x:c r="AD798" s="28"/>
      <x:c r="AE798" s="28"/>
      <x:c r="AF798" s="28"/>
      <x:c r="AG798" s="58"/>
      <x:c r="AH798" s="28"/>
    </x:row>
    <x:row r="799">
      <x:c r="A799" s="28"/>
      <x:c r="B799" s="28"/>
      <x:c r="C799" s="28"/>
      <x:c r="D799" s="28"/>
      <x:c r="E799" s="28"/>
      <x:c r="F799" s="28"/>
      <x:c r="G799" s="28"/>
      <x:c r="H799" s="28"/>
      <x:c r="I799" s="56"/>
      <x:c r="J799" s="28"/>
      <x:c r="K799" s="28"/>
      <x:c r="L799" s="56"/>
      <x:c r="M799" s="28"/>
      <x:c r="N799" s="28"/>
      <x:c r="O799" s="28"/>
      <x:c r="P799" s="28"/>
      <x:c r="Q799" s="28"/>
      <x:c r="R799" s="28"/>
      <x:c r="S799" s="28"/>
      <x:c r="T799" s="28"/>
      <x:c r="U799" s="28"/>
      <x:c r="V799" s="28"/>
      <x:c r="W799" s="28"/>
      <x:c r="X799" s="28"/>
      <x:c r="Y799" s="28"/>
      <x:c r="Z799" s="28"/>
      <x:c r="AA799" s="28"/>
      <x:c r="AB799" s="56" t="str">
        <x:f>IF($A799="","",IF(Z799="Y",20,IF(Z799="Unknown",10,0))+$L799*5+IF(AA799="Y",15,IF(AA799="Unknown",5,0))+IF($J799="Public",10,IF($J799="Partner",7,IF($J799="Internal",3,0)))+IF($W799="Hard-coded",10,IF($W799="Unknown",7,IF($W799="Configurable",3,0)))+IF($I799&gt;=10,10,IF($I799&gt;=5,7,IF($I799&gt;=2,3,0)))+IF($K799="High",10,IF($K799="Medium",5,0)))</x:f>
      </x:c>
      <x:c r="AC799" s="28" t="str">
        <x:f>IF($A799="","",IF(AB799&gt;=70,"P0 - Immediate",IF(AB799&gt;=50,"P1 - High",IF(AB799&gt;=30,"P2 - Medium",IF(AB799&gt;=15,"P3 - Low","P4 - Monitor")))))</x:f>
      </x:c>
      <x:c r="AD799" s="28"/>
      <x:c r="AE799" s="28"/>
      <x:c r="AF799" s="28"/>
      <x:c r="AG799" s="58"/>
      <x:c r="AH799" s="28"/>
    </x:row>
    <x:row r="800">
      <x:c r="A800" s="28"/>
      <x:c r="B800" s="28"/>
      <x:c r="C800" s="28"/>
      <x:c r="D800" s="28"/>
      <x:c r="E800" s="28"/>
      <x:c r="F800" s="28"/>
      <x:c r="G800" s="28"/>
      <x:c r="H800" s="28"/>
      <x:c r="I800" s="56"/>
      <x:c r="J800" s="28"/>
      <x:c r="K800" s="28"/>
      <x:c r="L800" s="56"/>
      <x:c r="M800" s="28"/>
      <x:c r="N800" s="28"/>
      <x:c r="O800" s="28"/>
      <x:c r="P800" s="28"/>
      <x:c r="Q800" s="28"/>
      <x:c r="R800" s="28"/>
      <x:c r="S800" s="28"/>
      <x:c r="T800" s="28"/>
      <x:c r="U800" s="28"/>
      <x:c r="V800" s="28"/>
      <x:c r="W800" s="28"/>
      <x:c r="X800" s="28"/>
      <x:c r="Y800" s="28"/>
      <x:c r="Z800" s="28"/>
      <x:c r="AA800" s="28"/>
      <x:c r="AB800" s="56" t="str">
        <x:f>IF($A800="","",IF(Z800="Y",20,IF(Z800="Unknown",10,0))+$L800*5+IF(AA800="Y",15,IF(AA800="Unknown",5,0))+IF($J800="Public",10,IF($J800="Partner",7,IF($J800="Internal",3,0)))+IF($W800="Hard-coded",10,IF($W800="Unknown",7,IF($W800="Configurable",3,0)))+IF($I800&gt;=10,10,IF($I800&gt;=5,7,IF($I800&gt;=2,3,0)))+IF($K800="High",10,IF($K800="Medium",5,0)))</x:f>
      </x:c>
      <x:c r="AC800" s="28" t="str">
        <x:f>IF($A800="","",IF(AB800&gt;=70,"P0 - Immediate",IF(AB800&gt;=50,"P1 - High",IF(AB800&gt;=30,"P2 - Medium",IF(AB800&gt;=15,"P3 - Low","P4 - Monitor")))))</x:f>
      </x:c>
      <x:c r="AD800" s="28"/>
      <x:c r="AE800" s="28"/>
      <x:c r="AF800" s="28"/>
      <x:c r="AG800" s="58"/>
      <x:c r="AH800" s="28"/>
    </x:row>
    <x:row r="801">
      <x:c r="A801" s="28"/>
      <x:c r="B801" s="28"/>
      <x:c r="C801" s="28"/>
      <x:c r="D801" s="28"/>
      <x:c r="E801" s="28"/>
      <x:c r="F801" s="28"/>
      <x:c r="G801" s="28"/>
      <x:c r="H801" s="28"/>
      <x:c r="I801" s="56"/>
      <x:c r="J801" s="28"/>
      <x:c r="K801" s="28"/>
      <x:c r="L801" s="56"/>
      <x:c r="M801" s="28"/>
      <x:c r="N801" s="28"/>
      <x:c r="O801" s="28"/>
      <x:c r="P801" s="28"/>
      <x:c r="Q801" s="28"/>
      <x:c r="R801" s="28"/>
      <x:c r="S801" s="28"/>
      <x:c r="T801" s="28"/>
      <x:c r="U801" s="28"/>
      <x:c r="V801" s="28"/>
      <x:c r="W801" s="28"/>
      <x:c r="X801" s="28"/>
      <x:c r="Y801" s="28"/>
      <x:c r="Z801" s="28"/>
      <x:c r="AA801" s="28"/>
      <x:c r="AB801" s="56" t="str">
        <x:f>IF($A801="","",IF(Z801="Y",20,IF(Z801="Unknown",10,0))+$L801*5+IF(AA801="Y",15,IF(AA801="Unknown",5,0))+IF($J801="Public",10,IF($J801="Partner",7,IF($J801="Internal",3,0)))+IF($W801="Hard-coded",10,IF($W801="Unknown",7,IF($W801="Configurable",3,0)))+IF($I801&gt;=10,10,IF($I801&gt;=5,7,IF($I801&gt;=2,3,0)))+IF($K801="High",10,IF($K801="Medium",5,0)))</x:f>
      </x:c>
      <x:c r="AC801" s="28" t="str">
        <x:f>IF($A801="","",IF(AB801&gt;=70,"P0 - Immediate",IF(AB801&gt;=50,"P1 - High",IF(AB801&gt;=30,"P2 - Medium",IF(AB801&gt;=15,"P3 - Low","P4 - Monitor")))))</x:f>
      </x:c>
      <x:c r="AD801" s="28"/>
      <x:c r="AE801" s="28"/>
      <x:c r="AF801" s="28"/>
      <x:c r="AG801" s="58"/>
      <x:c r="AH801" s="28"/>
    </x:row>
    <x:row r="802">
      <x:c r="A802" s="28"/>
      <x:c r="B802" s="28"/>
      <x:c r="C802" s="28"/>
      <x:c r="D802" s="28"/>
      <x:c r="E802" s="28"/>
      <x:c r="F802" s="28"/>
      <x:c r="G802" s="28"/>
      <x:c r="H802" s="28"/>
      <x:c r="I802" s="56"/>
      <x:c r="J802" s="28"/>
      <x:c r="K802" s="28"/>
      <x:c r="L802" s="56"/>
      <x:c r="M802" s="28"/>
      <x:c r="N802" s="28"/>
      <x:c r="O802" s="28"/>
      <x:c r="P802" s="28"/>
      <x:c r="Q802" s="28"/>
      <x:c r="R802" s="28"/>
      <x:c r="S802" s="28"/>
      <x:c r="T802" s="28"/>
      <x:c r="U802" s="28"/>
      <x:c r="V802" s="28"/>
      <x:c r="W802" s="28"/>
      <x:c r="X802" s="28"/>
      <x:c r="Y802" s="28"/>
      <x:c r="Z802" s="28"/>
      <x:c r="AA802" s="28"/>
      <x:c r="AB802" s="56" t="str">
        <x:f>IF($A802="","",IF(Z802="Y",20,IF(Z802="Unknown",10,0))+$L802*5+IF(AA802="Y",15,IF(AA802="Unknown",5,0))+IF($J802="Public",10,IF($J802="Partner",7,IF($J802="Internal",3,0)))+IF($W802="Hard-coded",10,IF($W802="Unknown",7,IF($W802="Configurable",3,0)))+IF($I802&gt;=10,10,IF($I802&gt;=5,7,IF($I802&gt;=2,3,0)))+IF($K802="High",10,IF($K802="Medium",5,0)))</x:f>
      </x:c>
      <x:c r="AC802" s="28" t="str">
        <x:f>IF($A802="","",IF(AB802&gt;=70,"P0 - Immediate",IF(AB802&gt;=50,"P1 - High",IF(AB802&gt;=30,"P2 - Medium",IF(AB802&gt;=15,"P3 - Low","P4 - Monitor")))))</x:f>
      </x:c>
      <x:c r="AD802" s="28"/>
      <x:c r="AE802" s="28"/>
      <x:c r="AF802" s="28"/>
      <x:c r="AG802" s="58"/>
      <x:c r="AH802" s="28"/>
    </x:row>
    <x:row r="803">
      <x:c r="A803" s="28"/>
      <x:c r="B803" s="28"/>
      <x:c r="C803" s="28"/>
      <x:c r="D803" s="28"/>
      <x:c r="E803" s="28"/>
      <x:c r="F803" s="28"/>
      <x:c r="G803" s="28"/>
      <x:c r="H803" s="28"/>
      <x:c r="I803" s="56"/>
      <x:c r="J803" s="28"/>
      <x:c r="K803" s="28"/>
      <x:c r="L803" s="56"/>
      <x:c r="M803" s="28"/>
      <x:c r="N803" s="28"/>
      <x:c r="O803" s="28"/>
      <x:c r="P803" s="28"/>
      <x:c r="Q803" s="28"/>
      <x:c r="R803" s="28"/>
      <x:c r="S803" s="28"/>
      <x:c r="T803" s="28"/>
      <x:c r="U803" s="28"/>
      <x:c r="V803" s="28"/>
      <x:c r="W803" s="28"/>
      <x:c r="X803" s="28"/>
      <x:c r="Y803" s="28"/>
      <x:c r="Z803" s="28"/>
      <x:c r="AA803" s="28"/>
      <x:c r="AB803" s="56" t="str">
        <x:f>IF($A803="","",IF(Z803="Y",20,IF(Z803="Unknown",10,0))+$L803*5+IF(AA803="Y",15,IF(AA803="Unknown",5,0))+IF($J803="Public",10,IF($J803="Partner",7,IF($J803="Internal",3,0)))+IF($W803="Hard-coded",10,IF($W803="Unknown",7,IF($W803="Configurable",3,0)))+IF($I803&gt;=10,10,IF($I803&gt;=5,7,IF($I803&gt;=2,3,0)))+IF($K803="High",10,IF($K803="Medium",5,0)))</x:f>
      </x:c>
      <x:c r="AC803" s="28" t="str">
        <x:f>IF($A803="","",IF(AB803&gt;=70,"P0 - Immediate",IF(AB803&gt;=50,"P1 - High",IF(AB803&gt;=30,"P2 - Medium",IF(AB803&gt;=15,"P3 - Low","P4 - Monitor")))))</x:f>
      </x:c>
      <x:c r="AD803" s="28"/>
      <x:c r="AE803" s="28"/>
      <x:c r="AF803" s="28"/>
      <x:c r="AG803" s="58"/>
      <x:c r="AH803" s="28"/>
    </x:row>
    <x:row r="804">
      <x:c r="A804" s="28"/>
      <x:c r="B804" s="28"/>
      <x:c r="C804" s="28"/>
      <x:c r="D804" s="28"/>
      <x:c r="E804" s="28"/>
      <x:c r="F804" s="28"/>
      <x:c r="G804" s="28"/>
      <x:c r="H804" s="28"/>
      <x:c r="I804" s="56"/>
      <x:c r="J804" s="28"/>
      <x:c r="K804" s="28"/>
      <x:c r="L804" s="56"/>
      <x:c r="M804" s="28"/>
      <x:c r="N804" s="28"/>
      <x:c r="O804" s="28"/>
      <x:c r="P804" s="28"/>
      <x:c r="Q804" s="28"/>
      <x:c r="R804" s="28"/>
      <x:c r="S804" s="28"/>
      <x:c r="T804" s="28"/>
      <x:c r="U804" s="28"/>
      <x:c r="V804" s="28"/>
      <x:c r="W804" s="28"/>
      <x:c r="X804" s="28"/>
      <x:c r="Y804" s="28"/>
      <x:c r="Z804" s="28"/>
      <x:c r="AA804" s="28"/>
      <x:c r="AB804" s="56" t="str">
        <x:f>IF($A804="","",IF(Z804="Y",20,IF(Z804="Unknown",10,0))+$L804*5+IF(AA804="Y",15,IF(AA804="Unknown",5,0))+IF($J804="Public",10,IF($J804="Partner",7,IF($J804="Internal",3,0)))+IF($W804="Hard-coded",10,IF($W804="Unknown",7,IF($W804="Configurable",3,0)))+IF($I804&gt;=10,10,IF($I804&gt;=5,7,IF($I804&gt;=2,3,0)))+IF($K804="High",10,IF($K804="Medium",5,0)))</x:f>
      </x:c>
      <x:c r="AC804" s="28" t="str">
        <x:f>IF($A804="","",IF(AB804&gt;=70,"P0 - Immediate",IF(AB804&gt;=50,"P1 - High",IF(AB804&gt;=30,"P2 - Medium",IF(AB804&gt;=15,"P3 - Low","P4 - Monitor")))))</x:f>
      </x:c>
      <x:c r="AD804" s="28"/>
      <x:c r="AE804" s="28"/>
      <x:c r="AF804" s="28"/>
      <x:c r="AG804" s="58"/>
      <x:c r="AH804" s="28"/>
    </x:row>
    <x:row r="805">
      <x:c r="A805" s="28"/>
      <x:c r="B805" s="28"/>
      <x:c r="C805" s="28"/>
      <x:c r="D805" s="28"/>
      <x:c r="E805" s="28"/>
      <x:c r="F805" s="28"/>
      <x:c r="G805" s="28"/>
      <x:c r="H805" s="28"/>
      <x:c r="I805" s="56"/>
      <x:c r="J805" s="28"/>
      <x:c r="K805" s="28"/>
      <x:c r="L805" s="56"/>
      <x:c r="M805" s="28"/>
      <x:c r="N805" s="28"/>
      <x:c r="O805" s="28"/>
      <x:c r="P805" s="28"/>
      <x:c r="Q805" s="28"/>
      <x:c r="R805" s="28"/>
      <x:c r="S805" s="28"/>
      <x:c r="T805" s="28"/>
      <x:c r="U805" s="28"/>
      <x:c r="V805" s="28"/>
      <x:c r="W805" s="28"/>
      <x:c r="X805" s="28"/>
      <x:c r="Y805" s="28"/>
      <x:c r="Z805" s="28"/>
      <x:c r="AA805" s="28"/>
      <x:c r="AB805" s="56" t="str">
        <x:f>IF($A805="","",IF(Z805="Y",20,IF(Z805="Unknown",10,0))+$L805*5+IF(AA805="Y",15,IF(AA805="Unknown",5,0))+IF($J805="Public",10,IF($J805="Partner",7,IF($J805="Internal",3,0)))+IF($W805="Hard-coded",10,IF($W805="Unknown",7,IF($W805="Configurable",3,0)))+IF($I805&gt;=10,10,IF($I805&gt;=5,7,IF($I805&gt;=2,3,0)))+IF($K805="High",10,IF($K805="Medium",5,0)))</x:f>
      </x:c>
      <x:c r="AC805" s="28" t="str">
        <x:f>IF($A805="","",IF(AB805&gt;=70,"P0 - Immediate",IF(AB805&gt;=50,"P1 - High",IF(AB805&gt;=30,"P2 - Medium",IF(AB805&gt;=15,"P3 - Low","P4 - Monitor")))))</x:f>
      </x:c>
      <x:c r="AD805" s="28"/>
      <x:c r="AE805" s="28"/>
      <x:c r="AF805" s="28"/>
      <x:c r="AG805" s="58"/>
      <x:c r="AH805" s="28"/>
    </x:row>
    <x:row r="806">
      <x:c r="A806" s="28"/>
      <x:c r="B806" s="28"/>
      <x:c r="C806" s="28"/>
      <x:c r="D806" s="28"/>
      <x:c r="E806" s="28"/>
      <x:c r="F806" s="28"/>
      <x:c r="G806" s="28"/>
      <x:c r="H806" s="28"/>
      <x:c r="I806" s="56"/>
      <x:c r="J806" s="28"/>
      <x:c r="K806" s="28"/>
      <x:c r="L806" s="56"/>
      <x:c r="M806" s="28"/>
      <x:c r="N806" s="28"/>
      <x:c r="O806" s="28"/>
      <x:c r="P806" s="28"/>
      <x:c r="Q806" s="28"/>
      <x:c r="R806" s="28"/>
      <x:c r="S806" s="28"/>
      <x:c r="T806" s="28"/>
      <x:c r="U806" s="28"/>
      <x:c r="V806" s="28"/>
      <x:c r="W806" s="28"/>
      <x:c r="X806" s="28"/>
      <x:c r="Y806" s="28"/>
      <x:c r="Z806" s="28"/>
      <x:c r="AA806" s="28"/>
      <x:c r="AB806" s="56" t="str">
        <x:f>IF($A806="","",IF(Z806="Y",20,IF(Z806="Unknown",10,0))+$L806*5+IF(AA806="Y",15,IF(AA806="Unknown",5,0))+IF($J806="Public",10,IF($J806="Partner",7,IF($J806="Internal",3,0)))+IF($W806="Hard-coded",10,IF($W806="Unknown",7,IF($W806="Configurable",3,0)))+IF($I806&gt;=10,10,IF($I806&gt;=5,7,IF($I806&gt;=2,3,0)))+IF($K806="High",10,IF($K806="Medium",5,0)))</x:f>
      </x:c>
      <x:c r="AC806" s="28" t="str">
        <x:f>IF($A806="","",IF(AB806&gt;=70,"P0 - Immediate",IF(AB806&gt;=50,"P1 - High",IF(AB806&gt;=30,"P2 - Medium",IF(AB806&gt;=15,"P3 - Low","P4 - Monitor")))))</x:f>
      </x:c>
      <x:c r="AD806" s="28"/>
      <x:c r="AE806" s="28"/>
      <x:c r="AF806" s="28"/>
      <x:c r="AG806" s="58"/>
      <x:c r="AH806" s="28"/>
    </x:row>
    <x:row r="807">
      <x:c r="A807" s="28"/>
      <x:c r="B807" s="28"/>
      <x:c r="C807" s="28"/>
      <x:c r="D807" s="28"/>
      <x:c r="E807" s="28"/>
      <x:c r="F807" s="28"/>
      <x:c r="G807" s="28"/>
      <x:c r="H807" s="28"/>
      <x:c r="I807" s="56"/>
      <x:c r="J807" s="28"/>
      <x:c r="K807" s="28"/>
      <x:c r="L807" s="56"/>
      <x:c r="M807" s="28"/>
      <x:c r="N807" s="28"/>
      <x:c r="O807" s="28"/>
      <x:c r="P807" s="28"/>
      <x:c r="Q807" s="28"/>
      <x:c r="R807" s="28"/>
      <x:c r="S807" s="28"/>
      <x:c r="T807" s="28"/>
      <x:c r="U807" s="28"/>
      <x:c r="V807" s="28"/>
      <x:c r="W807" s="28"/>
      <x:c r="X807" s="28"/>
      <x:c r="Y807" s="28"/>
      <x:c r="Z807" s="28"/>
      <x:c r="AA807" s="28"/>
      <x:c r="AB807" s="56" t="str">
        <x:f>IF($A807="","",IF(Z807="Y",20,IF(Z807="Unknown",10,0))+$L807*5+IF(AA807="Y",15,IF(AA807="Unknown",5,0))+IF($J807="Public",10,IF($J807="Partner",7,IF($J807="Internal",3,0)))+IF($W807="Hard-coded",10,IF($W807="Unknown",7,IF($W807="Configurable",3,0)))+IF($I807&gt;=10,10,IF($I807&gt;=5,7,IF($I807&gt;=2,3,0)))+IF($K807="High",10,IF($K807="Medium",5,0)))</x:f>
      </x:c>
      <x:c r="AC807" s="28" t="str">
        <x:f>IF($A807="","",IF(AB807&gt;=70,"P0 - Immediate",IF(AB807&gt;=50,"P1 - High",IF(AB807&gt;=30,"P2 - Medium",IF(AB807&gt;=15,"P3 - Low","P4 - Monitor")))))</x:f>
      </x:c>
      <x:c r="AD807" s="28"/>
      <x:c r="AE807" s="28"/>
      <x:c r="AF807" s="28"/>
      <x:c r="AG807" s="58"/>
      <x:c r="AH807" s="28"/>
    </x:row>
    <x:row r="808">
      <x:c r="A808" s="28"/>
      <x:c r="B808" s="28"/>
      <x:c r="C808" s="28"/>
      <x:c r="D808" s="28"/>
      <x:c r="E808" s="28"/>
      <x:c r="F808" s="28"/>
      <x:c r="G808" s="28"/>
      <x:c r="H808" s="28"/>
      <x:c r="I808" s="56"/>
      <x:c r="J808" s="28"/>
      <x:c r="K808" s="28"/>
      <x:c r="L808" s="56"/>
      <x:c r="M808" s="28"/>
      <x:c r="N808" s="28"/>
      <x:c r="O808" s="28"/>
      <x:c r="P808" s="28"/>
      <x:c r="Q808" s="28"/>
      <x:c r="R808" s="28"/>
      <x:c r="S808" s="28"/>
      <x:c r="T808" s="28"/>
      <x:c r="U808" s="28"/>
      <x:c r="V808" s="28"/>
      <x:c r="W808" s="28"/>
      <x:c r="X808" s="28"/>
      <x:c r="Y808" s="28"/>
      <x:c r="Z808" s="28"/>
      <x:c r="AA808" s="28"/>
      <x:c r="AB808" s="56" t="str">
        <x:f>IF($A808="","",IF(Z808="Y",20,IF(Z808="Unknown",10,0))+$L808*5+IF(AA808="Y",15,IF(AA808="Unknown",5,0))+IF($J808="Public",10,IF($J808="Partner",7,IF($J808="Internal",3,0)))+IF($W808="Hard-coded",10,IF($W808="Unknown",7,IF($W808="Configurable",3,0)))+IF($I808&gt;=10,10,IF($I808&gt;=5,7,IF($I808&gt;=2,3,0)))+IF($K808="High",10,IF($K808="Medium",5,0)))</x:f>
      </x:c>
      <x:c r="AC808" s="28" t="str">
        <x:f>IF($A808="","",IF(AB808&gt;=70,"P0 - Immediate",IF(AB808&gt;=50,"P1 - High",IF(AB808&gt;=30,"P2 - Medium",IF(AB808&gt;=15,"P3 - Low","P4 - Monitor")))))</x:f>
      </x:c>
      <x:c r="AD808" s="28"/>
      <x:c r="AE808" s="28"/>
      <x:c r="AF808" s="28"/>
      <x:c r="AG808" s="58"/>
      <x:c r="AH808" s="28"/>
    </x:row>
    <x:row r="809">
      <x:c r="A809" s="28"/>
      <x:c r="B809" s="28"/>
      <x:c r="C809" s="28"/>
      <x:c r="D809" s="28"/>
      <x:c r="E809" s="28"/>
      <x:c r="F809" s="28"/>
      <x:c r="G809" s="28"/>
      <x:c r="H809" s="28"/>
      <x:c r="I809" s="56"/>
      <x:c r="J809" s="28"/>
      <x:c r="K809" s="28"/>
      <x:c r="L809" s="56"/>
      <x:c r="M809" s="28"/>
      <x:c r="N809" s="28"/>
      <x:c r="O809" s="28"/>
      <x:c r="P809" s="28"/>
      <x:c r="Q809" s="28"/>
      <x:c r="R809" s="28"/>
      <x:c r="S809" s="28"/>
      <x:c r="T809" s="28"/>
      <x:c r="U809" s="28"/>
      <x:c r="V809" s="28"/>
      <x:c r="W809" s="28"/>
      <x:c r="X809" s="28"/>
      <x:c r="Y809" s="28"/>
      <x:c r="Z809" s="28"/>
      <x:c r="AA809" s="28"/>
      <x:c r="AB809" s="56" t="str">
        <x:f>IF($A809="","",IF(Z809="Y",20,IF(Z809="Unknown",10,0))+$L809*5+IF(AA809="Y",15,IF(AA809="Unknown",5,0))+IF($J809="Public",10,IF($J809="Partner",7,IF($J809="Internal",3,0)))+IF($W809="Hard-coded",10,IF($W809="Unknown",7,IF($W809="Configurable",3,0)))+IF($I809&gt;=10,10,IF($I809&gt;=5,7,IF($I809&gt;=2,3,0)))+IF($K809="High",10,IF($K809="Medium",5,0)))</x:f>
      </x:c>
      <x:c r="AC809" s="28" t="str">
        <x:f>IF($A809="","",IF(AB809&gt;=70,"P0 - Immediate",IF(AB809&gt;=50,"P1 - High",IF(AB809&gt;=30,"P2 - Medium",IF(AB809&gt;=15,"P3 - Low","P4 - Monitor")))))</x:f>
      </x:c>
      <x:c r="AD809" s="28"/>
      <x:c r="AE809" s="28"/>
      <x:c r="AF809" s="28"/>
      <x:c r="AG809" s="58"/>
      <x:c r="AH809" s="28"/>
    </x:row>
    <x:row r="810">
      <x:c r="A810" s="28"/>
      <x:c r="B810" s="28"/>
      <x:c r="C810" s="28"/>
      <x:c r="D810" s="28"/>
      <x:c r="E810" s="28"/>
      <x:c r="F810" s="28"/>
      <x:c r="G810" s="28"/>
      <x:c r="H810" s="28"/>
      <x:c r="I810" s="56"/>
      <x:c r="J810" s="28"/>
      <x:c r="K810" s="28"/>
      <x:c r="L810" s="56"/>
      <x:c r="M810" s="28"/>
      <x:c r="N810" s="28"/>
      <x:c r="O810" s="28"/>
      <x:c r="P810" s="28"/>
      <x:c r="Q810" s="28"/>
      <x:c r="R810" s="28"/>
      <x:c r="S810" s="28"/>
      <x:c r="T810" s="28"/>
      <x:c r="U810" s="28"/>
      <x:c r="V810" s="28"/>
      <x:c r="W810" s="28"/>
      <x:c r="X810" s="28"/>
      <x:c r="Y810" s="28"/>
      <x:c r="Z810" s="28"/>
      <x:c r="AA810" s="28"/>
      <x:c r="AB810" s="56" t="str">
        <x:f>IF($A810="","",IF(Z810="Y",20,IF(Z810="Unknown",10,0))+$L810*5+IF(AA810="Y",15,IF(AA810="Unknown",5,0))+IF($J810="Public",10,IF($J810="Partner",7,IF($J810="Internal",3,0)))+IF($W810="Hard-coded",10,IF($W810="Unknown",7,IF($W810="Configurable",3,0)))+IF($I810&gt;=10,10,IF($I810&gt;=5,7,IF($I810&gt;=2,3,0)))+IF($K810="High",10,IF($K810="Medium",5,0)))</x:f>
      </x:c>
      <x:c r="AC810" s="28" t="str">
        <x:f>IF($A810="","",IF(AB810&gt;=70,"P0 - Immediate",IF(AB810&gt;=50,"P1 - High",IF(AB810&gt;=30,"P2 - Medium",IF(AB810&gt;=15,"P3 - Low","P4 - Monitor")))))</x:f>
      </x:c>
      <x:c r="AD810" s="28"/>
      <x:c r="AE810" s="28"/>
      <x:c r="AF810" s="28"/>
      <x:c r="AG810" s="58"/>
      <x:c r="AH810" s="28"/>
    </x:row>
    <x:row r="811">
      <x:c r="A811" s="28"/>
      <x:c r="B811" s="28"/>
      <x:c r="C811" s="28"/>
      <x:c r="D811" s="28"/>
      <x:c r="E811" s="28"/>
      <x:c r="F811" s="28"/>
      <x:c r="G811" s="28"/>
      <x:c r="H811" s="28"/>
      <x:c r="I811" s="56"/>
      <x:c r="J811" s="28"/>
      <x:c r="K811" s="28"/>
      <x:c r="L811" s="56"/>
      <x:c r="M811" s="28"/>
      <x:c r="N811" s="28"/>
      <x:c r="O811" s="28"/>
      <x:c r="P811" s="28"/>
      <x:c r="Q811" s="28"/>
      <x:c r="R811" s="28"/>
      <x:c r="S811" s="28"/>
      <x:c r="T811" s="28"/>
      <x:c r="U811" s="28"/>
      <x:c r="V811" s="28"/>
      <x:c r="W811" s="28"/>
      <x:c r="X811" s="28"/>
      <x:c r="Y811" s="28"/>
      <x:c r="Z811" s="28"/>
      <x:c r="AA811" s="28"/>
      <x:c r="AB811" s="56" t="str">
        <x:f>IF($A811="","",IF(Z811="Y",20,IF(Z811="Unknown",10,0))+$L811*5+IF(AA811="Y",15,IF(AA811="Unknown",5,0))+IF($J811="Public",10,IF($J811="Partner",7,IF($J811="Internal",3,0)))+IF($W811="Hard-coded",10,IF($W811="Unknown",7,IF($W811="Configurable",3,0)))+IF($I811&gt;=10,10,IF($I811&gt;=5,7,IF($I811&gt;=2,3,0)))+IF($K811="High",10,IF($K811="Medium",5,0)))</x:f>
      </x:c>
      <x:c r="AC811" s="28" t="str">
        <x:f>IF($A811="","",IF(AB811&gt;=70,"P0 - Immediate",IF(AB811&gt;=50,"P1 - High",IF(AB811&gt;=30,"P2 - Medium",IF(AB811&gt;=15,"P3 - Low","P4 - Monitor")))))</x:f>
      </x:c>
      <x:c r="AD811" s="28"/>
      <x:c r="AE811" s="28"/>
      <x:c r="AF811" s="28"/>
      <x:c r="AG811" s="58"/>
      <x:c r="AH811" s="28"/>
    </x:row>
    <x:row r="812">
      <x:c r="A812" s="28"/>
      <x:c r="B812" s="28"/>
      <x:c r="C812" s="28"/>
      <x:c r="D812" s="28"/>
      <x:c r="E812" s="28"/>
      <x:c r="F812" s="28"/>
      <x:c r="G812" s="28"/>
      <x:c r="H812" s="28"/>
      <x:c r="I812" s="56"/>
      <x:c r="J812" s="28"/>
      <x:c r="K812" s="28"/>
      <x:c r="L812" s="56"/>
      <x:c r="M812" s="28"/>
      <x:c r="N812" s="28"/>
      <x:c r="O812" s="28"/>
      <x:c r="P812" s="28"/>
      <x:c r="Q812" s="28"/>
      <x:c r="R812" s="28"/>
      <x:c r="S812" s="28"/>
      <x:c r="T812" s="28"/>
      <x:c r="U812" s="28"/>
      <x:c r="V812" s="28"/>
      <x:c r="W812" s="28"/>
      <x:c r="X812" s="28"/>
      <x:c r="Y812" s="28"/>
      <x:c r="Z812" s="28"/>
      <x:c r="AA812" s="28"/>
      <x:c r="AB812" s="56" t="str">
        <x:f>IF($A812="","",IF(Z812="Y",20,IF(Z812="Unknown",10,0))+$L812*5+IF(AA812="Y",15,IF(AA812="Unknown",5,0))+IF($J812="Public",10,IF($J812="Partner",7,IF($J812="Internal",3,0)))+IF($W812="Hard-coded",10,IF($W812="Unknown",7,IF($W812="Configurable",3,0)))+IF($I812&gt;=10,10,IF($I812&gt;=5,7,IF($I812&gt;=2,3,0)))+IF($K812="High",10,IF($K812="Medium",5,0)))</x:f>
      </x:c>
      <x:c r="AC812" s="28" t="str">
        <x:f>IF($A812="","",IF(AB812&gt;=70,"P0 - Immediate",IF(AB812&gt;=50,"P1 - High",IF(AB812&gt;=30,"P2 - Medium",IF(AB812&gt;=15,"P3 - Low","P4 - Monitor")))))</x:f>
      </x:c>
      <x:c r="AD812" s="28"/>
      <x:c r="AE812" s="28"/>
      <x:c r="AF812" s="28"/>
      <x:c r="AG812" s="58"/>
      <x:c r="AH812" s="28"/>
    </x:row>
    <x:row r="813">
      <x:c r="A813" s="28"/>
      <x:c r="B813" s="28"/>
      <x:c r="C813" s="28"/>
      <x:c r="D813" s="28"/>
      <x:c r="E813" s="28"/>
      <x:c r="F813" s="28"/>
      <x:c r="G813" s="28"/>
      <x:c r="H813" s="28"/>
      <x:c r="I813" s="56"/>
      <x:c r="J813" s="28"/>
      <x:c r="K813" s="28"/>
      <x:c r="L813" s="56"/>
      <x:c r="M813" s="28"/>
      <x:c r="N813" s="28"/>
      <x:c r="O813" s="28"/>
      <x:c r="P813" s="28"/>
      <x:c r="Q813" s="28"/>
      <x:c r="R813" s="28"/>
      <x:c r="S813" s="28"/>
      <x:c r="T813" s="28"/>
      <x:c r="U813" s="28"/>
      <x:c r="V813" s="28"/>
      <x:c r="W813" s="28"/>
      <x:c r="X813" s="28"/>
      <x:c r="Y813" s="28"/>
      <x:c r="Z813" s="28"/>
      <x:c r="AA813" s="28"/>
      <x:c r="AB813" s="56" t="str">
        <x:f>IF($A813="","",IF(Z813="Y",20,IF(Z813="Unknown",10,0))+$L813*5+IF(AA813="Y",15,IF(AA813="Unknown",5,0))+IF($J813="Public",10,IF($J813="Partner",7,IF($J813="Internal",3,0)))+IF($W813="Hard-coded",10,IF($W813="Unknown",7,IF($W813="Configurable",3,0)))+IF($I813&gt;=10,10,IF($I813&gt;=5,7,IF($I813&gt;=2,3,0)))+IF($K813="High",10,IF($K813="Medium",5,0)))</x:f>
      </x:c>
      <x:c r="AC813" s="28" t="str">
        <x:f>IF($A813="","",IF(AB813&gt;=70,"P0 - Immediate",IF(AB813&gt;=50,"P1 - High",IF(AB813&gt;=30,"P2 - Medium",IF(AB813&gt;=15,"P3 - Low","P4 - Monitor")))))</x:f>
      </x:c>
      <x:c r="AD813" s="28"/>
      <x:c r="AE813" s="28"/>
      <x:c r="AF813" s="28"/>
      <x:c r="AG813" s="58"/>
      <x:c r="AH813" s="28"/>
    </x:row>
    <x:row r="814">
      <x:c r="A814" s="28"/>
      <x:c r="B814" s="28"/>
      <x:c r="C814" s="28"/>
      <x:c r="D814" s="28"/>
      <x:c r="E814" s="28"/>
      <x:c r="F814" s="28"/>
      <x:c r="G814" s="28"/>
      <x:c r="H814" s="28"/>
      <x:c r="I814" s="56"/>
      <x:c r="J814" s="28"/>
      <x:c r="K814" s="28"/>
      <x:c r="L814" s="56"/>
      <x:c r="M814" s="28"/>
      <x:c r="N814" s="28"/>
      <x:c r="O814" s="28"/>
      <x:c r="P814" s="28"/>
      <x:c r="Q814" s="28"/>
      <x:c r="R814" s="28"/>
      <x:c r="S814" s="28"/>
      <x:c r="T814" s="28"/>
      <x:c r="U814" s="28"/>
      <x:c r="V814" s="28"/>
      <x:c r="W814" s="28"/>
      <x:c r="X814" s="28"/>
      <x:c r="Y814" s="28"/>
      <x:c r="Z814" s="28"/>
      <x:c r="AA814" s="28"/>
      <x:c r="AB814" s="56" t="str">
        <x:f>IF($A814="","",IF(Z814="Y",20,IF(Z814="Unknown",10,0))+$L814*5+IF(AA814="Y",15,IF(AA814="Unknown",5,0))+IF($J814="Public",10,IF($J814="Partner",7,IF($J814="Internal",3,0)))+IF($W814="Hard-coded",10,IF($W814="Unknown",7,IF($W814="Configurable",3,0)))+IF($I814&gt;=10,10,IF($I814&gt;=5,7,IF($I814&gt;=2,3,0)))+IF($K814="High",10,IF($K814="Medium",5,0)))</x:f>
      </x:c>
      <x:c r="AC814" s="28" t="str">
        <x:f>IF($A814="","",IF(AB814&gt;=70,"P0 - Immediate",IF(AB814&gt;=50,"P1 - High",IF(AB814&gt;=30,"P2 - Medium",IF(AB814&gt;=15,"P3 - Low","P4 - Monitor")))))</x:f>
      </x:c>
      <x:c r="AD814" s="28"/>
      <x:c r="AE814" s="28"/>
      <x:c r="AF814" s="28"/>
      <x:c r="AG814" s="58"/>
      <x:c r="AH814" s="28"/>
    </x:row>
    <x:row r="815">
      <x:c r="A815" s="28"/>
      <x:c r="B815" s="28"/>
      <x:c r="C815" s="28"/>
      <x:c r="D815" s="28"/>
      <x:c r="E815" s="28"/>
      <x:c r="F815" s="28"/>
      <x:c r="G815" s="28"/>
      <x:c r="H815" s="28"/>
      <x:c r="I815" s="56"/>
      <x:c r="J815" s="28"/>
      <x:c r="K815" s="28"/>
      <x:c r="L815" s="56"/>
      <x:c r="M815" s="28"/>
      <x:c r="N815" s="28"/>
      <x:c r="O815" s="28"/>
      <x:c r="P815" s="28"/>
      <x:c r="Q815" s="28"/>
      <x:c r="R815" s="28"/>
      <x:c r="S815" s="28"/>
      <x:c r="T815" s="28"/>
      <x:c r="U815" s="28"/>
      <x:c r="V815" s="28"/>
      <x:c r="W815" s="28"/>
      <x:c r="X815" s="28"/>
      <x:c r="Y815" s="28"/>
      <x:c r="Z815" s="28"/>
      <x:c r="AA815" s="28"/>
      <x:c r="AB815" s="56" t="str">
        <x:f>IF($A815="","",IF(Z815="Y",20,IF(Z815="Unknown",10,0))+$L815*5+IF(AA815="Y",15,IF(AA815="Unknown",5,0))+IF($J815="Public",10,IF($J815="Partner",7,IF($J815="Internal",3,0)))+IF($W815="Hard-coded",10,IF($W815="Unknown",7,IF($W815="Configurable",3,0)))+IF($I815&gt;=10,10,IF($I815&gt;=5,7,IF($I815&gt;=2,3,0)))+IF($K815="High",10,IF($K815="Medium",5,0)))</x:f>
      </x:c>
      <x:c r="AC815" s="28" t="str">
        <x:f>IF($A815="","",IF(AB815&gt;=70,"P0 - Immediate",IF(AB815&gt;=50,"P1 - High",IF(AB815&gt;=30,"P2 - Medium",IF(AB815&gt;=15,"P3 - Low","P4 - Monitor")))))</x:f>
      </x:c>
      <x:c r="AD815" s="28"/>
      <x:c r="AE815" s="28"/>
      <x:c r="AF815" s="28"/>
      <x:c r="AG815" s="58"/>
      <x:c r="AH815" s="28"/>
    </x:row>
    <x:row r="816">
      <x:c r="A816" s="28"/>
      <x:c r="B816" s="28"/>
      <x:c r="C816" s="28"/>
      <x:c r="D816" s="28"/>
      <x:c r="E816" s="28"/>
      <x:c r="F816" s="28"/>
      <x:c r="G816" s="28"/>
      <x:c r="H816" s="28"/>
      <x:c r="I816" s="56"/>
      <x:c r="J816" s="28"/>
      <x:c r="K816" s="28"/>
      <x:c r="L816" s="56"/>
      <x:c r="M816" s="28"/>
      <x:c r="N816" s="28"/>
      <x:c r="O816" s="28"/>
      <x:c r="P816" s="28"/>
      <x:c r="Q816" s="28"/>
      <x:c r="R816" s="28"/>
      <x:c r="S816" s="28"/>
      <x:c r="T816" s="28"/>
      <x:c r="U816" s="28"/>
      <x:c r="V816" s="28"/>
      <x:c r="W816" s="28"/>
      <x:c r="X816" s="28"/>
      <x:c r="Y816" s="28"/>
      <x:c r="Z816" s="28"/>
      <x:c r="AA816" s="28"/>
      <x:c r="AB816" s="56" t="str">
        <x:f>IF($A816="","",IF(Z816="Y",20,IF(Z816="Unknown",10,0))+$L816*5+IF(AA816="Y",15,IF(AA816="Unknown",5,0))+IF($J816="Public",10,IF($J816="Partner",7,IF($J816="Internal",3,0)))+IF($W816="Hard-coded",10,IF($W816="Unknown",7,IF($W816="Configurable",3,0)))+IF($I816&gt;=10,10,IF($I816&gt;=5,7,IF($I816&gt;=2,3,0)))+IF($K816="High",10,IF($K816="Medium",5,0)))</x:f>
      </x:c>
      <x:c r="AC816" s="28" t="str">
        <x:f>IF($A816="","",IF(AB816&gt;=70,"P0 - Immediate",IF(AB816&gt;=50,"P1 - High",IF(AB816&gt;=30,"P2 - Medium",IF(AB816&gt;=15,"P3 - Low","P4 - Monitor")))))</x:f>
      </x:c>
      <x:c r="AD816" s="28"/>
      <x:c r="AE816" s="28"/>
      <x:c r="AF816" s="28"/>
      <x:c r="AG816" s="58"/>
      <x:c r="AH816" s="28"/>
    </x:row>
    <x:row r="817">
      <x:c r="A817" s="28"/>
      <x:c r="B817" s="28"/>
      <x:c r="C817" s="28"/>
      <x:c r="D817" s="28"/>
      <x:c r="E817" s="28"/>
      <x:c r="F817" s="28"/>
      <x:c r="G817" s="28"/>
      <x:c r="H817" s="28"/>
      <x:c r="I817" s="56"/>
      <x:c r="J817" s="28"/>
      <x:c r="K817" s="28"/>
      <x:c r="L817" s="56"/>
      <x:c r="M817" s="28"/>
      <x:c r="N817" s="28"/>
      <x:c r="O817" s="28"/>
      <x:c r="P817" s="28"/>
      <x:c r="Q817" s="28"/>
      <x:c r="R817" s="28"/>
      <x:c r="S817" s="28"/>
      <x:c r="T817" s="28"/>
      <x:c r="U817" s="28"/>
      <x:c r="V817" s="28"/>
      <x:c r="W817" s="28"/>
      <x:c r="X817" s="28"/>
      <x:c r="Y817" s="28"/>
      <x:c r="Z817" s="28"/>
      <x:c r="AA817" s="28"/>
      <x:c r="AB817" s="56" t="str">
        <x:f>IF($A817="","",IF(Z817="Y",20,IF(Z817="Unknown",10,0))+$L817*5+IF(AA817="Y",15,IF(AA817="Unknown",5,0))+IF($J817="Public",10,IF($J817="Partner",7,IF($J817="Internal",3,0)))+IF($W817="Hard-coded",10,IF($W817="Unknown",7,IF($W817="Configurable",3,0)))+IF($I817&gt;=10,10,IF($I817&gt;=5,7,IF($I817&gt;=2,3,0)))+IF($K817="High",10,IF($K817="Medium",5,0)))</x:f>
      </x:c>
      <x:c r="AC817" s="28" t="str">
        <x:f>IF($A817="","",IF(AB817&gt;=70,"P0 - Immediate",IF(AB817&gt;=50,"P1 - High",IF(AB817&gt;=30,"P2 - Medium",IF(AB817&gt;=15,"P3 - Low","P4 - Monitor")))))</x:f>
      </x:c>
      <x:c r="AD817" s="28"/>
      <x:c r="AE817" s="28"/>
      <x:c r="AF817" s="28"/>
      <x:c r="AG817" s="58"/>
      <x:c r="AH817" s="28"/>
    </x:row>
    <x:row r="818">
      <x:c r="A818" s="28"/>
      <x:c r="B818" s="28"/>
      <x:c r="C818" s="28"/>
      <x:c r="D818" s="28"/>
      <x:c r="E818" s="28"/>
      <x:c r="F818" s="28"/>
      <x:c r="G818" s="28"/>
      <x:c r="H818" s="28"/>
      <x:c r="I818" s="56"/>
      <x:c r="J818" s="28"/>
      <x:c r="K818" s="28"/>
      <x:c r="L818" s="56"/>
      <x:c r="M818" s="28"/>
      <x:c r="N818" s="28"/>
      <x:c r="O818" s="28"/>
      <x:c r="P818" s="28"/>
      <x:c r="Q818" s="28"/>
      <x:c r="R818" s="28"/>
      <x:c r="S818" s="28"/>
      <x:c r="T818" s="28"/>
      <x:c r="U818" s="28"/>
      <x:c r="V818" s="28"/>
      <x:c r="W818" s="28"/>
      <x:c r="X818" s="28"/>
      <x:c r="Y818" s="28"/>
      <x:c r="Z818" s="28"/>
      <x:c r="AA818" s="28"/>
      <x:c r="AB818" s="56" t="str">
        <x:f>IF($A818="","",IF(Z818="Y",20,IF(Z818="Unknown",10,0))+$L818*5+IF(AA818="Y",15,IF(AA818="Unknown",5,0))+IF($J818="Public",10,IF($J818="Partner",7,IF($J818="Internal",3,0)))+IF($W818="Hard-coded",10,IF($W818="Unknown",7,IF($W818="Configurable",3,0)))+IF($I818&gt;=10,10,IF($I818&gt;=5,7,IF($I818&gt;=2,3,0)))+IF($K818="High",10,IF($K818="Medium",5,0)))</x:f>
      </x:c>
      <x:c r="AC818" s="28" t="str">
        <x:f>IF($A818="","",IF(AB818&gt;=70,"P0 - Immediate",IF(AB818&gt;=50,"P1 - High",IF(AB818&gt;=30,"P2 - Medium",IF(AB818&gt;=15,"P3 - Low","P4 - Monitor")))))</x:f>
      </x:c>
      <x:c r="AD818" s="28"/>
      <x:c r="AE818" s="28"/>
      <x:c r="AF818" s="28"/>
      <x:c r="AG818" s="58"/>
      <x:c r="AH818" s="28"/>
    </x:row>
    <x:row r="819">
      <x:c r="A819" s="28"/>
      <x:c r="B819" s="28"/>
      <x:c r="C819" s="28"/>
      <x:c r="D819" s="28"/>
      <x:c r="E819" s="28"/>
      <x:c r="F819" s="28"/>
      <x:c r="G819" s="28"/>
      <x:c r="H819" s="28"/>
      <x:c r="I819" s="56"/>
      <x:c r="J819" s="28"/>
      <x:c r="K819" s="28"/>
      <x:c r="L819" s="56"/>
      <x:c r="M819" s="28"/>
      <x:c r="N819" s="28"/>
      <x:c r="O819" s="28"/>
      <x:c r="P819" s="28"/>
      <x:c r="Q819" s="28"/>
      <x:c r="R819" s="28"/>
      <x:c r="S819" s="28"/>
      <x:c r="T819" s="28"/>
      <x:c r="U819" s="28"/>
      <x:c r="V819" s="28"/>
      <x:c r="W819" s="28"/>
      <x:c r="X819" s="28"/>
      <x:c r="Y819" s="28"/>
      <x:c r="Z819" s="28"/>
      <x:c r="AA819" s="28"/>
      <x:c r="AB819" s="56" t="str">
        <x:f>IF($A819="","",IF(Z819="Y",20,IF(Z819="Unknown",10,0))+$L819*5+IF(AA819="Y",15,IF(AA819="Unknown",5,0))+IF($J819="Public",10,IF($J819="Partner",7,IF($J819="Internal",3,0)))+IF($W819="Hard-coded",10,IF($W819="Unknown",7,IF($W819="Configurable",3,0)))+IF($I819&gt;=10,10,IF($I819&gt;=5,7,IF($I819&gt;=2,3,0)))+IF($K819="High",10,IF($K819="Medium",5,0)))</x:f>
      </x:c>
      <x:c r="AC819" s="28" t="str">
        <x:f>IF($A819="","",IF(AB819&gt;=70,"P0 - Immediate",IF(AB819&gt;=50,"P1 - High",IF(AB819&gt;=30,"P2 - Medium",IF(AB819&gt;=15,"P3 - Low","P4 - Monitor")))))</x:f>
      </x:c>
      <x:c r="AD819" s="28"/>
      <x:c r="AE819" s="28"/>
      <x:c r="AF819" s="28"/>
      <x:c r="AG819" s="58"/>
      <x:c r="AH819" s="28"/>
    </x:row>
    <x:row r="820">
      <x:c r="A820" s="28"/>
      <x:c r="B820" s="28"/>
      <x:c r="C820" s="28"/>
      <x:c r="D820" s="28"/>
      <x:c r="E820" s="28"/>
      <x:c r="F820" s="28"/>
      <x:c r="G820" s="28"/>
      <x:c r="H820" s="28"/>
      <x:c r="I820" s="56"/>
      <x:c r="J820" s="28"/>
      <x:c r="K820" s="28"/>
      <x:c r="L820" s="56"/>
      <x:c r="M820" s="28"/>
      <x:c r="N820" s="28"/>
      <x:c r="O820" s="28"/>
      <x:c r="P820" s="28"/>
      <x:c r="Q820" s="28"/>
      <x:c r="R820" s="28"/>
      <x:c r="S820" s="28"/>
      <x:c r="T820" s="28"/>
      <x:c r="U820" s="28"/>
      <x:c r="V820" s="28"/>
      <x:c r="W820" s="28"/>
      <x:c r="X820" s="28"/>
      <x:c r="Y820" s="28"/>
      <x:c r="Z820" s="28"/>
      <x:c r="AA820" s="28"/>
      <x:c r="AB820" s="56" t="str">
        <x:f>IF($A820="","",IF(Z820="Y",20,IF(Z820="Unknown",10,0))+$L820*5+IF(AA820="Y",15,IF(AA820="Unknown",5,0))+IF($J820="Public",10,IF($J820="Partner",7,IF($J820="Internal",3,0)))+IF($W820="Hard-coded",10,IF($W820="Unknown",7,IF($W820="Configurable",3,0)))+IF($I820&gt;=10,10,IF($I820&gt;=5,7,IF($I820&gt;=2,3,0)))+IF($K820="High",10,IF($K820="Medium",5,0)))</x:f>
      </x:c>
      <x:c r="AC820" s="28" t="str">
        <x:f>IF($A820="","",IF(AB820&gt;=70,"P0 - Immediate",IF(AB820&gt;=50,"P1 - High",IF(AB820&gt;=30,"P2 - Medium",IF(AB820&gt;=15,"P3 - Low","P4 - Monitor")))))</x:f>
      </x:c>
      <x:c r="AD820" s="28"/>
      <x:c r="AE820" s="28"/>
      <x:c r="AF820" s="28"/>
      <x:c r="AG820" s="58"/>
      <x:c r="AH820" s="28"/>
    </x:row>
    <x:row r="821">
      <x:c r="A821" s="28"/>
      <x:c r="B821" s="28"/>
      <x:c r="C821" s="28"/>
      <x:c r="D821" s="28"/>
      <x:c r="E821" s="28"/>
      <x:c r="F821" s="28"/>
      <x:c r="G821" s="28"/>
      <x:c r="H821" s="28"/>
      <x:c r="I821" s="56"/>
      <x:c r="J821" s="28"/>
      <x:c r="K821" s="28"/>
      <x:c r="L821" s="56"/>
      <x:c r="M821" s="28"/>
      <x:c r="N821" s="28"/>
      <x:c r="O821" s="28"/>
      <x:c r="P821" s="28"/>
      <x:c r="Q821" s="28"/>
      <x:c r="R821" s="28"/>
      <x:c r="S821" s="28"/>
      <x:c r="T821" s="28"/>
      <x:c r="U821" s="28"/>
      <x:c r="V821" s="28"/>
      <x:c r="W821" s="28"/>
      <x:c r="X821" s="28"/>
      <x:c r="Y821" s="28"/>
      <x:c r="Z821" s="28"/>
      <x:c r="AA821" s="28"/>
      <x:c r="AB821" s="56" t="str">
        <x:f>IF($A821="","",IF(Z821="Y",20,IF(Z821="Unknown",10,0))+$L821*5+IF(AA821="Y",15,IF(AA821="Unknown",5,0))+IF($J821="Public",10,IF($J821="Partner",7,IF($J821="Internal",3,0)))+IF($W821="Hard-coded",10,IF($W821="Unknown",7,IF($W821="Configurable",3,0)))+IF($I821&gt;=10,10,IF($I821&gt;=5,7,IF($I821&gt;=2,3,0)))+IF($K821="High",10,IF($K821="Medium",5,0)))</x:f>
      </x:c>
      <x:c r="AC821" s="28" t="str">
        <x:f>IF($A821="","",IF(AB821&gt;=70,"P0 - Immediate",IF(AB821&gt;=50,"P1 - High",IF(AB821&gt;=30,"P2 - Medium",IF(AB821&gt;=15,"P3 - Low","P4 - Monitor")))))</x:f>
      </x:c>
      <x:c r="AD821" s="28"/>
      <x:c r="AE821" s="28"/>
      <x:c r="AF821" s="28"/>
      <x:c r="AG821" s="58"/>
      <x:c r="AH821" s="28"/>
    </x:row>
    <x:row r="822">
      <x:c r="A822" s="28"/>
      <x:c r="B822" s="28"/>
      <x:c r="C822" s="28"/>
      <x:c r="D822" s="28"/>
      <x:c r="E822" s="28"/>
      <x:c r="F822" s="28"/>
      <x:c r="G822" s="28"/>
      <x:c r="H822" s="28"/>
      <x:c r="I822" s="56"/>
      <x:c r="J822" s="28"/>
      <x:c r="K822" s="28"/>
      <x:c r="L822" s="56"/>
      <x:c r="M822" s="28"/>
      <x:c r="N822" s="28"/>
      <x:c r="O822" s="28"/>
      <x:c r="P822" s="28"/>
      <x:c r="Q822" s="28"/>
      <x:c r="R822" s="28"/>
      <x:c r="S822" s="28"/>
      <x:c r="T822" s="28"/>
      <x:c r="U822" s="28"/>
      <x:c r="V822" s="28"/>
      <x:c r="W822" s="28"/>
      <x:c r="X822" s="28"/>
      <x:c r="Y822" s="28"/>
      <x:c r="Z822" s="28"/>
      <x:c r="AA822" s="28"/>
      <x:c r="AB822" s="56" t="str">
        <x:f>IF($A822="","",IF(Z822="Y",20,IF(Z822="Unknown",10,0))+$L822*5+IF(AA822="Y",15,IF(AA822="Unknown",5,0))+IF($J822="Public",10,IF($J822="Partner",7,IF($J822="Internal",3,0)))+IF($W822="Hard-coded",10,IF($W822="Unknown",7,IF($W822="Configurable",3,0)))+IF($I822&gt;=10,10,IF($I822&gt;=5,7,IF($I822&gt;=2,3,0)))+IF($K822="High",10,IF($K822="Medium",5,0)))</x:f>
      </x:c>
      <x:c r="AC822" s="28" t="str">
        <x:f>IF($A822="","",IF(AB822&gt;=70,"P0 - Immediate",IF(AB822&gt;=50,"P1 - High",IF(AB822&gt;=30,"P2 - Medium",IF(AB822&gt;=15,"P3 - Low","P4 - Monitor")))))</x:f>
      </x:c>
      <x:c r="AD822" s="28"/>
      <x:c r="AE822" s="28"/>
      <x:c r="AF822" s="28"/>
      <x:c r="AG822" s="58"/>
      <x:c r="AH822" s="28"/>
    </x:row>
    <x:row r="823">
      <x:c r="A823" s="28"/>
      <x:c r="B823" s="28"/>
      <x:c r="C823" s="28"/>
      <x:c r="D823" s="28"/>
      <x:c r="E823" s="28"/>
      <x:c r="F823" s="28"/>
      <x:c r="G823" s="28"/>
      <x:c r="H823" s="28"/>
      <x:c r="I823" s="56"/>
      <x:c r="J823" s="28"/>
      <x:c r="K823" s="28"/>
      <x:c r="L823" s="56"/>
      <x:c r="M823" s="28"/>
      <x:c r="N823" s="28"/>
      <x:c r="O823" s="28"/>
      <x:c r="P823" s="28"/>
      <x:c r="Q823" s="28"/>
      <x:c r="R823" s="28"/>
      <x:c r="S823" s="28"/>
      <x:c r="T823" s="28"/>
      <x:c r="U823" s="28"/>
      <x:c r="V823" s="28"/>
      <x:c r="W823" s="28"/>
      <x:c r="X823" s="28"/>
      <x:c r="Y823" s="28"/>
      <x:c r="Z823" s="28"/>
      <x:c r="AA823" s="28"/>
      <x:c r="AB823" s="56" t="str">
        <x:f>IF($A823="","",IF(Z823="Y",20,IF(Z823="Unknown",10,0))+$L823*5+IF(AA823="Y",15,IF(AA823="Unknown",5,0))+IF($J823="Public",10,IF($J823="Partner",7,IF($J823="Internal",3,0)))+IF($W823="Hard-coded",10,IF($W823="Unknown",7,IF($W823="Configurable",3,0)))+IF($I823&gt;=10,10,IF($I823&gt;=5,7,IF($I823&gt;=2,3,0)))+IF($K823="High",10,IF($K823="Medium",5,0)))</x:f>
      </x:c>
      <x:c r="AC823" s="28" t="str">
        <x:f>IF($A823="","",IF(AB823&gt;=70,"P0 - Immediate",IF(AB823&gt;=50,"P1 - High",IF(AB823&gt;=30,"P2 - Medium",IF(AB823&gt;=15,"P3 - Low","P4 - Monitor")))))</x:f>
      </x:c>
      <x:c r="AD823" s="28"/>
      <x:c r="AE823" s="28"/>
      <x:c r="AF823" s="28"/>
      <x:c r="AG823" s="58"/>
      <x:c r="AH823" s="28"/>
    </x:row>
    <x:row r="824">
      <x:c r="A824" s="28"/>
      <x:c r="B824" s="28"/>
      <x:c r="C824" s="28"/>
      <x:c r="D824" s="28"/>
      <x:c r="E824" s="28"/>
      <x:c r="F824" s="28"/>
      <x:c r="G824" s="28"/>
      <x:c r="H824" s="28"/>
      <x:c r="I824" s="56"/>
      <x:c r="J824" s="28"/>
      <x:c r="K824" s="28"/>
      <x:c r="L824" s="56"/>
      <x:c r="M824" s="28"/>
      <x:c r="N824" s="28"/>
      <x:c r="O824" s="28"/>
      <x:c r="P824" s="28"/>
      <x:c r="Q824" s="28"/>
      <x:c r="R824" s="28"/>
      <x:c r="S824" s="28"/>
      <x:c r="T824" s="28"/>
      <x:c r="U824" s="28"/>
      <x:c r="V824" s="28"/>
      <x:c r="W824" s="28"/>
      <x:c r="X824" s="28"/>
      <x:c r="Y824" s="28"/>
      <x:c r="Z824" s="28"/>
      <x:c r="AA824" s="28"/>
      <x:c r="AB824" s="56" t="str">
        <x:f>IF($A824="","",IF(Z824="Y",20,IF(Z824="Unknown",10,0))+$L824*5+IF(AA824="Y",15,IF(AA824="Unknown",5,0))+IF($J824="Public",10,IF($J824="Partner",7,IF($J824="Internal",3,0)))+IF($W824="Hard-coded",10,IF($W824="Unknown",7,IF($W824="Configurable",3,0)))+IF($I824&gt;=10,10,IF($I824&gt;=5,7,IF($I824&gt;=2,3,0)))+IF($K824="High",10,IF($K824="Medium",5,0)))</x:f>
      </x:c>
      <x:c r="AC824" s="28" t="str">
        <x:f>IF($A824="","",IF(AB824&gt;=70,"P0 - Immediate",IF(AB824&gt;=50,"P1 - High",IF(AB824&gt;=30,"P2 - Medium",IF(AB824&gt;=15,"P3 - Low","P4 - Monitor")))))</x:f>
      </x:c>
      <x:c r="AD824" s="28"/>
      <x:c r="AE824" s="28"/>
      <x:c r="AF824" s="28"/>
      <x:c r="AG824" s="58"/>
      <x:c r="AH824" s="28"/>
    </x:row>
    <x:row r="825">
      <x:c r="A825" s="28"/>
      <x:c r="B825" s="28"/>
      <x:c r="C825" s="28"/>
      <x:c r="D825" s="28"/>
      <x:c r="E825" s="28"/>
      <x:c r="F825" s="28"/>
      <x:c r="G825" s="28"/>
      <x:c r="H825" s="28"/>
      <x:c r="I825" s="56"/>
      <x:c r="J825" s="28"/>
      <x:c r="K825" s="28"/>
      <x:c r="L825" s="56"/>
      <x:c r="M825" s="28"/>
      <x:c r="N825" s="28"/>
      <x:c r="O825" s="28"/>
      <x:c r="P825" s="28"/>
      <x:c r="Q825" s="28"/>
      <x:c r="R825" s="28"/>
      <x:c r="S825" s="28"/>
      <x:c r="T825" s="28"/>
      <x:c r="U825" s="28"/>
      <x:c r="V825" s="28"/>
      <x:c r="W825" s="28"/>
      <x:c r="X825" s="28"/>
      <x:c r="Y825" s="28"/>
      <x:c r="Z825" s="28"/>
      <x:c r="AA825" s="28"/>
      <x:c r="AB825" s="56" t="str">
        <x:f>IF($A825="","",IF(Z825="Y",20,IF(Z825="Unknown",10,0))+$L825*5+IF(AA825="Y",15,IF(AA825="Unknown",5,0))+IF($J825="Public",10,IF($J825="Partner",7,IF($J825="Internal",3,0)))+IF($W825="Hard-coded",10,IF($W825="Unknown",7,IF($W825="Configurable",3,0)))+IF($I825&gt;=10,10,IF($I825&gt;=5,7,IF($I825&gt;=2,3,0)))+IF($K825="High",10,IF($K825="Medium",5,0)))</x:f>
      </x:c>
      <x:c r="AC825" s="28" t="str">
        <x:f>IF($A825="","",IF(AB825&gt;=70,"P0 - Immediate",IF(AB825&gt;=50,"P1 - High",IF(AB825&gt;=30,"P2 - Medium",IF(AB825&gt;=15,"P3 - Low","P4 - Monitor")))))</x:f>
      </x:c>
      <x:c r="AD825" s="28"/>
      <x:c r="AE825" s="28"/>
      <x:c r="AF825" s="28"/>
      <x:c r="AG825" s="58"/>
      <x:c r="AH825" s="28"/>
    </x:row>
    <x:row r="826">
      <x:c r="A826" s="28"/>
      <x:c r="B826" s="28"/>
      <x:c r="C826" s="28"/>
      <x:c r="D826" s="28"/>
      <x:c r="E826" s="28"/>
      <x:c r="F826" s="28"/>
      <x:c r="G826" s="28"/>
      <x:c r="H826" s="28"/>
      <x:c r="I826" s="56"/>
      <x:c r="J826" s="28"/>
      <x:c r="K826" s="28"/>
      <x:c r="L826" s="56"/>
      <x:c r="M826" s="28"/>
      <x:c r="N826" s="28"/>
      <x:c r="O826" s="28"/>
      <x:c r="P826" s="28"/>
      <x:c r="Q826" s="28"/>
      <x:c r="R826" s="28"/>
      <x:c r="S826" s="28"/>
      <x:c r="T826" s="28"/>
      <x:c r="U826" s="28"/>
      <x:c r="V826" s="28"/>
      <x:c r="W826" s="28"/>
      <x:c r="X826" s="28"/>
      <x:c r="Y826" s="28"/>
      <x:c r="Z826" s="28"/>
      <x:c r="AA826" s="28"/>
      <x:c r="AB826" s="56" t="str">
        <x:f>IF($A826="","",IF(Z826="Y",20,IF(Z826="Unknown",10,0))+$L826*5+IF(AA826="Y",15,IF(AA826="Unknown",5,0))+IF($J826="Public",10,IF($J826="Partner",7,IF($J826="Internal",3,0)))+IF($W826="Hard-coded",10,IF($W826="Unknown",7,IF($W826="Configurable",3,0)))+IF($I826&gt;=10,10,IF($I826&gt;=5,7,IF($I826&gt;=2,3,0)))+IF($K826="High",10,IF($K826="Medium",5,0)))</x:f>
      </x:c>
      <x:c r="AC826" s="28" t="str">
        <x:f>IF($A826="","",IF(AB826&gt;=70,"P0 - Immediate",IF(AB826&gt;=50,"P1 - High",IF(AB826&gt;=30,"P2 - Medium",IF(AB826&gt;=15,"P3 - Low","P4 - Monitor")))))</x:f>
      </x:c>
      <x:c r="AD826" s="28"/>
      <x:c r="AE826" s="28"/>
      <x:c r="AF826" s="28"/>
      <x:c r="AG826" s="58"/>
      <x:c r="AH826" s="28"/>
    </x:row>
    <x:row r="827">
      <x:c r="A827" s="28"/>
      <x:c r="B827" s="28"/>
      <x:c r="C827" s="28"/>
      <x:c r="D827" s="28"/>
      <x:c r="E827" s="28"/>
      <x:c r="F827" s="28"/>
      <x:c r="G827" s="28"/>
      <x:c r="H827" s="28"/>
      <x:c r="I827" s="56"/>
      <x:c r="J827" s="28"/>
      <x:c r="K827" s="28"/>
      <x:c r="L827" s="56"/>
      <x:c r="M827" s="28"/>
      <x:c r="N827" s="28"/>
      <x:c r="O827" s="28"/>
      <x:c r="P827" s="28"/>
      <x:c r="Q827" s="28"/>
      <x:c r="R827" s="28"/>
      <x:c r="S827" s="28"/>
      <x:c r="T827" s="28"/>
      <x:c r="U827" s="28"/>
      <x:c r="V827" s="28"/>
      <x:c r="W827" s="28"/>
      <x:c r="X827" s="28"/>
      <x:c r="Y827" s="28"/>
      <x:c r="Z827" s="28"/>
      <x:c r="AA827" s="28"/>
      <x:c r="AB827" s="56" t="str">
        <x:f>IF($A827="","",IF(Z827="Y",20,IF(Z827="Unknown",10,0))+$L827*5+IF(AA827="Y",15,IF(AA827="Unknown",5,0))+IF($J827="Public",10,IF($J827="Partner",7,IF($J827="Internal",3,0)))+IF($W827="Hard-coded",10,IF($W827="Unknown",7,IF($W827="Configurable",3,0)))+IF($I827&gt;=10,10,IF($I827&gt;=5,7,IF($I827&gt;=2,3,0)))+IF($K827="High",10,IF($K827="Medium",5,0)))</x:f>
      </x:c>
      <x:c r="AC827" s="28" t="str">
        <x:f>IF($A827="","",IF(AB827&gt;=70,"P0 - Immediate",IF(AB827&gt;=50,"P1 - High",IF(AB827&gt;=30,"P2 - Medium",IF(AB827&gt;=15,"P3 - Low","P4 - Monitor")))))</x:f>
      </x:c>
      <x:c r="AD827" s="28"/>
      <x:c r="AE827" s="28"/>
      <x:c r="AF827" s="28"/>
      <x:c r="AG827" s="58"/>
      <x:c r="AH827" s="28"/>
    </x:row>
    <x:row r="828">
      <x:c r="A828" s="28"/>
      <x:c r="B828" s="28"/>
      <x:c r="C828" s="28"/>
      <x:c r="D828" s="28"/>
      <x:c r="E828" s="28"/>
      <x:c r="F828" s="28"/>
      <x:c r="G828" s="28"/>
      <x:c r="H828" s="28"/>
      <x:c r="I828" s="56"/>
      <x:c r="J828" s="28"/>
      <x:c r="K828" s="28"/>
      <x:c r="L828" s="56"/>
      <x:c r="M828" s="28"/>
      <x:c r="N828" s="28"/>
      <x:c r="O828" s="28"/>
      <x:c r="P828" s="28"/>
      <x:c r="Q828" s="28"/>
      <x:c r="R828" s="28"/>
      <x:c r="S828" s="28"/>
      <x:c r="T828" s="28"/>
      <x:c r="U828" s="28"/>
      <x:c r="V828" s="28"/>
      <x:c r="W828" s="28"/>
      <x:c r="X828" s="28"/>
      <x:c r="Y828" s="28"/>
      <x:c r="Z828" s="28"/>
      <x:c r="AA828" s="28"/>
      <x:c r="AB828" s="56" t="str">
        <x:f>IF($A828="","",IF(Z828="Y",20,IF(Z828="Unknown",10,0))+$L828*5+IF(AA828="Y",15,IF(AA828="Unknown",5,0))+IF($J828="Public",10,IF($J828="Partner",7,IF($J828="Internal",3,0)))+IF($W828="Hard-coded",10,IF($W828="Unknown",7,IF($W828="Configurable",3,0)))+IF($I828&gt;=10,10,IF($I828&gt;=5,7,IF($I828&gt;=2,3,0)))+IF($K828="High",10,IF($K828="Medium",5,0)))</x:f>
      </x:c>
      <x:c r="AC828" s="28" t="str">
        <x:f>IF($A828="","",IF(AB828&gt;=70,"P0 - Immediate",IF(AB828&gt;=50,"P1 - High",IF(AB828&gt;=30,"P2 - Medium",IF(AB828&gt;=15,"P3 - Low","P4 - Monitor")))))</x:f>
      </x:c>
      <x:c r="AD828" s="28"/>
      <x:c r="AE828" s="28"/>
      <x:c r="AF828" s="28"/>
      <x:c r="AG828" s="58"/>
      <x:c r="AH828" s="28"/>
    </x:row>
    <x:row r="829">
      <x:c r="A829" s="28"/>
      <x:c r="B829" s="28"/>
      <x:c r="C829" s="28"/>
      <x:c r="D829" s="28"/>
      <x:c r="E829" s="28"/>
      <x:c r="F829" s="28"/>
      <x:c r="G829" s="28"/>
      <x:c r="H829" s="28"/>
      <x:c r="I829" s="56"/>
      <x:c r="J829" s="28"/>
      <x:c r="K829" s="28"/>
      <x:c r="L829" s="56"/>
      <x:c r="M829" s="28"/>
      <x:c r="N829" s="28"/>
      <x:c r="O829" s="28"/>
      <x:c r="P829" s="28"/>
      <x:c r="Q829" s="28"/>
      <x:c r="R829" s="28"/>
      <x:c r="S829" s="28"/>
      <x:c r="T829" s="28"/>
      <x:c r="U829" s="28"/>
      <x:c r="V829" s="28"/>
      <x:c r="W829" s="28"/>
      <x:c r="X829" s="28"/>
      <x:c r="Y829" s="28"/>
      <x:c r="Z829" s="28"/>
      <x:c r="AA829" s="28"/>
      <x:c r="AB829" s="56" t="str">
        <x:f>IF($A829="","",IF(Z829="Y",20,IF(Z829="Unknown",10,0))+$L829*5+IF(AA829="Y",15,IF(AA829="Unknown",5,0))+IF($J829="Public",10,IF($J829="Partner",7,IF($J829="Internal",3,0)))+IF($W829="Hard-coded",10,IF($W829="Unknown",7,IF($W829="Configurable",3,0)))+IF($I829&gt;=10,10,IF($I829&gt;=5,7,IF($I829&gt;=2,3,0)))+IF($K829="High",10,IF($K829="Medium",5,0)))</x:f>
      </x:c>
      <x:c r="AC829" s="28" t="str">
        <x:f>IF($A829="","",IF(AB829&gt;=70,"P0 - Immediate",IF(AB829&gt;=50,"P1 - High",IF(AB829&gt;=30,"P2 - Medium",IF(AB829&gt;=15,"P3 - Low","P4 - Monitor")))))</x:f>
      </x:c>
      <x:c r="AD829" s="28"/>
      <x:c r="AE829" s="28"/>
      <x:c r="AF829" s="28"/>
      <x:c r="AG829" s="58"/>
      <x:c r="AH829" s="28"/>
    </x:row>
    <x:row r="830">
      <x:c r="A830" s="28"/>
      <x:c r="B830" s="28"/>
      <x:c r="C830" s="28"/>
      <x:c r="D830" s="28"/>
      <x:c r="E830" s="28"/>
      <x:c r="F830" s="28"/>
      <x:c r="G830" s="28"/>
      <x:c r="H830" s="28"/>
      <x:c r="I830" s="56"/>
      <x:c r="J830" s="28"/>
      <x:c r="K830" s="28"/>
      <x:c r="L830" s="56"/>
      <x:c r="M830" s="28"/>
      <x:c r="N830" s="28"/>
      <x:c r="O830" s="28"/>
      <x:c r="P830" s="28"/>
      <x:c r="Q830" s="28"/>
      <x:c r="R830" s="28"/>
      <x:c r="S830" s="28"/>
      <x:c r="T830" s="28"/>
      <x:c r="U830" s="28"/>
      <x:c r="V830" s="28"/>
      <x:c r="W830" s="28"/>
      <x:c r="X830" s="28"/>
      <x:c r="Y830" s="28"/>
      <x:c r="Z830" s="28"/>
      <x:c r="AA830" s="28"/>
      <x:c r="AB830" s="56" t="str">
        <x:f>IF($A830="","",IF(Z830="Y",20,IF(Z830="Unknown",10,0))+$L830*5+IF(AA830="Y",15,IF(AA830="Unknown",5,0))+IF($J830="Public",10,IF($J830="Partner",7,IF($J830="Internal",3,0)))+IF($W830="Hard-coded",10,IF($W830="Unknown",7,IF($W830="Configurable",3,0)))+IF($I830&gt;=10,10,IF($I830&gt;=5,7,IF($I830&gt;=2,3,0)))+IF($K830="High",10,IF($K830="Medium",5,0)))</x:f>
      </x:c>
      <x:c r="AC830" s="28" t="str">
        <x:f>IF($A830="","",IF(AB830&gt;=70,"P0 - Immediate",IF(AB830&gt;=50,"P1 - High",IF(AB830&gt;=30,"P2 - Medium",IF(AB830&gt;=15,"P3 - Low","P4 - Monitor")))))</x:f>
      </x:c>
      <x:c r="AD830" s="28"/>
      <x:c r="AE830" s="28"/>
      <x:c r="AF830" s="28"/>
      <x:c r="AG830" s="58"/>
      <x:c r="AH830" s="28"/>
    </x:row>
    <x:row r="831">
      <x:c r="A831" s="28"/>
      <x:c r="B831" s="28"/>
      <x:c r="C831" s="28"/>
      <x:c r="D831" s="28"/>
      <x:c r="E831" s="28"/>
      <x:c r="F831" s="28"/>
      <x:c r="G831" s="28"/>
      <x:c r="H831" s="28"/>
      <x:c r="I831" s="56"/>
      <x:c r="J831" s="28"/>
      <x:c r="K831" s="28"/>
      <x:c r="L831" s="56"/>
      <x:c r="M831" s="28"/>
      <x:c r="N831" s="28"/>
      <x:c r="O831" s="28"/>
      <x:c r="P831" s="28"/>
      <x:c r="Q831" s="28"/>
      <x:c r="R831" s="28"/>
      <x:c r="S831" s="28"/>
      <x:c r="T831" s="28"/>
      <x:c r="U831" s="28"/>
      <x:c r="V831" s="28"/>
      <x:c r="W831" s="28"/>
      <x:c r="X831" s="28"/>
      <x:c r="Y831" s="28"/>
      <x:c r="Z831" s="28"/>
      <x:c r="AA831" s="28"/>
      <x:c r="AB831" s="56" t="str">
        <x:f>IF($A831="","",IF(Z831="Y",20,IF(Z831="Unknown",10,0))+$L831*5+IF(AA831="Y",15,IF(AA831="Unknown",5,0))+IF($J831="Public",10,IF($J831="Partner",7,IF($J831="Internal",3,0)))+IF($W831="Hard-coded",10,IF($W831="Unknown",7,IF($W831="Configurable",3,0)))+IF($I831&gt;=10,10,IF($I831&gt;=5,7,IF($I831&gt;=2,3,0)))+IF($K831="High",10,IF($K831="Medium",5,0)))</x:f>
      </x:c>
      <x:c r="AC831" s="28" t="str">
        <x:f>IF($A831="","",IF(AB831&gt;=70,"P0 - Immediate",IF(AB831&gt;=50,"P1 - High",IF(AB831&gt;=30,"P2 - Medium",IF(AB831&gt;=15,"P3 - Low","P4 - Monitor")))))</x:f>
      </x:c>
      <x:c r="AD831" s="28"/>
      <x:c r="AE831" s="28"/>
      <x:c r="AF831" s="28"/>
      <x:c r="AG831" s="58"/>
      <x:c r="AH831" s="28"/>
    </x:row>
    <x:row r="832">
      <x:c r="A832" s="28"/>
      <x:c r="B832" s="28"/>
      <x:c r="C832" s="28"/>
      <x:c r="D832" s="28"/>
      <x:c r="E832" s="28"/>
      <x:c r="F832" s="28"/>
      <x:c r="G832" s="28"/>
      <x:c r="H832" s="28"/>
      <x:c r="I832" s="56"/>
      <x:c r="J832" s="28"/>
      <x:c r="K832" s="28"/>
      <x:c r="L832" s="56"/>
      <x:c r="M832" s="28"/>
      <x:c r="N832" s="28"/>
      <x:c r="O832" s="28"/>
      <x:c r="P832" s="28"/>
      <x:c r="Q832" s="28"/>
      <x:c r="R832" s="28"/>
      <x:c r="S832" s="28"/>
      <x:c r="T832" s="28"/>
      <x:c r="U832" s="28"/>
      <x:c r="V832" s="28"/>
      <x:c r="W832" s="28"/>
      <x:c r="X832" s="28"/>
      <x:c r="Y832" s="28"/>
      <x:c r="Z832" s="28"/>
      <x:c r="AA832" s="28"/>
      <x:c r="AB832" s="56" t="str">
        <x:f>IF($A832="","",IF(Z832="Y",20,IF(Z832="Unknown",10,0))+$L832*5+IF(AA832="Y",15,IF(AA832="Unknown",5,0))+IF($J832="Public",10,IF($J832="Partner",7,IF($J832="Internal",3,0)))+IF($W832="Hard-coded",10,IF($W832="Unknown",7,IF($W832="Configurable",3,0)))+IF($I832&gt;=10,10,IF($I832&gt;=5,7,IF($I832&gt;=2,3,0)))+IF($K832="High",10,IF($K832="Medium",5,0)))</x:f>
      </x:c>
      <x:c r="AC832" s="28" t="str">
        <x:f>IF($A832="","",IF(AB832&gt;=70,"P0 - Immediate",IF(AB832&gt;=50,"P1 - High",IF(AB832&gt;=30,"P2 - Medium",IF(AB832&gt;=15,"P3 - Low","P4 - Monitor")))))</x:f>
      </x:c>
      <x:c r="AD832" s="28"/>
      <x:c r="AE832" s="28"/>
      <x:c r="AF832" s="28"/>
      <x:c r="AG832" s="58"/>
      <x:c r="AH832" s="28"/>
    </x:row>
    <x:row r="833">
      <x:c r="A833" s="28"/>
      <x:c r="B833" s="28"/>
      <x:c r="C833" s="28"/>
      <x:c r="D833" s="28"/>
      <x:c r="E833" s="28"/>
      <x:c r="F833" s="28"/>
      <x:c r="G833" s="28"/>
      <x:c r="H833" s="28"/>
      <x:c r="I833" s="56"/>
      <x:c r="J833" s="28"/>
      <x:c r="K833" s="28"/>
      <x:c r="L833" s="56"/>
      <x:c r="M833" s="28"/>
      <x:c r="N833" s="28"/>
      <x:c r="O833" s="28"/>
      <x:c r="P833" s="28"/>
      <x:c r="Q833" s="28"/>
      <x:c r="R833" s="28"/>
      <x:c r="S833" s="28"/>
      <x:c r="T833" s="28"/>
      <x:c r="U833" s="28"/>
      <x:c r="V833" s="28"/>
      <x:c r="W833" s="28"/>
      <x:c r="X833" s="28"/>
      <x:c r="Y833" s="28"/>
      <x:c r="Z833" s="28"/>
      <x:c r="AA833" s="28"/>
      <x:c r="AB833" s="56" t="str">
        <x:f>IF($A833="","",IF(Z833="Y",20,IF(Z833="Unknown",10,0))+$L833*5+IF(AA833="Y",15,IF(AA833="Unknown",5,0))+IF($J833="Public",10,IF($J833="Partner",7,IF($J833="Internal",3,0)))+IF($W833="Hard-coded",10,IF($W833="Unknown",7,IF($W833="Configurable",3,0)))+IF($I833&gt;=10,10,IF($I833&gt;=5,7,IF($I833&gt;=2,3,0)))+IF($K833="High",10,IF($K833="Medium",5,0)))</x:f>
      </x:c>
      <x:c r="AC833" s="28" t="str">
        <x:f>IF($A833="","",IF(AB833&gt;=70,"P0 - Immediate",IF(AB833&gt;=50,"P1 - High",IF(AB833&gt;=30,"P2 - Medium",IF(AB833&gt;=15,"P3 - Low","P4 - Monitor")))))</x:f>
      </x:c>
      <x:c r="AD833" s="28"/>
      <x:c r="AE833" s="28"/>
      <x:c r="AF833" s="28"/>
      <x:c r="AG833" s="58"/>
      <x:c r="AH833" s="28"/>
    </x:row>
    <x:row r="834">
      <x:c r="A834" s="28"/>
      <x:c r="B834" s="28"/>
      <x:c r="C834" s="28"/>
      <x:c r="D834" s="28"/>
      <x:c r="E834" s="28"/>
      <x:c r="F834" s="28"/>
      <x:c r="G834" s="28"/>
      <x:c r="H834" s="28"/>
      <x:c r="I834" s="56"/>
      <x:c r="J834" s="28"/>
      <x:c r="K834" s="28"/>
      <x:c r="L834" s="56"/>
      <x:c r="M834" s="28"/>
      <x:c r="N834" s="28"/>
      <x:c r="O834" s="28"/>
      <x:c r="P834" s="28"/>
      <x:c r="Q834" s="28"/>
      <x:c r="R834" s="28"/>
      <x:c r="S834" s="28"/>
      <x:c r="T834" s="28"/>
      <x:c r="U834" s="28"/>
      <x:c r="V834" s="28"/>
      <x:c r="W834" s="28"/>
      <x:c r="X834" s="28"/>
      <x:c r="Y834" s="28"/>
      <x:c r="Z834" s="28"/>
      <x:c r="AA834" s="28"/>
      <x:c r="AB834" s="56" t="str">
        <x:f>IF($A834="","",IF(Z834="Y",20,IF(Z834="Unknown",10,0))+$L834*5+IF(AA834="Y",15,IF(AA834="Unknown",5,0))+IF($J834="Public",10,IF($J834="Partner",7,IF($J834="Internal",3,0)))+IF($W834="Hard-coded",10,IF($W834="Unknown",7,IF($W834="Configurable",3,0)))+IF($I834&gt;=10,10,IF($I834&gt;=5,7,IF($I834&gt;=2,3,0)))+IF($K834="High",10,IF($K834="Medium",5,0)))</x:f>
      </x:c>
      <x:c r="AC834" s="28" t="str">
        <x:f>IF($A834="","",IF(AB834&gt;=70,"P0 - Immediate",IF(AB834&gt;=50,"P1 - High",IF(AB834&gt;=30,"P2 - Medium",IF(AB834&gt;=15,"P3 - Low","P4 - Monitor")))))</x:f>
      </x:c>
      <x:c r="AD834" s="28"/>
      <x:c r="AE834" s="28"/>
      <x:c r="AF834" s="28"/>
      <x:c r="AG834" s="58"/>
      <x:c r="AH834" s="28"/>
    </x:row>
    <x:row r="835">
      <x:c r="A835" s="28"/>
      <x:c r="B835" s="28"/>
      <x:c r="C835" s="28"/>
      <x:c r="D835" s="28"/>
      <x:c r="E835" s="28"/>
      <x:c r="F835" s="28"/>
      <x:c r="G835" s="28"/>
      <x:c r="H835" s="28"/>
      <x:c r="I835" s="56"/>
      <x:c r="J835" s="28"/>
      <x:c r="K835" s="28"/>
      <x:c r="L835" s="56"/>
      <x:c r="M835" s="28"/>
      <x:c r="N835" s="28"/>
      <x:c r="O835" s="28"/>
      <x:c r="P835" s="28"/>
      <x:c r="Q835" s="28"/>
      <x:c r="R835" s="28"/>
      <x:c r="S835" s="28"/>
      <x:c r="T835" s="28"/>
      <x:c r="U835" s="28"/>
      <x:c r="V835" s="28"/>
      <x:c r="W835" s="28"/>
      <x:c r="X835" s="28"/>
      <x:c r="Y835" s="28"/>
      <x:c r="Z835" s="28"/>
      <x:c r="AA835" s="28"/>
      <x:c r="AB835" s="56" t="str">
        <x:f>IF($A835="","",IF(Z835="Y",20,IF(Z835="Unknown",10,0))+$L835*5+IF(AA835="Y",15,IF(AA835="Unknown",5,0))+IF($J835="Public",10,IF($J835="Partner",7,IF($J835="Internal",3,0)))+IF($W835="Hard-coded",10,IF($W835="Unknown",7,IF($W835="Configurable",3,0)))+IF($I835&gt;=10,10,IF($I835&gt;=5,7,IF($I835&gt;=2,3,0)))+IF($K835="High",10,IF($K835="Medium",5,0)))</x:f>
      </x:c>
      <x:c r="AC835" s="28" t="str">
        <x:f>IF($A835="","",IF(AB835&gt;=70,"P0 - Immediate",IF(AB835&gt;=50,"P1 - High",IF(AB835&gt;=30,"P2 - Medium",IF(AB835&gt;=15,"P3 - Low","P4 - Monitor")))))</x:f>
      </x:c>
      <x:c r="AD835" s="28"/>
      <x:c r="AE835" s="28"/>
      <x:c r="AF835" s="28"/>
      <x:c r="AG835" s="58"/>
      <x:c r="AH835" s="28"/>
    </x:row>
    <x:row r="836">
      <x:c r="A836" s="28"/>
      <x:c r="B836" s="28"/>
      <x:c r="C836" s="28"/>
      <x:c r="D836" s="28"/>
      <x:c r="E836" s="28"/>
      <x:c r="F836" s="28"/>
      <x:c r="G836" s="28"/>
      <x:c r="H836" s="28"/>
      <x:c r="I836" s="56"/>
      <x:c r="J836" s="28"/>
      <x:c r="K836" s="28"/>
      <x:c r="L836" s="56"/>
      <x:c r="M836" s="28"/>
      <x:c r="N836" s="28"/>
      <x:c r="O836" s="28"/>
      <x:c r="P836" s="28"/>
      <x:c r="Q836" s="28"/>
      <x:c r="R836" s="28"/>
      <x:c r="S836" s="28"/>
      <x:c r="T836" s="28"/>
      <x:c r="U836" s="28"/>
      <x:c r="V836" s="28"/>
      <x:c r="W836" s="28"/>
      <x:c r="X836" s="28"/>
      <x:c r="Y836" s="28"/>
      <x:c r="Z836" s="28"/>
      <x:c r="AA836" s="28"/>
      <x:c r="AB836" s="56" t="str">
        <x:f>IF($A836="","",IF(Z836="Y",20,IF(Z836="Unknown",10,0))+$L836*5+IF(AA836="Y",15,IF(AA836="Unknown",5,0))+IF($J836="Public",10,IF($J836="Partner",7,IF($J836="Internal",3,0)))+IF($W836="Hard-coded",10,IF($W836="Unknown",7,IF($W836="Configurable",3,0)))+IF($I836&gt;=10,10,IF($I836&gt;=5,7,IF($I836&gt;=2,3,0)))+IF($K836="High",10,IF($K836="Medium",5,0)))</x:f>
      </x:c>
      <x:c r="AC836" s="28" t="str">
        <x:f>IF($A836="","",IF(AB836&gt;=70,"P0 - Immediate",IF(AB836&gt;=50,"P1 - High",IF(AB836&gt;=30,"P2 - Medium",IF(AB836&gt;=15,"P3 - Low","P4 - Monitor")))))</x:f>
      </x:c>
      <x:c r="AD836" s="28"/>
      <x:c r="AE836" s="28"/>
      <x:c r="AF836" s="28"/>
      <x:c r="AG836" s="58"/>
      <x:c r="AH836" s="28"/>
    </x:row>
    <x:row r="837">
      <x:c r="A837" s="28"/>
      <x:c r="B837" s="28"/>
      <x:c r="C837" s="28"/>
      <x:c r="D837" s="28"/>
      <x:c r="E837" s="28"/>
      <x:c r="F837" s="28"/>
      <x:c r="G837" s="28"/>
      <x:c r="H837" s="28"/>
      <x:c r="I837" s="56"/>
      <x:c r="J837" s="28"/>
      <x:c r="K837" s="28"/>
      <x:c r="L837" s="56"/>
      <x:c r="M837" s="28"/>
      <x:c r="N837" s="28"/>
      <x:c r="O837" s="28"/>
      <x:c r="P837" s="28"/>
      <x:c r="Q837" s="28"/>
      <x:c r="R837" s="28"/>
      <x:c r="S837" s="28"/>
      <x:c r="T837" s="28"/>
      <x:c r="U837" s="28"/>
      <x:c r="V837" s="28"/>
      <x:c r="W837" s="28"/>
      <x:c r="X837" s="28"/>
      <x:c r="Y837" s="28"/>
      <x:c r="Z837" s="28"/>
      <x:c r="AA837" s="28"/>
      <x:c r="AB837" s="56" t="str">
        <x:f>IF($A837="","",IF(Z837="Y",20,IF(Z837="Unknown",10,0))+$L837*5+IF(AA837="Y",15,IF(AA837="Unknown",5,0))+IF($J837="Public",10,IF($J837="Partner",7,IF($J837="Internal",3,0)))+IF($W837="Hard-coded",10,IF($W837="Unknown",7,IF($W837="Configurable",3,0)))+IF($I837&gt;=10,10,IF($I837&gt;=5,7,IF($I837&gt;=2,3,0)))+IF($K837="High",10,IF($K837="Medium",5,0)))</x:f>
      </x:c>
      <x:c r="AC837" s="28" t="str">
        <x:f>IF($A837="","",IF(AB837&gt;=70,"P0 - Immediate",IF(AB837&gt;=50,"P1 - High",IF(AB837&gt;=30,"P2 - Medium",IF(AB837&gt;=15,"P3 - Low","P4 - Monitor")))))</x:f>
      </x:c>
      <x:c r="AD837" s="28"/>
      <x:c r="AE837" s="28"/>
      <x:c r="AF837" s="28"/>
      <x:c r="AG837" s="58"/>
      <x:c r="AH837" s="28"/>
    </x:row>
    <x:row r="838">
      <x:c r="A838" s="28"/>
      <x:c r="B838" s="28"/>
      <x:c r="C838" s="28"/>
      <x:c r="D838" s="28"/>
      <x:c r="E838" s="28"/>
      <x:c r="F838" s="28"/>
      <x:c r="G838" s="28"/>
      <x:c r="H838" s="28"/>
      <x:c r="I838" s="56"/>
      <x:c r="J838" s="28"/>
      <x:c r="K838" s="28"/>
      <x:c r="L838" s="56"/>
      <x:c r="M838" s="28"/>
      <x:c r="N838" s="28"/>
      <x:c r="O838" s="28"/>
      <x:c r="P838" s="28"/>
      <x:c r="Q838" s="28"/>
      <x:c r="R838" s="28"/>
      <x:c r="S838" s="28"/>
      <x:c r="T838" s="28"/>
      <x:c r="U838" s="28"/>
      <x:c r="V838" s="28"/>
      <x:c r="W838" s="28"/>
      <x:c r="X838" s="28"/>
      <x:c r="Y838" s="28"/>
      <x:c r="Z838" s="28"/>
      <x:c r="AA838" s="28"/>
      <x:c r="AB838" s="56" t="str">
        <x:f>IF($A838="","",IF(Z838="Y",20,IF(Z838="Unknown",10,0))+$L838*5+IF(AA838="Y",15,IF(AA838="Unknown",5,0))+IF($J838="Public",10,IF($J838="Partner",7,IF($J838="Internal",3,0)))+IF($W838="Hard-coded",10,IF($W838="Unknown",7,IF($W838="Configurable",3,0)))+IF($I838&gt;=10,10,IF($I838&gt;=5,7,IF($I838&gt;=2,3,0)))+IF($K838="High",10,IF($K838="Medium",5,0)))</x:f>
      </x:c>
      <x:c r="AC838" s="28" t="str">
        <x:f>IF($A838="","",IF(AB838&gt;=70,"P0 - Immediate",IF(AB838&gt;=50,"P1 - High",IF(AB838&gt;=30,"P2 - Medium",IF(AB838&gt;=15,"P3 - Low","P4 - Monitor")))))</x:f>
      </x:c>
      <x:c r="AD838" s="28"/>
      <x:c r="AE838" s="28"/>
      <x:c r="AF838" s="28"/>
      <x:c r="AG838" s="58"/>
      <x:c r="AH838" s="28"/>
    </x:row>
    <x:row r="839">
      <x:c r="A839" s="28"/>
      <x:c r="B839" s="28"/>
      <x:c r="C839" s="28"/>
      <x:c r="D839" s="28"/>
      <x:c r="E839" s="28"/>
      <x:c r="F839" s="28"/>
      <x:c r="G839" s="28"/>
      <x:c r="H839" s="28"/>
      <x:c r="I839" s="56"/>
      <x:c r="J839" s="28"/>
      <x:c r="K839" s="28"/>
      <x:c r="L839" s="56"/>
      <x:c r="M839" s="28"/>
      <x:c r="N839" s="28"/>
      <x:c r="O839" s="28"/>
      <x:c r="P839" s="28"/>
      <x:c r="Q839" s="28"/>
      <x:c r="R839" s="28"/>
      <x:c r="S839" s="28"/>
      <x:c r="T839" s="28"/>
      <x:c r="U839" s="28"/>
      <x:c r="V839" s="28"/>
      <x:c r="W839" s="28"/>
      <x:c r="X839" s="28"/>
      <x:c r="Y839" s="28"/>
      <x:c r="Z839" s="28"/>
      <x:c r="AA839" s="28"/>
      <x:c r="AB839" s="56" t="str">
        <x:f>IF($A839="","",IF(Z839="Y",20,IF(Z839="Unknown",10,0))+$L839*5+IF(AA839="Y",15,IF(AA839="Unknown",5,0))+IF($J839="Public",10,IF($J839="Partner",7,IF($J839="Internal",3,0)))+IF($W839="Hard-coded",10,IF($W839="Unknown",7,IF($W839="Configurable",3,0)))+IF($I839&gt;=10,10,IF($I839&gt;=5,7,IF($I839&gt;=2,3,0)))+IF($K839="High",10,IF($K839="Medium",5,0)))</x:f>
      </x:c>
      <x:c r="AC839" s="28" t="str">
        <x:f>IF($A839="","",IF(AB839&gt;=70,"P0 - Immediate",IF(AB839&gt;=50,"P1 - High",IF(AB839&gt;=30,"P2 - Medium",IF(AB839&gt;=15,"P3 - Low","P4 - Monitor")))))</x:f>
      </x:c>
      <x:c r="AD839" s="28"/>
      <x:c r="AE839" s="28"/>
      <x:c r="AF839" s="28"/>
      <x:c r="AG839" s="58"/>
      <x:c r="AH839" s="28"/>
    </x:row>
    <x:row r="840">
      <x:c r="A840" s="28"/>
      <x:c r="B840" s="28"/>
      <x:c r="C840" s="28"/>
      <x:c r="D840" s="28"/>
      <x:c r="E840" s="28"/>
      <x:c r="F840" s="28"/>
      <x:c r="G840" s="28"/>
      <x:c r="H840" s="28"/>
      <x:c r="I840" s="56"/>
      <x:c r="J840" s="28"/>
      <x:c r="K840" s="28"/>
      <x:c r="L840" s="56"/>
      <x:c r="M840" s="28"/>
      <x:c r="N840" s="28"/>
      <x:c r="O840" s="28"/>
      <x:c r="P840" s="28"/>
      <x:c r="Q840" s="28"/>
      <x:c r="R840" s="28"/>
      <x:c r="S840" s="28"/>
      <x:c r="T840" s="28"/>
      <x:c r="U840" s="28"/>
      <x:c r="V840" s="28"/>
      <x:c r="W840" s="28"/>
      <x:c r="X840" s="28"/>
      <x:c r="Y840" s="28"/>
      <x:c r="Z840" s="28"/>
      <x:c r="AA840" s="28"/>
      <x:c r="AB840" s="56" t="str">
        <x:f>IF($A840="","",IF(Z840="Y",20,IF(Z840="Unknown",10,0))+$L840*5+IF(AA840="Y",15,IF(AA840="Unknown",5,0))+IF($J840="Public",10,IF($J840="Partner",7,IF($J840="Internal",3,0)))+IF($W840="Hard-coded",10,IF($W840="Unknown",7,IF($W840="Configurable",3,0)))+IF($I840&gt;=10,10,IF($I840&gt;=5,7,IF($I840&gt;=2,3,0)))+IF($K840="High",10,IF($K840="Medium",5,0)))</x:f>
      </x:c>
      <x:c r="AC840" s="28" t="str">
        <x:f>IF($A840="","",IF(AB840&gt;=70,"P0 - Immediate",IF(AB840&gt;=50,"P1 - High",IF(AB840&gt;=30,"P2 - Medium",IF(AB840&gt;=15,"P3 - Low","P4 - Monitor")))))</x:f>
      </x:c>
      <x:c r="AD840" s="28"/>
      <x:c r="AE840" s="28"/>
      <x:c r="AF840" s="28"/>
      <x:c r="AG840" s="58"/>
      <x:c r="AH840" s="28"/>
    </x:row>
    <x:row r="841">
      <x:c r="A841" s="28"/>
      <x:c r="B841" s="28"/>
      <x:c r="C841" s="28"/>
      <x:c r="D841" s="28"/>
      <x:c r="E841" s="28"/>
      <x:c r="F841" s="28"/>
      <x:c r="G841" s="28"/>
      <x:c r="H841" s="28"/>
      <x:c r="I841" s="56"/>
      <x:c r="J841" s="28"/>
      <x:c r="K841" s="28"/>
      <x:c r="L841" s="56"/>
      <x:c r="M841" s="28"/>
      <x:c r="N841" s="28"/>
      <x:c r="O841" s="28"/>
      <x:c r="P841" s="28"/>
      <x:c r="Q841" s="28"/>
      <x:c r="R841" s="28"/>
      <x:c r="S841" s="28"/>
      <x:c r="T841" s="28"/>
      <x:c r="U841" s="28"/>
      <x:c r="V841" s="28"/>
      <x:c r="W841" s="28"/>
      <x:c r="X841" s="28"/>
      <x:c r="Y841" s="28"/>
      <x:c r="Z841" s="28"/>
      <x:c r="AA841" s="28"/>
      <x:c r="AB841" s="56" t="str">
        <x:f>IF($A841="","",IF(Z841="Y",20,IF(Z841="Unknown",10,0))+$L841*5+IF(AA841="Y",15,IF(AA841="Unknown",5,0))+IF($J841="Public",10,IF($J841="Partner",7,IF($J841="Internal",3,0)))+IF($W841="Hard-coded",10,IF($W841="Unknown",7,IF($W841="Configurable",3,0)))+IF($I841&gt;=10,10,IF($I841&gt;=5,7,IF($I841&gt;=2,3,0)))+IF($K841="High",10,IF($K841="Medium",5,0)))</x:f>
      </x:c>
      <x:c r="AC841" s="28" t="str">
        <x:f>IF($A841="","",IF(AB841&gt;=70,"P0 - Immediate",IF(AB841&gt;=50,"P1 - High",IF(AB841&gt;=30,"P2 - Medium",IF(AB841&gt;=15,"P3 - Low","P4 - Monitor")))))</x:f>
      </x:c>
      <x:c r="AD841" s="28"/>
      <x:c r="AE841" s="28"/>
      <x:c r="AF841" s="28"/>
      <x:c r="AG841" s="58"/>
      <x:c r="AH841" s="28"/>
    </x:row>
    <x:row r="842">
      <x:c r="A842" s="28"/>
      <x:c r="B842" s="28"/>
      <x:c r="C842" s="28"/>
      <x:c r="D842" s="28"/>
      <x:c r="E842" s="28"/>
      <x:c r="F842" s="28"/>
      <x:c r="G842" s="28"/>
      <x:c r="H842" s="28"/>
      <x:c r="I842" s="56"/>
      <x:c r="J842" s="28"/>
      <x:c r="K842" s="28"/>
      <x:c r="L842" s="56"/>
      <x:c r="M842" s="28"/>
      <x:c r="N842" s="28"/>
      <x:c r="O842" s="28"/>
      <x:c r="P842" s="28"/>
      <x:c r="Q842" s="28"/>
      <x:c r="R842" s="28"/>
      <x:c r="S842" s="28"/>
      <x:c r="T842" s="28"/>
      <x:c r="U842" s="28"/>
      <x:c r="V842" s="28"/>
      <x:c r="W842" s="28"/>
      <x:c r="X842" s="28"/>
      <x:c r="Y842" s="28"/>
      <x:c r="Z842" s="28"/>
      <x:c r="AA842" s="28"/>
      <x:c r="AB842" s="56" t="str">
        <x:f>IF($A842="","",IF(Z842="Y",20,IF(Z842="Unknown",10,0))+$L842*5+IF(AA842="Y",15,IF(AA842="Unknown",5,0))+IF($J842="Public",10,IF($J842="Partner",7,IF($J842="Internal",3,0)))+IF($W842="Hard-coded",10,IF($W842="Unknown",7,IF($W842="Configurable",3,0)))+IF($I842&gt;=10,10,IF($I842&gt;=5,7,IF($I842&gt;=2,3,0)))+IF($K842="High",10,IF($K842="Medium",5,0)))</x:f>
      </x:c>
      <x:c r="AC842" s="28" t="str">
        <x:f>IF($A842="","",IF(AB842&gt;=70,"P0 - Immediate",IF(AB842&gt;=50,"P1 - High",IF(AB842&gt;=30,"P2 - Medium",IF(AB842&gt;=15,"P3 - Low","P4 - Monitor")))))</x:f>
      </x:c>
      <x:c r="AD842" s="28"/>
      <x:c r="AE842" s="28"/>
      <x:c r="AF842" s="28"/>
      <x:c r="AG842" s="58"/>
      <x:c r="AH842" s="28"/>
    </x:row>
    <x:row r="843">
      <x:c r="A843" s="28"/>
      <x:c r="B843" s="28"/>
      <x:c r="C843" s="28"/>
      <x:c r="D843" s="28"/>
      <x:c r="E843" s="28"/>
      <x:c r="F843" s="28"/>
      <x:c r="G843" s="28"/>
      <x:c r="H843" s="28"/>
      <x:c r="I843" s="56"/>
      <x:c r="J843" s="28"/>
      <x:c r="K843" s="28"/>
      <x:c r="L843" s="56"/>
      <x:c r="M843" s="28"/>
      <x:c r="N843" s="28"/>
      <x:c r="O843" s="28"/>
      <x:c r="P843" s="28"/>
      <x:c r="Q843" s="28"/>
      <x:c r="R843" s="28"/>
      <x:c r="S843" s="28"/>
      <x:c r="T843" s="28"/>
      <x:c r="U843" s="28"/>
      <x:c r="V843" s="28"/>
      <x:c r="W843" s="28"/>
      <x:c r="X843" s="28"/>
      <x:c r="Y843" s="28"/>
      <x:c r="Z843" s="28"/>
      <x:c r="AA843" s="28"/>
      <x:c r="AB843" s="56" t="str">
        <x:f>IF($A843="","",IF(Z843="Y",20,IF(Z843="Unknown",10,0))+$L843*5+IF(AA843="Y",15,IF(AA843="Unknown",5,0))+IF($J843="Public",10,IF($J843="Partner",7,IF($J843="Internal",3,0)))+IF($W843="Hard-coded",10,IF($W843="Unknown",7,IF($W843="Configurable",3,0)))+IF($I843&gt;=10,10,IF($I843&gt;=5,7,IF($I843&gt;=2,3,0)))+IF($K843="High",10,IF($K843="Medium",5,0)))</x:f>
      </x:c>
      <x:c r="AC843" s="28" t="str">
        <x:f>IF($A843="","",IF(AB843&gt;=70,"P0 - Immediate",IF(AB843&gt;=50,"P1 - High",IF(AB843&gt;=30,"P2 - Medium",IF(AB843&gt;=15,"P3 - Low","P4 - Monitor")))))</x:f>
      </x:c>
      <x:c r="AD843" s="28"/>
      <x:c r="AE843" s="28"/>
      <x:c r="AF843" s="28"/>
      <x:c r="AG843" s="58"/>
      <x:c r="AH843" s="28"/>
    </x:row>
    <x:row r="844">
      <x:c r="A844" s="28"/>
      <x:c r="B844" s="28"/>
      <x:c r="C844" s="28"/>
      <x:c r="D844" s="28"/>
      <x:c r="E844" s="28"/>
      <x:c r="F844" s="28"/>
      <x:c r="G844" s="28"/>
      <x:c r="H844" s="28"/>
      <x:c r="I844" s="56"/>
      <x:c r="J844" s="28"/>
      <x:c r="K844" s="28"/>
      <x:c r="L844" s="56"/>
      <x:c r="M844" s="28"/>
      <x:c r="N844" s="28"/>
      <x:c r="O844" s="28"/>
      <x:c r="P844" s="28"/>
      <x:c r="Q844" s="28"/>
      <x:c r="R844" s="28"/>
      <x:c r="S844" s="28"/>
      <x:c r="T844" s="28"/>
      <x:c r="U844" s="28"/>
      <x:c r="V844" s="28"/>
      <x:c r="W844" s="28"/>
      <x:c r="X844" s="28"/>
      <x:c r="Y844" s="28"/>
      <x:c r="Z844" s="28"/>
      <x:c r="AA844" s="28"/>
      <x:c r="AB844" s="56" t="str">
        <x:f>IF($A844="","",IF(Z844="Y",20,IF(Z844="Unknown",10,0))+$L844*5+IF(AA844="Y",15,IF(AA844="Unknown",5,0))+IF($J844="Public",10,IF($J844="Partner",7,IF($J844="Internal",3,0)))+IF($W844="Hard-coded",10,IF($W844="Unknown",7,IF($W844="Configurable",3,0)))+IF($I844&gt;=10,10,IF($I844&gt;=5,7,IF($I844&gt;=2,3,0)))+IF($K844="High",10,IF($K844="Medium",5,0)))</x:f>
      </x:c>
      <x:c r="AC844" s="28" t="str">
        <x:f>IF($A844="","",IF(AB844&gt;=70,"P0 - Immediate",IF(AB844&gt;=50,"P1 - High",IF(AB844&gt;=30,"P2 - Medium",IF(AB844&gt;=15,"P3 - Low","P4 - Monitor")))))</x:f>
      </x:c>
      <x:c r="AD844" s="28"/>
      <x:c r="AE844" s="28"/>
      <x:c r="AF844" s="28"/>
      <x:c r="AG844" s="58"/>
      <x:c r="AH844" s="28"/>
    </x:row>
    <x:row r="845">
      <x:c r="A845" s="28"/>
      <x:c r="B845" s="28"/>
      <x:c r="C845" s="28"/>
      <x:c r="D845" s="28"/>
      <x:c r="E845" s="28"/>
      <x:c r="F845" s="28"/>
      <x:c r="G845" s="28"/>
      <x:c r="H845" s="28"/>
      <x:c r="I845" s="56"/>
      <x:c r="J845" s="28"/>
      <x:c r="K845" s="28"/>
      <x:c r="L845" s="56"/>
      <x:c r="M845" s="28"/>
      <x:c r="N845" s="28"/>
      <x:c r="O845" s="28"/>
      <x:c r="P845" s="28"/>
      <x:c r="Q845" s="28"/>
      <x:c r="R845" s="28"/>
      <x:c r="S845" s="28"/>
      <x:c r="T845" s="28"/>
      <x:c r="U845" s="28"/>
      <x:c r="V845" s="28"/>
      <x:c r="W845" s="28"/>
      <x:c r="X845" s="28"/>
      <x:c r="Y845" s="28"/>
      <x:c r="Z845" s="28"/>
      <x:c r="AA845" s="28"/>
      <x:c r="AB845" s="56" t="str">
        <x:f>IF($A845="","",IF(Z845="Y",20,IF(Z845="Unknown",10,0))+$L845*5+IF(AA845="Y",15,IF(AA845="Unknown",5,0))+IF($J845="Public",10,IF($J845="Partner",7,IF($J845="Internal",3,0)))+IF($W845="Hard-coded",10,IF($W845="Unknown",7,IF($W845="Configurable",3,0)))+IF($I845&gt;=10,10,IF($I845&gt;=5,7,IF($I845&gt;=2,3,0)))+IF($K845="High",10,IF($K845="Medium",5,0)))</x:f>
      </x:c>
      <x:c r="AC845" s="28" t="str">
        <x:f>IF($A845="","",IF(AB845&gt;=70,"P0 - Immediate",IF(AB845&gt;=50,"P1 - High",IF(AB845&gt;=30,"P2 - Medium",IF(AB845&gt;=15,"P3 - Low","P4 - Monitor")))))</x:f>
      </x:c>
      <x:c r="AD845" s="28"/>
      <x:c r="AE845" s="28"/>
      <x:c r="AF845" s="28"/>
      <x:c r="AG845" s="58"/>
      <x:c r="AH845" s="28"/>
    </x:row>
    <x:row r="846">
      <x:c r="A846" s="28"/>
      <x:c r="B846" s="28"/>
      <x:c r="C846" s="28"/>
      <x:c r="D846" s="28"/>
      <x:c r="E846" s="28"/>
      <x:c r="F846" s="28"/>
      <x:c r="G846" s="28"/>
      <x:c r="H846" s="28"/>
      <x:c r="I846" s="56"/>
      <x:c r="J846" s="28"/>
      <x:c r="K846" s="28"/>
      <x:c r="L846" s="56"/>
      <x:c r="M846" s="28"/>
      <x:c r="N846" s="28"/>
      <x:c r="O846" s="28"/>
      <x:c r="P846" s="28"/>
      <x:c r="Q846" s="28"/>
      <x:c r="R846" s="28"/>
      <x:c r="S846" s="28"/>
      <x:c r="T846" s="28"/>
      <x:c r="U846" s="28"/>
      <x:c r="V846" s="28"/>
      <x:c r="W846" s="28"/>
      <x:c r="X846" s="28"/>
      <x:c r="Y846" s="28"/>
      <x:c r="Z846" s="28"/>
      <x:c r="AA846" s="28"/>
      <x:c r="AB846" s="56" t="str">
        <x:f>IF($A846="","",IF(Z846="Y",20,IF(Z846="Unknown",10,0))+$L846*5+IF(AA846="Y",15,IF(AA846="Unknown",5,0))+IF($J846="Public",10,IF($J846="Partner",7,IF($J846="Internal",3,0)))+IF($W846="Hard-coded",10,IF($W846="Unknown",7,IF($W846="Configurable",3,0)))+IF($I846&gt;=10,10,IF($I846&gt;=5,7,IF($I846&gt;=2,3,0)))+IF($K846="High",10,IF($K846="Medium",5,0)))</x:f>
      </x:c>
      <x:c r="AC846" s="28" t="str">
        <x:f>IF($A846="","",IF(AB846&gt;=70,"P0 - Immediate",IF(AB846&gt;=50,"P1 - High",IF(AB846&gt;=30,"P2 - Medium",IF(AB846&gt;=15,"P3 - Low","P4 - Monitor")))))</x:f>
      </x:c>
      <x:c r="AD846" s="28"/>
      <x:c r="AE846" s="28"/>
      <x:c r="AF846" s="28"/>
      <x:c r="AG846" s="58"/>
      <x:c r="AH846" s="28"/>
    </x:row>
    <x:row r="847">
      <x:c r="A847" s="28"/>
      <x:c r="B847" s="28"/>
      <x:c r="C847" s="28"/>
      <x:c r="D847" s="28"/>
      <x:c r="E847" s="28"/>
      <x:c r="F847" s="28"/>
      <x:c r="G847" s="28"/>
      <x:c r="H847" s="28"/>
      <x:c r="I847" s="56"/>
      <x:c r="J847" s="28"/>
      <x:c r="K847" s="28"/>
      <x:c r="L847" s="56"/>
      <x:c r="M847" s="28"/>
      <x:c r="N847" s="28"/>
      <x:c r="O847" s="28"/>
      <x:c r="P847" s="28"/>
      <x:c r="Q847" s="28"/>
      <x:c r="R847" s="28"/>
      <x:c r="S847" s="28"/>
      <x:c r="T847" s="28"/>
      <x:c r="U847" s="28"/>
      <x:c r="V847" s="28"/>
      <x:c r="W847" s="28"/>
      <x:c r="X847" s="28"/>
      <x:c r="Y847" s="28"/>
      <x:c r="Z847" s="28"/>
      <x:c r="AA847" s="28"/>
      <x:c r="AB847" s="56" t="str">
        <x:f>IF($A847="","",IF(Z847="Y",20,IF(Z847="Unknown",10,0))+$L847*5+IF(AA847="Y",15,IF(AA847="Unknown",5,0))+IF($J847="Public",10,IF($J847="Partner",7,IF($J847="Internal",3,0)))+IF($W847="Hard-coded",10,IF($W847="Unknown",7,IF($W847="Configurable",3,0)))+IF($I847&gt;=10,10,IF($I847&gt;=5,7,IF($I847&gt;=2,3,0)))+IF($K847="High",10,IF($K847="Medium",5,0)))</x:f>
      </x:c>
      <x:c r="AC847" s="28" t="str">
        <x:f>IF($A847="","",IF(AB847&gt;=70,"P0 - Immediate",IF(AB847&gt;=50,"P1 - High",IF(AB847&gt;=30,"P2 - Medium",IF(AB847&gt;=15,"P3 - Low","P4 - Monitor")))))</x:f>
      </x:c>
      <x:c r="AD847" s="28"/>
      <x:c r="AE847" s="28"/>
      <x:c r="AF847" s="28"/>
      <x:c r="AG847" s="58"/>
      <x:c r="AH847" s="28"/>
    </x:row>
    <x:row r="848">
      <x:c r="A848" s="28"/>
      <x:c r="B848" s="28"/>
      <x:c r="C848" s="28"/>
      <x:c r="D848" s="28"/>
      <x:c r="E848" s="28"/>
      <x:c r="F848" s="28"/>
      <x:c r="G848" s="28"/>
      <x:c r="H848" s="28"/>
      <x:c r="I848" s="56"/>
      <x:c r="J848" s="28"/>
      <x:c r="K848" s="28"/>
      <x:c r="L848" s="56"/>
      <x:c r="M848" s="28"/>
      <x:c r="N848" s="28"/>
      <x:c r="O848" s="28"/>
      <x:c r="P848" s="28"/>
      <x:c r="Q848" s="28"/>
      <x:c r="R848" s="28"/>
      <x:c r="S848" s="28"/>
      <x:c r="T848" s="28"/>
      <x:c r="U848" s="28"/>
      <x:c r="V848" s="28"/>
      <x:c r="W848" s="28"/>
      <x:c r="X848" s="28"/>
      <x:c r="Y848" s="28"/>
      <x:c r="Z848" s="28"/>
      <x:c r="AA848" s="28"/>
      <x:c r="AB848" s="56" t="str">
        <x:f>IF($A848="","",IF(Z848="Y",20,IF(Z848="Unknown",10,0))+$L848*5+IF(AA848="Y",15,IF(AA848="Unknown",5,0))+IF($J848="Public",10,IF($J848="Partner",7,IF($J848="Internal",3,0)))+IF($W848="Hard-coded",10,IF($W848="Unknown",7,IF($W848="Configurable",3,0)))+IF($I848&gt;=10,10,IF($I848&gt;=5,7,IF($I848&gt;=2,3,0)))+IF($K848="High",10,IF($K848="Medium",5,0)))</x:f>
      </x:c>
      <x:c r="AC848" s="28" t="str">
        <x:f>IF($A848="","",IF(AB848&gt;=70,"P0 - Immediate",IF(AB848&gt;=50,"P1 - High",IF(AB848&gt;=30,"P2 - Medium",IF(AB848&gt;=15,"P3 - Low","P4 - Monitor")))))</x:f>
      </x:c>
      <x:c r="AD848" s="28"/>
      <x:c r="AE848" s="28"/>
      <x:c r="AF848" s="28"/>
      <x:c r="AG848" s="58"/>
      <x:c r="AH848" s="28"/>
    </x:row>
    <x:row r="849">
      <x:c r="A849" s="28"/>
      <x:c r="B849" s="28"/>
      <x:c r="C849" s="28"/>
      <x:c r="D849" s="28"/>
      <x:c r="E849" s="28"/>
      <x:c r="F849" s="28"/>
      <x:c r="G849" s="28"/>
      <x:c r="H849" s="28"/>
      <x:c r="I849" s="56"/>
      <x:c r="J849" s="28"/>
      <x:c r="K849" s="28"/>
      <x:c r="L849" s="56"/>
      <x:c r="M849" s="28"/>
      <x:c r="N849" s="28"/>
      <x:c r="O849" s="28"/>
      <x:c r="P849" s="28"/>
      <x:c r="Q849" s="28"/>
      <x:c r="R849" s="28"/>
      <x:c r="S849" s="28"/>
      <x:c r="T849" s="28"/>
      <x:c r="U849" s="28"/>
      <x:c r="V849" s="28"/>
      <x:c r="W849" s="28"/>
      <x:c r="X849" s="28"/>
      <x:c r="Y849" s="28"/>
      <x:c r="Z849" s="28"/>
      <x:c r="AA849" s="28"/>
      <x:c r="AB849" s="56" t="str">
        <x:f>IF($A849="","",IF(Z849="Y",20,IF(Z849="Unknown",10,0))+$L849*5+IF(AA849="Y",15,IF(AA849="Unknown",5,0))+IF($J849="Public",10,IF($J849="Partner",7,IF($J849="Internal",3,0)))+IF($W849="Hard-coded",10,IF($W849="Unknown",7,IF($W849="Configurable",3,0)))+IF($I849&gt;=10,10,IF($I849&gt;=5,7,IF($I849&gt;=2,3,0)))+IF($K849="High",10,IF($K849="Medium",5,0)))</x:f>
      </x:c>
      <x:c r="AC849" s="28" t="str">
        <x:f>IF($A849="","",IF(AB849&gt;=70,"P0 - Immediate",IF(AB849&gt;=50,"P1 - High",IF(AB849&gt;=30,"P2 - Medium",IF(AB849&gt;=15,"P3 - Low","P4 - Monitor")))))</x:f>
      </x:c>
      <x:c r="AD849" s="28"/>
      <x:c r="AE849" s="28"/>
      <x:c r="AF849" s="28"/>
      <x:c r="AG849" s="58"/>
      <x:c r="AH849" s="28"/>
    </x:row>
    <x:row r="850">
      <x:c r="A850" s="28"/>
      <x:c r="B850" s="28"/>
      <x:c r="C850" s="28"/>
      <x:c r="D850" s="28"/>
      <x:c r="E850" s="28"/>
      <x:c r="F850" s="28"/>
      <x:c r="G850" s="28"/>
      <x:c r="H850" s="28"/>
      <x:c r="I850" s="56"/>
      <x:c r="J850" s="28"/>
      <x:c r="K850" s="28"/>
      <x:c r="L850" s="56"/>
      <x:c r="M850" s="28"/>
      <x:c r="N850" s="28"/>
      <x:c r="O850" s="28"/>
      <x:c r="P850" s="28"/>
      <x:c r="Q850" s="28"/>
      <x:c r="R850" s="28"/>
      <x:c r="S850" s="28"/>
      <x:c r="T850" s="28"/>
      <x:c r="U850" s="28"/>
      <x:c r="V850" s="28"/>
      <x:c r="W850" s="28"/>
      <x:c r="X850" s="28"/>
      <x:c r="Y850" s="28"/>
      <x:c r="Z850" s="28"/>
      <x:c r="AA850" s="28"/>
      <x:c r="AB850" s="56" t="str">
        <x:f>IF($A850="","",IF(Z850="Y",20,IF(Z850="Unknown",10,0))+$L850*5+IF(AA850="Y",15,IF(AA850="Unknown",5,0))+IF($J850="Public",10,IF($J850="Partner",7,IF($J850="Internal",3,0)))+IF($W850="Hard-coded",10,IF($W850="Unknown",7,IF($W850="Configurable",3,0)))+IF($I850&gt;=10,10,IF($I850&gt;=5,7,IF($I850&gt;=2,3,0)))+IF($K850="High",10,IF($K850="Medium",5,0)))</x:f>
      </x:c>
      <x:c r="AC850" s="28" t="str">
        <x:f>IF($A850="","",IF(AB850&gt;=70,"P0 - Immediate",IF(AB850&gt;=50,"P1 - High",IF(AB850&gt;=30,"P2 - Medium",IF(AB850&gt;=15,"P3 - Low","P4 - Monitor")))))</x:f>
      </x:c>
      <x:c r="AD850" s="28"/>
      <x:c r="AE850" s="28"/>
      <x:c r="AF850" s="28"/>
      <x:c r="AG850" s="58"/>
      <x:c r="AH850" s="28"/>
    </x:row>
    <x:row r="851">
      <x:c r="A851" s="28"/>
      <x:c r="B851" s="28"/>
      <x:c r="C851" s="28"/>
      <x:c r="D851" s="28"/>
      <x:c r="E851" s="28"/>
      <x:c r="F851" s="28"/>
      <x:c r="G851" s="28"/>
      <x:c r="H851" s="28"/>
      <x:c r="I851" s="56"/>
      <x:c r="J851" s="28"/>
      <x:c r="K851" s="28"/>
      <x:c r="L851" s="56"/>
      <x:c r="M851" s="28"/>
      <x:c r="N851" s="28"/>
      <x:c r="O851" s="28"/>
      <x:c r="P851" s="28"/>
      <x:c r="Q851" s="28"/>
      <x:c r="R851" s="28"/>
      <x:c r="S851" s="28"/>
      <x:c r="T851" s="28"/>
      <x:c r="U851" s="28"/>
      <x:c r="V851" s="28"/>
      <x:c r="W851" s="28"/>
      <x:c r="X851" s="28"/>
      <x:c r="Y851" s="28"/>
      <x:c r="Z851" s="28"/>
      <x:c r="AA851" s="28"/>
      <x:c r="AB851" s="56" t="str">
        <x:f>IF($A851="","",IF(Z851="Y",20,IF(Z851="Unknown",10,0))+$L851*5+IF(AA851="Y",15,IF(AA851="Unknown",5,0))+IF($J851="Public",10,IF($J851="Partner",7,IF($J851="Internal",3,0)))+IF($W851="Hard-coded",10,IF($W851="Unknown",7,IF($W851="Configurable",3,0)))+IF($I851&gt;=10,10,IF($I851&gt;=5,7,IF($I851&gt;=2,3,0)))+IF($K851="High",10,IF($K851="Medium",5,0)))</x:f>
      </x:c>
      <x:c r="AC851" s="28" t="str">
        <x:f>IF($A851="","",IF(AB851&gt;=70,"P0 - Immediate",IF(AB851&gt;=50,"P1 - High",IF(AB851&gt;=30,"P2 - Medium",IF(AB851&gt;=15,"P3 - Low","P4 - Monitor")))))</x:f>
      </x:c>
      <x:c r="AD851" s="28"/>
      <x:c r="AE851" s="28"/>
      <x:c r="AF851" s="28"/>
      <x:c r="AG851" s="58"/>
      <x:c r="AH851" s="28"/>
    </x:row>
    <x:row r="852">
      <x:c r="A852" s="28"/>
      <x:c r="B852" s="28"/>
      <x:c r="C852" s="28"/>
      <x:c r="D852" s="28"/>
      <x:c r="E852" s="28"/>
      <x:c r="F852" s="28"/>
      <x:c r="G852" s="28"/>
      <x:c r="H852" s="28"/>
      <x:c r="I852" s="56"/>
      <x:c r="J852" s="28"/>
      <x:c r="K852" s="28"/>
      <x:c r="L852" s="56"/>
      <x:c r="M852" s="28"/>
      <x:c r="N852" s="28"/>
      <x:c r="O852" s="28"/>
      <x:c r="P852" s="28"/>
      <x:c r="Q852" s="28"/>
      <x:c r="R852" s="28"/>
      <x:c r="S852" s="28"/>
      <x:c r="T852" s="28"/>
      <x:c r="U852" s="28"/>
      <x:c r="V852" s="28"/>
      <x:c r="W852" s="28"/>
      <x:c r="X852" s="28"/>
      <x:c r="Y852" s="28"/>
      <x:c r="Z852" s="28"/>
      <x:c r="AA852" s="28"/>
      <x:c r="AB852" s="56" t="str">
        <x:f>IF($A852="","",IF(Z852="Y",20,IF(Z852="Unknown",10,0))+$L852*5+IF(AA852="Y",15,IF(AA852="Unknown",5,0))+IF($J852="Public",10,IF($J852="Partner",7,IF($J852="Internal",3,0)))+IF($W852="Hard-coded",10,IF($W852="Unknown",7,IF($W852="Configurable",3,0)))+IF($I852&gt;=10,10,IF($I852&gt;=5,7,IF($I852&gt;=2,3,0)))+IF($K852="High",10,IF($K852="Medium",5,0)))</x:f>
      </x:c>
      <x:c r="AC852" s="28" t="str">
        <x:f>IF($A852="","",IF(AB852&gt;=70,"P0 - Immediate",IF(AB852&gt;=50,"P1 - High",IF(AB852&gt;=30,"P2 - Medium",IF(AB852&gt;=15,"P3 - Low","P4 - Monitor")))))</x:f>
      </x:c>
      <x:c r="AD852" s="28"/>
      <x:c r="AE852" s="28"/>
      <x:c r="AF852" s="28"/>
      <x:c r="AG852" s="58"/>
      <x:c r="AH852" s="28"/>
    </x:row>
    <x:row r="853">
      <x:c r="A853" s="28"/>
      <x:c r="B853" s="28"/>
      <x:c r="C853" s="28"/>
      <x:c r="D853" s="28"/>
      <x:c r="E853" s="28"/>
      <x:c r="F853" s="28"/>
      <x:c r="G853" s="28"/>
      <x:c r="H853" s="28"/>
      <x:c r="I853" s="56"/>
      <x:c r="J853" s="28"/>
      <x:c r="K853" s="28"/>
      <x:c r="L853" s="56"/>
      <x:c r="M853" s="28"/>
      <x:c r="N853" s="28"/>
      <x:c r="O853" s="28"/>
      <x:c r="P853" s="28"/>
      <x:c r="Q853" s="28"/>
      <x:c r="R853" s="28"/>
      <x:c r="S853" s="28"/>
      <x:c r="T853" s="28"/>
      <x:c r="U853" s="28"/>
      <x:c r="V853" s="28"/>
      <x:c r="W853" s="28"/>
      <x:c r="X853" s="28"/>
      <x:c r="Y853" s="28"/>
      <x:c r="Z853" s="28"/>
      <x:c r="AA853" s="28"/>
      <x:c r="AB853" s="56" t="str">
        <x:f>IF($A853="","",IF(Z853="Y",20,IF(Z853="Unknown",10,0))+$L853*5+IF(AA853="Y",15,IF(AA853="Unknown",5,0))+IF($J853="Public",10,IF($J853="Partner",7,IF($J853="Internal",3,0)))+IF($W853="Hard-coded",10,IF($W853="Unknown",7,IF($W853="Configurable",3,0)))+IF($I853&gt;=10,10,IF($I853&gt;=5,7,IF($I853&gt;=2,3,0)))+IF($K853="High",10,IF($K853="Medium",5,0)))</x:f>
      </x:c>
      <x:c r="AC853" s="28" t="str">
        <x:f>IF($A853="","",IF(AB853&gt;=70,"P0 - Immediate",IF(AB853&gt;=50,"P1 - High",IF(AB853&gt;=30,"P2 - Medium",IF(AB853&gt;=15,"P3 - Low","P4 - Monitor")))))</x:f>
      </x:c>
      <x:c r="AD853" s="28"/>
      <x:c r="AE853" s="28"/>
      <x:c r="AF853" s="28"/>
      <x:c r="AG853" s="58"/>
      <x:c r="AH853" s="28"/>
    </x:row>
    <x:row r="854">
      <x:c r="A854" s="28"/>
      <x:c r="B854" s="28"/>
      <x:c r="C854" s="28"/>
      <x:c r="D854" s="28"/>
      <x:c r="E854" s="28"/>
      <x:c r="F854" s="28"/>
      <x:c r="G854" s="28"/>
      <x:c r="H854" s="28"/>
      <x:c r="I854" s="56"/>
      <x:c r="J854" s="28"/>
      <x:c r="K854" s="28"/>
      <x:c r="L854" s="56"/>
      <x:c r="M854" s="28"/>
      <x:c r="N854" s="28"/>
      <x:c r="O854" s="28"/>
      <x:c r="P854" s="28"/>
      <x:c r="Q854" s="28"/>
      <x:c r="R854" s="28"/>
      <x:c r="S854" s="28"/>
      <x:c r="T854" s="28"/>
      <x:c r="U854" s="28"/>
      <x:c r="V854" s="28"/>
      <x:c r="W854" s="28"/>
      <x:c r="X854" s="28"/>
      <x:c r="Y854" s="28"/>
      <x:c r="Z854" s="28"/>
      <x:c r="AA854" s="28"/>
      <x:c r="AB854" s="56" t="str">
        <x:f>IF($A854="","",IF(Z854="Y",20,IF(Z854="Unknown",10,0))+$L854*5+IF(AA854="Y",15,IF(AA854="Unknown",5,0))+IF($J854="Public",10,IF($J854="Partner",7,IF($J854="Internal",3,0)))+IF($W854="Hard-coded",10,IF($W854="Unknown",7,IF($W854="Configurable",3,0)))+IF($I854&gt;=10,10,IF($I854&gt;=5,7,IF($I854&gt;=2,3,0)))+IF($K854="High",10,IF($K854="Medium",5,0)))</x:f>
      </x:c>
      <x:c r="AC854" s="28" t="str">
        <x:f>IF($A854="","",IF(AB854&gt;=70,"P0 - Immediate",IF(AB854&gt;=50,"P1 - High",IF(AB854&gt;=30,"P2 - Medium",IF(AB854&gt;=15,"P3 - Low","P4 - Monitor")))))</x:f>
      </x:c>
      <x:c r="AD854" s="28"/>
      <x:c r="AE854" s="28"/>
      <x:c r="AF854" s="28"/>
      <x:c r="AG854" s="58"/>
      <x:c r="AH854" s="28"/>
    </x:row>
    <x:row r="855">
      <x:c r="A855" s="28"/>
      <x:c r="B855" s="28"/>
      <x:c r="C855" s="28"/>
      <x:c r="D855" s="28"/>
      <x:c r="E855" s="28"/>
      <x:c r="F855" s="28"/>
      <x:c r="G855" s="28"/>
      <x:c r="H855" s="28"/>
      <x:c r="I855" s="56"/>
      <x:c r="J855" s="28"/>
      <x:c r="K855" s="28"/>
      <x:c r="L855" s="56"/>
      <x:c r="M855" s="28"/>
      <x:c r="N855" s="28"/>
      <x:c r="O855" s="28"/>
      <x:c r="P855" s="28"/>
      <x:c r="Q855" s="28"/>
      <x:c r="R855" s="28"/>
      <x:c r="S855" s="28"/>
      <x:c r="T855" s="28"/>
      <x:c r="U855" s="28"/>
      <x:c r="V855" s="28"/>
      <x:c r="W855" s="28"/>
      <x:c r="X855" s="28"/>
      <x:c r="Y855" s="28"/>
      <x:c r="Z855" s="28"/>
      <x:c r="AA855" s="28"/>
      <x:c r="AB855" s="56" t="str">
        <x:f>IF($A855="","",IF(Z855="Y",20,IF(Z855="Unknown",10,0))+$L855*5+IF(AA855="Y",15,IF(AA855="Unknown",5,0))+IF($J855="Public",10,IF($J855="Partner",7,IF($J855="Internal",3,0)))+IF($W855="Hard-coded",10,IF($W855="Unknown",7,IF($W855="Configurable",3,0)))+IF($I855&gt;=10,10,IF($I855&gt;=5,7,IF($I855&gt;=2,3,0)))+IF($K855="High",10,IF($K855="Medium",5,0)))</x:f>
      </x:c>
      <x:c r="AC855" s="28" t="str">
        <x:f>IF($A855="","",IF(AB855&gt;=70,"P0 - Immediate",IF(AB855&gt;=50,"P1 - High",IF(AB855&gt;=30,"P2 - Medium",IF(AB855&gt;=15,"P3 - Low","P4 - Monitor")))))</x:f>
      </x:c>
      <x:c r="AD855" s="28"/>
      <x:c r="AE855" s="28"/>
      <x:c r="AF855" s="28"/>
      <x:c r="AG855" s="58"/>
      <x:c r="AH855" s="28"/>
    </x:row>
    <x:row r="856">
      <x:c r="A856" s="28"/>
      <x:c r="B856" s="28"/>
      <x:c r="C856" s="28"/>
      <x:c r="D856" s="28"/>
      <x:c r="E856" s="28"/>
      <x:c r="F856" s="28"/>
      <x:c r="G856" s="28"/>
      <x:c r="H856" s="28"/>
      <x:c r="I856" s="56"/>
      <x:c r="J856" s="28"/>
      <x:c r="K856" s="28"/>
      <x:c r="L856" s="56"/>
      <x:c r="M856" s="28"/>
      <x:c r="N856" s="28"/>
      <x:c r="O856" s="28"/>
      <x:c r="P856" s="28"/>
      <x:c r="Q856" s="28"/>
      <x:c r="R856" s="28"/>
      <x:c r="S856" s="28"/>
      <x:c r="T856" s="28"/>
      <x:c r="U856" s="28"/>
      <x:c r="V856" s="28"/>
      <x:c r="W856" s="28"/>
      <x:c r="X856" s="28"/>
      <x:c r="Y856" s="28"/>
      <x:c r="Z856" s="28"/>
      <x:c r="AA856" s="28"/>
      <x:c r="AB856" s="56" t="str">
        <x:f>IF($A856="","",IF(Z856="Y",20,IF(Z856="Unknown",10,0))+$L856*5+IF(AA856="Y",15,IF(AA856="Unknown",5,0))+IF($J856="Public",10,IF($J856="Partner",7,IF($J856="Internal",3,0)))+IF($W856="Hard-coded",10,IF($W856="Unknown",7,IF($W856="Configurable",3,0)))+IF($I856&gt;=10,10,IF($I856&gt;=5,7,IF($I856&gt;=2,3,0)))+IF($K856="High",10,IF($K856="Medium",5,0)))</x:f>
      </x:c>
      <x:c r="AC856" s="28" t="str">
        <x:f>IF($A856="","",IF(AB856&gt;=70,"P0 - Immediate",IF(AB856&gt;=50,"P1 - High",IF(AB856&gt;=30,"P2 - Medium",IF(AB856&gt;=15,"P3 - Low","P4 - Monitor")))))</x:f>
      </x:c>
      <x:c r="AD856" s="28"/>
      <x:c r="AE856" s="28"/>
      <x:c r="AF856" s="28"/>
      <x:c r="AG856" s="58"/>
      <x:c r="AH856" s="28"/>
    </x:row>
    <x:row r="857">
      <x:c r="A857" s="28"/>
      <x:c r="B857" s="28"/>
      <x:c r="C857" s="28"/>
      <x:c r="D857" s="28"/>
      <x:c r="E857" s="28"/>
      <x:c r="F857" s="28"/>
      <x:c r="G857" s="28"/>
      <x:c r="H857" s="28"/>
      <x:c r="I857" s="56"/>
      <x:c r="J857" s="28"/>
      <x:c r="K857" s="28"/>
      <x:c r="L857" s="56"/>
      <x:c r="M857" s="28"/>
      <x:c r="N857" s="28"/>
      <x:c r="O857" s="28"/>
      <x:c r="P857" s="28"/>
      <x:c r="Q857" s="28"/>
      <x:c r="R857" s="28"/>
      <x:c r="S857" s="28"/>
      <x:c r="T857" s="28"/>
      <x:c r="U857" s="28"/>
      <x:c r="V857" s="28"/>
      <x:c r="W857" s="28"/>
      <x:c r="X857" s="28"/>
      <x:c r="Y857" s="28"/>
      <x:c r="Z857" s="28"/>
      <x:c r="AA857" s="28"/>
      <x:c r="AB857" s="56" t="str">
        <x:f>IF($A857="","",IF(Z857="Y",20,IF(Z857="Unknown",10,0))+$L857*5+IF(AA857="Y",15,IF(AA857="Unknown",5,0))+IF($J857="Public",10,IF($J857="Partner",7,IF($J857="Internal",3,0)))+IF($W857="Hard-coded",10,IF($W857="Unknown",7,IF($W857="Configurable",3,0)))+IF($I857&gt;=10,10,IF($I857&gt;=5,7,IF($I857&gt;=2,3,0)))+IF($K857="High",10,IF($K857="Medium",5,0)))</x:f>
      </x:c>
      <x:c r="AC857" s="28" t="str">
        <x:f>IF($A857="","",IF(AB857&gt;=70,"P0 - Immediate",IF(AB857&gt;=50,"P1 - High",IF(AB857&gt;=30,"P2 - Medium",IF(AB857&gt;=15,"P3 - Low","P4 - Monitor")))))</x:f>
      </x:c>
      <x:c r="AD857" s="28"/>
      <x:c r="AE857" s="28"/>
      <x:c r="AF857" s="28"/>
      <x:c r="AG857" s="58"/>
      <x:c r="AH857" s="28"/>
    </x:row>
    <x:row r="858">
      <x:c r="A858" s="28"/>
      <x:c r="B858" s="28"/>
      <x:c r="C858" s="28"/>
      <x:c r="D858" s="28"/>
      <x:c r="E858" s="28"/>
      <x:c r="F858" s="28"/>
      <x:c r="G858" s="28"/>
      <x:c r="H858" s="28"/>
      <x:c r="I858" s="56"/>
      <x:c r="J858" s="28"/>
      <x:c r="K858" s="28"/>
      <x:c r="L858" s="56"/>
      <x:c r="M858" s="28"/>
      <x:c r="N858" s="28"/>
      <x:c r="O858" s="28"/>
      <x:c r="P858" s="28"/>
      <x:c r="Q858" s="28"/>
      <x:c r="R858" s="28"/>
      <x:c r="S858" s="28"/>
      <x:c r="T858" s="28"/>
      <x:c r="U858" s="28"/>
      <x:c r="V858" s="28"/>
      <x:c r="W858" s="28"/>
      <x:c r="X858" s="28"/>
      <x:c r="Y858" s="28"/>
      <x:c r="Z858" s="28"/>
      <x:c r="AA858" s="28"/>
      <x:c r="AB858" s="56" t="str">
        <x:f>IF($A858="","",IF(Z858="Y",20,IF(Z858="Unknown",10,0))+$L858*5+IF(AA858="Y",15,IF(AA858="Unknown",5,0))+IF($J858="Public",10,IF($J858="Partner",7,IF($J858="Internal",3,0)))+IF($W858="Hard-coded",10,IF($W858="Unknown",7,IF($W858="Configurable",3,0)))+IF($I858&gt;=10,10,IF($I858&gt;=5,7,IF($I858&gt;=2,3,0)))+IF($K858="High",10,IF($K858="Medium",5,0)))</x:f>
      </x:c>
      <x:c r="AC858" s="28" t="str">
        <x:f>IF($A858="","",IF(AB858&gt;=70,"P0 - Immediate",IF(AB858&gt;=50,"P1 - High",IF(AB858&gt;=30,"P2 - Medium",IF(AB858&gt;=15,"P3 - Low","P4 - Monitor")))))</x:f>
      </x:c>
      <x:c r="AD858" s="28"/>
      <x:c r="AE858" s="28"/>
      <x:c r="AF858" s="28"/>
      <x:c r="AG858" s="58"/>
      <x:c r="AH858" s="28"/>
    </x:row>
    <x:row r="859">
      <x:c r="A859" s="28"/>
      <x:c r="B859" s="28"/>
      <x:c r="C859" s="28"/>
      <x:c r="D859" s="28"/>
      <x:c r="E859" s="28"/>
      <x:c r="F859" s="28"/>
      <x:c r="G859" s="28"/>
      <x:c r="H859" s="28"/>
      <x:c r="I859" s="56"/>
      <x:c r="J859" s="28"/>
      <x:c r="K859" s="28"/>
      <x:c r="L859" s="56"/>
      <x:c r="M859" s="28"/>
      <x:c r="N859" s="28"/>
      <x:c r="O859" s="28"/>
      <x:c r="P859" s="28"/>
      <x:c r="Q859" s="28"/>
      <x:c r="R859" s="28"/>
      <x:c r="S859" s="28"/>
      <x:c r="T859" s="28"/>
      <x:c r="U859" s="28"/>
      <x:c r="V859" s="28"/>
      <x:c r="W859" s="28"/>
      <x:c r="X859" s="28"/>
      <x:c r="Y859" s="28"/>
      <x:c r="Z859" s="28"/>
      <x:c r="AA859" s="28"/>
      <x:c r="AB859" s="56" t="str">
        <x:f>IF($A859="","",IF(Z859="Y",20,IF(Z859="Unknown",10,0))+$L859*5+IF(AA859="Y",15,IF(AA859="Unknown",5,0))+IF($J859="Public",10,IF($J859="Partner",7,IF($J859="Internal",3,0)))+IF($W859="Hard-coded",10,IF($W859="Unknown",7,IF($W859="Configurable",3,0)))+IF($I859&gt;=10,10,IF($I859&gt;=5,7,IF($I859&gt;=2,3,0)))+IF($K859="High",10,IF($K859="Medium",5,0)))</x:f>
      </x:c>
      <x:c r="AC859" s="28" t="str">
        <x:f>IF($A859="","",IF(AB859&gt;=70,"P0 - Immediate",IF(AB859&gt;=50,"P1 - High",IF(AB859&gt;=30,"P2 - Medium",IF(AB859&gt;=15,"P3 - Low","P4 - Monitor")))))</x:f>
      </x:c>
      <x:c r="AD859" s="28"/>
      <x:c r="AE859" s="28"/>
      <x:c r="AF859" s="28"/>
      <x:c r="AG859" s="58"/>
      <x:c r="AH859" s="28"/>
    </x:row>
    <x:row r="860">
      <x:c r="A860" s="28"/>
      <x:c r="B860" s="28"/>
      <x:c r="C860" s="28"/>
      <x:c r="D860" s="28"/>
      <x:c r="E860" s="28"/>
      <x:c r="F860" s="28"/>
      <x:c r="G860" s="28"/>
      <x:c r="H860" s="28"/>
      <x:c r="I860" s="56"/>
      <x:c r="J860" s="28"/>
      <x:c r="K860" s="28"/>
      <x:c r="L860" s="56"/>
      <x:c r="M860" s="28"/>
      <x:c r="N860" s="28"/>
      <x:c r="O860" s="28"/>
      <x:c r="P860" s="28"/>
      <x:c r="Q860" s="28"/>
      <x:c r="R860" s="28"/>
      <x:c r="S860" s="28"/>
      <x:c r="T860" s="28"/>
      <x:c r="U860" s="28"/>
      <x:c r="V860" s="28"/>
      <x:c r="W860" s="28"/>
      <x:c r="X860" s="28"/>
      <x:c r="Y860" s="28"/>
      <x:c r="Z860" s="28"/>
      <x:c r="AA860" s="28"/>
      <x:c r="AB860" s="56" t="str">
        <x:f>IF($A860="","",IF(Z860="Y",20,IF(Z860="Unknown",10,0))+$L860*5+IF(AA860="Y",15,IF(AA860="Unknown",5,0))+IF($J860="Public",10,IF($J860="Partner",7,IF($J860="Internal",3,0)))+IF($W860="Hard-coded",10,IF($W860="Unknown",7,IF($W860="Configurable",3,0)))+IF($I860&gt;=10,10,IF($I860&gt;=5,7,IF($I860&gt;=2,3,0)))+IF($K860="High",10,IF($K860="Medium",5,0)))</x:f>
      </x:c>
      <x:c r="AC860" s="28" t="str">
        <x:f>IF($A860="","",IF(AB860&gt;=70,"P0 - Immediate",IF(AB860&gt;=50,"P1 - High",IF(AB860&gt;=30,"P2 - Medium",IF(AB860&gt;=15,"P3 - Low","P4 - Monitor")))))</x:f>
      </x:c>
      <x:c r="AD860" s="28"/>
      <x:c r="AE860" s="28"/>
      <x:c r="AF860" s="28"/>
      <x:c r="AG860" s="58"/>
      <x:c r="AH860" s="28"/>
    </x:row>
    <x:row r="861">
      <x:c r="A861" s="28"/>
      <x:c r="B861" s="28"/>
      <x:c r="C861" s="28"/>
      <x:c r="D861" s="28"/>
      <x:c r="E861" s="28"/>
      <x:c r="F861" s="28"/>
      <x:c r="G861" s="28"/>
      <x:c r="H861" s="28"/>
      <x:c r="I861" s="56"/>
      <x:c r="J861" s="28"/>
      <x:c r="K861" s="28"/>
      <x:c r="L861" s="56"/>
      <x:c r="M861" s="28"/>
      <x:c r="N861" s="28"/>
      <x:c r="O861" s="28"/>
      <x:c r="P861" s="28"/>
      <x:c r="Q861" s="28"/>
      <x:c r="R861" s="28"/>
      <x:c r="S861" s="28"/>
      <x:c r="T861" s="28"/>
      <x:c r="U861" s="28"/>
      <x:c r="V861" s="28"/>
      <x:c r="W861" s="28"/>
      <x:c r="X861" s="28"/>
      <x:c r="Y861" s="28"/>
      <x:c r="Z861" s="28"/>
      <x:c r="AA861" s="28"/>
      <x:c r="AB861" s="56" t="str">
        <x:f>IF($A861="","",IF(Z861="Y",20,IF(Z861="Unknown",10,0))+$L861*5+IF(AA861="Y",15,IF(AA861="Unknown",5,0))+IF($J861="Public",10,IF($J861="Partner",7,IF($J861="Internal",3,0)))+IF($W861="Hard-coded",10,IF($W861="Unknown",7,IF($W861="Configurable",3,0)))+IF($I861&gt;=10,10,IF($I861&gt;=5,7,IF($I861&gt;=2,3,0)))+IF($K861="High",10,IF($K861="Medium",5,0)))</x:f>
      </x:c>
      <x:c r="AC861" s="28" t="str">
        <x:f>IF($A861="","",IF(AB861&gt;=70,"P0 - Immediate",IF(AB861&gt;=50,"P1 - High",IF(AB861&gt;=30,"P2 - Medium",IF(AB861&gt;=15,"P3 - Low","P4 - Monitor")))))</x:f>
      </x:c>
      <x:c r="AD861" s="28"/>
      <x:c r="AE861" s="28"/>
      <x:c r="AF861" s="28"/>
      <x:c r="AG861" s="58"/>
      <x:c r="AH861" s="28"/>
    </x:row>
    <x:row r="862">
      <x:c r="A862" s="28"/>
      <x:c r="B862" s="28"/>
      <x:c r="C862" s="28"/>
      <x:c r="D862" s="28"/>
      <x:c r="E862" s="28"/>
      <x:c r="F862" s="28"/>
      <x:c r="G862" s="28"/>
      <x:c r="H862" s="28"/>
      <x:c r="I862" s="56"/>
      <x:c r="J862" s="28"/>
      <x:c r="K862" s="28"/>
      <x:c r="L862" s="56"/>
      <x:c r="M862" s="28"/>
      <x:c r="N862" s="28"/>
      <x:c r="O862" s="28"/>
      <x:c r="P862" s="28"/>
      <x:c r="Q862" s="28"/>
      <x:c r="R862" s="28"/>
      <x:c r="S862" s="28"/>
      <x:c r="T862" s="28"/>
      <x:c r="U862" s="28"/>
      <x:c r="V862" s="28"/>
      <x:c r="W862" s="28"/>
      <x:c r="X862" s="28"/>
      <x:c r="Y862" s="28"/>
      <x:c r="Z862" s="28"/>
      <x:c r="AA862" s="28"/>
      <x:c r="AB862" s="56" t="str">
        <x:f>IF($A862="","",IF(Z862="Y",20,IF(Z862="Unknown",10,0))+$L862*5+IF(AA862="Y",15,IF(AA862="Unknown",5,0))+IF($J862="Public",10,IF($J862="Partner",7,IF($J862="Internal",3,0)))+IF($W862="Hard-coded",10,IF($W862="Unknown",7,IF($W862="Configurable",3,0)))+IF($I862&gt;=10,10,IF($I862&gt;=5,7,IF($I862&gt;=2,3,0)))+IF($K862="High",10,IF($K862="Medium",5,0)))</x:f>
      </x:c>
      <x:c r="AC862" s="28" t="str">
        <x:f>IF($A862="","",IF(AB862&gt;=70,"P0 - Immediate",IF(AB862&gt;=50,"P1 - High",IF(AB862&gt;=30,"P2 - Medium",IF(AB862&gt;=15,"P3 - Low","P4 - Monitor")))))</x:f>
      </x:c>
      <x:c r="AD862" s="28"/>
      <x:c r="AE862" s="28"/>
      <x:c r="AF862" s="28"/>
      <x:c r="AG862" s="58"/>
      <x:c r="AH862" s="28"/>
    </x:row>
    <x:row r="863">
      <x:c r="A863" s="28"/>
      <x:c r="B863" s="28"/>
      <x:c r="C863" s="28"/>
      <x:c r="D863" s="28"/>
      <x:c r="E863" s="28"/>
      <x:c r="F863" s="28"/>
      <x:c r="G863" s="28"/>
      <x:c r="H863" s="28"/>
      <x:c r="I863" s="56"/>
      <x:c r="J863" s="28"/>
      <x:c r="K863" s="28"/>
      <x:c r="L863" s="56"/>
      <x:c r="M863" s="28"/>
      <x:c r="N863" s="28"/>
      <x:c r="O863" s="28"/>
      <x:c r="P863" s="28"/>
      <x:c r="Q863" s="28"/>
      <x:c r="R863" s="28"/>
      <x:c r="S863" s="28"/>
      <x:c r="T863" s="28"/>
      <x:c r="U863" s="28"/>
      <x:c r="V863" s="28"/>
      <x:c r="W863" s="28"/>
      <x:c r="X863" s="28"/>
      <x:c r="Y863" s="28"/>
      <x:c r="Z863" s="28"/>
      <x:c r="AA863" s="28"/>
      <x:c r="AB863" s="56" t="str">
        <x:f>IF($A863="","",IF(Z863="Y",20,IF(Z863="Unknown",10,0))+$L863*5+IF(AA863="Y",15,IF(AA863="Unknown",5,0))+IF($J863="Public",10,IF($J863="Partner",7,IF($J863="Internal",3,0)))+IF($W863="Hard-coded",10,IF($W863="Unknown",7,IF($W863="Configurable",3,0)))+IF($I863&gt;=10,10,IF($I863&gt;=5,7,IF($I863&gt;=2,3,0)))+IF($K863="High",10,IF($K863="Medium",5,0)))</x:f>
      </x:c>
      <x:c r="AC863" s="28" t="str">
        <x:f>IF($A863="","",IF(AB863&gt;=70,"P0 - Immediate",IF(AB863&gt;=50,"P1 - High",IF(AB863&gt;=30,"P2 - Medium",IF(AB863&gt;=15,"P3 - Low","P4 - Monitor")))))</x:f>
      </x:c>
      <x:c r="AD863" s="28"/>
      <x:c r="AE863" s="28"/>
      <x:c r="AF863" s="28"/>
      <x:c r="AG863" s="58"/>
      <x:c r="AH863" s="28"/>
    </x:row>
    <x:row r="864">
      <x:c r="A864" s="28"/>
      <x:c r="B864" s="28"/>
      <x:c r="C864" s="28"/>
      <x:c r="D864" s="28"/>
      <x:c r="E864" s="28"/>
      <x:c r="F864" s="28"/>
      <x:c r="G864" s="28"/>
      <x:c r="H864" s="28"/>
      <x:c r="I864" s="56"/>
      <x:c r="J864" s="28"/>
      <x:c r="K864" s="28"/>
      <x:c r="L864" s="56"/>
      <x:c r="M864" s="28"/>
      <x:c r="N864" s="28"/>
      <x:c r="O864" s="28"/>
      <x:c r="P864" s="28"/>
      <x:c r="Q864" s="28"/>
      <x:c r="R864" s="28"/>
      <x:c r="S864" s="28"/>
      <x:c r="T864" s="28"/>
      <x:c r="U864" s="28"/>
      <x:c r="V864" s="28"/>
      <x:c r="W864" s="28"/>
      <x:c r="X864" s="28"/>
      <x:c r="Y864" s="28"/>
      <x:c r="Z864" s="28"/>
      <x:c r="AA864" s="28"/>
      <x:c r="AB864" s="56" t="str">
        <x:f>IF($A864="","",IF(Z864="Y",20,IF(Z864="Unknown",10,0))+$L864*5+IF(AA864="Y",15,IF(AA864="Unknown",5,0))+IF($J864="Public",10,IF($J864="Partner",7,IF($J864="Internal",3,0)))+IF($W864="Hard-coded",10,IF($W864="Unknown",7,IF($W864="Configurable",3,0)))+IF($I864&gt;=10,10,IF($I864&gt;=5,7,IF($I864&gt;=2,3,0)))+IF($K864="High",10,IF($K864="Medium",5,0)))</x:f>
      </x:c>
      <x:c r="AC864" s="28" t="str">
        <x:f>IF($A864="","",IF(AB864&gt;=70,"P0 - Immediate",IF(AB864&gt;=50,"P1 - High",IF(AB864&gt;=30,"P2 - Medium",IF(AB864&gt;=15,"P3 - Low","P4 - Monitor")))))</x:f>
      </x:c>
      <x:c r="AD864" s="28"/>
      <x:c r="AE864" s="28"/>
      <x:c r="AF864" s="28"/>
      <x:c r="AG864" s="58"/>
      <x:c r="AH864" s="28"/>
    </x:row>
    <x:row r="865">
      <x:c r="A865" s="28"/>
      <x:c r="B865" s="28"/>
      <x:c r="C865" s="28"/>
      <x:c r="D865" s="28"/>
      <x:c r="E865" s="28"/>
      <x:c r="F865" s="28"/>
      <x:c r="G865" s="28"/>
      <x:c r="H865" s="28"/>
      <x:c r="I865" s="56"/>
      <x:c r="J865" s="28"/>
      <x:c r="K865" s="28"/>
      <x:c r="L865" s="56"/>
      <x:c r="M865" s="28"/>
      <x:c r="N865" s="28"/>
      <x:c r="O865" s="28"/>
      <x:c r="P865" s="28"/>
      <x:c r="Q865" s="28"/>
      <x:c r="R865" s="28"/>
      <x:c r="S865" s="28"/>
      <x:c r="T865" s="28"/>
      <x:c r="U865" s="28"/>
      <x:c r="V865" s="28"/>
      <x:c r="W865" s="28"/>
      <x:c r="X865" s="28"/>
      <x:c r="Y865" s="28"/>
      <x:c r="Z865" s="28"/>
      <x:c r="AA865" s="28"/>
      <x:c r="AB865" s="56" t="str">
        <x:f>IF($A865="","",IF(Z865="Y",20,IF(Z865="Unknown",10,0))+$L865*5+IF(AA865="Y",15,IF(AA865="Unknown",5,0))+IF($J865="Public",10,IF($J865="Partner",7,IF($J865="Internal",3,0)))+IF($W865="Hard-coded",10,IF($W865="Unknown",7,IF($W865="Configurable",3,0)))+IF($I865&gt;=10,10,IF($I865&gt;=5,7,IF($I865&gt;=2,3,0)))+IF($K865="High",10,IF($K865="Medium",5,0)))</x:f>
      </x:c>
      <x:c r="AC865" s="28" t="str">
        <x:f>IF($A865="","",IF(AB865&gt;=70,"P0 - Immediate",IF(AB865&gt;=50,"P1 - High",IF(AB865&gt;=30,"P2 - Medium",IF(AB865&gt;=15,"P3 - Low","P4 - Monitor")))))</x:f>
      </x:c>
      <x:c r="AD865" s="28"/>
      <x:c r="AE865" s="28"/>
      <x:c r="AF865" s="28"/>
      <x:c r="AG865" s="58"/>
      <x:c r="AH865" s="28"/>
    </x:row>
    <x:row r="866">
      <x:c r="A866" s="28"/>
      <x:c r="B866" s="28"/>
      <x:c r="C866" s="28"/>
      <x:c r="D866" s="28"/>
      <x:c r="E866" s="28"/>
      <x:c r="F866" s="28"/>
      <x:c r="G866" s="28"/>
      <x:c r="H866" s="28"/>
      <x:c r="I866" s="56"/>
      <x:c r="J866" s="28"/>
      <x:c r="K866" s="28"/>
      <x:c r="L866" s="56"/>
      <x:c r="M866" s="28"/>
      <x:c r="N866" s="28"/>
      <x:c r="O866" s="28"/>
      <x:c r="P866" s="28"/>
      <x:c r="Q866" s="28"/>
      <x:c r="R866" s="28"/>
      <x:c r="S866" s="28"/>
      <x:c r="T866" s="28"/>
      <x:c r="U866" s="28"/>
      <x:c r="V866" s="28"/>
      <x:c r="W866" s="28"/>
      <x:c r="X866" s="28"/>
      <x:c r="Y866" s="28"/>
      <x:c r="Z866" s="28"/>
      <x:c r="AA866" s="28"/>
      <x:c r="AB866" s="56" t="str">
        <x:f>IF($A866="","",IF(Z866="Y",20,IF(Z866="Unknown",10,0))+$L866*5+IF(AA866="Y",15,IF(AA866="Unknown",5,0))+IF($J866="Public",10,IF($J866="Partner",7,IF($J866="Internal",3,0)))+IF($W866="Hard-coded",10,IF($W866="Unknown",7,IF($W866="Configurable",3,0)))+IF($I866&gt;=10,10,IF($I866&gt;=5,7,IF($I866&gt;=2,3,0)))+IF($K866="High",10,IF($K866="Medium",5,0)))</x:f>
      </x:c>
      <x:c r="AC866" s="28" t="str">
        <x:f>IF($A866="","",IF(AB866&gt;=70,"P0 - Immediate",IF(AB866&gt;=50,"P1 - High",IF(AB866&gt;=30,"P2 - Medium",IF(AB866&gt;=15,"P3 - Low","P4 - Monitor")))))</x:f>
      </x:c>
      <x:c r="AD866" s="28"/>
      <x:c r="AE866" s="28"/>
      <x:c r="AF866" s="28"/>
      <x:c r="AG866" s="58"/>
      <x:c r="AH866" s="28"/>
    </x:row>
    <x:row r="867">
      <x:c r="A867" s="28"/>
      <x:c r="B867" s="28"/>
      <x:c r="C867" s="28"/>
      <x:c r="D867" s="28"/>
      <x:c r="E867" s="28"/>
      <x:c r="F867" s="28"/>
      <x:c r="G867" s="28"/>
      <x:c r="H867" s="28"/>
      <x:c r="I867" s="56"/>
      <x:c r="J867" s="28"/>
      <x:c r="K867" s="28"/>
      <x:c r="L867" s="56"/>
      <x:c r="M867" s="28"/>
      <x:c r="N867" s="28"/>
      <x:c r="O867" s="28"/>
      <x:c r="P867" s="28"/>
      <x:c r="Q867" s="28"/>
      <x:c r="R867" s="28"/>
      <x:c r="S867" s="28"/>
      <x:c r="T867" s="28"/>
      <x:c r="U867" s="28"/>
      <x:c r="V867" s="28"/>
      <x:c r="W867" s="28"/>
      <x:c r="X867" s="28"/>
      <x:c r="Y867" s="28"/>
      <x:c r="Z867" s="28"/>
      <x:c r="AA867" s="28"/>
      <x:c r="AB867" s="56" t="str">
        <x:f>IF($A867="","",IF(Z867="Y",20,IF(Z867="Unknown",10,0))+$L867*5+IF(AA867="Y",15,IF(AA867="Unknown",5,0))+IF($J867="Public",10,IF($J867="Partner",7,IF($J867="Internal",3,0)))+IF($W867="Hard-coded",10,IF($W867="Unknown",7,IF($W867="Configurable",3,0)))+IF($I867&gt;=10,10,IF($I867&gt;=5,7,IF($I867&gt;=2,3,0)))+IF($K867="High",10,IF($K867="Medium",5,0)))</x:f>
      </x:c>
      <x:c r="AC867" s="28" t="str">
        <x:f>IF($A867="","",IF(AB867&gt;=70,"P0 - Immediate",IF(AB867&gt;=50,"P1 - High",IF(AB867&gt;=30,"P2 - Medium",IF(AB867&gt;=15,"P3 - Low","P4 - Monitor")))))</x:f>
      </x:c>
      <x:c r="AD867" s="28"/>
      <x:c r="AE867" s="28"/>
      <x:c r="AF867" s="28"/>
      <x:c r="AG867" s="58"/>
      <x:c r="AH867" s="28"/>
    </x:row>
    <x:row r="868">
      <x:c r="A868" s="28"/>
      <x:c r="B868" s="28"/>
      <x:c r="C868" s="28"/>
      <x:c r="D868" s="28"/>
      <x:c r="E868" s="28"/>
      <x:c r="F868" s="28"/>
      <x:c r="G868" s="28"/>
      <x:c r="H868" s="28"/>
      <x:c r="I868" s="56"/>
      <x:c r="J868" s="28"/>
      <x:c r="K868" s="28"/>
      <x:c r="L868" s="56"/>
      <x:c r="M868" s="28"/>
      <x:c r="N868" s="28"/>
      <x:c r="O868" s="28"/>
      <x:c r="P868" s="28"/>
      <x:c r="Q868" s="28"/>
      <x:c r="R868" s="28"/>
      <x:c r="S868" s="28"/>
      <x:c r="T868" s="28"/>
      <x:c r="U868" s="28"/>
      <x:c r="V868" s="28"/>
      <x:c r="W868" s="28"/>
      <x:c r="X868" s="28"/>
      <x:c r="Y868" s="28"/>
      <x:c r="Z868" s="28"/>
      <x:c r="AA868" s="28"/>
      <x:c r="AB868" s="56" t="str">
        <x:f>IF($A868="","",IF(Z868="Y",20,IF(Z868="Unknown",10,0))+$L868*5+IF(AA868="Y",15,IF(AA868="Unknown",5,0))+IF($J868="Public",10,IF($J868="Partner",7,IF($J868="Internal",3,0)))+IF($W868="Hard-coded",10,IF($W868="Unknown",7,IF($W868="Configurable",3,0)))+IF($I868&gt;=10,10,IF($I868&gt;=5,7,IF($I868&gt;=2,3,0)))+IF($K868="High",10,IF($K868="Medium",5,0)))</x:f>
      </x:c>
      <x:c r="AC868" s="28" t="str">
        <x:f>IF($A868="","",IF(AB868&gt;=70,"P0 - Immediate",IF(AB868&gt;=50,"P1 - High",IF(AB868&gt;=30,"P2 - Medium",IF(AB868&gt;=15,"P3 - Low","P4 - Monitor")))))</x:f>
      </x:c>
      <x:c r="AD868" s="28"/>
      <x:c r="AE868" s="28"/>
      <x:c r="AF868" s="28"/>
      <x:c r="AG868" s="58"/>
      <x:c r="AH868" s="28"/>
    </x:row>
    <x:row r="869">
      <x:c r="A869" s="28"/>
      <x:c r="B869" s="28"/>
      <x:c r="C869" s="28"/>
      <x:c r="D869" s="28"/>
      <x:c r="E869" s="28"/>
      <x:c r="F869" s="28"/>
      <x:c r="G869" s="28"/>
      <x:c r="H869" s="28"/>
      <x:c r="I869" s="56"/>
      <x:c r="J869" s="28"/>
      <x:c r="K869" s="28"/>
      <x:c r="L869" s="56"/>
      <x:c r="M869" s="28"/>
      <x:c r="N869" s="28"/>
      <x:c r="O869" s="28"/>
      <x:c r="P869" s="28"/>
      <x:c r="Q869" s="28"/>
      <x:c r="R869" s="28"/>
      <x:c r="S869" s="28"/>
      <x:c r="T869" s="28"/>
      <x:c r="U869" s="28"/>
      <x:c r="V869" s="28"/>
      <x:c r="W869" s="28"/>
      <x:c r="X869" s="28"/>
      <x:c r="Y869" s="28"/>
      <x:c r="Z869" s="28"/>
      <x:c r="AA869" s="28"/>
      <x:c r="AB869" s="56" t="str">
        <x:f>IF($A869="","",IF(Z869="Y",20,IF(Z869="Unknown",10,0))+$L869*5+IF(AA869="Y",15,IF(AA869="Unknown",5,0))+IF($J869="Public",10,IF($J869="Partner",7,IF($J869="Internal",3,0)))+IF($W869="Hard-coded",10,IF($W869="Unknown",7,IF($W869="Configurable",3,0)))+IF($I869&gt;=10,10,IF($I869&gt;=5,7,IF($I869&gt;=2,3,0)))+IF($K869="High",10,IF($K869="Medium",5,0)))</x:f>
      </x:c>
      <x:c r="AC869" s="28" t="str">
        <x:f>IF($A869="","",IF(AB869&gt;=70,"P0 - Immediate",IF(AB869&gt;=50,"P1 - High",IF(AB869&gt;=30,"P2 - Medium",IF(AB869&gt;=15,"P3 - Low","P4 - Monitor")))))</x:f>
      </x:c>
      <x:c r="AD869" s="28"/>
      <x:c r="AE869" s="28"/>
      <x:c r="AF869" s="28"/>
      <x:c r="AG869" s="58"/>
      <x:c r="AH869" s="28"/>
    </x:row>
    <x:row r="870">
      <x:c r="A870" s="28"/>
      <x:c r="B870" s="28"/>
      <x:c r="C870" s="28"/>
      <x:c r="D870" s="28"/>
      <x:c r="E870" s="28"/>
      <x:c r="F870" s="28"/>
      <x:c r="G870" s="28"/>
      <x:c r="H870" s="28"/>
      <x:c r="I870" s="56"/>
      <x:c r="J870" s="28"/>
      <x:c r="K870" s="28"/>
      <x:c r="L870" s="56"/>
      <x:c r="M870" s="28"/>
      <x:c r="N870" s="28"/>
      <x:c r="O870" s="28"/>
      <x:c r="P870" s="28"/>
      <x:c r="Q870" s="28"/>
      <x:c r="R870" s="28"/>
      <x:c r="S870" s="28"/>
      <x:c r="T870" s="28"/>
      <x:c r="U870" s="28"/>
      <x:c r="V870" s="28"/>
      <x:c r="W870" s="28"/>
      <x:c r="X870" s="28"/>
      <x:c r="Y870" s="28"/>
      <x:c r="Z870" s="28"/>
      <x:c r="AA870" s="28"/>
      <x:c r="AB870" s="56" t="str">
        <x:f>IF($A870="","",IF(Z870="Y",20,IF(Z870="Unknown",10,0))+$L870*5+IF(AA870="Y",15,IF(AA870="Unknown",5,0))+IF($J870="Public",10,IF($J870="Partner",7,IF($J870="Internal",3,0)))+IF($W870="Hard-coded",10,IF($W870="Unknown",7,IF($W870="Configurable",3,0)))+IF($I870&gt;=10,10,IF($I870&gt;=5,7,IF($I870&gt;=2,3,0)))+IF($K870="High",10,IF($K870="Medium",5,0)))</x:f>
      </x:c>
      <x:c r="AC870" s="28" t="str">
        <x:f>IF($A870="","",IF(AB870&gt;=70,"P0 - Immediate",IF(AB870&gt;=50,"P1 - High",IF(AB870&gt;=30,"P2 - Medium",IF(AB870&gt;=15,"P3 - Low","P4 - Monitor")))))</x:f>
      </x:c>
      <x:c r="AD870" s="28"/>
      <x:c r="AE870" s="28"/>
      <x:c r="AF870" s="28"/>
      <x:c r="AG870" s="58"/>
      <x:c r="AH870" s="28"/>
    </x:row>
    <x:row r="871">
      <x:c r="A871" s="28"/>
      <x:c r="B871" s="28"/>
      <x:c r="C871" s="28"/>
      <x:c r="D871" s="28"/>
      <x:c r="E871" s="28"/>
      <x:c r="F871" s="28"/>
      <x:c r="G871" s="28"/>
      <x:c r="H871" s="28"/>
      <x:c r="I871" s="56"/>
      <x:c r="J871" s="28"/>
      <x:c r="K871" s="28"/>
      <x:c r="L871" s="56"/>
      <x:c r="M871" s="28"/>
      <x:c r="N871" s="28"/>
      <x:c r="O871" s="28"/>
      <x:c r="P871" s="28"/>
      <x:c r="Q871" s="28"/>
      <x:c r="R871" s="28"/>
      <x:c r="S871" s="28"/>
      <x:c r="T871" s="28"/>
      <x:c r="U871" s="28"/>
      <x:c r="V871" s="28"/>
      <x:c r="W871" s="28"/>
      <x:c r="X871" s="28"/>
      <x:c r="Y871" s="28"/>
      <x:c r="Z871" s="28"/>
      <x:c r="AA871" s="28"/>
      <x:c r="AB871" s="56" t="str">
        <x:f>IF($A871="","",IF(Z871="Y",20,IF(Z871="Unknown",10,0))+$L871*5+IF(AA871="Y",15,IF(AA871="Unknown",5,0))+IF($J871="Public",10,IF($J871="Partner",7,IF($J871="Internal",3,0)))+IF($W871="Hard-coded",10,IF($W871="Unknown",7,IF($W871="Configurable",3,0)))+IF($I871&gt;=10,10,IF($I871&gt;=5,7,IF($I871&gt;=2,3,0)))+IF($K871="High",10,IF($K871="Medium",5,0)))</x:f>
      </x:c>
      <x:c r="AC871" s="28" t="str">
        <x:f>IF($A871="","",IF(AB871&gt;=70,"P0 - Immediate",IF(AB871&gt;=50,"P1 - High",IF(AB871&gt;=30,"P2 - Medium",IF(AB871&gt;=15,"P3 - Low","P4 - Monitor")))))</x:f>
      </x:c>
      <x:c r="AD871" s="28"/>
      <x:c r="AE871" s="28"/>
      <x:c r="AF871" s="28"/>
      <x:c r="AG871" s="58"/>
      <x:c r="AH871" s="28"/>
    </x:row>
    <x:row r="872">
      <x:c r="A872" s="28"/>
      <x:c r="B872" s="28"/>
      <x:c r="C872" s="28"/>
      <x:c r="D872" s="28"/>
      <x:c r="E872" s="28"/>
      <x:c r="F872" s="28"/>
      <x:c r="G872" s="28"/>
      <x:c r="H872" s="28"/>
      <x:c r="I872" s="56"/>
      <x:c r="J872" s="28"/>
      <x:c r="K872" s="28"/>
      <x:c r="L872" s="56"/>
      <x:c r="M872" s="28"/>
      <x:c r="N872" s="28"/>
      <x:c r="O872" s="28"/>
      <x:c r="P872" s="28"/>
      <x:c r="Q872" s="28"/>
      <x:c r="R872" s="28"/>
      <x:c r="S872" s="28"/>
      <x:c r="T872" s="28"/>
      <x:c r="U872" s="28"/>
      <x:c r="V872" s="28"/>
      <x:c r="W872" s="28"/>
      <x:c r="X872" s="28"/>
      <x:c r="Y872" s="28"/>
      <x:c r="Z872" s="28"/>
      <x:c r="AA872" s="28"/>
      <x:c r="AB872" s="56" t="str">
        <x:f>IF($A872="","",IF(Z872="Y",20,IF(Z872="Unknown",10,0))+$L872*5+IF(AA872="Y",15,IF(AA872="Unknown",5,0))+IF($J872="Public",10,IF($J872="Partner",7,IF($J872="Internal",3,0)))+IF($W872="Hard-coded",10,IF($W872="Unknown",7,IF($W872="Configurable",3,0)))+IF($I872&gt;=10,10,IF($I872&gt;=5,7,IF($I872&gt;=2,3,0)))+IF($K872="High",10,IF($K872="Medium",5,0)))</x:f>
      </x:c>
      <x:c r="AC872" s="28" t="str">
        <x:f>IF($A872="","",IF(AB872&gt;=70,"P0 - Immediate",IF(AB872&gt;=50,"P1 - High",IF(AB872&gt;=30,"P2 - Medium",IF(AB872&gt;=15,"P3 - Low","P4 - Monitor")))))</x:f>
      </x:c>
      <x:c r="AD872" s="28"/>
      <x:c r="AE872" s="28"/>
      <x:c r="AF872" s="28"/>
      <x:c r="AG872" s="58"/>
      <x:c r="AH872" s="28"/>
    </x:row>
    <x:row r="873">
      <x:c r="A873" s="28"/>
      <x:c r="B873" s="28"/>
      <x:c r="C873" s="28"/>
      <x:c r="D873" s="28"/>
      <x:c r="E873" s="28"/>
      <x:c r="F873" s="28"/>
      <x:c r="G873" s="28"/>
      <x:c r="H873" s="28"/>
      <x:c r="I873" s="56"/>
      <x:c r="J873" s="28"/>
      <x:c r="K873" s="28"/>
      <x:c r="L873" s="56"/>
      <x:c r="M873" s="28"/>
      <x:c r="N873" s="28"/>
      <x:c r="O873" s="28"/>
      <x:c r="P873" s="28"/>
      <x:c r="Q873" s="28"/>
      <x:c r="R873" s="28"/>
      <x:c r="S873" s="28"/>
      <x:c r="T873" s="28"/>
      <x:c r="U873" s="28"/>
      <x:c r="V873" s="28"/>
      <x:c r="W873" s="28"/>
      <x:c r="X873" s="28"/>
      <x:c r="Y873" s="28"/>
      <x:c r="Z873" s="28"/>
      <x:c r="AA873" s="28"/>
      <x:c r="AB873" s="56" t="str">
        <x:f>IF($A873="","",IF(Z873="Y",20,IF(Z873="Unknown",10,0))+$L873*5+IF(AA873="Y",15,IF(AA873="Unknown",5,0))+IF($J873="Public",10,IF($J873="Partner",7,IF($J873="Internal",3,0)))+IF($W873="Hard-coded",10,IF($W873="Unknown",7,IF($W873="Configurable",3,0)))+IF($I873&gt;=10,10,IF($I873&gt;=5,7,IF($I873&gt;=2,3,0)))+IF($K873="High",10,IF($K873="Medium",5,0)))</x:f>
      </x:c>
      <x:c r="AC873" s="28" t="str">
        <x:f>IF($A873="","",IF(AB873&gt;=70,"P0 - Immediate",IF(AB873&gt;=50,"P1 - High",IF(AB873&gt;=30,"P2 - Medium",IF(AB873&gt;=15,"P3 - Low","P4 - Monitor")))))</x:f>
      </x:c>
      <x:c r="AD873" s="28"/>
      <x:c r="AE873" s="28"/>
      <x:c r="AF873" s="28"/>
      <x:c r="AG873" s="58"/>
      <x:c r="AH873" s="28"/>
    </x:row>
    <x:row r="874">
      <x:c r="A874" s="28"/>
      <x:c r="B874" s="28"/>
      <x:c r="C874" s="28"/>
      <x:c r="D874" s="28"/>
      <x:c r="E874" s="28"/>
      <x:c r="F874" s="28"/>
      <x:c r="G874" s="28"/>
      <x:c r="H874" s="28"/>
      <x:c r="I874" s="56"/>
      <x:c r="J874" s="28"/>
      <x:c r="K874" s="28"/>
      <x:c r="L874" s="56"/>
      <x:c r="M874" s="28"/>
      <x:c r="N874" s="28"/>
      <x:c r="O874" s="28"/>
      <x:c r="P874" s="28"/>
      <x:c r="Q874" s="28"/>
      <x:c r="R874" s="28"/>
      <x:c r="S874" s="28"/>
      <x:c r="T874" s="28"/>
      <x:c r="U874" s="28"/>
      <x:c r="V874" s="28"/>
      <x:c r="W874" s="28"/>
      <x:c r="X874" s="28"/>
      <x:c r="Y874" s="28"/>
      <x:c r="Z874" s="28"/>
      <x:c r="AA874" s="28"/>
      <x:c r="AB874" s="56" t="str">
        <x:f>IF($A874="","",IF(Z874="Y",20,IF(Z874="Unknown",10,0))+$L874*5+IF(AA874="Y",15,IF(AA874="Unknown",5,0))+IF($J874="Public",10,IF($J874="Partner",7,IF($J874="Internal",3,0)))+IF($W874="Hard-coded",10,IF($W874="Unknown",7,IF($W874="Configurable",3,0)))+IF($I874&gt;=10,10,IF($I874&gt;=5,7,IF($I874&gt;=2,3,0)))+IF($K874="High",10,IF($K874="Medium",5,0)))</x:f>
      </x:c>
      <x:c r="AC874" s="28" t="str">
        <x:f>IF($A874="","",IF(AB874&gt;=70,"P0 - Immediate",IF(AB874&gt;=50,"P1 - High",IF(AB874&gt;=30,"P2 - Medium",IF(AB874&gt;=15,"P3 - Low","P4 - Monitor")))))</x:f>
      </x:c>
      <x:c r="AD874" s="28"/>
      <x:c r="AE874" s="28"/>
      <x:c r="AF874" s="28"/>
      <x:c r="AG874" s="58"/>
      <x:c r="AH874" s="28"/>
    </x:row>
    <x:row r="875">
      <x:c r="A875" s="28"/>
      <x:c r="B875" s="28"/>
      <x:c r="C875" s="28"/>
      <x:c r="D875" s="28"/>
      <x:c r="E875" s="28"/>
      <x:c r="F875" s="28"/>
      <x:c r="G875" s="28"/>
      <x:c r="H875" s="28"/>
      <x:c r="I875" s="56"/>
      <x:c r="J875" s="28"/>
      <x:c r="K875" s="28"/>
      <x:c r="L875" s="56"/>
      <x:c r="M875" s="28"/>
      <x:c r="N875" s="28"/>
      <x:c r="O875" s="28"/>
      <x:c r="P875" s="28"/>
      <x:c r="Q875" s="28"/>
      <x:c r="R875" s="28"/>
      <x:c r="S875" s="28"/>
      <x:c r="T875" s="28"/>
      <x:c r="U875" s="28"/>
      <x:c r="V875" s="28"/>
      <x:c r="W875" s="28"/>
      <x:c r="X875" s="28"/>
      <x:c r="Y875" s="28"/>
      <x:c r="Z875" s="28"/>
      <x:c r="AA875" s="28"/>
      <x:c r="AB875" s="56" t="str">
        <x:f>IF($A875="","",IF(Z875="Y",20,IF(Z875="Unknown",10,0))+$L875*5+IF(AA875="Y",15,IF(AA875="Unknown",5,0))+IF($J875="Public",10,IF($J875="Partner",7,IF($J875="Internal",3,0)))+IF($W875="Hard-coded",10,IF($W875="Unknown",7,IF($W875="Configurable",3,0)))+IF($I875&gt;=10,10,IF($I875&gt;=5,7,IF($I875&gt;=2,3,0)))+IF($K875="High",10,IF($K875="Medium",5,0)))</x:f>
      </x:c>
      <x:c r="AC875" s="28" t="str">
        <x:f>IF($A875="","",IF(AB875&gt;=70,"P0 - Immediate",IF(AB875&gt;=50,"P1 - High",IF(AB875&gt;=30,"P2 - Medium",IF(AB875&gt;=15,"P3 - Low","P4 - Monitor")))))</x:f>
      </x:c>
      <x:c r="AD875" s="28"/>
      <x:c r="AE875" s="28"/>
      <x:c r="AF875" s="28"/>
      <x:c r="AG875" s="58"/>
      <x:c r="AH875" s="28"/>
    </x:row>
    <x:row r="876">
      <x:c r="A876" s="28"/>
      <x:c r="B876" s="28"/>
      <x:c r="C876" s="28"/>
      <x:c r="D876" s="28"/>
      <x:c r="E876" s="28"/>
      <x:c r="F876" s="28"/>
      <x:c r="G876" s="28"/>
      <x:c r="H876" s="28"/>
      <x:c r="I876" s="56"/>
      <x:c r="J876" s="28"/>
      <x:c r="K876" s="28"/>
      <x:c r="L876" s="56"/>
      <x:c r="M876" s="28"/>
      <x:c r="N876" s="28"/>
      <x:c r="O876" s="28"/>
      <x:c r="P876" s="28"/>
      <x:c r="Q876" s="28"/>
      <x:c r="R876" s="28"/>
      <x:c r="S876" s="28"/>
      <x:c r="T876" s="28"/>
      <x:c r="U876" s="28"/>
      <x:c r="V876" s="28"/>
      <x:c r="W876" s="28"/>
      <x:c r="X876" s="28"/>
      <x:c r="Y876" s="28"/>
      <x:c r="Z876" s="28"/>
      <x:c r="AA876" s="28"/>
      <x:c r="AB876" s="56" t="str">
        <x:f>IF($A876="","",IF(Z876="Y",20,IF(Z876="Unknown",10,0))+$L876*5+IF(AA876="Y",15,IF(AA876="Unknown",5,0))+IF($J876="Public",10,IF($J876="Partner",7,IF($J876="Internal",3,0)))+IF($W876="Hard-coded",10,IF($W876="Unknown",7,IF($W876="Configurable",3,0)))+IF($I876&gt;=10,10,IF($I876&gt;=5,7,IF($I876&gt;=2,3,0)))+IF($K876="High",10,IF($K876="Medium",5,0)))</x:f>
      </x:c>
      <x:c r="AC876" s="28" t="str">
        <x:f>IF($A876="","",IF(AB876&gt;=70,"P0 - Immediate",IF(AB876&gt;=50,"P1 - High",IF(AB876&gt;=30,"P2 - Medium",IF(AB876&gt;=15,"P3 - Low","P4 - Monitor")))))</x:f>
      </x:c>
      <x:c r="AD876" s="28"/>
      <x:c r="AE876" s="28"/>
      <x:c r="AF876" s="28"/>
      <x:c r="AG876" s="58"/>
      <x:c r="AH876" s="28"/>
    </x:row>
    <x:row r="877">
      <x:c r="A877" s="28"/>
      <x:c r="B877" s="28"/>
      <x:c r="C877" s="28"/>
      <x:c r="D877" s="28"/>
      <x:c r="E877" s="28"/>
      <x:c r="F877" s="28"/>
      <x:c r="G877" s="28"/>
      <x:c r="H877" s="28"/>
      <x:c r="I877" s="56"/>
      <x:c r="J877" s="28"/>
      <x:c r="K877" s="28"/>
      <x:c r="L877" s="56"/>
      <x:c r="M877" s="28"/>
      <x:c r="N877" s="28"/>
      <x:c r="O877" s="28"/>
      <x:c r="P877" s="28"/>
      <x:c r="Q877" s="28"/>
      <x:c r="R877" s="28"/>
      <x:c r="S877" s="28"/>
      <x:c r="T877" s="28"/>
      <x:c r="U877" s="28"/>
      <x:c r="V877" s="28"/>
      <x:c r="W877" s="28"/>
      <x:c r="X877" s="28"/>
      <x:c r="Y877" s="28"/>
      <x:c r="Z877" s="28"/>
      <x:c r="AA877" s="28"/>
      <x:c r="AB877" s="56" t="str">
        <x:f>IF($A877="","",IF(Z877="Y",20,IF(Z877="Unknown",10,0))+$L877*5+IF(AA877="Y",15,IF(AA877="Unknown",5,0))+IF($J877="Public",10,IF($J877="Partner",7,IF($J877="Internal",3,0)))+IF($W877="Hard-coded",10,IF($W877="Unknown",7,IF($W877="Configurable",3,0)))+IF($I877&gt;=10,10,IF($I877&gt;=5,7,IF($I877&gt;=2,3,0)))+IF($K877="High",10,IF($K877="Medium",5,0)))</x:f>
      </x:c>
      <x:c r="AC877" s="28" t="str">
        <x:f>IF($A877="","",IF(AB877&gt;=70,"P0 - Immediate",IF(AB877&gt;=50,"P1 - High",IF(AB877&gt;=30,"P2 - Medium",IF(AB877&gt;=15,"P3 - Low","P4 - Monitor")))))</x:f>
      </x:c>
      <x:c r="AD877" s="28"/>
      <x:c r="AE877" s="28"/>
      <x:c r="AF877" s="28"/>
      <x:c r="AG877" s="58"/>
      <x:c r="AH877" s="28"/>
    </x:row>
    <x:row r="878">
      <x:c r="A878" s="28"/>
      <x:c r="B878" s="28"/>
      <x:c r="C878" s="28"/>
      <x:c r="D878" s="28"/>
      <x:c r="E878" s="28"/>
      <x:c r="F878" s="28"/>
      <x:c r="G878" s="28"/>
      <x:c r="H878" s="28"/>
      <x:c r="I878" s="56"/>
      <x:c r="J878" s="28"/>
      <x:c r="K878" s="28"/>
      <x:c r="L878" s="56"/>
      <x:c r="M878" s="28"/>
      <x:c r="N878" s="28"/>
      <x:c r="O878" s="28"/>
      <x:c r="P878" s="28"/>
      <x:c r="Q878" s="28"/>
      <x:c r="R878" s="28"/>
      <x:c r="S878" s="28"/>
      <x:c r="T878" s="28"/>
      <x:c r="U878" s="28"/>
      <x:c r="V878" s="28"/>
      <x:c r="W878" s="28"/>
      <x:c r="X878" s="28"/>
      <x:c r="Y878" s="28"/>
      <x:c r="Z878" s="28"/>
      <x:c r="AA878" s="28"/>
      <x:c r="AB878" s="56" t="str">
        <x:f>IF($A878="","",IF(Z878="Y",20,IF(Z878="Unknown",10,0))+$L878*5+IF(AA878="Y",15,IF(AA878="Unknown",5,0))+IF($J878="Public",10,IF($J878="Partner",7,IF($J878="Internal",3,0)))+IF($W878="Hard-coded",10,IF($W878="Unknown",7,IF($W878="Configurable",3,0)))+IF($I878&gt;=10,10,IF($I878&gt;=5,7,IF($I878&gt;=2,3,0)))+IF($K878="High",10,IF($K878="Medium",5,0)))</x:f>
      </x:c>
      <x:c r="AC878" s="28" t="str">
        <x:f>IF($A878="","",IF(AB878&gt;=70,"P0 - Immediate",IF(AB878&gt;=50,"P1 - High",IF(AB878&gt;=30,"P2 - Medium",IF(AB878&gt;=15,"P3 - Low","P4 - Monitor")))))</x:f>
      </x:c>
      <x:c r="AD878" s="28"/>
      <x:c r="AE878" s="28"/>
      <x:c r="AF878" s="28"/>
      <x:c r="AG878" s="58"/>
      <x:c r="AH878" s="28"/>
    </x:row>
    <x:row r="879">
      <x:c r="A879" s="28"/>
      <x:c r="B879" s="28"/>
      <x:c r="C879" s="28"/>
      <x:c r="D879" s="28"/>
      <x:c r="E879" s="28"/>
      <x:c r="F879" s="28"/>
      <x:c r="G879" s="28"/>
      <x:c r="H879" s="28"/>
      <x:c r="I879" s="56"/>
      <x:c r="J879" s="28"/>
      <x:c r="K879" s="28"/>
      <x:c r="L879" s="56"/>
      <x:c r="M879" s="28"/>
      <x:c r="N879" s="28"/>
      <x:c r="O879" s="28"/>
      <x:c r="P879" s="28"/>
      <x:c r="Q879" s="28"/>
      <x:c r="R879" s="28"/>
      <x:c r="S879" s="28"/>
      <x:c r="T879" s="28"/>
      <x:c r="U879" s="28"/>
      <x:c r="V879" s="28"/>
      <x:c r="W879" s="28"/>
      <x:c r="X879" s="28"/>
      <x:c r="Y879" s="28"/>
      <x:c r="Z879" s="28"/>
      <x:c r="AA879" s="28"/>
      <x:c r="AB879" s="56" t="str">
        <x:f>IF($A879="","",IF(Z879="Y",20,IF(Z879="Unknown",10,0))+$L879*5+IF(AA879="Y",15,IF(AA879="Unknown",5,0))+IF($J879="Public",10,IF($J879="Partner",7,IF($J879="Internal",3,0)))+IF($W879="Hard-coded",10,IF($W879="Unknown",7,IF($W879="Configurable",3,0)))+IF($I879&gt;=10,10,IF($I879&gt;=5,7,IF($I879&gt;=2,3,0)))+IF($K879="High",10,IF($K879="Medium",5,0)))</x:f>
      </x:c>
      <x:c r="AC879" s="28" t="str">
        <x:f>IF($A879="","",IF(AB879&gt;=70,"P0 - Immediate",IF(AB879&gt;=50,"P1 - High",IF(AB879&gt;=30,"P2 - Medium",IF(AB879&gt;=15,"P3 - Low","P4 - Monitor")))))</x:f>
      </x:c>
      <x:c r="AD879" s="28"/>
      <x:c r="AE879" s="28"/>
      <x:c r="AF879" s="28"/>
      <x:c r="AG879" s="58"/>
      <x:c r="AH879" s="28"/>
    </x:row>
    <x:row r="880">
      <x:c r="A880" s="28"/>
      <x:c r="B880" s="28"/>
      <x:c r="C880" s="28"/>
      <x:c r="D880" s="28"/>
      <x:c r="E880" s="28"/>
      <x:c r="F880" s="28"/>
      <x:c r="G880" s="28"/>
      <x:c r="H880" s="28"/>
      <x:c r="I880" s="56"/>
      <x:c r="J880" s="28"/>
      <x:c r="K880" s="28"/>
      <x:c r="L880" s="56"/>
      <x:c r="M880" s="28"/>
      <x:c r="N880" s="28"/>
      <x:c r="O880" s="28"/>
      <x:c r="P880" s="28"/>
      <x:c r="Q880" s="28"/>
      <x:c r="R880" s="28"/>
      <x:c r="S880" s="28"/>
      <x:c r="T880" s="28"/>
      <x:c r="U880" s="28"/>
      <x:c r="V880" s="28"/>
      <x:c r="W880" s="28"/>
      <x:c r="X880" s="28"/>
      <x:c r="Y880" s="28"/>
      <x:c r="Z880" s="28"/>
      <x:c r="AA880" s="28"/>
      <x:c r="AB880" s="56" t="str">
        <x:f>IF($A880="","",IF(Z880="Y",20,IF(Z880="Unknown",10,0))+$L880*5+IF(AA880="Y",15,IF(AA880="Unknown",5,0))+IF($J880="Public",10,IF($J880="Partner",7,IF($J880="Internal",3,0)))+IF($W880="Hard-coded",10,IF($W880="Unknown",7,IF($W880="Configurable",3,0)))+IF($I880&gt;=10,10,IF($I880&gt;=5,7,IF($I880&gt;=2,3,0)))+IF($K880="High",10,IF($K880="Medium",5,0)))</x:f>
      </x:c>
      <x:c r="AC880" s="28" t="str">
        <x:f>IF($A880="","",IF(AB880&gt;=70,"P0 - Immediate",IF(AB880&gt;=50,"P1 - High",IF(AB880&gt;=30,"P2 - Medium",IF(AB880&gt;=15,"P3 - Low","P4 - Monitor")))))</x:f>
      </x:c>
      <x:c r="AD880" s="28"/>
      <x:c r="AE880" s="28"/>
      <x:c r="AF880" s="28"/>
      <x:c r="AG880" s="58"/>
      <x:c r="AH880" s="28"/>
    </x:row>
    <x:row r="881">
      <x:c r="A881" s="28"/>
      <x:c r="B881" s="28"/>
      <x:c r="C881" s="28"/>
      <x:c r="D881" s="28"/>
      <x:c r="E881" s="28"/>
      <x:c r="F881" s="28"/>
      <x:c r="G881" s="28"/>
      <x:c r="H881" s="28"/>
      <x:c r="I881" s="56"/>
      <x:c r="J881" s="28"/>
      <x:c r="K881" s="28"/>
      <x:c r="L881" s="56"/>
      <x:c r="M881" s="28"/>
      <x:c r="N881" s="28"/>
      <x:c r="O881" s="28"/>
      <x:c r="P881" s="28"/>
      <x:c r="Q881" s="28"/>
      <x:c r="R881" s="28"/>
      <x:c r="S881" s="28"/>
      <x:c r="T881" s="28"/>
      <x:c r="U881" s="28"/>
      <x:c r="V881" s="28"/>
      <x:c r="W881" s="28"/>
      <x:c r="X881" s="28"/>
      <x:c r="Y881" s="28"/>
      <x:c r="Z881" s="28"/>
      <x:c r="AA881" s="28"/>
      <x:c r="AB881" s="56" t="str">
        <x:f>IF($A881="","",IF(Z881="Y",20,IF(Z881="Unknown",10,0))+$L881*5+IF(AA881="Y",15,IF(AA881="Unknown",5,0))+IF($J881="Public",10,IF($J881="Partner",7,IF($J881="Internal",3,0)))+IF($W881="Hard-coded",10,IF($W881="Unknown",7,IF($W881="Configurable",3,0)))+IF($I881&gt;=10,10,IF($I881&gt;=5,7,IF($I881&gt;=2,3,0)))+IF($K881="High",10,IF($K881="Medium",5,0)))</x:f>
      </x:c>
      <x:c r="AC881" s="28" t="str">
        <x:f>IF($A881="","",IF(AB881&gt;=70,"P0 - Immediate",IF(AB881&gt;=50,"P1 - High",IF(AB881&gt;=30,"P2 - Medium",IF(AB881&gt;=15,"P3 - Low","P4 - Monitor")))))</x:f>
      </x:c>
      <x:c r="AD881" s="28"/>
      <x:c r="AE881" s="28"/>
      <x:c r="AF881" s="28"/>
      <x:c r="AG881" s="58"/>
      <x:c r="AH881" s="28"/>
    </x:row>
    <x:row r="882">
      <x:c r="A882" s="28"/>
      <x:c r="B882" s="28"/>
      <x:c r="C882" s="28"/>
      <x:c r="D882" s="28"/>
      <x:c r="E882" s="28"/>
      <x:c r="F882" s="28"/>
      <x:c r="G882" s="28"/>
      <x:c r="H882" s="28"/>
      <x:c r="I882" s="56"/>
      <x:c r="J882" s="28"/>
      <x:c r="K882" s="28"/>
      <x:c r="L882" s="56"/>
      <x:c r="M882" s="28"/>
      <x:c r="N882" s="28"/>
      <x:c r="O882" s="28"/>
      <x:c r="P882" s="28"/>
      <x:c r="Q882" s="28"/>
      <x:c r="R882" s="28"/>
      <x:c r="S882" s="28"/>
      <x:c r="T882" s="28"/>
      <x:c r="U882" s="28"/>
      <x:c r="V882" s="28"/>
      <x:c r="W882" s="28"/>
      <x:c r="X882" s="28"/>
      <x:c r="Y882" s="28"/>
      <x:c r="Z882" s="28"/>
      <x:c r="AA882" s="28"/>
      <x:c r="AB882" s="56" t="str">
        <x:f>IF($A882="","",IF(Z882="Y",20,IF(Z882="Unknown",10,0))+$L882*5+IF(AA882="Y",15,IF(AA882="Unknown",5,0))+IF($J882="Public",10,IF($J882="Partner",7,IF($J882="Internal",3,0)))+IF($W882="Hard-coded",10,IF($W882="Unknown",7,IF($W882="Configurable",3,0)))+IF($I882&gt;=10,10,IF($I882&gt;=5,7,IF($I882&gt;=2,3,0)))+IF($K882="High",10,IF($K882="Medium",5,0)))</x:f>
      </x:c>
      <x:c r="AC882" s="28" t="str">
        <x:f>IF($A882="","",IF(AB882&gt;=70,"P0 - Immediate",IF(AB882&gt;=50,"P1 - High",IF(AB882&gt;=30,"P2 - Medium",IF(AB882&gt;=15,"P3 - Low","P4 - Monitor")))))</x:f>
      </x:c>
      <x:c r="AD882" s="28"/>
      <x:c r="AE882" s="28"/>
      <x:c r="AF882" s="28"/>
      <x:c r="AG882" s="58"/>
      <x:c r="AH882" s="28"/>
    </x:row>
    <x:row r="883">
      <x:c r="A883" s="28"/>
      <x:c r="B883" s="28"/>
      <x:c r="C883" s="28"/>
      <x:c r="D883" s="28"/>
      <x:c r="E883" s="28"/>
      <x:c r="F883" s="28"/>
      <x:c r="G883" s="28"/>
      <x:c r="H883" s="28"/>
      <x:c r="I883" s="56"/>
      <x:c r="J883" s="28"/>
      <x:c r="K883" s="28"/>
      <x:c r="L883" s="56"/>
      <x:c r="M883" s="28"/>
      <x:c r="N883" s="28"/>
      <x:c r="O883" s="28"/>
      <x:c r="P883" s="28"/>
      <x:c r="Q883" s="28"/>
      <x:c r="R883" s="28"/>
      <x:c r="S883" s="28"/>
      <x:c r="T883" s="28"/>
      <x:c r="U883" s="28"/>
      <x:c r="V883" s="28"/>
      <x:c r="W883" s="28"/>
      <x:c r="X883" s="28"/>
      <x:c r="Y883" s="28"/>
      <x:c r="Z883" s="28"/>
      <x:c r="AA883" s="28"/>
      <x:c r="AB883" s="56" t="str">
        <x:f>IF($A883="","",IF(Z883="Y",20,IF(Z883="Unknown",10,0))+$L883*5+IF(AA883="Y",15,IF(AA883="Unknown",5,0))+IF($J883="Public",10,IF($J883="Partner",7,IF($J883="Internal",3,0)))+IF($W883="Hard-coded",10,IF($W883="Unknown",7,IF($W883="Configurable",3,0)))+IF($I883&gt;=10,10,IF($I883&gt;=5,7,IF($I883&gt;=2,3,0)))+IF($K883="High",10,IF($K883="Medium",5,0)))</x:f>
      </x:c>
      <x:c r="AC883" s="28" t="str">
        <x:f>IF($A883="","",IF(AB883&gt;=70,"P0 - Immediate",IF(AB883&gt;=50,"P1 - High",IF(AB883&gt;=30,"P2 - Medium",IF(AB883&gt;=15,"P3 - Low","P4 - Monitor")))))</x:f>
      </x:c>
      <x:c r="AD883" s="28"/>
      <x:c r="AE883" s="28"/>
      <x:c r="AF883" s="28"/>
      <x:c r="AG883" s="58"/>
      <x:c r="AH883" s="28"/>
    </x:row>
    <x:row r="884">
      <x:c r="A884" s="28"/>
      <x:c r="B884" s="28"/>
      <x:c r="C884" s="28"/>
      <x:c r="D884" s="28"/>
      <x:c r="E884" s="28"/>
      <x:c r="F884" s="28"/>
      <x:c r="G884" s="28"/>
      <x:c r="H884" s="28"/>
      <x:c r="I884" s="56"/>
      <x:c r="J884" s="28"/>
      <x:c r="K884" s="28"/>
      <x:c r="L884" s="56"/>
      <x:c r="M884" s="28"/>
      <x:c r="N884" s="28"/>
      <x:c r="O884" s="28"/>
      <x:c r="P884" s="28"/>
      <x:c r="Q884" s="28"/>
      <x:c r="R884" s="28"/>
      <x:c r="S884" s="28"/>
      <x:c r="T884" s="28"/>
      <x:c r="U884" s="28"/>
      <x:c r="V884" s="28"/>
      <x:c r="W884" s="28"/>
      <x:c r="X884" s="28"/>
      <x:c r="Y884" s="28"/>
      <x:c r="Z884" s="28"/>
      <x:c r="AA884" s="28"/>
      <x:c r="AB884" s="56" t="str">
        <x:f>IF($A884="","",IF(Z884="Y",20,IF(Z884="Unknown",10,0))+$L884*5+IF(AA884="Y",15,IF(AA884="Unknown",5,0))+IF($J884="Public",10,IF($J884="Partner",7,IF($J884="Internal",3,0)))+IF($W884="Hard-coded",10,IF($W884="Unknown",7,IF($W884="Configurable",3,0)))+IF($I884&gt;=10,10,IF($I884&gt;=5,7,IF($I884&gt;=2,3,0)))+IF($K884="High",10,IF($K884="Medium",5,0)))</x:f>
      </x:c>
      <x:c r="AC884" s="28" t="str">
        <x:f>IF($A884="","",IF(AB884&gt;=70,"P0 - Immediate",IF(AB884&gt;=50,"P1 - High",IF(AB884&gt;=30,"P2 - Medium",IF(AB884&gt;=15,"P3 - Low","P4 - Monitor")))))</x:f>
      </x:c>
      <x:c r="AD884" s="28"/>
      <x:c r="AE884" s="28"/>
      <x:c r="AF884" s="28"/>
      <x:c r="AG884" s="58"/>
      <x:c r="AH884" s="28"/>
    </x:row>
    <x:row r="885">
      <x:c r="A885" s="28"/>
      <x:c r="B885" s="28"/>
      <x:c r="C885" s="28"/>
      <x:c r="D885" s="28"/>
      <x:c r="E885" s="28"/>
      <x:c r="F885" s="28"/>
      <x:c r="G885" s="28"/>
      <x:c r="H885" s="28"/>
      <x:c r="I885" s="56"/>
      <x:c r="J885" s="28"/>
      <x:c r="K885" s="28"/>
      <x:c r="L885" s="56"/>
      <x:c r="M885" s="28"/>
      <x:c r="N885" s="28"/>
      <x:c r="O885" s="28"/>
      <x:c r="P885" s="28"/>
      <x:c r="Q885" s="28"/>
      <x:c r="R885" s="28"/>
      <x:c r="S885" s="28"/>
      <x:c r="T885" s="28"/>
      <x:c r="U885" s="28"/>
      <x:c r="V885" s="28"/>
      <x:c r="W885" s="28"/>
      <x:c r="X885" s="28"/>
      <x:c r="Y885" s="28"/>
      <x:c r="Z885" s="28"/>
      <x:c r="AA885" s="28"/>
      <x:c r="AB885" s="56" t="str">
        <x:f>IF($A885="","",IF(Z885="Y",20,IF(Z885="Unknown",10,0))+$L885*5+IF(AA885="Y",15,IF(AA885="Unknown",5,0))+IF($J885="Public",10,IF($J885="Partner",7,IF($J885="Internal",3,0)))+IF($W885="Hard-coded",10,IF($W885="Unknown",7,IF($W885="Configurable",3,0)))+IF($I885&gt;=10,10,IF($I885&gt;=5,7,IF($I885&gt;=2,3,0)))+IF($K885="High",10,IF($K885="Medium",5,0)))</x:f>
      </x:c>
      <x:c r="AC885" s="28" t="str">
        <x:f>IF($A885="","",IF(AB885&gt;=70,"P0 - Immediate",IF(AB885&gt;=50,"P1 - High",IF(AB885&gt;=30,"P2 - Medium",IF(AB885&gt;=15,"P3 - Low","P4 - Monitor")))))</x:f>
      </x:c>
      <x:c r="AD885" s="28"/>
      <x:c r="AE885" s="28"/>
      <x:c r="AF885" s="28"/>
      <x:c r="AG885" s="58"/>
      <x:c r="AH885" s="28"/>
    </x:row>
    <x:row r="886">
      <x:c r="A886" s="28"/>
      <x:c r="B886" s="28"/>
      <x:c r="C886" s="28"/>
      <x:c r="D886" s="28"/>
      <x:c r="E886" s="28"/>
      <x:c r="F886" s="28"/>
      <x:c r="G886" s="28"/>
      <x:c r="H886" s="28"/>
      <x:c r="I886" s="56"/>
      <x:c r="J886" s="28"/>
      <x:c r="K886" s="28"/>
      <x:c r="L886" s="56"/>
      <x:c r="M886" s="28"/>
      <x:c r="N886" s="28"/>
      <x:c r="O886" s="28"/>
      <x:c r="P886" s="28"/>
      <x:c r="Q886" s="28"/>
      <x:c r="R886" s="28"/>
      <x:c r="S886" s="28"/>
      <x:c r="T886" s="28"/>
      <x:c r="U886" s="28"/>
      <x:c r="V886" s="28"/>
      <x:c r="W886" s="28"/>
      <x:c r="X886" s="28"/>
      <x:c r="Y886" s="28"/>
      <x:c r="Z886" s="28"/>
      <x:c r="AA886" s="28"/>
      <x:c r="AB886" s="56" t="str">
        <x:f>IF($A886="","",IF(Z886="Y",20,IF(Z886="Unknown",10,0))+$L886*5+IF(AA886="Y",15,IF(AA886="Unknown",5,0))+IF($J886="Public",10,IF($J886="Partner",7,IF($J886="Internal",3,0)))+IF($W886="Hard-coded",10,IF($W886="Unknown",7,IF($W886="Configurable",3,0)))+IF($I886&gt;=10,10,IF($I886&gt;=5,7,IF($I886&gt;=2,3,0)))+IF($K886="High",10,IF($K886="Medium",5,0)))</x:f>
      </x:c>
      <x:c r="AC886" s="28" t="str">
        <x:f>IF($A886="","",IF(AB886&gt;=70,"P0 - Immediate",IF(AB886&gt;=50,"P1 - High",IF(AB886&gt;=30,"P2 - Medium",IF(AB886&gt;=15,"P3 - Low","P4 - Monitor")))))</x:f>
      </x:c>
      <x:c r="AD886" s="28"/>
      <x:c r="AE886" s="28"/>
      <x:c r="AF886" s="28"/>
      <x:c r="AG886" s="58"/>
      <x:c r="AH886" s="28"/>
    </x:row>
    <x:row r="887">
      <x:c r="A887" s="28"/>
      <x:c r="B887" s="28"/>
      <x:c r="C887" s="28"/>
      <x:c r="D887" s="28"/>
      <x:c r="E887" s="28"/>
      <x:c r="F887" s="28"/>
      <x:c r="G887" s="28"/>
      <x:c r="H887" s="28"/>
      <x:c r="I887" s="56"/>
      <x:c r="J887" s="28"/>
      <x:c r="K887" s="28"/>
      <x:c r="L887" s="56"/>
      <x:c r="M887" s="28"/>
      <x:c r="N887" s="28"/>
      <x:c r="O887" s="28"/>
      <x:c r="P887" s="28"/>
      <x:c r="Q887" s="28"/>
      <x:c r="R887" s="28"/>
      <x:c r="S887" s="28"/>
      <x:c r="T887" s="28"/>
      <x:c r="U887" s="28"/>
      <x:c r="V887" s="28"/>
      <x:c r="W887" s="28"/>
      <x:c r="X887" s="28"/>
      <x:c r="Y887" s="28"/>
      <x:c r="Z887" s="28"/>
      <x:c r="AA887" s="28"/>
      <x:c r="AB887" s="56" t="str">
        <x:f>IF($A887="","",IF(Z887="Y",20,IF(Z887="Unknown",10,0))+$L887*5+IF(AA887="Y",15,IF(AA887="Unknown",5,0))+IF($J887="Public",10,IF($J887="Partner",7,IF($J887="Internal",3,0)))+IF($W887="Hard-coded",10,IF($W887="Unknown",7,IF($W887="Configurable",3,0)))+IF($I887&gt;=10,10,IF($I887&gt;=5,7,IF($I887&gt;=2,3,0)))+IF($K887="High",10,IF($K887="Medium",5,0)))</x:f>
      </x:c>
      <x:c r="AC887" s="28" t="str">
        <x:f>IF($A887="","",IF(AB887&gt;=70,"P0 - Immediate",IF(AB887&gt;=50,"P1 - High",IF(AB887&gt;=30,"P2 - Medium",IF(AB887&gt;=15,"P3 - Low","P4 - Monitor")))))</x:f>
      </x:c>
      <x:c r="AD887" s="28"/>
      <x:c r="AE887" s="28"/>
      <x:c r="AF887" s="28"/>
      <x:c r="AG887" s="58"/>
      <x:c r="AH887" s="28"/>
    </x:row>
    <x:row r="888">
      <x:c r="A888" s="28"/>
      <x:c r="B888" s="28"/>
      <x:c r="C888" s="28"/>
      <x:c r="D888" s="28"/>
      <x:c r="E888" s="28"/>
      <x:c r="F888" s="28"/>
      <x:c r="G888" s="28"/>
      <x:c r="H888" s="28"/>
      <x:c r="I888" s="56"/>
      <x:c r="J888" s="28"/>
      <x:c r="K888" s="28"/>
      <x:c r="L888" s="56"/>
      <x:c r="M888" s="28"/>
      <x:c r="N888" s="28"/>
      <x:c r="O888" s="28"/>
      <x:c r="P888" s="28"/>
      <x:c r="Q888" s="28"/>
      <x:c r="R888" s="28"/>
      <x:c r="S888" s="28"/>
      <x:c r="T888" s="28"/>
      <x:c r="U888" s="28"/>
      <x:c r="V888" s="28"/>
      <x:c r="W888" s="28"/>
      <x:c r="X888" s="28"/>
      <x:c r="Y888" s="28"/>
      <x:c r="Z888" s="28"/>
      <x:c r="AA888" s="28"/>
      <x:c r="AB888" s="56" t="str">
        <x:f>IF($A888="","",IF(Z888="Y",20,IF(Z888="Unknown",10,0))+$L888*5+IF(AA888="Y",15,IF(AA888="Unknown",5,0))+IF($J888="Public",10,IF($J888="Partner",7,IF($J888="Internal",3,0)))+IF($W888="Hard-coded",10,IF($W888="Unknown",7,IF($W888="Configurable",3,0)))+IF($I888&gt;=10,10,IF($I888&gt;=5,7,IF($I888&gt;=2,3,0)))+IF($K888="High",10,IF($K888="Medium",5,0)))</x:f>
      </x:c>
      <x:c r="AC888" s="28" t="str">
        <x:f>IF($A888="","",IF(AB888&gt;=70,"P0 - Immediate",IF(AB888&gt;=50,"P1 - High",IF(AB888&gt;=30,"P2 - Medium",IF(AB888&gt;=15,"P3 - Low","P4 - Monitor")))))</x:f>
      </x:c>
      <x:c r="AD888" s="28"/>
      <x:c r="AE888" s="28"/>
      <x:c r="AF888" s="28"/>
      <x:c r="AG888" s="58"/>
      <x:c r="AH888" s="28"/>
    </x:row>
    <x:row r="889">
      <x:c r="A889" s="28"/>
      <x:c r="B889" s="28"/>
      <x:c r="C889" s="28"/>
      <x:c r="D889" s="28"/>
      <x:c r="E889" s="28"/>
      <x:c r="F889" s="28"/>
      <x:c r="G889" s="28"/>
      <x:c r="H889" s="28"/>
      <x:c r="I889" s="56"/>
      <x:c r="J889" s="28"/>
      <x:c r="K889" s="28"/>
      <x:c r="L889" s="56"/>
      <x:c r="M889" s="28"/>
      <x:c r="N889" s="28"/>
      <x:c r="O889" s="28"/>
      <x:c r="P889" s="28"/>
      <x:c r="Q889" s="28"/>
      <x:c r="R889" s="28"/>
      <x:c r="S889" s="28"/>
      <x:c r="T889" s="28"/>
      <x:c r="U889" s="28"/>
      <x:c r="V889" s="28"/>
      <x:c r="W889" s="28"/>
      <x:c r="X889" s="28"/>
      <x:c r="Y889" s="28"/>
      <x:c r="Z889" s="28"/>
      <x:c r="AA889" s="28"/>
      <x:c r="AB889" s="56" t="str">
        <x:f>IF($A889="","",IF(Z889="Y",20,IF(Z889="Unknown",10,0))+$L889*5+IF(AA889="Y",15,IF(AA889="Unknown",5,0))+IF($J889="Public",10,IF($J889="Partner",7,IF($J889="Internal",3,0)))+IF($W889="Hard-coded",10,IF($W889="Unknown",7,IF($W889="Configurable",3,0)))+IF($I889&gt;=10,10,IF($I889&gt;=5,7,IF($I889&gt;=2,3,0)))+IF($K889="High",10,IF($K889="Medium",5,0)))</x:f>
      </x:c>
      <x:c r="AC889" s="28" t="str">
        <x:f>IF($A889="","",IF(AB889&gt;=70,"P0 - Immediate",IF(AB889&gt;=50,"P1 - High",IF(AB889&gt;=30,"P2 - Medium",IF(AB889&gt;=15,"P3 - Low","P4 - Monitor")))))</x:f>
      </x:c>
      <x:c r="AD889" s="28"/>
      <x:c r="AE889" s="28"/>
      <x:c r="AF889" s="28"/>
      <x:c r="AG889" s="58"/>
      <x:c r="AH889" s="28"/>
    </x:row>
    <x:row r="890">
      <x:c r="A890" s="28"/>
      <x:c r="B890" s="28"/>
      <x:c r="C890" s="28"/>
      <x:c r="D890" s="28"/>
      <x:c r="E890" s="28"/>
      <x:c r="F890" s="28"/>
      <x:c r="G890" s="28"/>
      <x:c r="H890" s="28"/>
      <x:c r="I890" s="56"/>
      <x:c r="J890" s="28"/>
      <x:c r="K890" s="28"/>
      <x:c r="L890" s="56"/>
      <x:c r="M890" s="28"/>
      <x:c r="N890" s="28"/>
      <x:c r="O890" s="28"/>
      <x:c r="P890" s="28"/>
      <x:c r="Q890" s="28"/>
      <x:c r="R890" s="28"/>
      <x:c r="S890" s="28"/>
      <x:c r="T890" s="28"/>
      <x:c r="U890" s="28"/>
      <x:c r="V890" s="28"/>
      <x:c r="W890" s="28"/>
      <x:c r="X890" s="28"/>
      <x:c r="Y890" s="28"/>
      <x:c r="Z890" s="28"/>
      <x:c r="AA890" s="28"/>
      <x:c r="AB890" s="56" t="str">
        <x:f>IF($A890="","",IF(Z890="Y",20,IF(Z890="Unknown",10,0))+$L890*5+IF(AA890="Y",15,IF(AA890="Unknown",5,0))+IF($J890="Public",10,IF($J890="Partner",7,IF($J890="Internal",3,0)))+IF($W890="Hard-coded",10,IF($W890="Unknown",7,IF($W890="Configurable",3,0)))+IF($I890&gt;=10,10,IF($I890&gt;=5,7,IF($I890&gt;=2,3,0)))+IF($K890="High",10,IF($K890="Medium",5,0)))</x:f>
      </x:c>
      <x:c r="AC890" s="28" t="str">
        <x:f>IF($A890="","",IF(AB890&gt;=70,"P0 - Immediate",IF(AB890&gt;=50,"P1 - High",IF(AB890&gt;=30,"P2 - Medium",IF(AB890&gt;=15,"P3 - Low","P4 - Monitor")))))</x:f>
      </x:c>
      <x:c r="AD890" s="28"/>
      <x:c r="AE890" s="28"/>
      <x:c r="AF890" s="28"/>
      <x:c r="AG890" s="58"/>
      <x:c r="AH890" s="28"/>
    </x:row>
    <x:row r="891">
      <x:c r="A891" s="28"/>
      <x:c r="B891" s="28"/>
      <x:c r="C891" s="28"/>
      <x:c r="D891" s="28"/>
      <x:c r="E891" s="28"/>
      <x:c r="F891" s="28"/>
      <x:c r="G891" s="28"/>
      <x:c r="H891" s="28"/>
      <x:c r="I891" s="56"/>
      <x:c r="J891" s="28"/>
      <x:c r="K891" s="28"/>
      <x:c r="L891" s="56"/>
      <x:c r="M891" s="28"/>
      <x:c r="N891" s="28"/>
      <x:c r="O891" s="28"/>
      <x:c r="P891" s="28"/>
      <x:c r="Q891" s="28"/>
      <x:c r="R891" s="28"/>
      <x:c r="S891" s="28"/>
      <x:c r="T891" s="28"/>
      <x:c r="U891" s="28"/>
      <x:c r="V891" s="28"/>
      <x:c r="W891" s="28"/>
      <x:c r="X891" s="28"/>
      <x:c r="Y891" s="28"/>
      <x:c r="Z891" s="28"/>
      <x:c r="AA891" s="28"/>
      <x:c r="AB891" s="56" t="str">
        <x:f>IF($A891="","",IF(Z891="Y",20,IF(Z891="Unknown",10,0))+$L891*5+IF(AA891="Y",15,IF(AA891="Unknown",5,0))+IF($J891="Public",10,IF($J891="Partner",7,IF($J891="Internal",3,0)))+IF($W891="Hard-coded",10,IF($W891="Unknown",7,IF($W891="Configurable",3,0)))+IF($I891&gt;=10,10,IF($I891&gt;=5,7,IF($I891&gt;=2,3,0)))+IF($K891="High",10,IF($K891="Medium",5,0)))</x:f>
      </x:c>
      <x:c r="AC891" s="28" t="str">
        <x:f>IF($A891="","",IF(AB891&gt;=70,"P0 - Immediate",IF(AB891&gt;=50,"P1 - High",IF(AB891&gt;=30,"P2 - Medium",IF(AB891&gt;=15,"P3 - Low","P4 - Monitor")))))</x:f>
      </x:c>
      <x:c r="AD891" s="28"/>
      <x:c r="AE891" s="28"/>
      <x:c r="AF891" s="28"/>
      <x:c r="AG891" s="58"/>
      <x:c r="AH891" s="28"/>
    </x:row>
    <x:row r="892">
      <x:c r="A892" s="28"/>
      <x:c r="B892" s="28"/>
      <x:c r="C892" s="28"/>
      <x:c r="D892" s="28"/>
      <x:c r="E892" s="28"/>
      <x:c r="F892" s="28"/>
      <x:c r="G892" s="28"/>
      <x:c r="H892" s="28"/>
      <x:c r="I892" s="56"/>
      <x:c r="J892" s="28"/>
      <x:c r="K892" s="28"/>
      <x:c r="L892" s="56"/>
      <x:c r="M892" s="28"/>
      <x:c r="N892" s="28"/>
      <x:c r="O892" s="28"/>
      <x:c r="P892" s="28"/>
      <x:c r="Q892" s="28"/>
      <x:c r="R892" s="28"/>
      <x:c r="S892" s="28"/>
      <x:c r="T892" s="28"/>
      <x:c r="U892" s="28"/>
      <x:c r="V892" s="28"/>
      <x:c r="W892" s="28"/>
      <x:c r="X892" s="28"/>
      <x:c r="Y892" s="28"/>
      <x:c r="Z892" s="28"/>
      <x:c r="AA892" s="28"/>
      <x:c r="AB892" s="56" t="str">
        <x:f>IF($A892="","",IF(Z892="Y",20,IF(Z892="Unknown",10,0))+$L892*5+IF(AA892="Y",15,IF(AA892="Unknown",5,0))+IF($J892="Public",10,IF($J892="Partner",7,IF($J892="Internal",3,0)))+IF($W892="Hard-coded",10,IF($W892="Unknown",7,IF($W892="Configurable",3,0)))+IF($I892&gt;=10,10,IF($I892&gt;=5,7,IF($I892&gt;=2,3,0)))+IF($K892="High",10,IF($K892="Medium",5,0)))</x:f>
      </x:c>
      <x:c r="AC892" s="28" t="str">
        <x:f>IF($A892="","",IF(AB892&gt;=70,"P0 - Immediate",IF(AB892&gt;=50,"P1 - High",IF(AB892&gt;=30,"P2 - Medium",IF(AB892&gt;=15,"P3 - Low","P4 - Monitor")))))</x:f>
      </x:c>
      <x:c r="AD892" s="28"/>
      <x:c r="AE892" s="28"/>
      <x:c r="AF892" s="28"/>
      <x:c r="AG892" s="58"/>
      <x:c r="AH892" s="28"/>
    </x:row>
    <x:row r="893">
      <x:c r="A893" s="28"/>
      <x:c r="B893" s="28"/>
      <x:c r="C893" s="28"/>
      <x:c r="D893" s="28"/>
      <x:c r="E893" s="28"/>
      <x:c r="F893" s="28"/>
      <x:c r="G893" s="28"/>
      <x:c r="H893" s="28"/>
      <x:c r="I893" s="56"/>
      <x:c r="J893" s="28"/>
      <x:c r="K893" s="28"/>
      <x:c r="L893" s="56"/>
      <x:c r="M893" s="28"/>
      <x:c r="N893" s="28"/>
      <x:c r="O893" s="28"/>
      <x:c r="P893" s="28"/>
      <x:c r="Q893" s="28"/>
      <x:c r="R893" s="28"/>
      <x:c r="S893" s="28"/>
      <x:c r="T893" s="28"/>
      <x:c r="U893" s="28"/>
      <x:c r="V893" s="28"/>
      <x:c r="W893" s="28"/>
      <x:c r="X893" s="28"/>
      <x:c r="Y893" s="28"/>
      <x:c r="Z893" s="28"/>
      <x:c r="AA893" s="28"/>
      <x:c r="AB893" s="56" t="str">
        <x:f>IF($A893="","",IF(Z893="Y",20,IF(Z893="Unknown",10,0))+$L893*5+IF(AA893="Y",15,IF(AA893="Unknown",5,0))+IF($J893="Public",10,IF($J893="Partner",7,IF($J893="Internal",3,0)))+IF($W893="Hard-coded",10,IF($W893="Unknown",7,IF($W893="Configurable",3,0)))+IF($I893&gt;=10,10,IF($I893&gt;=5,7,IF($I893&gt;=2,3,0)))+IF($K893="High",10,IF($K893="Medium",5,0)))</x:f>
      </x:c>
      <x:c r="AC893" s="28" t="str">
        <x:f>IF($A893="","",IF(AB893&gt;=70,"P0 - Immediate",IF(AB893&gt;=50,"P1 - High",IF(AB893&gt;=30,"P2 - Medium",IF(AB893&gt;=15,"P3 - Low","P4 - Monitor")))))</x:f>
      </x:c>
      <x:c r="AD893" s="28"/>
      <x:c r="AE893" s="28"/>
      <x:c r="AF893" s="28"/>
      <x:c r="AG893" s="58"/>
      <x:c r="AH893" s="28"/>
    </x:row>
    <x:row r="894">
      <x:c r="A894" s="28"/>
      <x:c r="B894" s="28"/>
      <x:c r="C894" s="28"/>
      <x:c r="D894" s="28"/>
      <x:c r="E894" s="28"/>
      <x:c r="F894" s="28"/>
      <x:c r="G894" s="28"/>
      <x:c r="H894" s="28"/>
      <x:c r="I894" s="56"/>
      <x:c r="J894" s="28"/>
      <x:c r="K894" s="28"/>
      <x:c r="L894" s="56"/>
      <x:c r="M894" s="28"/>
      <x:c r="N894" s="28"/>
      <x:c r="O894" s="28"/>
      <x:c r="P894" s="28"/>
      <x:c r="Q894" s="28"/>
      <x:c r="R894" s="28"/>
      <x:c r="S894" s="28"/>
      <x:c r="T894" s="28"/>
      <x:c r="U894" s="28"/>
      <x:c r="V894" s="28"/>
      <x:c r="W894" s="28"/>
      <x:c r="X894" s="28"/>
      <x:c r="Y894" s="28"/>
      <x:c r="Z894" s="28"/>
      <x:c r="AA894" s="28"/>
      <x:c r="AB894" s="56" t="str">
        <x:f>IF($A894="","",IF(Z894="Y",20,IF(Z894="Unknown",10,0))+$L894*5+IF(AA894="Y",15,IF(AA894="Unknown",5,0))+IF($J894="Public",10,IF($J894="Partner",7,IF($J894="Internal",3,0)))+IF($W894="Hard-coded",10,IF($W894="Unknown",7,IF($W894="Configurable",3,0)))+IF($I894&gt;=10,10,IF($I894&gt;=5,7,IF($I894&gt;=2,3,0)))+IF($K894="High",10,IF($K894="Medium",5,0)))</x:f>
      </x:c>
      <x:c r="AC894" s="28" t="str">
        <x:f>IF($A894="","",IF(AB894&gt;=70,"P0 - Immediate",IF(AB894&gt;=50,"P1 - High",IF(AB894&gt;=30,"P2 - Medium",IF(AB894&gt;=15,"P3 - Low","P4 - Monitor")))))</x:f>
      </x:c>
      <x:c r="AD894" s="28"/>
      <x:c r="AE894" s="28"/>
      <x:c r="AF894" s="28"/>
      <x:c r="AG894" s="58"/>
      <x:c r="AH894" s="28"/>
    </x:row>
    <x:row r="895">
      <x:c r="A895" s="28"/>
      <x:c r="B895" s="28"/>
      <x:c r="C895" s="28"/>
      <x:c r="D895" s="28"/>
      <x:c r="E895" s="28"/>
      <x:c r="F895" s="28"/>
      <x:c r="G895" s="28"/>
      <x:c r="H895" s="28"/>
      <x:c r="I895" s="56"/>
      <x:c r="J895" s="28"/>
      <x:c r="K895" s="28"/>
      <x:c r="L895" s="56"/>
      <x:c r="M895" s="28"/>
      <x:c r="N895" s="28"/>
      <x:c r="O895" s="28"/>
      <x:c r="P895" s="28"/>
      <x:c r="Q895" s="28"/>
      <x:c r="R895" s="28"/>
      <x:c r="S895" s="28"/>
      <x:c r="T895" s="28"/>
      <x:c r="U895" s="28"/>
      <x:c r="V895" s="28"/>
      <x:c r="W895" s="28"/>
      <x:c r="X895" s="28"/>
      <x:c r="Y895" s="28"/>
      <x:c r="Z895" s="28"/>
      <x:c r="AA895" s="28"/>
      <x:c r="AB895" s="56" t="str">
        <x:f>IF($A895="","",IF(Z895="Y",20,IF(Z895="Unknown",10,0))+$L895*5+IF(AA895="Y",15,IF(AA895="Unknown",5,0))+IF($J895="Public",10,IF($J895="Partner",7,IF($J895="Internal",3,0)))+IF($W895="Hard-coded",10,IF($W895="Unknown",7,IF($W895="Configurable",3,0)))+IF($I895&gt;=10,10,IF($I895&gt;=5,7,IF($I895&gt;=2,3,0)))+IF($K895="High",10,IF($K895="Medium",5,0)))</x:f>
      </x:c>
      <x:c r="AC895" s="28" t="str">
        <x:f>IF($A895="","",IF(AB895&gt;=70,"P0 - Immediate",IF(AB895&gt;=50,"P1 - High",IF(AB895&gt;=30,"P2 - Medium",IF(AB895&gt;=15,"P3 - Low","P4 - Monitor")))))</x:f>
      </x:c>
      <x:c r="AD895" s="28"/>
      <x:c r="AE895" s="28"/>
      <x:c r="AF895" s="28"/>
      <x:c r="AG895" s="58"/>
      <x:c r="AH895" s="28"/>
    </x:row>
    <x:row r="896">
      <x:c r="A896" s="28"/>
      <x:c r="B896" s="28"/>
      <x:c r="C896" s="28"/>
      <x:c r="D896" s="28"/>
      <x:c r="E896" s="28"/>
      <x:c r="F896" s="28"/>
      <x:c r="G896" s="28"/>
      <x:c r="H896" s="28"/>
      <x:c r="I896" s="56"/>
      <x:c r="J896" s="28"/>
      <x:c r="K896" s="28"/>
      <x:c r="L896" s="56"/>
      <x:c r="M896" s="28"/>
      <x:c r="N896" s="28"/>
      <x:c r="O896" s="28"/>
      <x:c r="P896" s="28"/>
      <x:c r="Q896" s="28"/>
      <x:c r="R896" s="28"/>
      <x:c r="S896" s="28"/>
      <x:c r="T896" s="28"/>
      <x:c r="U896" s="28"/>
      <x:c r="V896" s="28"/>
      <x:c r="W896" s="28"/>
      <x:c r="X896" s="28"/>
      <x:c r="Y896" s="28"/>
      <x:c r="Z896" s="28"/>
      <x:c r="AA896" s="28"/>
      <x:c r="AB896" s="56" t="str">
        <x:f>IF($A896="","",IF(Z896="Y",20,IF(Z896="Unknown",10,0))+$L896*5+IF(AA896="Y",15,IF(AA896="Unknown",5,0))+IF($J896="Public",10,IF($J896="Partner",7,IF($J896="Internal",3,0)))+IF($W896="Hard-coded",10,IF($W896="Unknown",7,IF($W896="Configurable",3,0)))+IF($I896&gt;=10,10,IF($I896&gt;=5,7,IF($I896&gt;=2,3,0)))+IF($K896="High",10,IF($K896="Medium",5,0)))</x:f>
      </x:c>
      <x:c r="AC896" s="28" t="str">
        <x:f>IF($A896="","",IF(AB896&gt;=70,"P0 - Immediate",IF(AB896&gt;=50,"P1 - High",IF(AB896&gt;=30,"P2 - Medium",IF(AB896&gt;=15,"P3 - Low","P4 - Monitor")))))</x:f>
      </x:c>
      <x:c r="AD896" s="28"/>
      <x:c r="AE896" s="28"/>
      <x:c r="AF896" s="28"/>
      <x:c r="AG896" s="58"/>
      <x:c r="AH896" s="28"/>
    </x:row>
    <x:row r="897">
      <x:c r="A897" s="28"/>
      <x:c r="B897" s="28"/>
      <x:c r="C897" s="28"/>
      <x:c r="D897" s="28"/>
      <x:c r="E897" s="28"/>
      <x:c r="F897" s="28"/>
      <x:c r="G897" s="28"/>
      <x:c r="H897" s="28"/>
      <x:c r="I897" s="56"/>
      <x:c r="J897" s="28"/>
      <x:c r="K897" s="28"/>
      <x:c r="L897" s="56"/>
      <x:c r="M897" s="28"/>
      <x:c r="N897" s="28"/>
      <x:c r="O897" s="28"/>
      <x:c r="P897" s="28"/>
      <x:c r="Q897" s="28"/>
      <x:c r="R897" s="28"/>
      <x:c r="S897" s="28"/>
      <x:c r="T897" s="28"/>
      <x:c r="U897" s="28"/>
      <x:c r="V897" s="28"/>
      <x:c r="W897" s="28"/>
      <x:c r="X897" s="28"/>
      <x:c r="Y897" s="28"/>
      <x:c r="Z897" s="28"/>
      <x:c r="AA897" s="28"/>
      <x:c r="AB897" s="56" t="str">
        <x:f>IF($A897="","",IF(Z897="Y",20,IF(Z897="Unknown",10,0))+$L897*5+IF(AA897="Y",15,IF(AA897="Unknown",5,0))+IF($J897="Public",10,IF($J897="Partner",7,IF($J897="Internal",3,0)))+IF($W897="Hard-coded",10,IF($W897="Unknown",7,IF($W897="Configurable",3,0)))+IF($I897&gt;=10,10,IF($I897&gt;=5,7,IF($I897&gt;=2,3,0)))+IF($K897="High",10,IF($K897="Medium",5,0)))</x:f>
      </x:c>
      <x:c r="AC897" s="28" t="str">
        <x:f>IF($A897="","",IF(AB897&gt;=70,"P0 - Immediate",IF(AB897&gt;=50,"P1 - High",IF(AB897&gt;=30,"P2 - Medium",IF(AB897&gt;=15,"P3 - Low","P4 - Monitor")))))</x:f>
      </x:c>
      <x:c r="AD897" s="28"/>
      <x:c r="AE897" s="28"/>
      <x:c r="AF897" s="28"/>
      <x:c r="AG897" s="58"/>
      <x:c r="AH897" s="28"/>
    </x:row>
    <x:row r="898">
      <x:c r="A898" s="28"/>
      <x:c r="B898" s="28"/>
      <x:c r="C898" s="28"/>
      <x:c r="D898" s="28"/>
      <x:c r="E898" s="28"/>
      <x:c r="F898" s="28"/>
      <x:c r="G898" s="28"/>
      <x:c r="H898" s="28"/>
      <x:c r="I898" s="56"/>
      <x:c r="J898" s="28"/>
      <x:c r="K898" s="28"/>
      <x:c r="L898" s="56"/>
      <x:c r="M898" s="28"/>
      <x:c r="N898" s="28"/>
      <x:c r="O898" s="28"/>
      <x:c r="P898" s="28"/>
      <x:c r="Q898" s="28"/>
      <x:c r="R898" s="28"/>
      <x:c r="S898" s="28"/>
      <x:c r="T898" s="28"/>
      <x:c r="U898" s="28"/>
      <x:c r="V898" s="28"/>
      <x:c r="W898" s="28"/>
      <x:c r="X898" s="28"/>
      <x:c r="Y898" s="28"/>
      <x:c r="Z898" s="28"/>
      <x:c r="AA898" s="28"/>
      <x:c r="AB898" s="56" t="str">
        <x:f>IF($A898="","",IF(Z898="Y",20,IF(Z898="Unknown",10,0))+$L898*5+IF(AA898="Y",15,IF(AA898="Unknown",5,0))+IF($J898="Public",10,IF($J898="Partner",7,IF($J898="Internal",3,0)))+IF($W898="Hard-coded",10,IF($W898="Unknown",7,IF($W898="Configurable",3,0)))+IF($I898&gt;=10,10,IF($I898&gt;=5,7,IF($I898&gt;=2,3,0)))+IF($K898="High",10,IF($K898="Medium",5,0)))</x:f>
      </x:c>
      <x:c r="AC898" s="28" t="str">
        <x:f>IF($A898="","",IF(AB898&gt;=70,"P0 - Immediate",IF(AB898&gt;=50,"P1 - High",IF(AB898&gt;=30,"P2 - Medium",IF(AB898&gt;=15,"P3 - Low","P4 - Monitor")))))</x:f>
      </x:c>
      <x:c r="AD898" s="28"/>
      <x:c r="AE898" s="28"/>
      <x:c r="AF898" s="28"/>
      <x:c r="AG898" s="58"/>
      <x:c r="AH898" s="28"/>
    </x:row>
    <x:row r="899">
      <x:c r="A899" s="28"/>
      <x:c r="B899" s="28"/>
      <x:c r="C899" s="28"/>
      <x:c r="D899" s="28"/>
      <x:c r="E899" s="28"/>
      <x:c r="F899" s="28"/>
      <x:c r="G899" s="28"/>
      <x:c r="H899" s="28"/>
      <x:c r="I899" s="56"/>
      <x:c r="J899" s="28"/>
      <x:c r="K899" s="28"/>
      <x:c r="L899" s="56"/>
      <x:c r="M899" s="28"/>
      <x:c r="N899" s="28"/>
      <x:c r="O899" s="28"/>
      <x:c r="P899" s="28"/>
      <x:c r="Q899" s="28"/>
      <x:c r="R899" s="28"/>
      <x:c r="S899" s="28"/>
      <x:c r="T899" s="28"/>
      <x:c r="U899" s="28"/>
      <x:c r="V899" s="28"/>
      <x:c r="W899" s="28"/>
      <x:c r="X899" s="28"/>
      <x:c r="Y899" s="28"/>
      <x:c r="Z899" s="28"/>
      <x:c r="AA899" s="28"/>
      <x:c r="AB899" s="56" t="str">
        <x:f>IF($A899="","",IF(Z899="Y",20,IF(Z899="Unknown",10,0))+$L899*5+IF(AA899="Y",15,IF(AA899="Unknown",5,0))+IF($J899="Public",10,IF($J899="Partner",7,IF($J899="Internal",3,0)))+IF($W899="Hard-coded",10,IF($W899="Unknown",7,IF($W899="Configurable",3,0)))+IF($I899&gt;=10,10,IF($I899&gt;=5,7,IF($I899&gt;=2,3,0)))+IF($K899="High",10,IF($K899="Medium",5,0)))</x:f>
      </x:c>
      <x:c r="AC899" s="28" t="str">
        <x:f>IF($A899="","",IF(AB899&gt;=70,"P0 - Immediate",IF(AB899&gt;=50,"P1 - High",IF(AB899&gt;=30,"P2 - Medium",IF(AB899&gt;=15,"P3 - Low","P4 - Monitor")))))</x:f>
      </x:c>
      <x:c r="AD899" s="28"/>
      <x:c r="AE899" s="28"/>
      <x:c r="AF899" s="28"/>
      <x:c r="AG899" s="58"/>
      <x:c r="AH899" s="28"/>
    </x:row>
    <x:row r="900">
      <x:c r="A900" s="28"/>
      <x:c r="B900" s="28"/>
      <x:c r="C900" s="28"/>
      <x:c r="D900" s="28"/>
      <x:c r="E900" s="28"/>
      <x:c r="F900" s="28"/>
      <x:c r="G900" s="28"/>
      <x:c r="H900" s="28"/>
      <x:c r="I900" s="56"/>
      <x:c r="J900" s="28"/>
      <x:c r="K900" s="28"/>
      <x:c r="L900" s="56"/>
      <x:c r="M900" s="28"/>
      <x:c r="N900" s="28"/>
      <x:c r="O900" s="28"/>
      <x:c r="P900" s="28"/>
      <x:c r="Q900" s="28"/>
      <x:c r="R900" s="28"/>
      <x:c r="S900" s="28"/>
      <x:c r="T900" s="28"/>
      <x:c r="U900" s="28"/>
      <x:c r="V900" s="28"/>
      <x:c r="W900" s="28"/>
      <x:c r="X900" s="28"/>
      <x:c r="Y900" s="28"/>
      <x:c r="Z900" s="28"/>
      <x:c r="AA900" s="28"/>
      <x:c r="AB900" s="56" t="str">
        <x:f>IF($A900="","",IF(Z900="Y",20,IF(Z900="Unknown",10,0))+$L900*5+IF(AA900="Y",15,IF(AA900="Unknown",5,0))+IF($J900="Public",10,IF($J900="Partner",7,IF($J900="Internal",3,0)))+IF($W900="Hard-coded",10,IF($W900="Unknown",7,IF($W900="Configurable",3,0)))+IF($I900&gt;=10,10,IF($I900&gt;=5,7,IF($I900&gt;=2,3,0)))+IF($K900="High",10,IF($K900="Medium",5,0)))</x:f>
      </x:c>
      <x:c r="AC900" s="28" t="str">
        <x:f>IF($A900="","",IF(AB900&gt;=70,"P0 - Immediate",IF(AB900&gt;=50,"P1 - High",IF(AB900&gt;=30,"P2 - Medium",IF(AB900&gt;=15,"P3 - Low","P4 - Monitor")))))</x:f>
      </x:c>
      <x:c r="AD900" s="28"/>
      <x:c r="AE900" s="28"/>
      <x:c r="AF900" s="28"/>
      <x:c r="AG900" s="58"/>
      <x:c r="AH900" s="28"/>
    </x:row>
    <x:row r="901">
      <x:c r="A901" s="28"/>
      <x:c r="B901" s="28"/>
      <x:c r="C901" s="28"/>
      <x:c r="D901" s="28"/>
      <x:c r="E901" s="28"/>
      <x:c r="F901" s="28"/>
      <x:c r="G901" s="28"/>
      <x:c r="H901" s="28"/>
      <x:c r="I901" s="56"/>
      <x:c r="J901" s="28"/>
      <x:c r="K901" s="28"/>
      <x:c r="L901" s="56"/>
      <x:c r="M901" s="28"/>
      <x:c r="N901" s="28"/>
      <x:c r="O901" s="28"/>
      <x:c r="P901" s="28"/>
      <x:c r="Q901" s="28"/>
      <x:c r="R901" s="28"/>
      <x:c r="S901" s="28"/>
      <x:c r="T901" s="28"/>
      <x:c r="U901" s="28"/>
      <x:c r="V901" s="28"/>
      <x:c r="W901" s="28"/>
      <x:c r="X901" s="28"/>
      <x:c r="Y901" s="28"/>
      <x:c r="Z901" s="28"/>
      <x:c r="AA901" s="28"/>
      <x:c r="AB901" s="56" t="str">
        <x:f>IF($A901="","",IF(Z901="Y",20,IF(Z901="Unknown",10,0))+$L901*5+IF(AA901="Y",15,IF(AA901="Unknown",5,0))+IF($J901="Public",10,IF($J901="Partner",7,IF($J901="Internal",3,0)))+IF($W901="Hard-coded",10,IF($W901="Unknown",7,IF($W901="Configurable",3,0)))+IF($I901&gt;=10,10,IF($I901&gt;=5,7,IF($I901&gt;=2,3,0)))+IF($K901="High",10,IF($K901="Medium",5,0)))</x:f>
      </x:c>
      <x:c r="AC901" s="28" t="str">
        <x:f>IF($A901="","",IF(AB901&gt;=70,"P0 - Immediate",IF(AB901&gt;=50,"P1 - High",IF(AB901&gt;=30,"P2 - Medium",IF(AB901&gt;=15,"P3 - Low","P4 - Monitor")))))</x:f>
      </x:c>
      <x:c r="AD901" s="28"/>
      <x:c r="AE901" s="28"/>
      <x:c r="AF901" s="28"/>
      <x:c r="AG901" s="58"/>
      <x:c r="AH901" s="28"/>
    </x:row>
    <x:row r="902">
      <x:c r="A902" s="28"/>
      <x:c r="B902" s="28"/>
      <x:c r="C902" s="28"/>
      <x:c r="D902" s="28"/>
      <x:c r="E902" s="28"/>
      <x:c r="F902" s="28"/>
      <x:c r="G902" s="28"/>
      <x:c r="H902" s="28"/>
      <x:c r="I902" s="56"/>
      <x:c r="J902" s="28"/>
      <x:c r="K902" s="28"/>
      <x:c r="L902" s="56"/>
      <x:c r="M902" s="28"/>
      <x:c r="N902" s="28"/>
      <x:c r="O902" s="28"/>
      <x:c r="P902" s="28"/>
      <x:c r="Q902" s="28"/>
      <x:c r="R902" s="28"/>
      <x:c r="S902" s="28"/>
      <x:c r="T902" s="28"/>
      <x:c r="U902" s="28"/>
      <x:c r="V902" s="28"/>
      <x:c r="W902" s="28"/>
      <x:c r="X902" s="28"/>
      <x:c r="Y902" s="28"/>
      <x:c r="Z902" s="28"/>
      <x:c r="AA902" s="28"/>
      <x:c r="AB902" s="56" t="str">
        <x:f>IF($A902="","",IF(Z902="Y",20,IF(Z902="Unknown",10,0))+$L902*5+IF(AA902="Y",15,IF(AA902="Unknown",5,0))+IF($J902="Public",10,IF($J902="Partner",7,IF($J902="Internal",3,0)))+IF($W902="Hard-coded",10,IF($W902="Unknown",7,IF($W902="Configurable",3,0)))+IF($I902&gt;=10,10,IF($I902&gt;=5,7,IF($I902&gt;=2,3,0)))+IF($K902="High",10,IF($K902="Medium",5,0)))</x:f>
      </x:c>
      <x:c r="AC902" s="28" t="str">
        <x:f>IF($A902="","",IF(AB902&gt;=70,"P0 - Immediate",IF(AB902&gt;=50,"P1 - High",IF(AB902&gt;=30,"P2 - Medium",IF(AB902&gt;=15,"P3 - Low","P4 - Monitor")))))</x:f>
      </x:c>
      <x:c r="AD902" s="28"/>
      <x:c r="AE902" s="28"/>
      <x:c r="AF902" s="28"/>
      <x:c r="AG902" s="58"/>
      <x:c r="AH902" s="28"/>
    </x:row>
    <x:row r="903">
      <x:c r="A903" s="28"/>
      <x:c r="B903" s="28"/>
      <x:c r="C903" s="28"/>
      <x:c r="D903" s="28"/>
      <x:c r="E903" s="28"/>
      <x:c r="F903" s="28"/>
      <x:c r="G903" s="28"/>
      <x:c r="H903" s="28"/>
      <x:c r="I903" s="56"/>
      <x:c r="J903" s="28"/>
      <x:c r="K903" s="28"/>
      <x:c r="L903" s="56"/>
      <x:c r="M903" s="28"/>
      <x:c r="N903" s="28"/>
      <x:c r="O903" s="28"/>
      <x:c r="P903" s="28"/>
      <x:c r="Q903" s="28"/>
      <x:c r="R903" s="28"/>
      <x:c r="S903" s="28"/>
      <x:c r="T903" s="28"/>
      <x:c r="U903" s="28"/>
      <x:c r="V903" s="28"/>
      <x:c r="W903" s="28"/>
      <x:c r="X903" s="28"/>
      <x:c r="Y903" s="28"/>
      <x:c r="Z903" s="28"/>
      <x:c r="AA903" s="28"/>
      <x:c r="AB903" s="56" t="str">
        <x:f>IF($A903="","",IF(Z903="Y",20,IF(Z903="Unknown",10,0))+$L903*5+IF(AA903="Y",15,IF(AA903="Unknown",5,0))+IF($J903="Public",10,IF($J903="Partner",7,IF($J903="Internal",3,0)))+IF($W903="Hard-coded",10,IF($W903="Unknown",7,IF($W903="Configurable",3,0)))+IF($I903&gt;=10,10,IF($I903&gt;=5,7,IF($I903&gt;=2,3,0)))+IF($K903="High",10,IF($K903="Medium",5,0)))</x:f>
      </x:c>
      <x:c r="AC903" s="28" t="str">
        <x:f>IF($A903="","",IF(AB903&gt;=70,"P0 - Immediate",IF(AB903&gt;=50,"P1 - High",IF(AB903&gt;=30,"P2 - Medium",IF(AB903&gt;=15,"P3 - Low","P4 - Monitor")))))</x:f>
      </x:c>
      <x:c r="AD903" s="28"/>
      <x:c r="AE903" s="28"/>
      <x:c r="AF903" s="28"/>
      <x:c r="AG903" s="58"/>
      <x:c r="AH903" s="28"/>
    </x:row>
    <x:row r="904">
      <x:c r="A904" s="28"/>
      <x:c r="B904" s="28"/>
      <x:c r="C904" s="28"/>
      <x:c r="D904" s="28"/>
      <x:c r="E904" s="28"/>
      <x:c r="F904" s="28"/>
      <x:c r="G904" s="28"/>
      <x:c r="H904" s="28"/>
      <x:c r="I904" s="56"/>
      <x:c r="J904" s="28"/>
      <x:c r="K904" s="28"/>
      <x:c r="L904" s="56"/>
      <x:c r="M904" s="28"/>
      <x:c r="N904" s="28"/>
      <x:c r="O904" s="28"/>
      <x:c r="P904" s="28"/>
      <x:c r="Q904" s="28"/>
      <x:c r="R904" s="28"/>
      <x:c r="S904" s="28"/>
      <x:c r="T904" s="28"/>
      <x:c r="U904" s="28"/>
      <x:c r="V904" s="28"/>
      <x:c r="W904" s="28"/>
      <x:c r="X904" s="28"/>
      <x:c r="Y904" s="28"/>
      <x:c r="Z904" s="28"/>
      <x:c r="AA904" s="28"/>
      <x:c r="AB904" s="56" t="str">
        <x:f>IF($A904="","",IF(Z904="Y",20,IF(Z904="Unknown",10,0))+$L904*5+IF(AA904="Y",15,IF(AA904="Unknown",5,0))+IF($J904="Public",10,IF($J904="Partner",7,IF($J904="Internal",3,0)))+IF($W904="Hard-coded",10,IF($W904="Unknown",7,IF($W904="Configurable",3,0)))+IF($I904&gt;=10,10,IF($I904&gt;=5,7,IF($I904&gt;=2,3,0)))+IF($K904="High",10,IF($K904="Medium",5,0)))</x:f>
      </x:c>
      <x:c r="AC904" s="28" t="str">
        <x:f>IF($A904="","",IF(AB904&gt;=70,"P0 - Immediate",IF(AB904&gt;=50,"P1 - High",IF(AB904&gt;=30,"P2 - Medium",IF(AB904&gt;=15,"P3 - Low","P4 - Monitor")))))</x:f>
      </x:c>
      <x:c r="AD904" s="28"/>
      <x:c r="AE904" s="28"/>
      <x:c r="AF904" s="28"/>
      <x:c r="AG904" s="58"/>
      <x:c r="AH904" s="28"/>
    </x:row>
    <x:row r="905">
      <x:c r="A905" s="28"/>
      <x:c r="B905" s="28"/>
      <x:c r="C905" s="28"/>
      <x:c r="D905" s="28"/>
      <x:c r="E905" s="28"/>
      <x:c r="F905" s="28"/>
      <x:c r="G905" s="28"/>
      <x:c r="H905" s="28"/>
      <x:c r="I905" s="56"/>
      <x:c r="J905" s="28"/>
      <x:c r="K905" s="28"/>
      <x:c r="L905" s="56"/>
      <x:c r="M905" s="28"/>
      <x:c r="N905" s="28"/>
      <x:c r="O905" s="28"/>
      <x:c r="P905" s="28"/>
      <x:c r="Q905" s="28"/>
      <x:c r="R905" s="28"/>
      <x:c r="S905" s="28"/>
      <x:c r="T905" s="28"/>
      <x:c r="U905" s="28"/>
      <x:c r="V905" s="28"/>
      <x:c r="W905" s="28"/>
      <x:c r="X905" s="28"/>
      <x:c r="Y905" s="28"/>
      <x:c r="Z905" s="28"/>
      <x:c r="AA905" s="28"/>
      <x:c r="AB905" s="56" t="str">
        <x:f>IF($A905="","",IF(Z905="Y",20,IF(Z905="Unknown",10,0))+$L905*5+IF(AA905="Y",15,IF(AA905="Unknown",5,0))+IF($J905="Public",10,IF($J905="Partner",7,IF($J905="Internal",3,0)))+IF($W905="Hard-coded",10,IF($W905="Unknown",7,IF($W905="Configurable",3,0)))+IF($I905&gt;=10,10,IF($I905&gt;=5,7,IF($I905&gt;=2,3,0)))+IF($K905="High",10,IF($K905="Medium",5,0)))</x:f>
      </x:c>
      <x:c r="AC905" s="28" t="str">
        <x:f>IF($A905="","",IF(AB905&gt;=70,"P0 - Immediate",IF(AB905&gt;=50,"P1 - High",IF(AB905&gt;=30,"P2 - Medium",IF(AB905&gt;=15,"P3 - Low","P4 - Monitor")))))</x:f>
      </x:c>
      <x:c r="AD905" s="28"/>
      <x:c r="AE905" s="28"/>
      <x:c r="AF905" s="28"/>
      <x:c r="AG905" s="58"/>
      <x:c r="AH905" s="28"/>
    </x:row>
    <x:row r="906">
      <x:c r="A906" s="28"/>
      <x:c r="B906" s="28"/>
      <x:c r="C906" s="28"/>
      <x:c r="D906" s="28"/>
      <x:c r="E906" s="28"/>
      <x:c r="F906" s="28"/>
      <x:c r="G906" s="28"/>
      <x:c r="H906" s="28"/>
      <x:c r="I906" s="56"/>
      <x:c r="J906" s="28"/>
      <x:c r="K906" s="28"/>
      <x:c r="L906" s="56"/>
      <x:c r="M906" s="28"/>
      <x:c r="N906" s="28"/>
      <x:c r="O906" s="28"/>
      <x:c r="P906" s="28"/>
      <x:c r="Q906" s="28"/>
      <x:c r="R906" s="28"/>
      <x:c r="S906" s="28"/>
      <x:c r="T906" s="28"/>
      <x:c r="U906" s="28"/>
      <x:c r="V906" s="28"/>
      <x:c r="W906" s="28"/>
      <x:c r="X906" s="28"/>
      <x:c r="Y906" s="28"/>
      <x:c r="Z906" s="28"/>
      <x:c r="AA906" s="28"/>
      <x:c r="AB906" s="56" t="str">
        <x:f>IF($A906="","",IF(Z906="Y",20,IF(Z906="Unknown",10,0))+$L906*5+IF(AA906="Y",15,IF(AA906="Unknown",5,0))+IF($J906="Public",10,IF($J906="Partner",7,IF($J906="Internal",3,0)))+IF($W906="Hard-coded",10,IF($W906="Unknown",7,IF($W906="Configurable",3,0)))+IF($I906&gt;=10,10,IF($I906&gt;=5,7,IF($I906&gt;=2,3,0)))+IF($K906="High",10,IF($K906="Medium",5,0)))</x:f>
      </x:c>
      <x:c r="AC906" s="28" t="str">
        <x:f>IF($A906="","",IF(AB906&gt;=70,"P0 - Immediate",IF(AB906&gt;=50,"P1 - High",IF(AB906&gt;=30,"P2 - Medium",IF(AB906&gt;=15,"P3 - Low","P4 - Monitor")))))</x:f>
      </x:c>
      <x:c r="AD906" s="28"/>
      <x:c r="AE906" s="28"/>
      <x:c r="AF906" s="28"/>
      <x:c r="AG906" s="58"/>
      <x:c r="AH906" s="28"/>
    </x:row>
    <x:row r="907">
      <x:c r="A907" s="28"/>
      <x:c r="B907" s="28"/>
      <x:c r="C907" s="28"/>
      <x:c r="D907" s="28"/>
      <x:c r="E907" s="28"/>
      <x:c r="F907" s="28"/>
      <x:c r="G907" s="28"/>
      <x:c r="H907" s="28"/>
      <x:c r="I907" s="56"/>
      <x:c r="J907" s="28"/>
      <x:c r="K907" s="28"/>
      <x:c r="L907" s="56"/>
      <x:c r="M907" s="28"/>
      <x:c r="N907" s="28"/>
      <x:c r="O907" s="28"/>
      <x:c r="P907" s="28"/>
      <x:c r="Q907" s="28"/>
      <x:c r="R907" s="28"/>
      <x:c r="S907" s="28"/>
      <x:c r="T907" s="28"/>
      <x:c r="U907" s="28"/>
      <x:c r="V907" s="28"/>
      <x:c r="W907" s="28"/>
      <x:c r="X907" s="28"/>
      <x:c r="Y907" s="28"/>
      <x:c r="Z907" s="28"/>
      <x:c r="AA907" s="28"/>
      <x:c r="AB907" s="56" t="str">
        <x:f>IF($A907="","",IF(Z907="Y",20,IF(Z907="Unknown",10,0))+$L907*5+IF(AA907="Y",15,IF(AA907="Unknown",5,0))+IF($J907="Public",10,IF($J907="Partner",7,IF($J907="Internal",3,0)))+IF($W907="Hard-coded",10,IF($W907="Unknown",7,IF($W907="Configurable",3,0)))+IF($I907&gt;=10,10,IF($I907&gt;=5,7,IF($I907&gt;=2,3,0)))+IF($K907="High",10,IF($K907="Medium",5,0)))</x:f>
      </x:c>
      <x:c r="AC907" s="28" t="str">
        <x:f>IF($A907="","",IF(AB907&gt;=70,"P0 - Immediate",IF(AB907&gt;=50,"P1 - High",IF(AB907&gt;=30,"P2 - Medium",IF(AB907&gt;=15,"P3 - Low","P4 - Monitor")))))</x:f>
      </x:c>
      <x:c r="AD907" s="28"/>
      <x:c r="AE907" s="28"/>
      <x:c r="AF907" s="28"/>
      <x:c r="AG907" s="58"/>
      <x:c r="AH907" s="28"/>
    </x:row>
    <x:row r="908">
      <x:c r="A908" s="28"/>
      <x:c r="B908" s="28"/>
      <x:c r="C908" s="28"/>
      <x:c r="D908" s="28"/>
      <x:c r="E908" s="28"/>
      <x:c r="F908" s="28"/>
      <x:c r="G908" s="28"/>
      <x:c r="H908" s="28"/>
      <x:c r="I908" s="56"/>
      <x:c r="J908" s="28"/>
      <x:c r="K908" s="28"/>
      <x:c r="L908" s="56"/>
      <x:c r="M908" s="28"/>
      <x:c r="N908" s="28"/>
      <x:c r="O908" s="28"/>
      <x:c r="P908" s="28"/>
      <x:c r="Q908" s="28"/>
      <x:c r="R908" s="28"/>
      <x:c r="S908" s="28"/>
      <x:c r="T908" s="28"/>
      <x:c r="U908" s="28"/>
      <x:c r="V908" s="28"/>
      <x:c r="W908" s="28"/>
      <x:c r="X908" s="28"/>
      <x:c r="Y908" s="28"/>
      <x:c r="Z908" s="28"/>
      <x:c r="AA908" s="28"/>
      <x:c r="AB908" s="56" t="str">
        <x:f>IF($A908="","",IF(Z908="Y",20,IF(Z908="Unknown",10,0))+$L908*5+IF(AA908="Y",15,IF(AA908="Unknown",5,0))+IF($J908="Public",10,IF($J908="Partner",7,IF($J908="Internal",3,0)))+IF($W908="Hard-coded",10,IF($W908="Unknown",7,IF($W908="Configurable",3,0)))+IF($I908&gt;=10,10,IF($I908&gt;=5,7,IF($I908&gt;=2,3,0)))+IF($K908="High",10,IF($K908="Medium",5,0)))</x:f>
      </x:c>
      <x:c r="AC908" s="28" t="str">
        <x:f>IF($A908="","",IF(AB908&gt;=70,"P0 - Immediate",IF(AB908&gt;=50,"P1 - High",IF(AB908&gt;=30,"P2 - Medium",IF(AB908&gt;=15,"P3 - Low","P4 - Monitor")))))</x:f>
      </x:c>
      <x:c r="AD908" s="28"/>
      <x:c r="AE908" s="28"/>
      <x:c r="AF908" s="28"/>
      <x:c r="AG908" s="58"/>
      <x:c r="AH908" s="28"/>
    </x:row>
    <x:row r="909">
      <x:c r="A909" s="28"/>
      <x:c r="B909" s="28"/>
      <x:c r="C909" s="28"/>
      <x:c r="D909" s="28"/>
      <x:c r="E909" s="28"/>
      <x:c r="F909" s="28"/>
      <x:c r="G909" s="28"/>
      <x:c r="H909" s="28"/>
      <x:c r="I909" s="56"/>
      <x:c r="J909" s="28"/>
      <x:c r="K909" s="28"/>
      <x:c r="L909" s="56"/>
      <x:c r="M909" s="28"/>
      <x:c r="N909" s="28"/>
      <x:c r="O909" s="28"/>
      <x:c r="P909" s="28"/>
      <x:c r="Q909" s="28"/>
      <x:c r="R909" s="28"/>
      <x:c r="S909" s="28"/>
      <x:c r="T909" s="28"/>
      <x:c r="U909" s="28"/>
      <x:c r="V909" s="28"/>
      <x:c r="W909" s="28"/>
      <x:c r="X909" s="28"/>
      <x:c r="Y909" s="28"/>
      <x:c r="Z909" s="28"/>
      <x:c r="AA909" s="28"/>
      <x:c r="AB909" s="56" t="str">
        <x:f>IF($A909="","",IF(Z909="Y",20,IF(Z909="Unknown",10,0))+$L909*5+IF(AA909="Y",15,IF(AA909="Unknown",5,0))+IF($J909="Public",10,IF($J909="Partner",7,IF($J909="Internal",3,0)))+IF($W909="Hard-coded",10,IF($W909="Unknown",7,IF($W909="Configurable",3,0)))+IF($I909&gt;=10,10,IF($I909&gt;=5,7,IF($I909&gt;=2,3,0)))+IF($K909="High",10,IF($K909="Medium",5,0)))</x:f>
      </x:c>
      <x:c r="AC909" s="28" t="str">
        <x:f>IF($A909="","",IF(AB909&gt;=70,"P0 - Immediate",IF(AB909&gt;=50,"P1 - High",IF(AB909&gt;=30,"P2 - Medium",IF(AB909&gt;=15,"P3 - Low","P4 - Monitor")))))</x:f>
      </x:c>
      <x:c r="AD909" s="28"/>
      <x:c r="AE909" s="28"/>
      <x:c r="AF909" s="28"/>
      <x:c r="AG909" s="58"/>
      <x:c r="AH909" s="28"/>
    </x:row>
    <x:row r="910">
      <x:c r="A910" s="28"/>
      <x:c r="B910" s="28"/>
      <x:c r="C910" s="28"/>
      <x:c r="D910" s="28"/>
      <x:c r="E910" s="28"/>
      <x:c r="F910" s="28"/>
      <x:c r="G910" s="28"/>
      <x:c r="H910" s="28"/>
      <x:c r="I910" s="56"/>
      <x:c r="J910" s="28"/>
      <x:c r="K910" s="28"/>
      <x:c r="L910" s="56"/>
      <x:c r="M910" s="28"/>
      <x:c r="N910" s="28"/>
      <x:c r="O910" s="28"/>
      <x:c r="P910" s="28"/>
      <x:c r="Q910" s="28"/>
      <x:c r="R910" s="28"/>
      <x:c r="S910" s="28"/>
      <x:c r="T910" s="28"/>
      <x:c r="U910" s="28"/>
      <x:c r="V910" s="28"/>
      <x:c r="W910" s="28"/>
      <x:c r="X910" s="28"/>
      <x:c r="Y910" s="28"/>
      <x:c r="Z910" s="28"/>
      <x:c r="AA910" s="28"/>
      <x:c r="AB910" s="56" t="str">
        <x:f>IF($A910="","",IF(Z910="Y",20,IF(Z910="Unknown",10,0))+$L910*5+IF(AA910="Y",15,IF(AA910="Unknown",5,0))+IF($J910="Public",10,IF($J910="Partner",7,IF($J910="Internal",3,0)))+IF($W910="Hard-coded",10,IF($W910="Unknown",7,IF($W910="Configurable",3,0)))+IF($I910&gt;=10,10,IF($I910&gt;=5,7,IF($I910&gt;=2,3,0)))+IF($K910="High",10,IF($K910="Medium",5,0)))</x:f>
      </x:c>
      <x:c r="AC910" s="28" t="str">
        <x:f>IF($A910="","",IF(AB910&gt;=70,"P0 - Immediate",IF(AB910&gt;=50,"P1 - High",IF(AB910&gt;=30,"P2 - Medium",IF(AB910&gt;=15,"P3 - Low","P4 - Monitor")))))</x:f>
      </x:c>
      <x:c r="AD910" s="28"/>
      <x:c r="AE910" s="28"/>
      <x:c r="AF910" s="28"/>
      <x:c r="AG910" s="58"/>
      <x:c r="AH910" s="28"/>
    </x:row>
    <x:row r="911">
      <x:c r="A911" s="28"/>
      <x:c r="B911" s="28"/>
      <x:c r="C911" s="28"/>
      <x:c r="D911" s="28"/>
      <x:c r="E911" s="28"/>
      <x:c r="F911" s="28"/>
      <x:c r="G911" s="28"/>
      <x:c r="H911" s="28"/>
      <x:c r="I911" s="56"/>
      <x:c r="J911" s="28"/>
      <x:c r="K911" s="28"/>
      <x:c r="L911" s="56"/>
      <x:c r="M911" s="28"/>
      <x:c r="N911" s="28"/>
      <x:c r="O911" s="28"/>
      <x:c r="P911" s="28"/>
      <x:c r="Q911" s="28"/>
      <x:c r="R911" s="28"/>
      <x:c r="S911" s="28"/>
      <x:c r="T911" s="28"/>
      <x:c r="U911" s="28"/>
      <x:c r="V911" s="28"/>
      <x:c r="W911" s="28"/>
      <x:c r="X911" s="28"/>
      <x:c r="Y911" s="28"/>
      <x:c r="Z911" s="28"/>
      <x:c r="AA911" s="28"/>
      <x:c r="AB911" s="56" t="str">
        <x:f>IF($A911="","",IF(Z911="Y",20,IF(Z911="Unknown",10,0))+$L911*5+IF(AA911="Y",15,IF(AA911="Unknown",5,0))+IF($J911="Public",10,IF($J911="Partner",7,IF($J911="Internal",3,0)))+IF($W911="Hard-coded",10,IF($W911="Unknown",7,IF($W911="Configurable",3,0)))+IF($I911&gt;=10,10,IF($I911&gt;=5,7,IF($I911&gt;=2,3,0)))+IF($K911="High",10,IF($K911="Medium",5,0)))</x:f>
      </x:c>
      <x:c r="AC911" s="28" t="str">
        <x:f>IF($A911="","",IF(AB911&gt;=70,"P0 - Immediate",IF(AB911&gt;=50,"P1 - High",IF(AB911&gt;=30,"P2 - Medium",IF(AB911&gt;=15,"P3 - Low","P4 - Monitor")))))</x:f>
      </x:c>
      <x:c r="AD911" s="28"/>
      <x:c r="AE911" s="28"/>
      <x:c r="AF911" s="28"/>
      <x:c r="AG911" s="58"/>
      <x:c r="AH911" s="28"/>
    </x:row>
    <x:row r="912">
      <x:c r="A912" s="28"/>
      <x:c r="B912" s="28"/>
      <x:c r="C912" s="28"/>
      <x:c r="D912" s="28"/>
      <x:c r="E912" s="28"/>
      <x:c r="F912" s="28"/>
      <x:c r="G912" s="28"/>
      <x:c r="H912" s="28"/>
      <x:c r="I912" s="56"/>
      <x:c r="J912" s="28"/>
      <x:c r="K912" s="28"/>
      <x:c r="L912" s="56"/>
      <x:c r="M912" s="28"/>
      <x:c r="N912" s="28"/>
      <x:c r="O912" s="28"/>
      <x:c r="P912" s="28"/>
      <x:c r="Q912" s="28"/>
      <x:c r="R912" s="28"/>
      <x:c r="S912" s="28"/>
      <x:c r="T912" s="28"/>
      <x:c r="U912" s="28"/>
      <x:c r="V912" s="28"/>
      <x:c r="W912" s="28"/>
      <x:c r="X912" s="28"/>
      <x:c r="Y912" s="28"/>
      <x:c r="Z912" s="28"/>
      <x:c r="AA912" s="28"/>
      <x:c r="AB912" s="56" t="str">
        <x:f>IF($A912="","",IF(Z912="Y",20,IF(Z912="Unknown",10,0))+$L912*5+IF(AA912="Y",15,IF(AA912="Unknown",5,0))+IF($J912="Public",10,IF($J912="Partner",7,IF($J912="Internal",3,0)))+IF($W912="Hard-coded",10,IF($W912="Unknown",7,IF($W912="Configurable",3,0)))+IF($I912&gt;=10,10,IF($I912&gt;=5,7,IF($I912&gt;=2,3,0)))+IF($K912="High",10,IF($K912="Medium",5,0)))</x:f>
      </x:c>
      <x:c r="AC912" s="28" t="str">
        <x:f>IF($A912="","",IF(AB912&gt;=70,"P0 - Immediate",IF(AB912&gt;=50,"P1 - High",IF(AB912&gt;=30,"P2 - Medium",IF(AB912&gt;=15,"P3 - Low","P4 - Monitor")))))</x:f>
      </x:c>
      <x:c r="AD912" s="28"/>
      <x:c r="AE912" s="28"/>
      <x:c r="AF912" s="28"/>
      <x:c r="AG912" s="58"/>
      <x:c r="AH912" s="28"/>
    </x:row>
    <x:row r="913">
      <x:c r="A913" s="28"/>
      <x:c r="B913" s="28"/>
      <x:c r="C913" s="28"/>
      <x:c r="D913" s="28"/>
      <x:c r="E913" s="28"/>
      <x:c r="F913" s="28"/>
      <x:c r="G913" s="28"/>
      <x:c r="H913" s="28"/>
      <x:c r="I913" s="56"/>
      <x:c r="J913" s="28"/>
      <x:c r="K913" s="28"/>
      <x:c r="L913" s="56"/>
      <x:c r="M913" s="28"/>
      <x:c r="N913" s="28"/>
      <x:c r="O913" s="28"/>
      <x:c r="P913" s="28"/>
      <x:c r="Q913" s="28"/>
      <x:c r="R913" s="28"/>
      <x:c r="S913" s="28"/>
      <x:c r="T913" s="28"/>
      <x:c r="U913" s="28"/>
      <x:c r="V913" s="28"/>
      <x:c r="W913" s="28"/>
      <x:c r="X913" s="28"/>
      <x:c r="Y913" s="28"/>
      <x:c r="Z913" s="28"/>
      <x:c r="AA913" s="28"/>
      <x:c r="AB913" s="56" t="str">
        <x:f>IF($A913="","",IF(Z913="Y",20,IF(Z913="Unknown",10,0))+$L913*5+IF(AA913="Y",15,IF(AA913="Unknown",5,0))+IF($J913="Public",10,IF($J913="Partner",7,IF($J913="Internal",3,0)))+IF($W913="Hard-coded",10,IF($W913="Unknown",7,IF($W913="Configurable",3,0)))+IF($I913&gt;=10,10,IF($I913&gt;=5,7,IF($I913&gt;=2,3,0)))+IF($K913="High",10,IF($K913="Medium",5,0)))</x:f>
      </x:c>
      <x:c r="AC913" s="28" t="str">
        <x:f>IF($A913="","",IF(AB913&gt;=70,"P0 - Immediate",IF(AB913&gt;=50,"P1 - High",IF(AB913&gt;=30,"P2 - Medium",IF(AB913&gt;=15,"P3 - Low","P4 - Monitor")))))</x:f>
      </x:c>
      <x:c r="AD913" s="28"/>
      <x:c r="AE913" s="28"/>
      <x:c r="AF913" s="28"/>
      <x:c r="AG913" s="58"/>
      <x:c r="AH913" s="28"/>
    </x:row>
    <x:row r="914">
      <x:c r="A914" s="28"/>
      <x:c r="B914" s="28"/>
      <x:c r="C914" s="28"/>
      <x:c r="D914" s="28"/>
      <x:c r="E914" s="28"/>
      <x:c r="F914" s="28"/>
      <x:c r="G914" s="28"/>
      <x:c r="H914" s="28"/>
      <x:c r="I914" s="56"/>
      <x:c r="J914" s="28"/>
      <x:c r="K914" s="28"/>
      <x:c r="L914" s="56"/>
      <x:c r="M914" s="28"/>
      <x:c r="N914" s="28"/>
      <x:c r="O914" s="28"/>
      <x:c r="P914" s="28"/>
      <x:c r="Q914" s="28"/>
      <x:c r="R914" s="28"/>
      <x:c r="S914" s="28"/>
      <x:c r="T914" s="28"/>
      <x:c r="U914" s="28"/>
      <x:c r="V914" s="28"/>
      <x:c r="W914" s="28"/>
      <x:c r="X914" s="28"/>
      <x:c r="Y914" s="28"/>
      <x:c r="Z914" s="28"/>
      <x:c r="AA914" s="28"/>
      <x:c r="AB914" s="56" t="str">
        <x:f>IF($A914="","",IF(Z914="Y",20,IF(Z914="Unknown",10,0))+$L914*5+IF(AA914="Y",15,IF(AA914="Unknown",5,0))+IF($J914="Public",10,IF($J914="Partner",7,IF($J914="Internal",3,0)))+IF($W914="Hard-coded",10,IF($W914="Unknown",7,IF($W914="Configurable",3,0)))+IF($I914&gt;=10,10,IF($I914&gt;=5,7,IF($I914&gt;=2,3,0)))+IF($K914="High",10,IF($K914="Medium",5,0)))</x:f>
      </x:c>
      <x:c r="AC914" s="28" t="str">
        <x:f>IF($A914="","",IF(AB914&gt;=70,"P0 - Immediate",IF(AB914&gt;=50,"P1 - High",IF(AB914&gt;=30,"P2 - Medium",IF(AB914&gt;=15,"P3 - Low","P4 - Monitor")))))</x:f>
      </x:c>
      <x:c r="AD914" s="28"/>
      <x:c r="AE914" s="28"/>
      <x:c r="AF914" s="28"/>
      <x:c r="AG914" s="58"/>
      <x:c r="AH914" s="28"/>
    </x:row>
    <x:row r="915">
      <x:c r="A915" s="28"/>
      <x:c r="B915" s="28"/>
      <x:c r="C915" s="28"/>
      <x:c r="D915" s="28"/>
      <x:c r="E915" s="28"/>
      <x:c r="F915" s="28"/>
      <x:c r="G915" s="28"/>
      <x:c r="H915" s="28"/>
      <x:c r="I915" s="56"/>
      <x:c r="J915" s="28"/>
      <x:c r="K915" s="28"/>
      <x:c r="L915" s="56"/>
      <x:c r="M915" s="28"/>
      <x:c r="N915" s="28"/>
      <x:c r="O915" s="28"/>
      <x:c r="P915" s="28"/>
      <x:c r="Q915" s="28"/>
      <x:c r="R915" s="28"/>
      <x:c r="S915" s="28"/>
      <x:c r="T915" s="28"/>
      <x:c r="U915" s="28"/>
      <x:c r="V915" s="28"/>
      <x:c r="W915" s="28"/>
      <x:c r="X915" s="28"/>
      <x:c r="Y915" s="28"/>
      <x:c r="Z915" s="28"/>
      <x:c r="AA915" s="28"/>
      <x:c r="AB915" s="56" t="str">
        <x:f>IF($A915="","",IF(Z915="Y",20,IF(Z915="Unknown",10,0))+$L915*5+IF(AA915="Y",15,IF(AA915="Unknown",5,0))+IF($J915="Public",10,IF($J915="Partner",7,IF($J915="Internal",3,0)))+IF($W915="Hard-coded",10,IF($W915="Unknown",7,IF($W915="Configurable",3,0)))+IF($I915&gt;=10,10,IF($I915&gt;=5,7,IF($I915&gt;=2,3,0)))+IF($K915="High",10,IF($K915="Medium",5,0)))</x:f>
      </x:c>
      <x:c r="AC915" s="28" t="str">
        <x:f>IF($A915="","",IF(AB915&gt;=70,"P0 - Immediate",IF(AB915&gt;=50,"P1 - High",IF(AB915&gt;=30,"P2 - Medium",IF(AB915&gt;=15,"P3 - Low","P4 - Monitor")))))</x:f>
      </x:c>
      <x:c r="AD915" s="28"/>
      <x:c r="AE915" s="28"/>
      <x:c r="AF915" s="28"/>
      <x:c r="AG915" s="58"/>
      <x:c r="AH915" s="28"/>
    </x:row>
    <x:row r="916">
      <x:c r="A916" s="28"/>
      <x:c r="B916" s="28"/>
      <x:c r="C916" s="28"/>
      <x:c r="D916" s="28"/>
      <x:c r="E916" s="28"/>
      <x:c r="F916" s="28"/>
      <x:c r="G916" s="28"/>
      <x:c r="H916" s="28"/>
      <x:c r="I916" s="56"/>
      <x:c r="J916" s="28"/>
      <x:c r="K916" s="28"/>
      <x:c r="L916" s="56"/>
      <x:c r="M916" s="28"/>
      <x:c r="N916" s="28"/>
      <x:c r="O916" s="28"/>
      <x:c r="P916" s="28"/>
      <x:c r="Q916" s="28"/>
      <x:c r="R916" s="28"/>
      <x:c r="S916" s="28"/>
      <x:c r="T916" s="28"/>
      <x:c r="U916" s="28"/>
      <x:c r="V916" s="28"/>
      <x:c r="W916" s="28"/>
      <x:c r="X916" s="28"/>
      <x:c r="Y916" s="28"/>
      <x:c r="Z916" s="28"/>
      <x:c r="AA916" s="28"/>
      <x:c r="AB916" s="56" t="str">
        <x:f>IF($A916="","",IF(Z916="Y",20,IF(Z916="Unknown",10,0))+$L916*5+IF(AA916="Y",15,IF(AA916="Unknown",5,0))+IF($J916="Public",10,IF($J916="Partner",7,IF($J916="Internal",3,0)))+IF($W916="Hard-coded",10,IF($W916="Unknown",7,IF($W916="Configurable",3,0)))+IF($I916&gt;=10,10,IF($I916&gt;=5,7,IF($I916&gt;=2,3,0)))+IF($K916="High",10,IF($K916="Medium",5,0)))</x:f>
      </x:c>
      <x:c r="AC916" s="28" t="str">
        <x:f>IF($A916="","",IF(AB916&gt;=70,"P0 - Immediate",IF(AB916&gt;=50,"P1 - High",IF(AB916&gt;=30,"P2 - Medium",IF(AB916&gt;=15,"P3 - Low","P4 - Monitor")))))</x:f>
      </x:c>
      <x:c r="AD916" s="28"/>
      <x:c r="AE916" s="28"/>
      <x:c r="AF916" s="28"/>
      <x:c r="AG916" s="58"/>
      <x:c r="AH916" s="28"/>
    </x:row>
    <x:row r="917">
      <x:c r="A917" s="28"/>
      <x:c r="B917" s="28"/>
      <x:c r="C917" s="28"/>
      <x:c r="D917" s="28"/>
      <x:c r="E917" s="28"/>
      <x:c r="F917" s="28"/>
      <x:c r="G917" s="28"/>
      <x:c r="H917" s="28"/>
      <x:c r="I917" s="56"/>
      <x:c r="J917" s="28"/>
      <x:c r="K917" s="28"/>
      <x:c r="L917" s="56"/>
      <x:c r="M917" s="28"/>
      <x:c r="N917" s="28"/>
      <x:c r="O917" s="28"/>
      <x:c r="P917" s="28"/>
      <x:c r="Q917" s="28"/>
      <x:c r="R917" s="28"/>
      <x:c r="S917" s="28"/>
      <x:c r="T917" s="28"/>
      <x:c r="U917" s="28"/>
      <x:c r="V917" s="28"/>
      <x:c r="W917" s="28"/>
      <x:c r="X917" s="28"/>
      <x:c r="Y917" s="28"/>
      <x:c r="Z917" s="28"/>
      <x:c r="AA917" s="28"/>
      <x:c r="AB917" s="56" t="str">
        <x:f>IF($A917="","",IF(Z917="Y",20,IF(Z917="Unknown",10,0))+$L917*5+IF(AA917="Y",15,IF(AA917="Unknown",5,0))+IF($J917="Public",10,IF($J917="Partner",7,IF($J917="Internal",3,0)))+IF($W917="Hard-coded",10,IF($W917="Unknown",7,IF($W917="Configurable",3,0)))+IF($I917&gt;=10,10,IF($I917&gt;=5,7,IF($I917&gt;=2,3,0)))+IF($K917="High",10,IF($K917="Medium",5,0)))</x:f>
      </x:c>
      <x:c r="AC917" s="28" t="str">
        <x:f>IF($A917="","",IF(AB917&gt;=70,"P0 - Immediate",IF(AB917&gt;=50,"P1 - High",IF(AB917&gt;=30,"P2 - Medium",IF(AB917&gt;=15,"P3 - Low","P4 - Monitor")))))</x:f>
      </x:c>
      <x:c r="AD917" s="28"/>
      <x:c r="AE917" s="28"/>
      <x:c r="AF917" s="28"/>
      <x:c r="AG917" s="58"/>
      <x:c r="AH917" s="28"/>
    </x:row>
    <x:row r="918">
      <x:c r="A918" s="28"/>
      <x:c r="B918" s="28"/>
      <x:c r="C918" s="28"/>
      <x:c r="D918" s="28"/>
      <x:c r="E918" s="28"/>
      <x:c r="F918" s="28"/>
      <x:c r="G918" s="28"/>
      <x:c r="H918" s="28"/>
      <x:c r="I918" s="56"/>
      <x:c r="J918" s="28"/>
      <x:c r="K918" s="28"/>
      <x:c r="L918" s="56"/>
      <x:c r="M918" s="28"/>
      <x:c r="N918" s="28"/>
      <x:c r="O918" s="28"/>
      <x:c r="P918" s="28"/>
      <x:c r="Q918" s="28"/>
      <x:c r="R918" s="28"/>
      <x:c r="S918" s="28"/>
      <x:c r="T918" s="28"/>
      <x:c r="U918" s="28"/>
      <x:c r="V918" s="28"/>
      <x:c r="W918" s="28"/>
      <x:c r="X918" s="28"/>
      <x:c r="Y918" s="28"/>
      <x:c r="Z918" s="28"/>
      <x:c r="AA918" s="28"/>
      <x:c r="AB918" s="56" t="str">
        <x:f>IF($A918="","",IF(Z918="Y",20,IF(Z918="Unknown",10,0))+$L918*5+IF(AA918="Y",15,IF(AA918="Unknown",5,0))+IF($J918="Public",10,IF($J918="Partner",7,IF($J918="Internal",3,0)))+IF($W918="Hard-coded",10,IF($W918="Unknown",7,IF($W918="Configurable",3,0)))+IF($I918&gt;=10,10,IF($I918&gt;=5,7,IF($I918&gt;=2,3,0)))+IF($K918="High",10,IF($K918="Medium",5,0)))</x:f>
      </x:c>
      <x:c r="AC918" s="28" t="str">
        <x:f>IF($A918="","",IF(AB918&gt;=70,"P0 - Immediate",IF(AB918&gt;=50,"P1 - High",IF(AB918&gt;=30,"P2 - Medium",IF(AB918&gt;=15,"P3 - Low","P4 - Monitor")))))</x:f>
      </x:c>
      <x:c r="AD918" s="28"/>
      <x:c r="AE918" s="28"/>
      <x:c r="AF918" s="28"/>
      <x:c r="AG918" s="58"/>
      <x:c r="AH918" s="28"/>
    </x:row>
    <x:row r="919">
      <x:c r="A919" s="28"/>
      <x:c r="B919" s="28"/>
      <x:c r="C919" s="28"/>
      <x:c r="D919" s="28"/>
      <x:c r="E919" s="28"/>
      <x:c r="F919" s="28"/>
      <x:c r="G919" s="28"/>
      <x:c r="H919" s="28"/>
      <x:c r="I919" s="56"/>
      <x:c r="J919" s="28"/>
      <x:c r="K919" s="28"/>
      <x:c r="L919" s="56"/>
      <x:c r="M919" s="28"/>
      <x:c r="N919" s="28"/>
      <x:c r="O919" s="28"/>
      <x:c r="P919" s="28"/>
      <x:c r="Q919" s="28"/>
      <x:c r="R919" s="28"/>
      <x:c r="S919" s="28"/>
      <x:c r="T919" s="28"/>
      <x:c r="U919" s="28"/>
      <x:c r="V919" s="28"/>
      <x:c r="W919" s="28"/>
      <x:c r="X919" s="28"/>
      <x:c r="Y919" s="28"/>
      <x:c r="Z919" s="28"/>
      <x:c r="AA919" s="28"/>
      <x:c r="AB919" s="56" t="str">
        <x:f>IF($A919="","",IF(Z919="Y",20,IF(Z919="Unknown",10,0))+$L919*5+IF(AA919="Y",15,IF(AA919="Unknown",5,0))+IF($J919="Public",10,IF($J919="Partner",7,IF($J919="Internal",3,0)))+IF($W919="Hard-coded",10,IF($W919="Unknown",7,IF($W919="Configurable",3,0)))+IF($I919&gt;=10,10,IF($I919&gt;=5,7,IF($I919&gt;=2,3,0)))+IF($K919="High",10,IF($K919="Medium",5,0)))</x:f>
      </x:c>
      <x:c r="AC919" s="28" t="str">
        <x:f>IF($A919="","",IF(AB919&gt;=70,"P0 - Immediate",IF(AB919&gt;=50,"P1 - High",IF(AB919&gt;=30,"P2 - Medium",IF(AB919&gt;=15,"P3 - Low","P4 - Monitor")))))</x:f>
      </x:c>
      <x:c r="AD919" s="28"/>
      <x:c r="AE919" s="28"/>
      <x:c r="AF919" s="28"/>
      <x:c r="AG919" s="58"/>
      <x:c r="AH919" s="28"/>
    </x:row>
    <x:row r="920">
      <x:c r="A920" s="28"/>
      <x:c r="B920" s="28"/>
      <x:c r="C920" s="28"/>
      <x:c r="D920" s="28"/>
      <x:c r="E920" s="28"/>
      <x:c r="F920" s="28"/>
      <x:c r="G920" s="28"/>
      <x:c r="H920" s="28"/>
      <x:c r="I920" s="56"/>
      <x:c r="J920" s="28"/>
      <x:c r="K920" s="28"/>
      <x:c r="L920" s="56"/>
      <x:c r="M920" s="28"/>
      <x:c r="N920" s="28"/>
      <x:c r="O920" s="28"/>
      <x:c r="P920" s="28"/>
      <x:c r="Q920" s="28"/>
      <x:c r="R920" s="28"/>
      <x:c r="S920" s="28"/>
      <x:c r="T920" s="28"/>
      <x:c r="U920" s="28"/>
      <x:c r="V920" s="28"/>
      <x:c r="W920" s="28"/>
      <x:c r="X920" s="28"/>
      <x:c r="Y920" s="28"/>
      <x:c r="Z920" s="28"/>
      <x:c r="AA920" s="28"/>
      <x:c r="AB920" s="56" t="str">
        <x:f>IF($A920="","",IF(Z920="Y",20,IF(Z920="Unknown",10,0))+$L920*5+IF(AA920="Y",15,IF(AA920="Unknown",5,0))+IF($J920="Public",10,IF($J920="Partner",7,IF($J920="Internal",3,0)))+IF($W920="Hard-coded",10,IF($W920="Unknown",7,IF($W920="Configurable",3,0)))+IF($I920&gt;=10,10,IF($I920&gt;=5,7,IF($I920&gt;=2,3,0)))+IF($K920="High",10,IF($K920="Medium",5,0)))</x:f>
      </x:c>
      <x:c r="AC920" s="28" t="str">
        <x:f>IF($A920="","",IF(AB920&gt;=70,"P0 - Immediate",IF(AB920&gt;=50,"P1 - High",IF(AB920&gt;=30,"P2 - Medium",IF(AB920&gt;=15,"P3 - Low","P4 - Monitor")))))</x:f>
      </x:c>
      <x:c r="AD920" s="28"/>
      <x:c r="AE920" s="28"/>
      <x:c r="AF920" s="28"/>
      <x:c r="AG920" s="58"/>
      <x:c r="AH920" s="28"/>
    </x:row>
    <x:row r="921">
      <x:c r="A921" s="28"/>
      <x:c r="B921" s="28"/>
      <x:c r="C921" s="28"/>
      <x:c r="D921" s="28"/>
      <x:c r="E921" s="28"/>
      <x:c r="F921" s="28"/>
      <x:c r="G921" s="28"/>
      <x:c r="H921" s="28"/>
      <x:c r="I921" s="56"/>
      <x:c r="J921" s="28"/>
      <x:c r="K921" s="28"/>
      <x:c r="L921" s="56"/>
      <x:c r="M921" s="28"/>
      <x:c r="N921" s="28"/>
      <x:c r="O921" s="28"/>
      <x:c r="P921" s="28"/>
      <x:c r="Q921" s="28"/>
      <x:c r="R921" s="28"/>
      <x:c r="S921" s="28"/>
      <x:c r="T921" s="28"/>
      <x:c r="U921" s="28"/>
      <x:c r="V921" s="28"/>
      <x:c r="W921" s="28"/>
      <x:c r="X921" s="28"/>
      <x:c r="Y921" s="28"/>
      <x:c r="Z921" s="28"/>
      <x:c r="AA921" s="28"/>
      <x:c r="AB921" s="56" t="str">
        <x:f>IF($A921="","",IF(Z921="Y",20,IF(Z921="Unknown",10,0))+$L921*5+IF(AA921="Y",15,IF(AA921="Unknown",5,0))+IF($J921="Public",10,IF($J921="Partner",7,IF($J921="Internal",3,0)))+IF($W921="Hard-coded",10,IF($W921="Unknown",7,IF($W921="Configurable",3,0)))+IF($I921&gt;=10,10,IF($I921&gt;=5,7,IF($I921&gt;=2,3,0)))+IF($K921="High",10,IF($K921="Medium",5,0)))</x:f>
      </x:c>
      <x:c r="AC921" s="28" t="str">
        <x:f>IF($A921="","",IF(AB921&gt;=70,"P0 - Immediate",IF(AB921&gt;=50,"P1 - High",IF(AB921&gt;=30,"P2 - Medium",IF(AB921&gt;=15,"P3 - Low","P4 - Monitor")))))</x:f>
      </x:c>
      <x:c r="AD921" s="28"/>
      <x:c r="AE921" s="28"/>
      <x:c r="AF921" s="28"/>
      <x:c r="AG921" s="58"/>
      <x:c r="AH921" s="28"/>
    </x:row>
    <x:row r="922">
      <x:c r="A922" s="28"/>
      <x:c r="B922" s="28"/>
      <x:c r="C922" s="28"/>
      <x:c r="D922" s="28"/>
      <x:c r="E922" s="28"/>
      <x:c r="F922" s="28"/>
      <x:c r="G922" s="28"/>
      <x:c r="H922" s="28"/>
      <x:c r="I922" s="56"/>
      <x:c r="J922" s="28"/>
      <x:c r="K922" s="28"/>
      <x:c r="L922" s="56"/>
      <x:c r="M922" s="28"/>
      <x:c r="N922" s="28"/>
      <x:c r="O922" s="28"/>
      <x:c r="P922" s="28"/>
      <x:c r="Q922" s="28"/>
      <x:c r="R922" s="28"/>
      <x:c r="S922" s="28"/>
      <x:c r="T922" s="28"/>
      <x:c r="U922" s="28"/>
      <x:c r="V922" s="28"/>
      <x:c r="W922" s="28"/>
      <x:c r="X922" s="28"/>
      <x:c r="Y922" s="28"/>
      <x:c r="Z922" s="28"/>
      <x:c r="AA922" s="28"/>
      <x:c r="AB922" s="56" t="str">
        <x:f>IF($A922="","",IF(Z922="Y",20,IF(Z922="Unknown",10,0))+$L922*5+IF(AA922="Y",15,IF(AA922="Unknown",5,0))+IF($J922="Public",10,IF($J922="Partner",7,IF($J922="Internal",3,0)))+IF($W922="Hard-coded",10,IF($W922="Unknown",7,IF($W922="Configurable",3,0)))+IF($I922&gt;=10,10,IF($I922&gt;=5,7,IF($I922&gt;=2,3,0)))+IF($K922="High",10,IF($K922="Medium",5,0)))</x:f>
      </x:c>
      <x:c r="AC922" s="28" t="str">
        <x:f>IF($A922="","",IF(AB922&gt;=70,"P0 - Immediate",IF(AB922&gt;=50,"P1 - High",IF(AB922&gt;=30,"P2 - Medium",IF(AB922&gt;=15,"P3 - Low","P4 - Monitor")))))</x:f>
      </x:c>
      <x:c r="AD922" s="28"/>
      <x:c r="AE922" s="28"/>
      <x:c r="AF922" s="28"/>
      <x:c r="AG922" s="58"/>
      <x:c r="AH922" s="28"/>
    </x:row>
    <x:row r="923">
      <x:c r="A923" s="28"/>
      <x:c r="B923" s="28"/>
      <x:c r="C923" s="28"/>
      <x:c r="D923" s="28"/>
      <x:c r="E923" s="28"/>
      <x:c r="F923" s="28"/>
      <x:c r="G923" s="28"/>
      <x:c r="H923" s="28"/>
      <x:c r="I923" s="56"/>
      <x:c r="J923" s="28"/>
      <x:c r="K923" s="28"/>
      <x:c r="L923" s="56"/>
      <x:c r="M923" s="28"/>
      <x:c r="N923" s="28"/>
      <x:c r="O923" s="28"/>
      <x:c r="P923" s="28"/>
      <x:c r="Q923" s="28"/>
      <x:c r="R923" s="28"/>
      <x:c r="S923" s="28"/>
      <x:c r="T923" s="28"/>
      <x:c r="U923" s="28"/>
      <x:c r="V923" s="28"/>
      <x:c r="W923" s="28"/>
      <x:c r="X923" s="28"/>
      <x:c r="Y923" s="28"/>
      <x:c r="Z923" s="28"/>
      <x:c r="AA923" s="28"/>
      <x:c r="AB923" s="56" t="str">
        <x:f>IF($A923="","",IF(Z923="Y",20,IF(Z923="Unknown",10,0))+$L923*5+IF(AA923="Y",15,IF(AA923="Unknown",5,0))+IF($J923="Public",10,IF($J923="Partner",7,IF($J923="Internal",3,0)))+IF($W923="Hard-coded",10,IF($W923="Unknown",7,IF($W923="Configurable",3,0)))+IF($I923&gt;=10,10,IF($I923&gt;=5,7,IF($I923&gt;=2,3,0)))+IF($K923="High",10,IF($K923="Medium",5,0)))</x:f>
      </x:c>
      <x:c r="AC923" s="28" t="str">
        <x:f>IF($A923="","",IF(AB923&gt;=70,"P0 - Immediate",IF(AB923&gt;=50,"P1 - High",IF(AB923&gt;=30,"P2 - Medium",IF(AB923&gt;=15,"P3 - Low","P4 - Monitor")))))</x:f>
      </x:c>
      <x:c r="AD923" s="28"/>
      <x:c r="AE923" s="28"/>
      <x:c r="AF923" s="28"/>
      <x:c r="AG923" s="58"/>
      <x:c r="AH923" s="28"/>
    </x:row>
    <x:row r="924">
      <x:c r="A924" s="28"/>
      <x:c r="B924" s="28"/>
      <x:c r="C924" s="28"/>
      <x:c r="D924" s="28"/>
      <x:c r="E924" s="28"/>
      <x:c r="F924" s="28"/>
      <x:c r="G924" s="28"/>
      <x:c r="H924" s="28"/>
      <x:c r="I924" s="56"/>
      <x:c r="J924" s="28"/>
      <x:c r="K924" s="28"/>
      <x:c r="L924" s="56"/>
      <x:c r="M924" s="28"/>
      <x:c r="N924" s="28"/>
      <x:c r="O924" s="28"/>
      <x:c r="P924" s="28"/>
      <x:c r="Q924" s="28"/>
      <x:c r="R924" s="28"/>
      <x:c r="S924" s="28"/>
      <x:c r="T924" s="28"/>
      <x:c r="U924" s="28"/>
      <x:c r="V924" s="28"/>
      <x:c r="W924" s="28"/>
      <x:c r="X924" s="28"/>
      <x:c r="Y924" s="28"/>
      <x:c r="Z924" s="28"/>
      <x:c r="AA924" s="28"/>
      <x:c r="AB924" s="56" t="str">
        <x:f>IF($A924="","",IF(Z924="Y",20,IF(Z924="Unknown",10,0))+$L924*5+IF(AA924="Y",15,IF(AA924="Unknown",5,0))+IF($J924="Public",10,IF($J924="Partner",7,IF($J924="Internal",3,0)))+IF($W924="Hard-coded",10,IF($W924="Unknown",7,IF($W924="Configurable",3,0)))+IF($I924&gt;=10,10,IF($I924&gt;=5,7,IF($I924&gt;=2,3,0)))+IF($K924="High",10,IF($K924="Medium",5,0)))</x:f>
      </x:c>
      <x:c r="AC924" s="28" t="str">
        <x:f>IF($A924="","",IF(AB924&gt;=70,"P0 - Immediate",IF(AB924&gt;=50,"P1 - High",IF(AB924&gt;=30,"P2 - Medium",IF(AB924&gt;=15,"P3 - Low","P4 - Monitor")))))</x:f>
      </x:c>
      <x:c r="AD924" s="28"/>
      <x:c r="AE924" s="28"/>
      <x:c r="AF924" s="28"/>
      <x:c r="AG924" s="58"/>
      <x:c r="AH924" s="28"/>
    </x:row>
    <x:row r="925">
      <x:c r="A925" s="28"/>
      <x:c r="B925" s="28"/>
      <x:c r="C925" s="28"/>
      <x:c r="D925" s="28"/>
      <x:c r="E925" s="28"/>
      <x:c r="F925" s="28"/>
      <x:c r="G925" s="28"/>
      <x:c r="H925" s="28"/>
      <x:c r="I925" s="56"/>
      <x:c r="J925" s="28"/>
      <x:c r="K925" s="28"/>
      <x:c r="L925" s="56"/>
      <x:c r="M925" s="28"/>
      <x:c r="N925" s="28"/>
      <x:c r="O925" s="28"/>
      <x:c r="P925" s="28"/>
      <x:c r="Q925" s="28"/>
      <x:c r="R925" s="28"/>
      <x:c r="S925" s="28"/>
      <x:c r="T925" s="28"/>
      <x:c r="U925" s="28"/>
      <x:c r="V925" s="28"/>
      <x:c r="W925" s="28"/>
      <x:c r="X925" s="28"/>
      <x:c r="Y925" s="28"/>
      <x:c r="Z925" s="28"/>
      <x:c r="AA925" s="28"/>
      <x:c r="AB925" s="56" t="str">
        <x:f>IF($A925="","",IF(Z925="Y",20,IF(Z925="Unknown",10,0))+$L925*5+IF(AA925="Y",15,IF(AA925="Unknown",5,0))+IF($J925="Public",10,IF($J925="Partner",7,IF($J925="Internal",3,0)))+IF($W925="Hard-coded",10,IF($W925="Unknown",7,IF($W925="Configurable",3,0)))+IF($I925&gt;=10,10,IF($I925&gt;=5,7,IF($I925&gt;=2,3,0)))+IF($K925="High",10,IF($K925="Medium",5,0)))</x:f>
      </x:c>
      <x:c r="AC925" s="28" t="str">
        <x:f>IF($A925="","",IF(AB925&gt;=70,"P0 - Immediate",IF(AB925&gt;=50,"P1 - High",IF(AB925&gt;=30,"P2 - Medium",IF(AB925&gt;=15,"P3 - Low","P4 - Monitor")))))</x:f>
      </x:c>
      <x:c r="AD925" s="28"/>
      <x:c r="AE925" s="28"/>
      <x:c r="AF925" s="28"/>
      <x:c r="AG925" s="58"/>
      <x:c r="AH925" s="28"/>
    </x:row>
    <x:row r="926">
      <x:c r="A926" s="28"/>
      <x:c r="B926" s="28"/>
      <x:c r="C926" s="28"/>
      <x:c r="D926" s="28"/>
      <x:c r="E926" s="28"/>
      <x:c r="F926" s="28"/>
      <x:c r="G926" s="28"/>
      <x:c r="H926" s="28"/>
      <x:c r="I926" s="56"/>
      <x:c r="J926" s="28"/>
      <x:c r="K926" s="28"/>
      <x:c r="L926" s="56"/>
      <x:c r="M926" s="28"/>
      <x:c r="N926" s="28"/>
      <x:c r="O926" s="28"/>
      <x:c r="P926" s="28"/>
      <x:c r="Q926" s="28"/>
      <x:c r="R926" s="28"/>
      <x:c r="S926" s="28"/>
      <x:c r="T926" s="28"/>
      <x:c r="U926" s="28"/>
      <x:c r="V926" s="28"/>
      <x:c r="W926" s="28"/>
      <x:c r="X926" s="28"/>
      <x:c r="Y926" s="28"/>
      <x:c r="Z926" s="28"/>
      <x:c r="AA926" s="28"/>
      <x:c r="AB926" s="56" t="str">
        <x:f>IF($A926="","",IF(Z926="Y",20,IF(Z926="Unknown",10,0))+$L926*5+IF(AA926="Y",15,IF(AA926="Unknown",5,0))+IF($J926="Public",10,IF($J926="Partner",7,IF($J926="Internal",3,0)))+IF($W926="Hard-coded",10,IF($W926="Unknown",7,IF($W926="Configurable",3,0)))+IF($I926&gt;=10,10,IF($I926&gt;=5,7,IF($I926&gt;=2,3,0)))+IF($K926="High",10,IF($K926="Medium",5,0)))</x:f>
      </x:c>
      <x:c r="AC926" s="28" t="str">
        <x:f>IF($A926="","",IF(AB926&gt;=70,"P0 - Immediate",IF(AB926&gt;=50,"P1 - High",IF(AB926&gt;=30,"P2 - Medium",IF(AB926&gt;=15,"P3 - Low","P4 - Monitor")))))</x:f>
      </x:c>
      <x:c r="AD926" s="28"/>
      <x:c r="AE926" s="28"/>
      <x:c r="AF926" s="28"/>
      <x:c r="AG926" s="58"/>
      <x:c r="AH926" s="28"/>
    </x:row>
    <x:row r="927">
      <x:c r="A927" s="28"/>
      <x:c r="B927" s="28"/>
      <x:c r="C927" s="28"/>
      <x:c r="D927" s="28"/>
      <x:c r="E927" s="28"/>
      <x:c r="F927" s="28"/>
      <x:c r="G927" s="28"/>
      <x:c r="H927" s="28"/>
      <x:c r="I927" s="56"/>
      <x:c r="J927" s="28"/>
      <x:c r="K927" s="28"/>
      <x:c r="L927" s="56"/>
      <x:c r="M927" s="28"/>
      <x:c r="N927" s="28"/>
      <x:c r="O927" s="28"/>
      <x:c r="P927" s="28"/>
      <x:c r="Q927" s="28"/>
      <x:c r="R927" s="28"/>
      <x:c r="S927" s="28"/>
      <x:c r="T927" s="28"/>
      <x:c r="U927" s="28"/>
      <x:c r="V927" s="28"/>
      <x:c r="W927" s="28"/>
      <x:c r="X927" s="28"/>
      <x:c r="Y927" s="28"/>
      <x:c r="Z927" s="28"/>
      <x:c r="AA927" s="28"/>
      <x:c r="AB927" s="56" t="str">
        <x:f>IF($A927="","",IF(Z927="Y",20,IF(Z927="Unknown",10,0))+$L927*5+IF(AA927="Y",15,IF(AA927="Unknown",5,0))+IF($J927="Public",10,IF($J927="Partner",7,IF($J927="Internal",3,0)))+IF($W927="Hard-coded",10,IF($W927="Unknown",7,IF($W927="Configurable",3,0)))+IF($I927&gt;=10,10,IF($I927&gt;=5,7,IF($I927&gt;=2,3,0)))+IF($K927="High",10,IF($K927="Medium",5,0)))</x:f>
      </x:c>
      <x:c r="AC927" s="28" t="str">
        <x:f>IF($A927="","",IF(AB927&gt;=70,"P0 - Immediate",IF(AB927&gt;=50,"P1 - High",IF(AB927&gt;=30,"P2 - Medium",IF(AB927&gt;=15,"P3 - Low","P4 - Monitor")))))</x:f>
      </x:c>
      <x:c r="AD927" s="28"/>
      <x:c r="AE927" s="28"/>
      <x:c r="AF927" s="28"/>
      <x:c r="AG927" s="58"/>
      <x:c r="AH927" s="28"/>
    </x:row>
    <x:row r="928">
      <x:c r="A928" s="28"/>
      <x:c r="B928" s="28"/>
      <x:c r="C928" s="28"/>
      <x:c r="D928" s="28"/>
      <x:c r="E928" s="28"/>
      <x:c r="F928" s="28"/>
      <x:c r="G928" s="28"/>
      <x:c r="H928" s="28"/>
      <x:c r="I928" s="56"/>
      <x:c r="J928" s="28"/>
      <x:c r="K928" s="28"/>
      <x:c r="L928" s="56"/>
      <x:c r="M928" s="28"/>
      <x:c r="N928" s="28"/>
      <x:c r="O928" s="28"/>
      <x:c r="P928" s="28"/>
      <x:c r="Q928" s="28"/>
      <x:c r="R928" s="28"/>
      <x:c r="S928" s="28"/>
      <x:c r="T928" s="28"/>
      <x:c r="U928" s="28"/>
      <x:c r="V928" s="28"/>
      <x:c r="W928" s="28"/>
      <x:c r="X928" s="28"/>
      <x:c r="Y928" s="28"/>
      <x:c r="Z928" s="28"/>
      <x:c r="AA928" s="28"/>
      <x:c r="AB928" s="56" t="str">
        <x:f>IF($A928="","",IF(Z928="Y",20,IF(Z928="Unknown",10,0))+$L928*5+IF(AA928="Y",15,IF(AA928="Unknown",5,0))+IF($J928="Public",10,IF($J928="Partner",7,IF($J928="Internal",3,0)))+IF($W928="Hard-coded",10,IF($W928="Unknown",7,IF($W928="Configurable",3,0)))+IF($I928&gt;=10,10,IF($I928&gt;=5,7,IF($I928&gt;=2,3,0)))+IF($K928="High",10,IF($K928="Medium",5,0)))</x:f>
      </x:c>
      <x:c r="AC928" s="28" t="str">
        <x:f>IF($A928="","",IF(AB928&gt;=70,"P0 - Immediate",IF(AB928&gt;=50,"P1 - High",IF(AB928&gt;=30,"P2 - Medium",IF(AB928&gt;=15,"P3 - Low","P4 - Monitor")))))</x:f>
      </x:c>
      <x:c r="AD928" s="28"/>
      <x:c r="AE928" s="28"/>
      <x:c r="AF928" s="28"/>
      <x:c r="AG928" s="58"/>
      <x:c r="AH928" s="28"/>
    </x:row>
    <x:row r="929">
      <x:c r="A929" s="28"/>
      <x:c r="B929" s="28"/>
      <x:c r="C929" s="28"/>
      <x:c r="D929" s="28"/>
      <x:c r="E929" s="28"/>
      <x:c r="F929" s="28"/>
      <x:c r="G929" s="28"/>
      <x:c r="H929" s="28"/>
      <x:c r="I929" s="56"/>
      <x:c r="J929" s="28"/>
      <x:c r="K929" s="28"/>
      <x:c r="L929" s="56"/>
      <x:c r="M929" s="28"/>
      <x:c r="N929" s="28"/>
      <x:c r="O929" s="28"/>
      <x:c r="P929" s="28"/>
      <x:c r="Q929" s="28"/>
      <x:c r="R929" s="28"/>
      <x:c r="S929" s="28"/>
      <x:c r="T929" s="28"/>
      <x:c r="U929" s="28"/>
      <x:c r="V929" s="28"/>
      <x:c r="W929" s="28"/>
      <x:c r="X929" s="28"/>
      <x:c r="Y929" s="28"/>
      <x:c r="Z929" s="28"/>
      <x:c r="AA929" s="28"/>
      <x:c r="AB929" s="56" t="str">
        <x:f>IF($A929="","",IF(Z929="Y",20,IF(Z929="Unknown",10,0))+$L929*5+IF(AA929="Y",15,IF(AA929="Unknown",5,0))+IF($J929="Public",10,IF($J929="Partner",7,IF($J929="Internal",3,0)))+IF($W929="Hard-coded",10,IF($W929="Unknown",7,IF($W929="Configurable",3,0)))+IF($I929&gt;=10,10,IF($I929&gt;=5,7,IF($I929&gt;=2,3,0)))+IF($K929="High",10,IF($K929="Medium",5,0)))</x:f>
      </x:c>
      <x:c r="AC929" s="28" t="str">
        <x:f>IF($A929="","",IF(AB929&gt;=70,"P0 - Immediate",IF(AB929&gt;=50,"P1 - High",IF(AB929&gt;=30,"P2 - Medium",IF(AB929&gt;=15,"P3 - Low","P4 - Monitor")))))</x:f>
      </x:c>
      <x:c r="AD929" s="28"/>
      <x:c r="AE929" s="28"/>
      <x:c r="AF929" s="28"/>
      <x:c r="AG929" s="58"/>
      <x:c r="AH929" s="28"/>
    </x:row>
    <x:row r="930">
      <x:c r="A930" s="28"/>
      <x:c r="B930" s="28"/>
      <x:c r="C930" s="28"/>
      <x:c r="D930" s="28"/>
      <x:c r="E930" s="28"/>
      <x:c r="F930" s="28"/>
      <x:c r="G930" s="28"/>
      <x:c r="H930" s="28"/>
      <x:c r="I930" s="56"/>
      <x:c r="J930" s="28"/>
      <x:c r="K930" s="28"/>
      <x:c r="L930" s="56"/>
      <x:c r="M930" s="28"/>
      <x:c r="N930" s="28"/>
      <x:c r="O930" s="28"/>
      <x:c r="P930" s="28"/>
      <x:c r="Q930" s="28"/>
      <x:c r="R930" s="28"/>
      <x:c r="S930" s="28"/>
      <x:c r="T930" s="28"/>
      <x:c r="U930" s="28"/>
      <x:c r="V930" s="28"/>
      <x:c r="W930" s="28"/>
      <x:c r="X930" s="28"/>
      <x:c r="Y930" s="28"/>
      <x:c r="Z930" s="28"/>
      <x:c r="AA930" s="28"/>
      <x:c r="AB930" s="56" t="str">
        <x:f>IF($A930="","",IF(Z930="Y",20,IF(Z930="Unknown",10,0))+$L930*5+IF(AA930="Y",15,IF(AA930="Unknown",5,0))+IF($J930="Public",10,IF($J930="Partner",7,IF($J930="Internal",3,0)))+IF($W930="Hard-coded",10,IF($W930="Unknown",7,IF($W930="Configurable",3,0)))+IF($I930&gt;=10,10,IF($I930&gt;=5,7,IF($I930&gt;=2,3,0)))+IF($K930="High",10,IF($K930="Medium",5,0)))</x:f>
      </x:c>
      <x:c r="AC930" s="28" t="str">
        <x:f>IF($A930="","",IF(AB930&gt;=70,"P0 - Immediate",IF(AB930&gt;=50,"P1 - High",IF(AB930&gt;=30,"P2 - Medium",IF(AB930&gt;=15,"P3 - Low","P4 - Monitor")))))</x:f>
      </x:c>
      <x:c r="AD930" s="28"/>
      <x:c r="AE930" s="28"/>
      <x:c r="AF930" s="28"/>
      <x:c r="AG930" s="58"/>
      <x:c r="AH930" s="28"/>
    </x:row>
    <x:row r="931">
      <x:c r="A931" s="28"/>
      <x:c r="B931" s="28"/>
      <x:c r="C931" s="28"/>
      <x:c r="D931" s="28"/>
      <x:c r="E931" s="28"/>
      <x:c r="F931" s="28"/>
      <x:c r="G931" s="28"/>
      <x:c r="H931" s="28"/>
      <x:c r="I931" s="56"/>
      <x:c r="J931" s="28"/>
      <x:c r="K931" s="28"/>
      <x:c r="L931" s="56"/>
      <x:c r="M931" s="28"/>
      <x:c r="N931" s="28"/>
      <x:c r="O931" s="28"/>
      <x:c r="P931" s="28"/>
      <x:c r="Q931" s="28"/>
      <x:c r="R931" s="28"/>
      <x:c r="S931" s="28"/>
      <x:c r="T931" s="28"/>
      <x:c r="U931" s="28"/>
      <x:c r="V931" s="28"/>
      <x:c r="W931" s="28"/>
      <x:c r="X931" s="28"/>
      <x:c r="Y931" s="28"/>
      <x:c r="Z931" s="28"/>
      <x:c r="AA931" s="28"/>
      <x:c r="AB931" s="56" t="str">
        <x:f>IF($A931="","",IF(Z931="Y",20,IF(Z931="Unknown",10,0))+$L931*5+IF(AA931="Y",15,IF(AA931="Unknown",5,0))+IF($J931="Public",10,IF($J931="Partner",7,IF($J931="Internal",3,0)))+IF($W931="Hard-coded",10,IF($W931="Unknown",7,IF($W931="Configurable",3,0)))+IF($I931&gt;=10,10,IF($I931&gt;=5,7,IF($I931&gt;=2,3,0)))+IF($K931="High",10,IF($K931="Medium",5,0)))</x:f>
      </x:c>
      <x:c r="AC931" s="28" t="str">
        <x:f>IF($A931="","",IF(AB931&gt;=70,"P0 - Immediate",IF(AB931&gt;=50,"P1 - High",IF(AB931&gt;=30,"P2 - Medium",IF(AB931&gt;=15,"P3 - Low","P4 - Monitor")))))</x:f>
      </x:c>
      <x:c r="AD931" s="28"/>
      <x:c r="AE931" s="28"/>
      <x:c r="AF931" s="28"/>
      <x:c r="AG931" s="58"/>
      <x:c r="AH931" s="28"/>
    </x:row>
    <x:row r="932">
      <x:c r="A932" s="28"/>
      <x:c r="B932" s="28"/>
      <x:c r="C932" s="28"/>
      <x:c r="D932" s="28"/>
      <x:c r="E932" s="28"/>
      <x:c r="F932" s="28"/>
      <x:c r="G932" s="28"/>
      <x:c r="H932" s="28"/>
      <x:c r="I932" s="56"/>
      <x:c r="J932" s="28"/>
      <x:c r="K932" s="28"/>
      <x:c r="L932" s="56"/>
      <x:c r="M932" s="28"/>
      <x:c r="N932" s="28"/>
      <x:c r="O932" s="28"/>
      <x:c r="P932" s="28"/>
      <x:c r="Q932" s="28"/>
      <x:c r="R932" s="28"/>
      <x:c r="S932" s="28"/>
      <x:c r="T932" s="28"/>
      <x:c r="U932" s="28"/>
      <x:c r="V932" s="28"/>
      <x:c r="W932" s="28"/>
      <x:c r="X932" s="28"/>
      <x:c r="Y932" s="28"/>
      <x:c r="Z932" s="28"/>
      <x:c r="AA932" s="28"/>
      <x:c r="AB932" s="56" t="str">
        <x:f>IF($A932="","",IF(Z932="Y",20,IF(Z932="Unknown",10,0))+$L932*5+IF(AA932="Y",15,IF(AA932="Unknown",5,0))+IF($J932="Public",10,IF($J932="Partner",7,IF($J932="Internal",3,0)))+IF($W932="Hard-coded",10,IF($W932="Unknown",7,IF($W932="Configurable",3,0)))+IF($I932&gt;=10,10,IF($I932&gt;=5,7,IF($I932&gt;=2,3,0)))+IF($K932="High",10,IF($K932="Medium",5,0)))</x:f>
      </x:c>
      <x:c r="AC932" s="28" t="str">
        <x:f>IF($A932="","",IF(AB932&gt;=70,"P0 - Immediate",IF(AB932&gt;=50,"P1 - High",IF(AB932&gt;=30,"P2 - Medium",IF(AB932&gt;=15,"P3 - Low","P4 - Monitor")))))</x:f>
      </x:c>
      <x:c r="AD932" s="28"/>
      <x:c r="AE932" s="28"/>
      <x:c r="AF932" s="28"/>
      <x:c r="AG932" s="58"/>
      <x:c r="AH932" s="28"/>
    </x:row>
    <x:row r="933">
      <x:c r="A933" s="28"/>
      <x:c r="B933" s="28"/>
      <x:c r="C933" s="28"/>
      <x:c r="D933" s="28"/>
      <x:c r="E933" s="28"/>
      <x:c r="F933" s="28"/>
      <x:c r="G933" s="28"/>
      <x:c r="H933" s="28"/>
      <x:c r="I933" s="56"/>
      <x:c r="J933" s="28"/>
      <x:c r="K933" s="28"/>
      <x:c r="L933" s="56"/>
      <x:c r="M933" s="28"/>
      <x:c r="N933" s="28"/>
      <x:c r="O933" s="28"/>
      <x:c r="P933" s="28"/>
      <x:c r="Q933" s="28"/>
      <x:c r="R933" s="28"/>
      <x:c r="S933" s="28"/>
      <x:c r="T933" s="28"/>
      <x:c r="U933" s="28"/>
      <x:c r="V933" s="28"/>
      <x:c r="W933" s="28"/>
      <x:c r="X933" s="28"/>
      <x:c r="Y933" s="28"/>
      <x:c r="Z933" s="28"/>
      <x:c r="AA933" s="28"/>
      <x:c r="AB933" s="56" t="str">
        <x:f>IF($A933="","",IF(Z933="Y",20,IF(Z933="Unknown",10,0))+$L933*5+IF(AA933="Y",15,IF(AA933="Unknown",5,0))+IF($J933="Public",10,IF($J933="Partner",7,IF($J933="Internal",3,0)))+IF($W933="Hard-coded",10,IF($W933="Unknown",7,IF($W933="Configurable",3,0)))+IF($I933&gt;=10,10,IF($I933&gt;=5,7,IF($I933&gt;=2,3,0)))+IF($K933="High",10,IF($K933="Medium",5,0)))</x:f>
      </x:c>
      <x:c r="AC933" s="28" t="str">
        <x:f>IF($A933="","",IF(AB933&gt;=70,"P0 - Immediate",IF(AB933&gt;=50,"P1 - High",IF(AB933&gt;=30,"P2 - Medium",IF(AB933&gt;=15,"P3 - Low","P4 - Monitor")))))</x:f>
      </x:c>
      <x:c r="AD933" s="28"/>
      <x:c r="AE933" s="28"/>
      <x:c r="AF933" s="28"/>
      <x:c r="AG933" s="58"/>
      <x:c r="AH933" s="28"/>
    </x:row>
    <x:row r="934">
      <x:c r="A934" s="28"/>
      <x:c r="B934" s="28"/>
      <x:c r="C934" s="28"/>
      <x:c r="D934" s="28"/>
      <x:c r="E934" s="28"/>
      <x:c r="F934" s="28"/>
      <x:c r="G934" s="28"/>
      <x:c r="H934" s="28"/>
      <x:c r="I934" s="56"/>
      <x:c r="J934" s="28"/>
      <x:c r="K934" s="28"/>
      <x:c r="L934" s="56"/>
      <x:c r="M934" s="28"/>
      <x:c r="N934" s="28"/>
      <x:c r="O934" s="28"/>
      <x:c r="P934" s="28"/>
      <x:c r="Q934" s="28"/>
      <x:c r="R934" s="28"/>
      <x:c r="S934" s="28"/>
      <x:c r="T934" s="28"/>
      <x:c r="U934" s="28"/>
      <x:c r="V934" s="28"/>
      <x:c r="W934" s="28"/>
      <x:c r="X934" s="28"/>
      <x:c r="Y934" s="28"/>
      <x:c r="Z934" s="28"/>
      <x:c r="AA934" s="28"/>
      <x:c r="AB934" s="56" t="str">
        <x:f>IF($A934="","",IF(Z934="Y",20,IF(Z934="Unknown",10,0))+$L934*5+IF(AA934="Y",15,IF(AA934="Unknown",5,0))+IF($J934="Public",10,IF($J934="Partner",7,IF($J934="Internal",3,0)))+IF($W934="Hard-coded",10,IF($W934="Unknown",7,IF($W934="Configurable",3,0)))+IF($I934&gt;=10,10,IF($I934&gt;=5,7,IF($I934&gt;=2,3,0)))+IF($K934="High",10,IF($K934="Medium",5,0)))</x:f>
      </x:c>
      <x:c r="AC934" s="28" t="str">
        <x:f>IF($A934="","",IF(AB934&gt;=70,"P0 - Immediate",IF(AB934&gt;=50,"P1 - High",IF(AB934&gt;=30,"P2 - Medium",IF(AB934&gt;=15,"P3 - Low","P4 - Monitor")))))</x:f>
      </x:c>
      <x:c r="AD934" s="28"/>
      <x:c r="AE934" s="28"/>
      <x:c r="AF934" s="28"/>
      <x:c r="AG934" s="58"/>
      <x:c r="AH934" s="28"/>
    </x:row>
    <x:row r="935">
      <x:c r="A935" s="28"/>
      <x:c r="B935" s="28"/>
      <x:c r="C935" s="28"/>
      <x:c r="D935" s="28"/>
      <x:c r="E935" s="28"/>
      <x:c r="F935" s="28"/>
      <x:c r="G935" s="28"/>
      <x:c r="H935" s="28"/>
      <x:c r="I935" s="56"/>
      <x:c r="J935" s="28"/>
      <x:c r="K935" s="28"/>
      <x:c r="L935" s="56"/>
      <x:c r="M935" s="28"/>
      <x:c r="N935" s="28"/>
      <x:c r="O935" s="28"/>
      <x:c r="P935" s="28"/>
      <x:c r="Q935" s="28"/>
      <x:c r="R935" s="28"/>
      <x:c r="S935" s="28"/>
      <x:c r="T935" s="28"/>
      <x:c r="U935" s="28"/>
      <x:c r="V935" s="28"/>
      <x:c r="W935" s="28"/>
      <x:c r="X935" s="28"/>
      <x:c r="Y935" s="28"/>
      <x:c r="Z935" s="28"/>
      <x:c r="AA935" s="28"/>
      <x:c r="AB935" s="56" t="str">
        <x:f>IF($A935="","",IF(Z935="Y",20,IF(Z935="Unknown",10,0))+$L935*5+IF(AA935="Y",15,IF(AA935="Unknown",5,0))+IF($J935="Public",10,IF($J935="Partner",7,IF($J935="Internal",3,0)))+IF($W935="Hard-coded",10,IF($W935="Unknown",7,IF($W935="Configurable",3,0)))+IF($I935&gt;=10,10,IF($I935&gt;=5,7,IF($I935&gt;=2,3,0)))+IF($K935="High",10,IF($K935="Medium",5,0)))</x:f>
      </x:c>
      <x:c r="AC935" s="28" t="str">
        <x:f>IF($A935="","",IF(AB935&gt;=70,"P0 - Immediate",IF(AB935&gt;=50,"P1 - High",IF(AB935&gt;=30,"P2 - Medium",IF(AB935&gt;=15,"P3 - Low","P4 - Monitor")))))</x:f>
      </x:c>
      <x:c r="AD935" s="28"/>
      <x:c r="AE935" s="28"/>
      <x:c r="AF935" s="28"/>
      <x:c r="AG935" s="58"/>
      <x:c r="AH935" s="28"/>
    </x:row>
    <x:row r="936">
      <x:c r="A936" s="28"/>
      <x:c r="B936" s="28"/>
      <x:c r="C936" s="28"/>
      <x:c r="D936" s="28"/>
      <x:c r="E936" s="28"/>
      <x:c r="F936" s="28"/>
      <x:c r="G936" s="28"/>
      <x:c r="H936" s="28"/>
      <x:c r="I936" s="56"/>
      <x:c r="J936" s="28"/>
      <x:c r="K936" s="28"/>
      <x:c r="L936" s="56"/>
      <x:c r="M936" s="28"/>
      <x:c r="N936" s="28"/>
      <x:c r="O936" s="28"/>
      <x:c r="P936" s="28"/>
      <x:c r="Q936" s="28"/>
      <x:c r="R936" s="28"/>
      <x:c r="S936" s="28"/>
      <x:c r="T936" s="28"/>
      <x:c r="U936" s="28"/>
      <x:c r="V936" s="28"/>
      <x:c r="W936" s="28"/>
      <x:c r="X936" s="28"/>
      <x:c r="Y936" s="28"/>
      <x:c r="Z936" s="28"/>
      <x:c r="AA936" s="28"/>
      <x:c r="AB936" s="56" t="str">
        <x:f>IF($A936="","",IF(Z936="Y",20,IF(Z936="Unknown",10,0))+$L936*5+IF(AA936="Y",15,IF(AA936="Unknown",5,0))+IF($J936="Public",10,IF($J936="Partner",7,IF($J936="Internal",3,0)))+IF($W936="Hard-coded",10,IF($W936="Unknown",7,IF($W936="Configurable",3,0)))+IF($I936&gt;=10,10,IF($I936&gt;=5,7,IF($I936&gt;=2,3,0)))+IF($K936="High",10,IF($K936="Medium",5,0)))</x:f>
      </x:c>
      <x:c r="AC936" s="28" t="str">
        <x:f>IF($A936="","",IF(AB936&gt;=70,"P0 - Immediate",IF(AB936&gt;=50,"P1 - High",IF(AB936&gt;=30,"P2 - Medium",IF(AB936&gt;=15,"P3 - Low","P4 - Monitor")))))</x:f>
      </x:c>
      <x:c r="AD936" s="28"/>
      <x:c r="AE936" s="28"/>
      <x:c r="AF936" s="28"/>
      <x:c r="AG936" s="58"/>
      <x:c r="AH936" s="28"/>
    </x:row>
    <x:row r="937">
      <x:c r="A937" s="28"/>
      <x:c r="B937" s="28"/>
      <x:c r="C937" s="28"/>
      <x:c r="D937" s="28"/>
      <x:c r="E937" s="28"/>
      <x:c r="F937" s="28"/>
      <x:c r="G937" s="28"/>
      <x:c r="H937" s="28"/>
      <x:c r="I937" s="56"/>
      <x:c r="J937" s="28"/>
      <x:c r="K937" s="28"/>
      <x:c r="L937" s="56"/>
      <x:c r="M937" s="28"/>
      <x:c r="N937" s="28"/>
      <x:c r="O937" s="28"/>
      <x:c r="P937" s="28"/>
      <x:c r="Q937" s="28"/>
      <x:c r="R937" s="28"/>
      <x:c r="S937" s="28"/>
      <x:c r="T937" s="28"/>
      <x:c r="U937" s="28"/>
      <x:c r="V937" s="28"/>
      <x:c r="W937" s="28"/>
      <x:c r="X937" s="28"/>
      <x:c r="Y937" s="28"/>
      <x:c r="Z937" s="28"/>
      <x:c r="AA937" s="28"/>
      <x:c r="AB937" s="56" t="str">
        <x:f>IF($A937="","",IF(Z937="Y",20,IF(Z937="Unknown",10,0))+$L937*5+IF(AA937="Y",15,IF(AA937="Unknown",5,0))+IF($J937="Public",10,IF($J937="Partner",7,IF($J937="Internal",3,0)))+IF($W937="Hard-coded",10,IF($W937="Unknown",7,IF($W937="Configurable",3,0)))+IF($I937&gt;=10,10,IF($I937&gt;=5,7,IF($I937&gt;=2,3,0)))+IF($K937="High",10,IF($K937="Medium",5,0)))</x:f>
      </x:c>
      <x:c r="AC937" s="28" t="str">
        <x:f>IF($A937="","",IF(AB937&gt;=70,"P0 - Immediate",IF(AB937&gt;=50,"P1 - High",IF(AB937&gt;=30,"P2 - Medium",IF(AB937&gt;=15,"P3 - Low","P4 - Monitor")))))</x:f>
      </x:c>
      <x:c r="AD937" s="28"/>
      <x:c r="AE937" s="28"/>
      <x:c r="AF937" s="28"/>
      <x:c r="AG937" s="58"/>
      <x:c r="AH937" s="28"/>
    </x:row>
    <x:row r="938">
      <x:c r="A938" s="28"/>
      <x:c r="B938" s="28"/>
      <x:c r="C938" s="28"/>
      <x:c r="D938" s="28"/>
      <x:c r="E938" s="28"/>
      <x:c r="F938" s="28"/>
      <x:c r="G938" s="28"/>
      <x:c r="H938" s="28"/>
      <x:c r="I938" s="56"/>
      <x:c r="J938" s="28"/>
      <x:c r="K938" s="28"/>
      <x:c r="L938" s="56"/>
      <x:c r="M938" s="28"/>
      <x:c r="N938" s="28"/>
      <x:c r="O938" s="28"/>
      <x:c r="P938" s="28"/>
      <x:c r="Q938" s="28"/>
      <x:c r="R938" s="28"/>
      <x:c r="S938" s="28"/>
      <x:c r="T938" s="28"/>
      <x:c r="U938" s="28"/>
      <x:c r="V938" s="28"/>
      <x:c r="W938" s="28"/>
      <x:c r="X938" s="28"/>
      <x:c r="Y938" s="28"/>
      <x:c r="Z938" s="28"/>
      <x:c r="AA938" s="28"/>
      <x:c r="AB938" s="56" t="str">
        <x:f>IF($A938="","",IF(Z938="Y",20,IF(Z938="Unknown",10,0))+$L938*5+IF(AA938="Y",15,IF(AA938="Unknown",5,0))+IF($J938="Public",10,IF($J938="Partner",7,IF($J938="Internal",3,0)))+IF($W938="Hard-coded",10,IF($W938="Unknown",7,IF($W938="Configurable",3,0)))+IF($I938&gt;=10,10,IF($I938&gt;=5,7,IF($I938&gt;=2,3,0)))+IF($K938="High",10,IF($K938="Medium",5,0)))</x:f>
      </x:c>
      <x:c r="AC938" s="28" t="str">
        <x:f>IF($A938="","",IF(AB938&gt;=70,"P0 - Immediate",IF(AB938&gt;=50,"P1 - High",IF(AB938&gt;=30,"P2 - Medium",IF(AB938&gt;=15,"P3 - Low","P4 - Monitor")))))</x:f>
      </x:c>
      <x:c r="AD938" s="28"/>
      <x:c r="AE938" s="28"/>
      <x:c r="AF938" s="28"/>
      <x:c r="AG938" s="58"/>
      <x:c r="AH938" s="28"/>
    </x:row>
    <x:row r="939">
      <x:c r="A939" s="28"/>
      <x:c r="B939" s="28"/>
      <x:c r="C939" s="28"/>
      <x:c r="D939" s="28"/>
      <x:c r="E939" s="28"/>
      <x:c r="F939" s="28"/>
      <x:c r="G939" s="28"/>
      <x:c r="H939" s="28"/>
      <x:c r="I939" s="56"/>
      <x:c r="J939" s="28"/>
      <x:c r="K939" s="28"/>
      <x:c r="L939" s="56"/>
      <x:c r="M939" s="28"/>
      <x:c r="N939" s="28"/>
      <x:c r="O939" s="28"/>
      <x:c r="P939" s="28"/>
      <x:c r="Q939" s="28"/>
      <x:c r="R939" s="28"/>
      <x:c r="S939" s="28"/>
      <x:c r="T939" s="28"/>
      <x:c r="U939" s="28"/>
      <x:c r="V939" s="28"/>
      <x:c r="W939" s="28"/>
      <x:c r="X939" s="28"/>
      <x:c r="Y939" s="28"/>
      <x:c r="Z939" s="28"/>
      <x:c r="AA939" s="28"/>
      <x:c r="AB939" s="56" t="str">
        <x:f>IF($A939="","",IF(Z939="Y",20,IF(Z939="Unknown",10,0))+$L939*5+IF(AA939="Y",15,IF(AA939="Unknown",5,0))+IF($J939="Public",10,IF($J939="Partner",7,IF($J939="Internal",3,0)))+IF($W939="Hard-coded",10,IF($W939="Unknown",7,IF($W939="Configurable",3,0)))+IF($I939&gt;=10,10,IF($I939&gt;=5,7,IF($I939&gt;=2,3,0)))+IF($K939="High",10,IF($K939="Medium",5,0)))</x:f>
      </x:c>
      <x:c r="AC939" s="28" t="str">
        <x:f>IF($A939="","",IF(AB939&gt;=70,"P0 - Immediate",IF(AB939&gt;=50,"P1 - High",IF(AB939&gt;=30,"P2 - Medium",IF(AB939&gt;=15,"P3 - Low","P4 - Monitor")))))</x:f>
      </x:c>
      <x:c r="AD939" s="28"/>
      <x:c r="AE939" s="28"/>
      <x:c r="AF939" s="28"/>
      <x:c r="AG939" s="58"/>
      <x:c r="AH939" s="28"/>
    </x:row>
    <x:row r="940">
      <x:c r="A940" s="28"/>
      <x:c r="B940" s="28"/>
      <x:c r="C940" s="28"/>
      <x:c r="D940" s="28"/>
      <x:c r="E940" s="28"/>
      <x:c r="F940" s="28"/>
      <x:c r="G940" s="28"/>
      <x:c r="H940" s="28"/>
      <x:c r="I940" s="56"/>
      <x:c r="J940" s="28"/>
      <x:c r="K940" s="28"/>
      <x:c r="L940" s="56"/>
      <x:c r="M940" s="28"/>
      <x:c r="N940" s="28"/>
      <x:c r="O940" s="28"/>
      <x:c r="P940" s="28"/>
      <x:c r="Q940" s="28"/>
      <x:c r="R940" s="28"/>
      <x:c r="S940" s="28"/>
      <x:c r="T940" s="28"/>
      <x:c r="U940" s="28"/>
      <x:c r="V940" s="28"/>
      <x:c r="W940" s="28"/>
      <x:c r="X940" s="28"/>
      <x:c r="Y940" s="28"/>
      <x:c r="Z940" s="28"/>
      <x:c r="AA940" s="28"/>
      <x:c r="AB940" s="56" t="str">
        <x:f>IF($A940="","",IF(Z940="Y",20,IF(Z940="Unknown",10,0))+$L940*5+IF(AA940="Y",15,IF(AA940="Unknown",5,0))+IF($J940="Public",10,IF($J940="Partner",7,IF($J940="Internal",3,0)))+IF($W940="Hard-coded",10,IF($W940="Unknown",7,IF($W940="Configurable",3,0)))+IF($I940&gt;=10,10,IF($I940&gt;=5,7,IF($I940&gt;=2,3,0)))+IF($K940="High",10,IF($K940="Medium",5,0)))</x:f>
      </x:c>
      <x:c r="AC940" s="28" t="str">
        <x:f>IF($A940="","",IF(AB940&gt;=70,"P0 - Immediate",IF(AB940&gt;=50,"P1 - High",IF(AB940&gt;=30,"P2 - Medium",IF(AB940&gt;=15,"P3 - Low","P4 - Monitor")))))</x:f>
      </x:c>
      <x:c r="AD940" s="28"/>
      <x:c r="AE940" s="28"/>
      <x:c r="AF940" s="28"/>
      <x:c r="AG940" s="58"/>
      <x:c r="AH940" s="28"/>
    </x:row>
    <x:row r="941">
      <x:c r="A941" s="28"/>
      <x:c r="B941" s="28"/>
      <x:c r="C941" s="28"/>
      <x:c r="D941" s="28"/>
      <x:c r="E941" s="28"/>
      <x:c r="F941" s="28"/>
      <x:c r="G941" s="28"/>
      <x:c r="H941" s="28"/>
      <x:c r="I941" s="56"/>
      <x:c r="J941" s="28"/>
      <x:c r="K941" s="28"/>
      <x:c r="L941" s="56"/>
      <x:c r="M941" s="28"/>
      <x:c r="N941" s="28"/>
      <x:c r="O941" s="28"/>
      <x:c r="P941" s="28"/>
      <x:c r="Q941" s="28"/>
      <x:c r="R941" s="28"/>
      <x:c r="S941" s="28"/>
      <x:c r="T941" s="28"/>
      <x:c r="U941" s="28"/>
      <x:c r="V941" s="28"/>
      <x:c r="W941" s="28"/>
      <x:c r="X941" s="28"/>
      <x:c r="Y941" s="28"/>
      <x:c r="Z941" s="28"/>
      <x:c r="AA941" s="28"/>
      <x:c r="AB941" s="56" t="str">
        <x:f>IF($A941="","",IF(Z941="Y",20,IF(Z941="Unknown",10,0))+$L941*5+IF(AA941="Y",15,IF(AA941="Unknown",5,0))+IF($J941="Public",10,IF($J941="Partner",7,IF($J941="Internal",3,0)))+IF($W941="Hard-coded",10,IF($W941="Unknown",7,IF($W941="Configurable",3,0)))+IF($I941&gt;=10,10,IF($I941&gt;=5,7,IF($I941&gt;=2,3,0)))+IF($K941="High",10,IF($K941="Medium",5,0)))</x:f>
      </x:c>
      <x:c r="AC941" s="28" t="str">
        <x:f>IF($A941="","",IF(AB941&gt;=70,"P0 - Immediate",IF(AB941&gt;=50,"P1 - High",IF(AB941&gt;=30,"P2 - Medium",IF(AB941&gt;=15,"P3 - Low","P4 - Monitor")))))</x:f>
      </x:c>
      <x:c r="AD941" s="28"/>
      <x:c r="AE941" s="28"/>
      <x:c r="AF941" s="28"/>
      <x:c r="AG941" s="58"/>
      <x:c r="AH941" s="28"/>
    </x:row>
    <x:row r="942">
      <x:c r="A942" s="28"/>
      <x:c r="B942" s="28"/>
      <x:c r="C942" s="28"/>
      <x:c r="D942" s="28"/>
      <x:c r="E942" s="28"/>
      <x:c r="F942" s="28"/>
      <x:c r="G942" s="28"/>
      <x:c r="H942" s="28"/>
      <x:c r="I942" s="56"/>
      <x:c r="J942" s="28"/>
      <x:c r="K942" s="28"/>
      <x:c r="L942" s="56"/>
      <x:c r="M942" s="28"/>
      <x:c r="N942" s="28"/>
      <x:c r="O942" s="28"/>
      <x:c r="P942" s="28"/>
      <x:c r="Q942" s="28"/>
      <x:c r="R942" s="28"/>
      <x:c r="S942" s="28"/>
      <x:c r="T942" s="28"/>
      <x:c r="U942" s="28"/>
      <x:c r="V942" s="28"/>
      <x:c r="W942" s="28"/>
      <x:c r="X942" s="28"/>
      <x:c r="Y942" s="28"/>
      <x:c r="Z942" s="28"/>
      <x:c r="AA942" s="28"/>
      <x:c r="AB942" s="56" t="str">
        <x:f>IF($A942="","",IF(Z942="Y",20,IF(Z942="Unknown",10,0))+$L942*5+IF(AA942="Y",15,IF(AA942="Unknown",5,0))+IF($J942="Public",10,IF($J942="Partner",7,IF($J942="Internal",3,0)))+IF($W942="Hard-coded",10,IF($W942="Unknown",7,IF($W942="Configurable",3,0)))+IF($I942&gt;=10,10,IF($I942&gt;=5,7,IF($I942&gt;=2,3,0)))+IF($K942="High",10,IF($K942="Medium",5,0)))</x:f>
      </x:c>
      <x:c r="AC942" s="28" t="str">
        <x:f>IF($A942="","",IF(AB942&gt;=70,"P0 - Immediate",IF(AB942&gt;=50,"P1 - High",IF(AB942&gt;=30,"P2 - Medium",IF(AB942&gt;=15,"P3 - Low","P4 - Monitor")))))</x:f>
      </x:c>
      <x:c r="AD942" s="28"/>
      <x:c r="AE942" s="28"/>
      <x:c r="AF942" s="28"/>
      <x:c r="AG942" s="58"/>
      <x:c r="AH942" s="28"/>
    </x:row>
    <x:row r="943">
      <x:c r="A943" s="28"/>
      <x:c r="B943" s="28"/>
      <x:c r="C943" s="28"/>
      <x:c r="D943" s="28"/>
      <x:c r="E943" s="28"/>
      <x:c r="F943" s="28"/>
      <x:c r="G943" s="28"/>
      <x:c r="H943" s="28"/>
      <x:c r="I943" s="56"/>
      <x:c r="J943" s="28"/>
      <x:c r="K943" s="28"/>
      <x:c r="L943" s="56"/>
      <x:c r="M943" s="28"/>
      <x:c r="N943" s="28"/>
      <x:c r="O943" s="28"/>
      <x:c r="P943" s="28"/>
      <x:c r="Q943" s="28"/>
      <x:c r="R943" s="28"/>
      <x:c r="S943" s="28"/>
      <x:c r="T943" s="28"/>
      <x:c r="U943" s="28"/>
      <x:c r="V943" s="28"/>
      <x:c r="W943" s="28"/>
      <x:c r="X943" s="28"/>
      <x:c r="Y943" s="28"/>
      <x:c r="Z943" s="28"/>
      <x:c r="AA943" s="28"/>
      <x:c r="AB943" s="56" t="str">
        <x:f>IF($A943="","",IF(Z943="Y",20,IF(Z943="Unknown",10,0))+$L943*5+IF(AA943="Y",15,IF(AA943="Unknown",5,0))+IF($J943="Public",10,IF($J943="Partner",7,IF($J943="Internal",3,0)))+IF($W943="Hard-coded",10,IF($W943="Unknown",7,IF($W943="Configurable",3,0)))+IF($I943&gt;=10,10,IF($I943&gt;=5,7,IF($I943&gt;=2,3,0)))+IF($K943="High",10,IF($K943="Medium",5,0)))</x:f>
      </x:c>
      <x:c r="AC943" s="28" t="str">
        <x:f>IF($A943="","",IF(AB943&gt;=70,"P0 - Immediate",IF(AB943&gt;=50,"P1 - High",IF(AB943&gt;=30,"P2 - Medium",IF(AB943&gt;=15,"P3 - Low","P4 - Monitor")))))</x:f>
      </x:c>
      <x:c r="AD943" s="28"/>
      <x:c r="AE943" s="28"/>
      <x:c r="AF943" s="28"/>
      <x:c r="AG943" s="58"/>
      <x:c r="AH943" s="28"/>
    </x:row>
    <x:row r="944">
      <x:c r="A944" s="28"/>
      <x:c r="B944" s="28"/>
      <x:c r="C944" s="28"/>
      <x:c r="D944" s="28"/>
      <x:c r="E944" s="28"/>
      <x:c r="F944" s="28"/>
      <x:c r="G944" s="28"/>
      <x:c r="H944" s="28"/>
      <x:c r="I944" s="56"/>
      <x:c r="J944" s="28"/>
      <x:c r="K944" s="28"/>
      <x:c r="L944" s="56"/>
      <x:c r="M944" s="28"/>
      <x:c r="N944" s="28"/>
      <x:c r="O944" s="28"/>
      <x:c r="P944" s="28"/>
      <x:c r="Q944" s="28"/>
      <x:c r="R944" s="28"/>
      <x:c r="S944" s="28"/>
      <x:c r="T944" s="28"/>
      <x:c r="U944" s="28"/>
      <x:c r="V944" s="28"/>
      <x:c r="W944" s="28"/>
      <x:c r="X944" s="28"/>
      <x:c r="Y944" s="28"/>
      <x:c r="Z944" s="28"/>
      <x:c r="AA944" s="28"/>
      <x:c r="AB944" s="56" t="str">
        <x:f>IF($A944="","",IF(Z944="Y",20,IF(Z944="Unknown",10,0))+$L944*5+IF(AA944="Y",15,IF(AA944="Unknown",5,0))+IF($J944="Public",10,IF($J944="Partner",7,IF($J944="Internal",3,0)))+IF($W944="Hard-coded",10,IF($W944="Unknown",7,IF($W944="Configurable",3,0)))+IF($I944&gt;=10,10,IF($I944&gt;=5,7,IF($I944&gt;=2,3,0)))+IF($K944="High",10,IF($K944="Medium",5,0)))</x:f>
      </x:c>
      <x:c r="AC944" s="28" t="str">
        <x:f>IF($A944="","",IF(AB944&gt;=70,"P0 - Immediate",IF(AB944&gt;=50,"P1 - High",IF(AB944&gt;=30,"P2 - Medium",IF(AB944&gt;=15,"P3 - Low","P4 - Monitor")))))</x:f>
      </x:c>
      <x:c r="AD944" s="28"/>
      <x:c r="AE944" s="28"/>
      <x:c r="AF944" s="28"/>
      <x:c r="AG944" s="58"/>
      <x:c r="AH944" s="28"/>
    </x:row>
    <x:row r="945">
      <x:c r="A945" s="28"/>
      <x:c r="B945" s="28"/>
      <x:c r="C945" s="28"/>
      <x:c r="D945" s="28"/>
      <x:c r="E945" s="28"/>
      <x:c r="F945" s="28"/>
      <x:c r="G945" s="28"/>
      <x:c r="H945" s="28"/>
      <x:c r="I945" s="56"/>
      <x:c r="J945" s="28"/>
      <x:c r="K945" s="28"/>
      <x:c r="L945" s="56"/>
      <x:c r="M945" s="28"/>
      <x:c r="N945" s="28"/>
      <x:c r="O945" s="28"/>
      <x:c r="P945" s="28"/>
      <x:c r="Q945" s="28"/>
      <x:c r="R945" s="28"/>
      <x:c r="S945" s="28"/>
      <x:c r="T945" s="28"/>
      <x:c r="U945" s="28"/>
      <x:c r="V945" s="28"/>
      <x:c r="W945" s="28"/>
      <x:c r="X945" s="28"/>
      <x:c r="Y945" s="28"/>
      <x:c r="Z945" s="28"/>
      <x:c r="AA945" s="28"/>
      <x:c r="AB945" s="56" t="str">
        <x:f>IF($A945="","",IF(Z945="Y",20,IF(Z945="Unknown",10,0))+$L945*5+IF(AA945="Y",15,IF(AA945="Unknown",5,0))+IF($J945="Public",10,IF($J945="Partner",7,IF($J945="Internal",3,0)))+IF($W945="Hard-coded",10,IF($W945="Unknown",7,IF($W945="Configurable",3,0)))+IF($I945&gt;=10,10,IF($I945&gt;=5,7,IF($I945&gt;=2,3,0)))+IF($K945="High",10,IF($K945="Medium",5,0)))</x:f>
      </x:c>
      <x:c r="AC945" s="28" t="str">
        <x:f>IF($A945="","",IF(AB945&gt;=70,"P0 - Immediate",IF(AB945&gt;=50,"P1 - High",IF(AB945&gt;=30,"P2 - Medium",IF(AB945&gt;=15,"P3 - Low","P4 - Monitor")))))</x:f>
      </x:c>
      <x:c r="AD945" s="28"/>
      <x:c r="AE945" s="28"/>
      <x:c r="AF945" s="28"/>
      <x:c r="AG945" s="58"/>
      <x:c r="AH945" s="28"/>
    </x:row>
    <x:row r="946">
      <x:c r="A946" s="28"/>
      <x:c r="B946" s="28"/>
      <x:c r="C946" s="28"/>
      <x:c r="D946" s="28"/>
      <x:c r="E946" s="28"/>
      <x:c r="F946" s="28"/>
      <x:c r="G946" s="28"/>
      <x:c r="H946" s="28"/>
      <x:c r="I946" s="56"/>
      <x:c r="J946" s="28"/>
      <x:c r="K946" s="28"/>
      <x:c r="L946" s="56"/>
      <x:c r="M946" s="28"/>
      <x:c r="N946" s="28"/>
      <x:c r="O946" s="28"/>
      <x:c r="P946" s="28"/>
      <x:c r="Q946" s="28"/>
      <x:c r="R946" s="28"/>
      <x:c r="S946" s="28"/>
      <x:c r="T946" s="28"/>
      <x:c r="U946" s="28"/>
      <x:c r="V946" s="28"/>
      <x:c r="W946" s="28"/>
      <x:c r="X946" s="28"/>
      <x:c r="Y946" s="28"/>
      <x:c r="Z946" s="28"/>
      <x:c r="AA946" s="28"/>
      <x:c r="AB946" s="56" t="str">
        <x:f>IF($A946="","",IF(Z946="Y",20,IF(Z946="Unknown",10,0))+$L946*5+IF(AA946="Y",15,IF(AA946="Unknown",5,0))+IF($J946="Public",10,IF($J946="Partner",7,IF($J946="Internal",3,0)))+IF($W946="Hard-coded",10,IF($W946="Unknown",7,IF($W946="Configurable",3,0)))+IF($I946&gt;=10,10,IF($I946&gt;=5,7,IF($I946&gt;=2,3,0)))+IF($K946="High",10,IF($K946="Medium",5,0)))</x:f>
      </x:c>
      <x:c r="AC946" s="28" t="str">
        <x:f>IF($A946="","",IF(AB946&gt;=70,"P0 - Immediate",IF(AB946&gt;=50,"P1 - High",IF(AB946&gt;=30,"P2 - Medium",IF(AB946&gt;=15,"P3 - Low","P4 - Monitor")))))</x:f>
      </x:c>
      <x:c r="AD946" s="28"/>
      <x:c r="AE946" s="28"/>
      <x:c r="AF946" s="28"/>
      <x:c r="AG946" s="58"/>
      <x:c r="AH946" s="28"/>
    </x:row>
    <x:row r="947">
      <x:c r="A947" s="28"/>
      <x:c r="B947" s="28"/>
      <x:c r="C947" s="28"/>
      <x:c r="D947" s="28"/>
      <x:c r="E947" s="28"/>
      <x:c r="F947" s="28"/>
      <x:c r="G947" s="28"/>
      <x:c r="H947" s="28"/>
      <x:c r="I947" s="56"/>
      <x:c r="J947" s="28"/>
      <x:c r="K947" s="28"/>
      <x:c r="L947" s="56"/>
      <x:c r="M947" s="28"/>
      <x:c r="N947" s="28"/>
      <x:c r="O947" s="28"/>
      <x:c r="P947" s="28"/>
      <x:c r="Q947" s="28"/>
      <x:c r="R947" s="28"/>
      <x:c r="S947" s="28"/>
      <x:c r="T947" s="28"/>
      <x:c r="U947" s="28"/>
      <x:c r="V947" s="28"/>
      <x:c r="W947" s="28"/>
      <x:c r="X947" s="28"/>
      <x:c r="Y947" s="28"/>
      <x:c r="Z947" s="28"/>
      <x:c r="AA947" s="28"/>
      <x:c r="AB947" s="56" t="str">
        <x:f>IF($A947="","",IF(Z947="Y",20,IF(Z947="Unknown",10,0))+$L947*5+IF(AA947="Y",15,IF(AA947="Unknown",5,0))+IF($J947="Public",10,IF($J947="Partner",7,IF($J947="Internal",3,0)))+IF($W947="Hard-coded",10,IF($W947="Unknown",7,IF($W947="Configurable",3,0)))+IF($I947&gt;=10,10,IF($I947&gt;=5,7,IF($I947&gt;=2,3,0)))+IF($K947="High",10,IF($K947="Medium",5,0)))</x:f>
      </x:c>
      <x:c r="AC947" s="28" t="str">
        <x:f>IF($A947="","",IF(AB947&gt;=70,"P0 - Immediate",IF(AB947&gt;=50,"P1 - High",IF(AB947&gt;=30,"P2 - Medium",IF(AB947&gt;=15,"P3 - Low","P4 - Monitor")))))</x:f>
      </x:c>
      <x:c r="AD947" s="28"/>
      <x:c r="AE947" s="28"/>
      <x:c r="AF947" s="28"/>
      <x:c r="AG947" s="58"/>
      <x:c r="AH947" s="28"/>
    </x:row>
    <x:row r="948">
      <x:c r="A948" s="28"/>
      <x:c r="B948" s="28"/>
      <x:c r="C948" s="28"/>
      <x:c r="D948" s="28"/>
      <x:c r="E948" s="28"/>
      <x:c r="F948" s="28"/>
      <x:c r="G948" s="28"/>
      <x:c r="H948" s="28"/>
      <x:c r="I948" s="56"/>
      <x:c r="J948" s="28"/>
      <x:c r="K948" s="28"/>
      <x:c r="L948" s="56"/>
      <x:c r="M948" s="28"/>
      <x:c r="N948" s="28"/>
      <x:c r="O948" s="28"/>
      <x:c r="P948" s="28"/>
      <x:c r="Q948" s="28"/>
      <x:c r="R948" s="28"/>
      <x:c r="S948" s="28"/>
      <x:c r="T948" s="28"/>
      <x:c r="U948" s="28"/>
      <x:c r="V948" s="28"/>
      <x:c r="W948" s="28"/>
      <x:c r="X948" s="28"/>
      <x:c r="Y948" s="28"/>
      <x:c r="Z948" s="28"/>
      <x:c r="AA948" s="28"/>
      <x:c r="AB948" s="56" t="str">
        <x:f>IF($A948="","",IF(Z948="Y",20,IF(Z948="Unknown",10,0))+$L948*5+IF(AA948="Y",15,IF(AA948="Unknown",5,0))+IF($J948="Public",10,IF($J948="Partner",7,IF($J948="Internal",3,0)))+IF($W948="Hard-coded",10,IF($W948="Unknown",7,IF($W948="Configurable",3,0)))+IF($I948&gt;=10,10,IF($I948&gt;=5,7,IF($I948&gt;=2,3,0)))+IF($K948="High",10,IF($K948="Medium",5,0)))</x:f>
      </x:c>
      <x:c r="AC948" s="28" t="str">
        <x:f>IF($A948="","",IF(AB948&gt;=70,"P0 - Immediate",IF(AB948&gt;=50,"P1 - High",IF(AB948&gt;=30,"P2 - Medium",IF(AB948&gt;=15,"P3 - Low","P4 - Monitor")))))</x:f>
      </x:c>
      <x:c r="AD948" s="28"/>
      <x:c r="AE948" s="28"/>
      <x:c r="AF948" s="28"/>
      <x:c r="AG948" s="58"/>
      <x:c r="AH948" s="28"/>
    </x:row>
    <x:row r="949">
      <x:c r="A949" s="28"/>
      <x:c r="B949" s="28"/>
      <x:c r="C949" s="28"/>
      <x:c r="D949" s="28"/>
      <x:c r="E949" s="28"/>
      <x:c r="F949" s="28"/>
      <x:c r="G949" s="28"/>
      <x:c r="H949" s="28"/>
      <x:c r="I949" s="56"/>
      <x:c r="J949" s="28"/>
      <x:c r="K949" s="28"/>
      <x:c r="L949" s="56"/>
      <x:c r="M949" s="28"/>
      <x:c r="N949" s="28"/>
      <x:c r="O949" s="28"/>
      <x:c r="P949" s="28"/>
      <x:c r="Q949" s="28"/>
      <x:c r="R949" s="28"/>
      <x:c r="S949" s="28"/>
      <x:c r="T949" s="28"/>
      <x:c r="U949" s="28"/>
      <x:c r="V949" s="28"/>
      <x:c r="W949" s="28"/>
      <x:c r="X949" s="28"/>
      <x:c r="Y949" s="28"/>
      <x:c r="Z949" s="28"/>
      <x:c r="AA949" s="28"/>
      <x:c r="AB949" s="56" t="str">
        <x:f>IF($A949="","",IF(Z949="Y",20,IF(Z949="Unknown",10,0))+$L949*5+IF(AA949="Y",15,IF(AA949="Unknown",5,0))+IF($J949="Public",10,IF($J949="Partner",7,IF($J949="Internal",3,0)))+IF($W949="Hard-coded",10,IF($W949="Unknown",7,IF($W949="Configurable",3,0)))+IF($I949&gt;=10,10,IF($I949&gt;=5,7,IF($I949&gt;=2,3,0)))+IF($K949="High",10,IF($K949="Medium",5,0)))</x:f>
      </x:c>
      <x:c r="AC949" s="28" t="str">
        <x:f>IF($A949="","",IF(AB949&gt;=70,"P0 - Immediate",IF(AB949&gt;=50,"P1 - High",IF(AB949&gt;=30,"P2 - Medium",IF(AB949&gt;=15,"P3 - Low","P4 - Monitor")))))</x:f>
      </x:c>
      <x:c r="AD949" s="28"/>
      <x:c r="AE949" s="28"/>
      <x:c r="AF949" s="28"/>
      <x:c r="AG949" s="58"/>
      <x:c r="AH949" s="28"/>
    </x:row>
    <x:row r="950">
      <x:c r="A950" s="28"/>
      <x:c r="B950" s="28"/>
      <x:c r="C950" s="28"/>
      <x:c r="D950" s="28"/>
      <x:c r="E950" s="28"/>
      <x:c r="F950" s="28"/>
      <x:c r="G950" s="28"/>
      <x:c r="H950" s="28"/>
      <x:c r="I950" s="56"/>
      <x:c r="J950" s="28"/>
      <x:c r="K950" s="28"/>
      <x:c r="L950" s="56"/>
      <x:c r="M950" s="28"/>
      <x:c r="N950" s="28"/>
      <x:c r="O950" s="28"/>
      <x:c r="P950" s="28"/>
      <x:c r="Q950" s="28"/>
      <x:c r="R950" s="28"/>
      <x:c r="S950" s="28"/>
      <x:c r="T950" s="28"/>
      <x:c r="U950" s="28"/>
      <x:c r="V950" s="28"/>
      <x:c r="W950" s="28"/>
      <x:c r="X950" s="28"/>
      <x:c r="Y950" s="28"/>
      <x:c r="Z950" s="28"/>
      <x:c r="AA950" s="28"/>
      <x:c r="AB950" s="56" t="str">
        <x:f>IF($A950="","",IF(Z950="Y",20,IF(Z950="Unknown",10,0))+$L950*5+IF(AA950="Y",15,IF(AA950="Unknown",5,0))+IF($J950="Public",10,IF($J950="Partner",7,IF($J950="Internal",3,0)))+IF($W950="Hard-coded",10,IF($W950="Unknown",7,IF($W950="Configurable",3,0)))+IF($I950&gt;=10,10,IF($I950&gt;=5,7,IF($I950&gt;=2,3,0)))+IF($K950="High",10,IF($K950="Medium",5,0)))</x:f>
      </x:c>
      <x:c r="AC950" s="28" t="str">
        <x:f>IF($A950="","",IF(AB950&gt;=70,"P0 - Immediate",IF(AB950&gt;=50,"P1 - High",IF(AB950&gt;=30,"P2 - Medium",IF(AB950&gt;=15,"P3 - Low","P4 - Monitor")))))</x:f>
      </x:c>
      <x:c r="AD950" s="28"/>
      <x:c r="AE950" s="28"/>
      <x:c r="AF950" s="28"/>
      <x:c r="AG950" s="58"/>
      <x:c r="AH950" s="28"/>
    </x:row>
    <x:row r="951">
      <x:c r="A951" s="28"/>
      <x:c r="B951" s="28"/>
      <x:c r="C951" s="28"/>
      <x:c r="D951" s="28"/>
      <x:c r="E951" s="28"/>
      <x:c r="F951" s="28"/>
      <x:c r="G951" s="28"/>
      <x:c r="H951" s="28"/>
      <x:c r="I951" s="56"/>
      <x:c r="J951" s="28"/>
      <x:c r="K951" s="28"/>
      <x:c r="L951" s="56"/>
      <x:c r="M951" s="28"/>
      <x:c r="N951" s="28"/>
      <x:c r="O951" s="28"/>
      <x:c r="P951" s="28"/>
      <x:c r="Q951" s="28"/>
      <x:c r="R951" s="28"/>
      <x:c r="S951" s="28"/>
      <x:c r="T951" s="28"/>
      <x:c r="U951" s="28"/>
      <x:c r="V951" s="28"/>
      <x:c r="W951" s="28"/>
      <x:c r="X951" s="28"/>
      <x:c r="Y951" s="28"/>
      <x:c r="Z951" s="28"/>
      <x:c r="AA951" s="28"/>
      <x:c r="AB951" s="56" t="str">
        <x:f>IF($A951="","",IF(Z951="Y",20,IF(Z951="Unknown",10,0))+$L951*5+IF(AA951="Y",15,IF(AA951="Unknown",5,0))+IF($J951="Public",10,IF($J951="Partner",7,IF($J951="Internal",3,0)))+IF($W951="Hard-coded",10,IF($W951="Unknown",7,IF($W951="Configurable",3,0)))+IF($I951&gt;=10,10,IF($I951&gt;=5,7,IF($I951&gt;=2,3,0)))+IF($K951="High",10,IF($K951="Medium",5,0)))</x:f>
      </x:c>
      <x:c r="AC951" s="28" t="str">
        <x:f>IF($A951="","",IF(AB951&gt;=70,"P0 - Immediate",IF(AB951&gt;=50,"P1 - High",IF(AB951&gt;=30,"P2 - Medium",IF(AB951&gt;=15,"P3 - Low","P4 - Monitor")))))</x:f>
      </x:c>
      <x:c r="AD951" s="28"/>
      <x:c r="AE951" s="28"/>
      <x:c r="AF951" s="28"/>
      <x:c r="AG951" s="58"/>
      <x:c r="AH951" s="28"/>
    </x:row>
    <x:row r="952">
      <x:c r="A952" s="28"/>
      <x:c r="B952" s="28"/>
      <x:c r="C952" s="28"/>
      <x:c r="D952" s="28"/>
      <x:c r="E952" s="28"/>
      <x:c r="F952" s="28"/>
      <x:c r="G952" s="28"/>
      <x:c r="H952" s="28"/>
      <x:c r="I952" s="56"/>
      <x:c r="J952" s="28"/>
      <x:c r="K952" s="28"/>
      <x:c r="L952" s="56"/>
      <x:c r="M952" s="28"/>
      <x:c r="N952" s="28"/>
      <x:c r="O952" s="28"/>
      <x:c r="P952" s="28"/>
      <x:c r="Q952" s="28"/>
      <x:c r="R952" s="28"/>
      <x:c r="S952" s="28"/>
      <x:c r="T952" s="28"/>
      <x:c r="U952" s="28"/>
      <x:c r="V952" s="28"/>
      <x:c r="W952" s="28"/>
      <x:c r="X952" s="28"/>
      <x:c r="Y952" s="28"/>
      <x:c r="Z952" s="28"/>
      <x:c r="AA952" s="28"/>
      <x:c r="AB952" s="56" t="str">
        <x:f>IF($A952="","",IF(Z952="Y",20,IF(Z952="Unknown",10,0))+$L952*5+IF(AA952="Y",15,IF(AA952="Unknown",5,0))+IF($J952="Public",10,IF($J952="Partner",7,IF($J952="Internal",3,0)))+IF($W952="Hard-coded",10,IF($W952="Unknown",7,IF($W952="Configurable",3,0)))+IF($I952&gt;=10,10,IF($I952&gt;=5,7,IF($I952&gt;=2,3,0)))+IF($K952="High",10,IF($K952="Medium",5,0)))</x:f>
      </x:c>
      <x:c r="AC952" s="28" t="str">
        <x:f>IF($A952="","",IF(AB952&gt;=70,"P0 - Immediate",IF(AB952&gt;=50,"P1 - High",IF(AB952&gt;=30,"P2 - Medium",IF(AB952&gt;=15,"P3 - Low","P4 - Monitor")))))</x:f>
      </x:c>
      <x:c r="AD952" s="28"/>
      <x:c r="AE952" s="28"/>
      <x:c r="AF952" s="28"/>
      <x:c r="AG952" s="58"/>
      <x:c r="AH952" s="28"/>
    </x:row>
    <x:row r="953">
      <x:c r="A953" s="28"/>
      <x:c r="B953" s="28"/>
      <x:c r="C953" s="28"/>
      <x:c r="D953" s="28"/>
      <x:c r="E953" s="28"/>
      <x:c r="F953" s="28"/>
      <x:c r="G953" s="28"/>
      <x:c r="H953" s="28"/>
      <x:c r="I953" s="56"/>
      <x:c r="J953" s="28"/>
      <x:c r="K953" s="28"/>
      <x:c r="L953" s="56"/>
      <x:c r="M953" s="28"/>
      <x:c r="N953" s="28"/>
      <x:c r="O953" s="28"/>
      <x:c r="P953" s="28"/>
      <x:c r="Q953" s="28"/>
      <x:c r="R953" s="28"/>
      <x:c r="S953" s="28"/>
      <x:c r="T953" s="28"/>
      <x:c r="U953" s="28"/>
      <x:c r="V953" s="28"/>
      <x:c r="W953" s="28"/>
      <x:c r="X953" s="28"/>
      <x:c r="Y953" s="28"/>
      <x:c r="Z953" s="28"/>
      <x:c r="AA953" s="28"/>
      <x:c r="AB953" s="56" t="str">
        <x:f>IF($A953="","",IF(Z953="Y",20,IF(Z953="Unknown",10,0))+$L953*5+IF(AA953="Y",15,IF(AA953="Unknown",5,0))+IF($J953="Public",10,IF($J953="Partner",7,IF($J953="Internal",3,0)))+IF($W953="Hard-coded",10,IF($W953="Unknown",7,IF($W953="Configurable",3,0)))+IF($I953&gt;=10,10,IF($I953&gt;=5,7,IF($I953&gt;=2,3,0)))+IF($K953="High",10,IF($K953="Medium",5,0)))</x:f>
      </x:c>
      <x:c r="AC953" s="28" t="str">
        <x:f>IF($A953="","",IF(AB953&gt;=70,"P0 - Immediate",IF(AB953&gt;=50,"P1 - High",IF(AB953&gt;=30,"P2 - Medium",IF(AB953&gt;=15,"P3 - Low","P4 - Monitor")))))</x:f>
      </x:c>
      <x:c r="AD953" s="28"/>
      <x:c r="AE953" s="28"/>
      <x:c r="AF953" s="28"/>
      <x:c r="AG953" s="58"/>
      <x:c r="AH953" s="28"/>
    </x:row>
    <x:row r="954">
      <x:c r="A954" s="28"/>
      <x:c r="B954" s="28"/>
      <x:c r="C954" s="28"/>
      <x:c r="D954" s="28"/>
      <x:c r="E954" s="28"/>
      <x:c r="F954" s="28"/>
      <x:c r="G954" s="28"/>
      <x:c r="H954" s="28"/>
      <x:c r="I954" s="56"/>
      <x:c r="J954" s="28"/>
      <x:c r="K954" s="28"/>
      <x:c r="L954" s="56"/>
      <x:c r="M954" s="28"/>
      <x:c r="N954" s="28"/>
      <x:c r="O954" s="28"/>
      <x:c r="P954" s="28"/>
      <x:c r="Q954" s="28"/>
      <x:c r="R954" s="28"/>
      <x:c r="S954" s="28"/>
      <x:c r="T954" s="28"/>
      <x:c r="U954" s="28"/>
      <x:c r="V954" s="28"/>
      <x:c r="W954" s="28"/>
      <x:c r="X954" s="28"/>
      <x:c r="Y954" s="28"/>
      <x:c r="Z954" s="28"/>
      <x:c r="AA954" s="28"/>
      <x:c r="AB954" s="56" t="str">
        <x:f>IF($A954="","",IF(Z954="Y",20,IF(Z954="Unknown",10,0))+$L954*5+IF(AA954="Y",15,IF(AA954="Unknown",5,0))+IF($J954="Public",10,IF($J954="Partner",7,IF($J954="Internal",3,0)))+IF($W954="Hard-coded",10,IF($W954="Unknown",7,IF($W954="Configurable",3,0)))+IF($I954&gt;=10,10,IF($I954&gt;=5,7,IF($I954&gt;=2,3,0)))+IF($K954="High",10,IF($K954="Medium",5,0)))</x:f>
      </x:c>
      <x:c r="AC954" s="28" t="str">
        <x:f>IF($A954="","",IF(AB954&gt;=70,"P0 - Immediate",IF(AB954&gt;=50,"P1 - High",IF(AB954&gt;=30,"P2 - Medium",IF(AB954&gt;=15,"P3 - Low","P4 - Monitor")))))</x:f>
      </x:c>
      <x:c r="AD954" s="28"/>
      <x:c r="AE954" s="28"/>
      <x:c r="AF954" s="28"/>
      <x:c r="AG954" s="58"/>
      <x:c r="AH954" s="28"/>
    </x:row>
    <x:row r="955">
      <x:c r="A955" s="28"/>
      <x:c r="B955" s="28"/>
      <x:c r="C955" s="28"/>
      <x:c r="D955" s="28"/>
      <x:c r="E955" s="28"/>
      <x:c r="F955" s="28"/>
      <x:c r="G955" s="28"/>
      <x:c r="H955" s="28"/>
      <x:c r="I955" s="56"/>
      <x:c r="J955" s="28"/>
      <x:c r="K955" s="28"/>
      <x:c r="L955" s="56"/>
      <x:c r="M955" s="28"/>
      <x:c r="N955" s="28"/>
      <x:c r="O955" s="28"/>
      <x:c r="P955" s="28"/>
      <x:c r="Q955" s="28"/>
      <x:c r="R955" s="28"/>
      <x:c r="S955" s="28"/>
      <x:c r="T955" s="28"/>
      <x:c r="U955" s="28"/>
      <x:c r="V955" s="28"/>
      <x:c r="W955" s="28"/>
      <x:c r="X955" s="28"/>
      <x:c r="Y955" s="28"/>
      <x:c r="Z955" s="28"/>
      <x:c r="AA955" s="28"/>
      <x:c r="AB955" s="56" t="str">
        <x:f>IF($A955="","",IF(Z955="Y",20,IF(Z955="Unknown",10,0))+$L955*5+IF(AA955="Y",15,IF(AA955="Unknown",5,0))+IF($J955="Public",10,IF($J955="Partner",7,IF($J955="Internal",3,0)))+IF($W955="Hard-coded",10,IF($W955="Unknown",7,IF($W955="Configurable",3,0)))+IF($I955&gt;=10,10,IF($I955&gt;=5,7,IF($I955&gt;=2,3,0)))+IF($K955="High",10,IF($K955="Medium",5,0)))</x:f>
      </x:c>
      <x:c r="AC955" s="28" t="str">
        <x:f>IF($A955="","",IF(AB955&gt;=70,"P0 - Immediate",IF(AB955&gt;=50,"P1 - High",IF(AB955&gt;=30,"P2 - Medium",IF(AB955&gt;=15,"P3 - Low","P4 - Monitor")))))</x:f>
      </x:c>
      <x:c r="AD955" s="28"/>
      <x:c r="AE955" s="28"/>
      <x:c r="AF955" s="28"/>
      <x:c r="AG955" s="58"/>
      <x:c r="AH955" s="28"/>
    </x:row>
    <x:row r="956">
      <x:c r="A956" s="28"/>
      <x:c r="B956" s="28"/>
      <x:c r="C956" s="28"/>
      <x:c r="D956" s="28"/>
      <x:c r="E956" s="28"/>
      <x:c r="F956" s="28"/>
      <x:c r="G956" s="28"/>
      <x:c r="H956" s="28"/>
      <x:c r="I956" s="56"/>
      <x:c r="J956" s="28"/>
      <x:c r="K956" s="28"/>
      <x:c r="L956" s="56"/>
      <x:c r="M956" s="28"/>
      <x:c r="N956" s="28"/>
      <x:c r="O956" s="28"/>
      <x:c r="P956" s="28"/>
      <x:c r="Q956" s="28"/>
      <x:c r="R956" s="28"/>
      <x:c r="S956" s="28"/>
      <x:c r="T956" s="28"/>
      <x:c r="U956" s="28"/>
      <x:c r="V956" s="28"/>
      <x:c r="W956" s="28"/>
      <x:c r="X956" s="28"/>
      <x:c r="Y956" s="28"/>
      <x:c r="Z956" s="28"/>
      <x:c r="AA956" s="28"/>
      <x:c r="AB956" s="56" t="str">
        <x:f>IF($A956="","",IF(Z956="Y",20,IF(Z956="Unknown",10,0))+$L956*5+IF(AA956="Y",15,IF(AA956="Unknown",5,0))+IF($J956="Public",10,IF($J956="Partner",7,IF($J956="Internal",3,0)))+IF($W956="Hard-coded",10,IF($W956="Unknown",7,IF($W956="Configurable",3,0)))+IF($I956&gt;=10,10,IF($I956&gt;=5,7,IF($I956&gt;=2,3,0)))+IF($K956="High",10,IF($K956="Medium",5,0)))</x:f>
      </x:c>
      <x:c r="AC956" s="28" t="str">
        <x:f>IF($A956="","",IF(AB956&gt;=70,"P0 - Immediate",IF(AB956&gt;=50,"P1 - High",IF(AB956&gt;=30,"P2 - Medium",IF(AB956&gt;=15,"P3 - Low","P4 - Monitor")))))</x:f>
      </x:c>
      <x:c r="AD956" s="28"/>
      <x:c r="AE956" s="28"/>
      <x:c r="AF956" s="28"/>
      <x:c r="AG956" s="58"/>
      <x:c r="AH956" s="28"/>
    </x:row>
    <x:row r="957">
      <x:c r="A957" s="28"/>
      <x:c r="B957" s="28"/>
      <x:c r="C957" s="28"/>
      <x:c r="D957" s="28"/>
      <x:c r="E957" s="28"/>
      <x:c r="F957" s="28"/>
      <x:c r="G957" s="28"/>
      <x:c r="H957" s="28"/>
      <x:c r="I957" s="56"/>
      <x:c r="J957" s="28"/>
      <x:c r="K957" s="28"/>
      <x:c r="L957" s="56"/>
      <x:c r="M957" s="28"/>
      <x:c r="N957" s="28"/>
      <x:c r="O957" s="28"/>
      <x:c r="P957" s="28"/>
      <x:c r="Q957" s="28"/>
      <x:c r="R957" s="28"/>
      <x:c r="S957" s="28"/>
      <x:c r="T957" s="28"/>
      <x:c r="U957" s="28"/>
      <x:c r="V957" s="28"/>
      <x:c r="W957" s="28"/>
      <x:c r="X957" s="28"/>
      <x:c r="Y957" s="28"/>
      <x:c r="Z957" s="28"/>
      <x:c r="AA957" s="28"/>
      <x:c r="AB957" s="56" t="str">
        <x:f>IF($A957="","",IF(Z957="Y",20,IF(Z957="Unknown",10,0))+$L957*5+IF(AA957="Y",15,IF(AA957="Unknown",5,0))+IF($J957="Public",10,IF($J957="Partner",7,IF($J957="Internal",3,0)))+IF($W957="Hard-coded",10,IF($W957="Unknown",7,IF($W957="Configurable",3,0)))+IF($I957&gt;=10,10,IF($I957&gt;=5,7,IF($I957&gt;=2,3,0)))+IF($K957="High",10,IF($K957="Medium",5,0)))</x:f>
      </x:c>
      <x:c r="AC957" s="28" t="str">
        <x:f>IF($A957="","",IF(AB957&gt;=70,"P0 - Immediate",IF(AB957&gt;=50,"P1 - High",IF(AB957&gt;=30,"P2 - Medium",IF(AB957&gt;=15,"P3 - Low","P4 - Monitor")))))</x:f>
      </x:c>
      <x:c r="AD957" s="28"/>
      <x:c r="AE957" s="28"/>
      <x:c r="AF957" s="28"/>
      <x:c r="AG957" s="58"/>
      <x:c r="AH957" s="28"/>
    </x:row>
    <x:row r="958">
      <x:c r="A958" s="28"/>
      <x:c r="B958" s="28"/>
      <x:c r="C958" s="28"/>
      <x:c r="D958" s="28"/>
      <x:c r="E958" s="28"/>
      <x:c r="F958" s="28"/>
      <x:c r="G958" s="28"/>
      <x:c r="H958" s="28"/>
      <x:c r="I958" s="56"/>
      <x:c r="J958" s="28"/>
      <x:c r="K958" s="28"/>
      <x:c r="L958" s="56"/>
      <x:c r="M958" s="28"/>
      <x:c r="N958" s="28"/>
      <x:c r="O958" s="28"/>
      <x:c r="P958" s="28"/>
      <x:c r="Q958" s="28"/>
      <x:c r="R958" s="28"/>
      <x:c r="S958" s="28"/>
      <x:c r="T958" s="28"/>
      <x:c r="U958" s="28"/>
      <x:c r="V958" s="28"/>
      <x:c r="W958" s="28"/>
      <x:c r="X958" s="28"/>
      <x:c r="Y958" s="28"/>
      <x:c r="Z958" s="28"/>
      <x:c r="AA958" s="28"/>
      <x:c r="AB958" s="56" t="str">
        <x:f>IF($A958="","",IF(Z958="Y",20,IF(Z958="Unknown",10,0))+$L958*5+IF(AA958="Y",15,IF(AA958="Unknown",5,0))+IF($J958="Public",10,IF($J958="Partner",7,IF($J958="Internal",3,0)))+IF($W958="Hard-coded",10,IF($W958="Unknown",7,IF($W958="Configurable",3,0)))+IF($I958&gt;=10,10,IF($I958&gt;=5,7,IF($I958&gt;=2,3,0)))+IF($K958="High",10,IF($K958="Medium",5,0)))</x:f>
      </x:c>
      <x:c r="AC958" s="28" t="str">
        <x:f>IF($A958="","",IF(AB958&gt;=70,"P0 - Immediate",IF(AB958&gt;=50,"P1 - High",IF(AB958&gt;=30,"P2 - Medium",IF(AB958&gt;=15,"P3 - Low","P4 - Monitor")))))</x:f>
      </x:c>
      <x:c r="AD958" s="28"/>
      <x:c r="AE958" s="28"/>
      <x:c r="AF958" s="28"/>
      <x:c r="AG958" s="58"/>
      <x:c r="AH958" s="28"/>
    </x:row>
    <x:row r="959">
      <x:c r="A959" s="28"/>
      <x:c r="B959" s="28"/>
      <x:c r="C959" s="28"/>
      <x:c r="D959" s="28"/>
      <x:c r="E959" s="28"/>
      <x:c r="F959" s="28"/>
      <x:c r="G959" s="28"/>
      <x:c r="H959" s="28"/>
      <x:c r="I959" s="56"/>
      <x:c r="J959" s="28"/>
      <x:c r="K959" s="28"/>
      <x:c r="L959" s="56"/>
      <x:c r="M959" s="28"/>
      <x:c r="N959" s="28"/>
      <x:c r="O959" s="28"/>
      <x:c r="P959" s="28"/>
      <x:c r="Q959" s="28"/>
      <x:c r="R959" s="28"/>
      <x:c r="S959" s="28"/>
      <x:c r="T959" s="28"/>
      <x:c r="U959" s="28"/>
      <x:c r="V959" s="28"/>
      <x:c r="W959" s="28"/>
      <x:c r="X959" s="28"/>
      <x:c r="Y959" s="28"/>
      <x:c r="Z959" s="28"/>
      <x:c r="AA959" s="28"/>
      <x:c r="AB959" s="56" t="str">
        <x:f>IF($A959="","",IF(Z959="Y",20,IF(Z959="Unknown",10,0))+$L959*5+IF(AA959="Y",15,IF(AA959="Unknown",5,0))+IF($J959="Public",10,IF($J959="Partner",7,IF($J959="Internal",3,0)))+IF($W959="Hard-coded",10,IF($W959="Unknown",7,IF($W959="Configurable",3,0)))+IF($I959&gt;=10,10,IF($I959&gt;=5,7,IF($I959&gt;=2,3,0)))+IF($K959="High",10,IF($K959="Medium",5,0)))</x:f>
      </x:c>
      <x:c r="AC959" s="28" t="str">
        <x:f>IF($A959="","",IF(AB959&gt;=70,"P0 - Immediate",IF(AB959&gt;=50,"P1 - High",IF(AB959&gt;=30,"P2 - Medium",IF(AB959&gt;=15,"P3 - Low","P4 - Monitor")))))</x:f>
      </x:c>
      <x:c r="AD959" s="28"/>
      <x:c r="AE959" s="28"/>
      <x:c r="AF959" s="28"/>
      <x:c r="AG959" s="58"/>
      <x:c r="AH959" s="28"/>
    </x:row>
    <x:row r="960">
      <x:c r="A960" s="28"/>
      <x:c r="B960" s="28"/>
      <x:c r="C960" s="28"/>
      <x:c r="D960" s="28"/>
      <x:c r="E960" s="28"/>
      <x:c r="F960" s="28"/>
      <x:c r="G960" s="28"/>
      <x:c r="H960" s="28"/>
      <x:c r="I960" s="56"/>
      <x:c r="J960" s="28"/>
      <x:c r="K960" s="28"/>
      <x:c r="L960" s="56"/>
      <x:c r="M960" s="28"/>
      <x:c r="N960" s="28"/>
      <x:c r="O960" s="28"/>
      <x:c r="P960" s="28"/>
      <x:c r="Q960" s="28"/>
      <x:c r="R960" s="28"/>
      <x:c r="S960" s="28"/>
      <x:c r="T960" s="28"/>
      <x:c r="U960" s="28"/>
      <x:c r="V960" s="28"/>
      <x:c r="W960" s="28"/>
      <x:c r="X960" s="28"/>
      <x:c r="Y960" s="28"/>
      <x:c r="Z960" s="28"/>
      <x:c r="AA960" s="28"/>
      <x:c r="AB960" s="56" t="str">
        <x:f>IF($A960="","",IF(Z960="Y",20,IF(Z960="Unknown",10,0))+$L960*5+IF(AA960="Y",15,IF(AA960="Unknown",5,0))+IF($J960="Public",10,IF($J960="Partner",7,IF($J960="Internal",3,0)))+IF($W960="Hard-coded",10,IF($W960="Unknown",7,IF($W960="Configurable",3,0)))+IF($I960&gt;=10,10,IF($I960&gt;=5,7,IF($I960&gt;=2,3,0)))+IF($K960="High",10,IF($K960="Medium",5,0)))</x:f>
      </x:c>
      <x:c r="AC960" s="28" t="str">
        <x:f>IF($A960="","",IF(AB960&gt;=70,"P0 - Immediate",IF(AB960&gt;=50,"P1 - High",IF(AB960&gt;=30,"P2 - Medium",IF(AB960&gt;=15,"P3 - Low","P4 - Monitor")))))</x:f>
      </x:c>
      <x:c r="AD960" s="28"/>
      <x:c r="AE960" s="28"/>
      <x:c r="AF960" s="28"/>
      <x:c r="AG960" s="58"/>
      <x:c r="AH960" s="28"/>
    </x:row>
    <x:row r="961">
      <x:c r="A961" s="28"/>
      <x:c r="B961" s="28"/>
      <x:c r="C961" s="28"/>
      <x:c r="D961" s="28"/>
      <x:c r="E961" s="28"/>
      <x:c r="F961" s="28"/>
      <x:c r="G961" s="28"/>
      <x:c r="H961" s="28"/>
      <x:c r="I961" s="56"/>
      <x:c r="J961" s="28"/>
      <x:c r="K961" s="28"/>
      <x:c r="L961" s="56"/>
      <x:c r="M961" s="28"/>
      <x:c r="N961" s="28"/>
      <x:c r="O961" s="28"/>
      <x:c r="P961" s="28"/>
      <x:c r="Q961" s="28"/>
      <x:c r="R961" s="28"/>
      <x:c r="S961" s="28"/>
      <x:c r="T961" s="28"/>
      <x:c r="U961" s="28"/>
      <x:c r="V961" s="28"/>
      <x:c r="W961" s="28"/>
      <x:c r="X961" s="28"/>
      <x:c r="Y961" s="28"/>
      <x:c r="Z961" s="28"/>
      <x:c r="AA961" s="28"/>
      <x:c r="AB961" s="56" t="str">
        <x:f>IF($A961="","",IF(Z961="Y",20,IF(Z961="Unknown",10,0))+$L961*5+IF(AA961="Y",15,IF(AA961="Unknown",5,0))+IF($J961="Public",10,IF($J961="Partner",7,IF($J961="Internal",3,0)))+IF($W961="Hard-coded",10,IF($W961="Unknown",7,IF($W961="Configurable",3,0)))+IF($I961&gt;=10,10,IF($I961&gt;=5,7,IF($I961&gt;=2,3,0)))+IF($K961="High",10,IF($K961="Medium",5,0)))</x:f>
      </x:c>
      <x:c r="AC961" s="28" t="str">
        <x:f>IF($A961="","",IF(AB961&gt;=70,"P0 - Immediate",IF(AB961&gt;=50,"P1 - High",IF(AB961&gt;=30,"P2 - Medium",IF(AB961&gt;=15,"P3 - Low","P4 - Monitor")))))</x:f>
      </x:c>
      <x:c r="AD961" s="28"/>
      <x:c r="AE961" s="28"/>
      <x:c r="AF961" s="28"/>
      <x:c r="AG961" s="58"/>
      <x:c r="AH961" s="28"/>
    </x:row>
    <x:row r="962">
      <x:c r="A962" s="28"/>
      <x:c r="B962" s="28"/>
      <x:c r="C962" s="28"/>
      <x:c r="D962" s="28"/>
      <x:c r="E962" s="28"/>
      <x:c r="F962" s="28"/>
      <x:c r="G962" s="28"/>
      <x:c r="H962" s="28"/>
      <x:c r="I962" s="56"/>
      <x:c r="J962" s="28"/>
      <x:c r="K962" s="28"/>
      <x:c r="L962" s="56"/>
      <x:c r="M962" s="28"/>
      <x:c r="N962" s="28"/>
      <x:c r="O962" s="28"/>
      <x:c r="P962" s="28"/>
      <x:c r="Q962" s="28"/>
      <x:c r="R962" s="28"/>
      <x:c r="S962" s="28"/>
      <x:c r="T962" s="28"/>
      <x:c r="U962" s="28"/>
      <x:c r="V962" s="28"/>
      <x:c r="W962" s="28"/>
      <x:c r="X962" s="28"/>
      <x:c r="Y962" s="28"/>
      <x:c r="Z962" s="28"/>
      <x:c r="AA962" s="28"/>
      <x:c r="AB962" s="56" t="str">
        <x:f>IF($A962="","",IF(Z962="Y",20,IF(Z962="Unknown",10,0))+$L962*5+IF(AA962="Y",15,IF(AA962="Unknown",5,0))+IF($J962="Public",10,IF($J962="Partner",7,IF($J962="Internal",3,0)))+IF($W962="Hard-coded",10,IF($W962="Unknown",7,IF($W962="Configurable",3,0)))+IF($I962&gt;=10,10,IF($I962&gt;=5,7,IF($I962&gt;=2,3,0)))+IF($K962="High",10,IF($K962="Medium",5,0)))</x:f>
      </x:c>
      <x:c r="AC962" s="28" t="str">
        <x:f>IF($A962="","",IF(AB962&gt;=70,"P0 - Immediate",IF(AB962&gt;=50,"P1 - High",IF(AB962&gt;=30,"P2 - Medium",IF(AB962&gt;=15,"P3 - Low","P4 - Monitor")))))</x:f>
      </x:c>
      <x:c r="AD962" s="28"/>
      <x:c r="AE962" s="28"/>
      <x:c r="AF962" s="28"/>
      <x:c r="AG962" s="58"/>
      <x:c r="AH962" s="28"/>
    </x:row>
    <x:row r="963">
      <x:c r="A963" s="28"/>
      <x:c r="B963" s="28"/>
      <x:c r="C963" s="28"/>
      <x:c r="D963" s="28"/>
      <x:c r="E963" s="28"/>
      <x:c r="F963" s="28"/>
      <x:c r="G963" s="28"/>
      <x:c r="H963" s="28"/>
      <x:c r="I963" s="56"/>
      <x:c r="J963" s="28"/>
      <x:c r="K963" s="28"/>
      <x:c r="L963" s="56"/>
      <x:c r="M963" s="28"/>
      <x:c r="N963" s="28"/>
      <x:c r="O963" s="28"/>
      <x:c r="P963" s="28"/>
      <x:c r="Q963" s="28"/>
      <x:c r="R963" s="28"/>
      <x:c r="S963" s="28"/>
      <x:c r="T963" s="28"/>
      <x:c r="U963" s="28"/>
      <x:c r="V963" s="28"/>
      <x:c r="W963" s="28"/>
      <x:c r="X963" s="28"/>
      <x:c r="Y963" s="28"/>
      <x:c r="Z963" s="28"/>
      <x:c r="AA963" s="28"/>
      <x:c r="AB963" s="56" t="str">
        <x:f>IF($A963="","",IF(Z963="Y",20,IF(Z963="Unknown",10,0))+$L963*5+IF(AA963="Y",15,IF(AA963="Unknown",5,0))+IF($J963="Public",10,IF($J963="Partner",7,IF($J963="Internal",3,0)))+IF($W963="Hard-coded",10,IF($W963="Unknown",7,IF($W963="Configurable",3,0)))+IF($I963&gt;=10,10,IF($I963&gt;=5,7,IF($I963&gt;=2,3,0)))+IF($K963="High",10,IF($K963="Medium",5,0)))</x:f>
      </x:c>
      <x:c r="AC963" s="28" t="str">
        <x:f>IF($A963="","",IF(AB963&gt;=70,"P0 - Immediate",IF(AB963&gt;=50,"P1 - High",IF(AB963&gt;=30,"P2 - Medium",IF(AB963&gt;=15,"P3 - Low","P4 - Monitor")))))</x:f>
      </x:c>
      <x:c r="AD963" s="28"/>
      <x:c r="AE963" s="28"/>
      <x:c r="AF963" s="28"/>
      <x:c r="AG963" s="58"/>
      <x:c r="AH963" s="28"/>
    </x:row>
    <x:row r="964">
      <x:c r="A964" s="28"/>
      <x:c r="B964" s="28"/>
      <x:c r="C964" s="28"/>
      <x:c r="D964" s="28"/>
      <x:c r="E964" s="28"/>
      <x:c r="F964" s="28"/>
      <x:c r="G964" s="28"/>
      <x:c r="H964" s="28"/>
      <x:c r="I964" s="56"/>
      <x:c r="J964" s="28"/>
      <x:c r="K964" s="28"/>
      <x:c r="L964" s="56"/>
      <x:c r="M964" s="28"/>
      <x:c r="N964" s="28"/>
      <x:c r="O964" s="28"/>
      <x:c r="P964" s="28"/>
      <x:c r="Q964" s="28"/>
      <x:c r="R964" s="28"/>
      <x:c r="S964" s="28"/>
      <x:c r="T964" s="28"/>
      <x:c r="U964" s="28"/>
      <x:c r="V964" s="28"/>
      <x:c r="W964" s="28"/>
      <x:c r="X964" s="28"/>
      <x:c r="Y964" s="28"/>
      <x:c r="Z964" s="28"/>
      <x:c r="AA964" s="28"/>
      <x:c r="AB964" s="56" t="str">
        <x:f>IF($A964="","",IF(Z964="Y",20,IF(Z964="Unknown",10,0))+$L964*5+IF(AA964="Y",15,IF(AA964="Unknown",5,0))+IF($J964="Public",10,IF($J964="Partner",7,IF($J964="Internal",3,0)))+IF($W964="Hard-coded",10,IF($W964="Unknown",7,IF($W964="Configurable",3,0)))+IF($I964&gt;=10,10,IF($I964&gt;=5,7,IF($I964&gt;=2,3,0)))+IF($K964="High",10,IF($K964="Medium",5,0)))</x:f>
      </x:c>
      <x:c r="AC964" s="28" t="str">
        <x:f>IF($A964="","",IF(AB964&gt;=70,"P0 - Immediate",IF(AB964&gt;=50,"P1 - High",IF(AB964&gt;=30,"P2 - Medium",IF(AB964&gt;=15,"P3 - Low","P4 - Monitor")))))</x:f>
      </x:c>
      <x:c r="AD964" s="28"/>
      <x:c r="AE964" s="28"/>
      <x:c r="AF964" s="28"/>
      <x:c r="AG964" s="58"/>
      <x:c r="AH964" s="28"/>
    </x:row>
    <x:row r="965">
      <x:c r="A965" s="28"/>
      <x:c r="B965" s="28"/>
      <x:c r="C965" s="28"/>
      <x:c r="D965" s="28"/>
      <x:c r="E965" s="28"/>
      <x:c r="F965" s="28"/>
      <x:c r="G965" s="28"/>
      <x:c r="H965" s="28"/>
      <x:c r="I965" s="56"/>
      <x:c r="J965" s="28"/>
      <x:c r="K965" s="28"/>
      <x:c r="L965" s="56"/>
      <x:c r="M965" s="28"/>
      <x:c r="N965" s="28"/>
      <x:c r="O965" s="28"/>
      <x:c r="P965" s="28"/>
      <x:c r="Q965" s="28"/>
      <x:c r="R965" s="28"/>
      <x:c r="S965" s="28"/>
      <x:c r="T965" s="28"/>
      <x:c r="U965" s="28"/>
      <x:c r="V965" s="28"/>
      <x:c r="W965" s="28"/>
      <x:c r="X965" s="28"/>
      <x:c r="Y965" s="28"/>
      <x:c r="Z965" s="28"/>
      <x:c r="AA965" s="28"/>
      <x:c r="AB965" s="56" t="str">
        <x:f>IF($A965="","",IF(Z965="Y",20,IF(Z965="Unknown",10,0))+$L965*5+IF(AA965="Y",15,IF(AA965="Unknown",5,0))+IF($J965="Public",10,IF($J965="Partner",7,IF($J965="Internal",3,0)))+IF($W965="Hard-coded",10,IF($W965="Unknown",7,IF($W965="Configurable",3,0)))+IF($I965&gt;=10,10,IF($I965&gt;=5,7,IF($I965&gt;=2,3,0)))+IF($K965="High",10,IF($K965="Medium",5,0)))</x:f>
      </x:c>
      <x:c r="AC965" s="28" t="str">
        <x:f>IF($A965="","",IF(AB965&gt;=70,"P0 - Immediate",IF(AB965&gt;=50,"P1 - High",IF(AB965&gt;=30,"P2 - Medium",IF(AB965&gt;=15,"P3 - Low","P4 - Monitor")))))</x:f>
      </x:c>
      <x:c r="AD965" s="28"/>
      <x:c r="AE965" s="28"/>
      <x:c r="AF965" s="28"/>
      <x:c r="AG965" s="58"/>
      <x:c r="AH965" s="28"/>
    </x:row>
    <x:row r="966">
      <x:c r="A966" s="28"/>
      <x:c r="B966" s="28"/>
      <x:c r="C966" s="28"/>
      <x:c r="D966" s="28"/>
      <x:c r="E966" s="28"/>
      <x:c r="F966" s="28"/>
      <x:c r="G966" s="28"/>
      <x:c r="H966" s="28"/>
      <x:c r="I966" s="56"/>
      <x:c r="J966" s="28"/>
      <x:c r="K966" s="28"/>
      <x:c r="L966" s="56"/>
      <x:c r="M966" s="28"/>
      <x:c r="N966" s="28"/>
      <x:c r="O966" s="28"/>
      <x:c r="P966" s="28"/>
      <x:c r="Q966" s="28"/>
      <x:c r="R966" s="28"/>
      <x:c r="S966" s="28"/>
      <x:c r="T966" s="28"/>
      <x:c r="U966" s="28"/>
      <x:c r="V966" s="28"/>
      <x:c r="W966" s="28"/>
      <x:c r="X966" s="28"/>
      <x:c r="Y966" s="28"/>
      <x:c r="Z966" s="28"/>
      <x:c r="AA966" s="28"/>
      <x:c r="AB966" s="56" t="str">
        <x:f>IF($A966="","",IF(Z966="Y",20,IF(Z966="Unknown",10,0))+$L966*5+IF(AA966="Y",15,IF(AA966="Unknown",5,0))+IF($J966="Public",10,IF($J966="Partner",7,IF($J966="Internal",3,0)))+IF($W966="Hard-coded",10,IF($W966="Unknown",7,IF($W966="Configurable",3,0)))+IF($I966&gt;=10,10,IF($I966&gt;=5,7,IF($I966&gt;=2,3,0)))+IF($K966="High",10,IF($K966="Medium",5,0)))</x:f>
      </x:c>
      <x:c r="AC966" s="28" t="str">
        <x:f>IF($A966="","",IF(AB966&gt;=70,"P0 - Immediate",IF(AB966&gt;=50,"P1 - High",IF(AB966&gt;=30,"P2 - Medium",IF(AB966&gt;=15,"P3 - Low","P4 - Monitor")))))</x:f>
      </x:c>
      <x:c r="AD966" s="28"/>
      <x:c r="AE966" s="28"/>
      <x:c r="AF966" s="28"/>
      <x:c r="AG966" s="58"/>
      <x:c r="AH966" s="28"/>
    </x:row>
    <x:row r="967">
      <x:c r="A967" s="28"/>
      <x:c r="B967" s="28"/>
      <x:c r="C967" s="28"/>
      <x:c r="D967" s="28"/>
      <x:c r="E967" s="28"/>
      <x:c r="F967" s="28"/>
      <x:c r="G967" s="28"/>
      <x:c r="H967" s="28"/>
      <x:c r="I967" s="56"/>
      <x:c r="J967" s="28"/>
      <x:c r="K967" s="28"/>
      <x:c r="L967" s="56"/>
      <x:c r="M967" s="28"/>
      <x:c r="N967" s="28"/>
      <x:c r="O967" s="28"/>
      <x:c r="P967" s="28"/>
      <x:c r="Q967" s="28"/>
      <x:c r="R967" s="28"/>
      <x:c r="S967" s="28"/>
      <x:c r="T967" s="28"/>
      <x:c r="U967" s="28"/>
      <x:c r="V967" s="28"/>
      <x:c r="W967" s="28"/>
      <x:c r="X967" s="28"/>
      <x:c r="Y967" s="28"/>
      <x:c r="Z967" s="28"/>
      <x:c r="AA967" s="28"/>
      <x:c r="AB967" s="56" t="str">
        <x:f>IF($A967="","",IF(Z967="Y",20,IF(Z967="Unknown",10,0))+$L967*5+IF(AA967="Y",15,IF(AA967="Unknown",5,0))+IF($J967="Public",10,IF($J967="Partner",7,IF($J967="Internal",3,0)))+IF($W967="Hard-coded",10,IF($W967="Unknown",7,IF($W967="Configurable",3,0)))+IF($I967&gt;=10,10,IF($I967&gt;=5,7,IF($I967&gt;=2,3,0)))+IF($K967="High",10,IF($K967="Medium",5,0)))</x:f>
      </x:c>
      <x:c r="AC967" s="28" t="str">
        <x:f>IF($A967="","",IF(AB967&gt;=70,"P0 - Immediate",IF(AB967&gt;=50,"P1 - High",IF(AB967&gt;=30,"P2 - Medium",IF(AB967&gt;=15,"P3 - Low","P4 - Monitor")))))</x:f>
      </x:c>
      <x:c r="AD967" s="28"/>
      <x:c r="AE967" s="28"/>
      <x:c r="AF967" s="28"/>
      <x:c r="AG967" s="58"/>
      <x:c r="AH967" s="28"/>
    </x:row>
    <x:row r="968">
      <x:c r="A968" s="28"/>
      <x:c r="B968" s="28"/>
      <x:c r="C968" s="28"/>
      <x:c r="D968" s="28"/>
      <x:c r="E968" s="28"/>
      <x:c r="F968" s="28"/>
      <x:c r="G968" s="28"/>
      <x:c r="H968" s="28"/>
      <x:c r="I968" s="56"/>
      <x:c r="J968" s="28"/>
      <x:c r="K968" s="28"/>
      <x:c r="L968" s="56"/>
      <x:c r="M968" s="28"/>
      <x:c r="N968" s="28"/>
      <x:c r="O968" s="28"/>
      <x:c r="P968" s="28"/>
      <x:c r="Q968" s="28"/>
      <x:c r="R968" s="28"/>
      <x:c r="S968" s="28"/>
      <x:c r="T968" s="28"/>
      <x:c r="U968" s="28"/>
      <x:c r="V968" s="28"/>
      <x:c r="W968" s="28"/>
      <x:c r="X968" s="28"/>
      <x:c r="Y968" s="28"/>
      <x:c r="Z968" s="28"/>
      <x:c r="AA968" s="28"/>
      <x:c r="AB968" s="56" t="str">
        <x:f>IF($A968="","",IF(Z968="Y",20,IF(Z968="Unknown",10,0))+$L968*5+IF(AA968="Y",15,IF(AA968="Unknown",5,0))+IF($J968="Public",10,IF($J968="Partner",7,IF($J968="Internal",3,0)))+IF($W968="Hard-coded",10,IF($W968="Unknown",7,IF($W968="Configurable",3,0)))+IF($I968&gt;=10,10,IF($I968&gt;=5,7,IF($I968&gt;=2,3,0)))+IF($K968="High",10,IF($K968="Medium",5,0)))</x:f>
      </x:c>
      <x:c r="AC968" s="28" t="str">
        <x:f>IF($A968="","",IF(AB968&gt;=70,"P0 - Immediate",IF(AB968&gt;=50,"P1 - High",IF(AB968&gt;=30,"P2 - Medium",IF(AB968&gt;=15,"P3 - Low","P4 - Monitor")))))</x:f>
      </x:c>
      <x:c r="AD968" s="28"/>
      <x:c r="AE968" s="28"/>
      <x:c r="AF968" s="28"/>
      <x:c r="AG968" s="58"/>
      <x:c r="AH968" s="28"/>
    </x:row>
    <x:row r="969">
      <x:c r="A969" s="28"/>
      <x:c r="B969" s="28"/>
      <x:c r="C969" s="28"/>
      <x:c r="D969" s="28"/>
      <x:c r="E969" s="28"/>
      <x:c r="F969" s="28"/>
      <x:c r="G969" s="28"/>
      <x:c r="H969" s="28"/>
      <x:c r="I969" s="56"/>
      <x:c r="J969" s="28"/>
      <x:c r="K969" s="28"/>
      <x:c r="L969" s="56"/>
      <x:c r="M969" s="28"/>
      <x:c r="N969" s="28"/>
      <x:c r="O969" s="28"/>
      <x:c r="P969" s="28"/>
      <x:c r="Q969" s="28"/>
      <x:c r="R969" s="28"/>
      <x:c r="S969" s="28"/>
      <x:c r="T969" s="28"/>
      <x:c r="U969" s="28"/>
      <x:c r="V969" s="28"/>
      <x:c r="W969" s="28"/>
      <x:c r="X969" s="28"/>
      <x:c r="Y969" s="28"/>
      <x:c r="Z969" s="28"/>
      <x:c r="AA969" s="28"/>
      <x:c r="AB969" s="56" t="str">
        <x:f>IF($A969="","",IF(Z969="Y",20,IF(Z969="Unknown",10,0))+$L969*5+IF(AA969="Y",15,IF(AA969="Unknown",5,0))+IF($J969="Public",10,IF($J969="Partner",7,IF($J969="Internal",3,0)))+IF($W969="Hard-coded",10,IF($W969="Unknown",7,IF($W969="Configurable",3,0)))+IF($I969&gt;=10,10,IF($I969&gt;=5,7,IF($I969&gt;=2,3,0)))+IF($K969="High",10,IF($K969="Medium",5,0)))</x:f>
      </x:c>
      <x:c r="AC969" s="28" t="str">
        <x:f>IF($A969="","",IF(AB969&gt;=70,"P0 - Immediate",IF(AB969&gt;=50,"P1 - High",IF(AB969&gt;=30,"P2 - Medium",IF(AB969&gt;=15,"P3 - Low","P4 - Monitor")))))</x:f>
      </x:c>
      <x:c r="AD969" s="28"/>
      <x:c r="AE969" s="28"/>
      <x:c r="AF969" s="28"/>
      <x:c r="AG969" s="58"/>
      <x:c r="AH969" s="28"/>
    </x:row>
    <x:row r="970">
      <x:c r="A970" s="28"/>
      <x:c r="B970" s="28"/>
      <x:c r="C970" s="28"/>
      <x:c r="D970" s="28"/>
      <x:c r="E970" s="28"/>
      <x:c r="F970" s="28"/>
      <x:c r="G970" s="28"/>
      <x:c r="H970" s="28"/>
      <x:c r="I970" s="56"/>
      <x:c r="J970" s="28"/>
      <x:c r="K970" s="28"/>
      <x:c r="L970" s="56"/>
      <x:c r="M970" s="28"/>
      <x:c r="N970" s="28"/>
      <x:c r="O970" s="28"/>
      <x:c r="P970" s="28"/>
      <x:c r="Q970" s="28"/>
      <x:c r="R970" s="28"/>
      <x:c r="S970" s="28"/>
      <x:c r="T970" s="28"/>
      <x:c r="U970" s="28"/>
      <x:c r="V970" s="28"/>
      <x:c r="W970" s="28"/>
      <x:c r="X970" s="28"/>
      <x:c r="Y970" s="28"/>
      <x:c r="Z970" s="28"/>
      <x:c r="AA970" s="28"/>
      <x:c r="AB970" s="56" t="str">
        <x:f>IF($A970="","",IF(Z970="Y",20,IF(Z970="Unknown",10,0))+$L970*5+IF(AA970="Y",15,IF(AA970="Unknown",5,0))+IF($J970="Public",10,IF($J970="Partner",7,IF($J970="Internal",3,0)))+IF($W970="Hard-coded",10,IF($W970="Unknown",7,IF($W970="Configurable",3,0)))+IF($I970&gt;=10,10,IF($I970&gt;=5,7,IF($I970&gt;=2,3,0)))+IF($K970="High",10,IF($K970="Medium",5,0)))</x:f>
      </x:c>
      <x:c r="AC970" s="28" t="str">
        <x:f>IF($A970="","",IF(AB970&gt;=70,"P0 - Immediate",IF(AB970&gt;=50,"P1 - High",IF(AB970&gt;=30,"P2 - Medium",IF(AB970&gt;=15,"P3 - Low","P4 - Monitor")))))</x:f>
      </x:c>
      <x:c r="AD970" s="28"/>
      <x:c r="AE970" s="28"/>
      <x:c r="AF970" s="28"/>
      <x:c r="AG970" s="58"/>
      <x:c r="AH970" s="28"/>
    </x:row>
    <x:row r="971">
      <x:c r="A971" s="28"/>
      <x:c r="B971" s="28"/>
      <x:c r="C971" s="28"/>
      <x:c r="D971" s="28"/>
      <x:c r="E971" s="28"/>
      <x:c r="F971" s="28"/>
      <x:c r="G971" s="28"/>
      <x:c r="H971" s="28"/>
      <x:c r="I971" s="56"/>
      <x:c r="J971" s="28"/>
      <x:c r="K971" s="28"/>
      <x:c r="L971" s="56"/>
      <x:c r="M971" s="28"/>
      <x:c r="N971" s="28"/>
      <x:c r="O971" s="28"/>
      <x:c r="P971" s="28"/>
      <x:c r="Q971" s="28"/>
      <x:c r="R971" s="28"/>
      <x:c r="S971" s="28"/>
      <x:c r="T971" s="28"/>
      <x:c r="U971" s="28"/>
      <x:c r="V971" s="28"/>
      <x:c r="W971" s="28"/>
      <x:c r="X971" s="28"/>
      <x:c r="Y971" s="28"/>
      <x:c r="Z971" s="28"/>
      <x:c r="AA971" s="28"/>
      <x:c r="AB971" s="56" t="str">
        <x:f>IF($A971="","",IF(Z971="Y",20,IF(Z971="Unknown",10,0))+$L971*5+IF(AA971="Y",15,IF(AA971="Unknown",5,0))+IF($J971="Public",10,IF($J971="Partner",7,IF($J971="Internal",3,0)))+IF($W971="Hard-coded",10,IF($W971="Unknown",7,IF($W971="Configurable",3,0)))+IF($I971&gt;=10,10,IF($I971&gt;=5,7,IF($I971&gt;=2,3,0)))+IF($K971="High",10,IF($K971="Medium",5,0)))</x:f>
      </x:c>
      <x:c r="AC971" s="28" t="str">
        <x:f>IF($A971="","",IF(AB971&gt;=70,"P0 - Immediate",IF(AB971&gt;=50,"P1 - High",IF(AB971&gt;=30,"P2 - Medium",IF(AB971&gt;=15,"P3 - Low","P4 - Monitor")))))</x:f>
      </x:c>
      <x:c r="AD971" s="28"/>
      <x:c r="AE971" s="28"/>
      <x:c r="AF971" s="28"/>
      <x:c r="AG971" s="58"/>
      <x:c r="AH971" s="28"/>
    </x:row>
    <x:row r="972">
      <x:c r="A972" s="28"/>
      <x:c r="B972" s="28"/>
      <x:c r="C972" s="28"/>
      <x:c r="D972" s="28"/>
      <x:c r="E972" s="28"/>
      <x:c r="F972" s="28"/>
      <x:c r="G972" s="28"/>
      <x:c r="H972" s="28"/>
      <x:c r="I972" s="56"/>
      <x:c r="J972" s="28"/>
      <x:c r="K972" s="28"/>
      <x:c r="L972" s="56"/>
      <x:c r="M972" s="28"/>
      <x:c r="N972" s="28"/>
      <x:c r="O972" s="28"/>
      <x:c r="P972" s="28"/>
      <x:c r="Q972" s="28"/>
      <x:c r="R972" s="28"/>
      <x:c r="S972" s="28"/>
      <x:c r="T972" s="28"/>
      <x:c r="U972" s="28"/>
      <x:c r="V972" s="28"/>
      <x:c r="W972" s="28"/>
      <x:c r="X972" s="28"/>
      <x:c r="Y972" s="28"/>
      <x:c r="Z972" s="28"/>
      <x:c r="AA972" s="28"/>
      <x:c r="AB972" s="56" t="str">
        <x:f>IF($A972="","",IF(Z972="Y",20,IF(Z972="Unknown",10,0))+$L972*5+IF(AA972="Y",15,IF(AA972="Unknown",5,0))+IF($J972="Public",10,IF($J972="Partner",7,IF($J972="Internal",3,0)))+IF($W972="Hard-coded",10,IF($W972="Unknown",7,IF($W972="Configurable",3,0)))+IF($I972&gt;=10,10,IF($I972&gt;=5,7,IF($I972&gt;=2,3,0)))+IF($K972="High",10,IF($K972="Medium",5,0)))</x:f>
      </x:c>
      <x:c r="AC972" s="28" t="str">
        <x:f>IF($A972="","",IF(AB972&gt;=70,"P0 - Immediate",IF(AB972&gt;=50,"P1 - High",IF(AB972&gt;=30,"P2 - Medium",IF(AB972&gt;=15,"P3 - Low","P4 - Monitor")))))</x:f>
      </x:c>
      <x:c r="AD972" s="28"/>
      <x:c r="AE972" s="28"/>
      <x:c r="AF972" s="28"/>
      <x:c r="AG972" s="58"/>
      <x:c r="AH972" s="28"/>
    </x:row>
    <x:row r="973">
      <x:c r="A973" s="28"/>
      <x:c r="B973" s="28"/>
      <x:c r="C973" s="28"/>
      <x:c r="D973" s="28"/>
      <x:c r="E973" s="28"/>
      <x:c r="F973" s="28"/>
      <x:c r="G973" s="28"/>
      <x:c r="H973" s="28"/>
      <x:c r="I973" s="56"/>
      <x:c r="J973" s="28"/>
      <x:c r="K973" s="28"/>
      <x:c r="L973" s="56"/>
      <x:c r="M973" s="28"/>
      <x:c r="N973" s="28"/>
      <x:c r="O973" s="28"/>
      <x:c r="P973" s="28"/>
      <x:c r="Q973" s="28"/>
      <x:c r="R973" s="28"/>
      <x:c r="S973" s="28"/>
      <x:c r="T973" s="28"/>
      <x:c r="U973" s="28"/>
      <x:c r="V973" s="28"/>
      <x:c r="W973" s="28"/>
      <x:c r="X973" s="28"/>
      <x:c r="Y973" s="28"/>
      <x:c r="Z973" s="28"/>
      <x:c r="AA973" s="28"/>
      <x:c r="AB973" s="56" t="str">
        <x:f>IF($A973="","",IF(Z973="Y",20,IF(Z973="Unknown",10,0))+$L973*5+IF(AA973="Y",15,IF(AA973="Unknown",5,0))+IF($J973="Public",10,IF($J973="Partner",7,IF($J973="Internal",3,0)))+IF($W973="Hard-coded",10,IF($W973="Unknown",7,IF($W973="Configurable",3,0)))+IF($I973&gt;=10,10,IF($I973&gt;=5,7,IF($I973&gt;=2,3,0)))+IF($K973="High",10,IF($K973="Medium",5,0)))</x:f>
      </x:c>
      <x:c r="AC973" s="28" t="str">
        <x:f>IF($A973="","",IF(AB973&gt;=70,"P0 - Immediate",IF(AB973&gt;=50,"P1 - High",IF(AB973&gt;=30,"P2 - Medium",IF(AB973&gt;=15,"P3 - Low","P4 - Monitor")))))</x:f>
      </x:c>
      <x:c r="AD973" s="28"/>
      <x:c r="AE973" s="28"/>
      <x:c r="AF973" s="28"/>
      <x:c r="AG973" s="58"/>
      <x:c r="AH973" s="28"/>
    </x:row>
    <x:row r="974">
      <x:c r="A974" s="28"/>
      <x:c r="B974" s="28"/>
      <x:c r="C974" s="28"/>
      <x:c r="D974" s="28"/>
      <x:c r="E974" s="28"/>
      <x:c r="F974" s="28"/>
      <x:c r="G974" s="28"/>
      <x:c r="H974" s="28"/>
      <x:c r="I974" s="56"/>
      <x:c r="J974" s="28"/>
      <x:c r="K974" s="28"/>
      <x:c r="L974" s="56"/>
      <x:c r="M974" s="28"/>
      <x:c r="N974" s="28"/>
      <x:c r="O974" s="28"/>
      <x:c r="P974" s="28"/>
      <x:c r="Q974" s="28"/>
      <x:c r="R974" s="28"/>
      <x:c r="S974" s="28"/>
      <x:c r="T974" s="28"/>
      <x:c r="U974" s="28"/>
      <x:c r="V974" s="28"/>
      <x:c r="W974" s="28"/>
      <x:c r="X974" s="28"/>
      <x:c r="Y974" s="28"/>
      <x:c r="Z974" s="28"/>
      <x:c r="AA974" s="28"/>
      <x:c r="AB974" s="56" t="str">
        <x:f>IF($A974="","",IF(Z974="Y",20,IF(Z974="Unknown",10,0))+$L974*5+IF(AA974="Y",15,IF(AA974="Unknown",5,0))+IF($J974="Public",10,IF($J974="Partner",7,IF($J974="Internal",3,0)))+IF($W974="Hard-coded",10,IF($W974="Unknown",7,IF($W974="Configurable",3,0)))+IF($I974&gt;=10,10,IF($I974&gt;=5,7,IF($I974&gt;=2,3,0)))+IF($K974="High",10,IF($K974="Medium",5,0)))</x:f>
      </x:c>
      <x:c r="AC974" s="28" t="str">
        <x:f>IF($A974="","",IF(AB974&gt;=70,"P0 - Immediate",IF(AB974&gt;=50,"P1 - High",IF(AB974&gt;=30,"P2 - Medium",IF(AB974&gt;=15,"P3 - Low","P4 - Monitor")))))</x:f>
      </x:c>
      <x:c r="AD974" s="28"/>
      <x:c r="AE974" s="28"/>
      <x:c r="AF974" s="28"/>
      <x:c r="AG974" s="58"/>
      <x:c r="AH974" s="28"/>
    </x:row>
    <x:row r="975">
      <x:c r="A975" s="28"/>
      <x:c r="B975" s="28"/>
      <x:c r="C975" s="28"/>
      <x:c r="D975" s="28"/>
      <x:c r="E975" s="28"/>
      <x:c r="F975" s="28"/>
      <x:c r="G975" s="28"/>
      <x:c r="H975" s="28"/>
      <x:c r="I975" s="56"/>
      <x:c r="J975" s="28"/>
      <x:c r="K975" s="28"/>
      <x:c r="L975" s="56"/>
      <x:c r="M975" s="28"/>
      <x:c r="N975" s="28"/>
      <x:c r="O975" s="28"/>
      <x:c r="P975" s="28"/>
      <x:c r="Q975" s="28"/>
      <x:c r="R975" s="28"/>
      <x:c r="S975" s="28"/>
      <x:c r="T975" s="28"/>
      <x:c r="U975" s="28"/>
      <x:c r="V975" s="28"/>
      <x:c r="W975" s="28"/>
      <x:c r="X975" s="28"/>
      <x:c r="Y975" s="28"/>
      <x:c r="Z975" s="28"/>
      <x:c r="AA975" s="28"/>
      <x:c r="AB975" s="56" t="str">
        <x:f>IF($A975="","",IF(Z975="Y",20,IF(Z975="Unknown",10,0))+$L975*5+IF(AA975="Y",15,IF(AA975="Unknown",5,0))+IF($J975="Public",10,IF($J975="Partner",7,IF($J975="Internal",3,0)))+IF($W975="Hard-coded",10,IF($W975="Unknown",7,IF($W975="Configurable",3,0)))+IF($I975&gt;=10,10,IF($I975&gt;=5,7,IF($I975&gt;=2,3,0)))+IF($K975="High",10,IF($K975="Medium",5,0)))</x:f>
      </x:c>
      <x:c r="AC975" s="28" t="str">
        <x:f>IF($A975="","",IF(AB975&gt;=70,"P0 - Immediate",IF(AB975&gt;=50,"P1 - High",IF(AB975&gt;=30,"P2 - Medium",IF(AB975&gt;=15,"P3 - Low","P4 - Monitor")))))</x:f>
      </x:c>
      <x:c r="AD975" s="28"/>
      <x:c r="AE975" s="28"/>
      <x:c r="AF975" s="28"/>
      <x:c r="AG975" s="58"/>
      <x:c r="AH975" s="28"/>
    </x:row>
    <x:row r="976">
      <x:c r="A976" s="28"/>
      <x:c r="B976" s="28"/>
      <x:c r="C976" s="28"/>
      <x:c r="D976" s="28"/>
      <x:c r="E976" s="28"/>
      <x:c r="F976" s="28"/>
      <x:c r="G976" s="28"/>
      <x:c r="H976" s="28"/>
      <x:c r="I976" s="56"/>
      <x:c r="J976" s="28"/>
      <x:c r="K976" s="28"/>
      <x:c r="L976" s="56"/>
      <x:c r="M976" s="28"/>
      <x:c r="N976" s="28"/>
      <x:c r="O976" s="28"/>
      <x:c r="P976" s="28"/>
      <x:c r="Q976" s="28"/>
      <x:c r="R976" s="28"/>
      <x:c r="S976" s="28"/>
      <x:c r="T976" s="28"/>
      <x:c r="U976" s="28"/>
      <x:c r="V976" s="28"/>
      <x:c r="W976" s="28"/>
      <x:c r="X976" s="28"/>
      <x:c r="Y976" s="28"/>
      <x:c r="Z976" s="28"/>
      <x:c r="AA976" s="28"/>
      <x:c r="AB976" s="56" t="str">
        <x:f>IF($A976="","",IF(Z976="Y",20,IF(Z976="Unknown",10,0))+$L976*5+IF(AA976="Y",15,IF(AA976="Unknown",5,0))+IF($J976="Public",10,IF($J976="Partner",7,IF($J976="Internal",3,0)))+IF($W976="Hard-coded",10,IF($W976="Unknown",7,IF($W976="Configurable",3,0)))+IF($I976&gt;=10,10,IF($I976&gt;=5,7,IF($I976&gt;=2,3,0)))+IF($K976="High",10,IF($K976="Medium",5,0)))</x:f>
      </x:c>
      <x:c r="AC976" s="28" t="str">
        <x:f>IF($A976="","",IF(AB976&gt;=70,"P0 - Immediate",IF(AB976&gt;=50,"P1 - High",IF(AB976&gt;=30,"P2 - Medium",IF(AB976&gt;=15,"P3 - Low","P4 - Monitor")))))</x:f>
      </x:c>
      <x:c r="AD976" s="28"/>
      <x:c r="AE976" s="28"/>
      <x:c r="AF976" s="28"/>
      <x:c r="AG976" s="58"/>
      <x:c r="AH976" s="28"/>
    </x:row>
    <x:row r="977">
      <x:c r="A977" s="28"/>
      <x:c r="B977" s="28"/>
      <x:c r="C977" s="28"/>
      <x:c r="D977" s="28"/>
      <x:c r="E977" s="28"/>
      <x:c r="F977" s="28"/>
      <x:c r="G977" s="28"/>
      <x:c r="H977" s="28"/>
      <x:c r="I977" s="56"/>
      <x:c r="J977" s="28"/>
      <x:c r="K977" s="28"/>
      <x:c r="L977" s="56"/>
      <x:c r="M977" s="28"/>
      <x:c r="N977" s="28"/>
      <x:c r="O977" s="28"/>
      <x:c r="P977" s="28"/>
      <x:c r="Q977" s="28"/>
      <x:c r="R977" s="28"/>
      <x:c r="S977" s="28"/>
      <x:c r="T977" s="28"/>
      <x:c r="U977" s="28"/>
      <x:c r="V977" s="28"/>
      <x:c r="W977" s="28"/>
      <x:c r="X977" s="28"/>
      <x:c r="Y977" s="28"/>
      <x:c r="Z977" s="28"/>
      <x:c r="AA977" s="28"/>
      <x:c r="AB977" s="56" t="str">
        <x:f>IF($A977="","",IF(Z977="Y",20,IF(Z977="Unknown",10,0))+$L977*5+IF(AA977="Y",15,IF(AA977="Unknown",5,0))+IF($J977="Public",10,IF($J977="Partner",7,IF($J977="Internal",3,0)))+IF($W977="Hard-coded",10,IF($W977="Unknown",7,IF($W977="Configurable",3,0)))+IF($I977&gt;=10,10,IF($I977&gt;=5,7,IF($I977&gt;=2,3,0)))+IF($K977="High",10,IF($K977="Medium",5,0)))</x:f>
      </x:c>
      <x:c r="AC977" s="28" t="str">
        <x:f>IF($A977="","",IF(AB977&gt;=70,"P0 - Immediate",IF(AB977&gt;=50,"P1 - High",IF(AB977&gt;=30,"P2 - Medium",IF(AB977&gt;=15,"P3 - Low","P4 - Monitor")))))</x:f>
      </x:c>
      <x:c r="AD977" s="28"/>
      <x:c r="AE977" s="28"/>
      <x:c r="AF977" s="28"/>
      <x:c r="AG977" s="58"/>
      <x:c r="AH977" s="28"/>
    </x:row>
    <x:row r="978">
      <x:c r="A978" s="28"/>
      <x:c r="B978" s="28"/>
      <x:c r="C978" s="28"/>
      <x:c r="D978" s="28"/>
      <x:c r="E978" s="28"/>
      <x:c r="F978" s="28"/>
      <x:c r="G978" s="28"/>
      <x:c r="H978" s="28"/>
      <x:c r="I978" s="56"/>
      <x:c r="J978" s="28"/>
      <x:c r="K978" s="28"/>
      <x:c r="L978" s="56"/>
      <x:c r="M978" s="28"/>
      <x:c r="N978" s="28"/>
      <x:c r="O978" s="28"/>
      <x:c r="P978" s="28"/>
      <x:c r="Q978" s="28"/>
      <x:c r="R978" s="28"/>
      <x:c r="S978" s="28"/>
      <x:c r="T978" s="28"/>
      <x:c r="U978" s="28"/>
      <x:c r="V978" s="28"/>
      <x:c r="W978" s="28"/>
      <x:c r="X978" s="28"/>
      <x:c r="Y978" s="28"/>
      <x:c r="Z978" s="28"/>
      <x:c r="AA978" s="28"/>
      <x:c r="AB978" s="56" t="str">
        <x:f>IF($A978="","",IF(Z978="Y",20,IF(Z978="Unknown",10,0))+$L978*5+IF(AA978="Y",15,IF(AA978="Unknown",5,0))+IF($J978="Public",10,IF($J978="Partner",7,IF($J978="Internal",3,0)))+IF($W978="Hard-coded",10,IF($W978="Unknown",7,IF($W978="Configurable",3,0)))+IF($I978&gt;=10,10,IF($I978&gt;=5,7,IF($I978&gt;=2,3,0)))+IF($K978="High",10,IF($K978="Medium",5,0)))</x:f>
      </x:c>
      <x:c r="AC978" s="28" t="str">
        <x:f>IF($A978="","",IF(AB978&gt;=70,"P0 - Immediate",IF(AB978&gt;=50,"P1 - High",IF(AB978&gt;=30,"P2 - Medium",IF(AB978&gt;=15,"P3 - Low","P4 - Monitor")))))</x:f>
      </x:c>
      <x:c r="AD978" s="28"/>
      <x:c r="AE978" s="28"/>
      <x:c r="AF978" s="28"/>
      <x:c r="AG978" s="58"/>
      <x:c r="AH978" s="28"/>
    </x:row>
    <x:row r="979">
      <x:c r="A979" s="28"/>
      <x:c r="B979" s="28"/>
      <x:c r="C979" s="28"/>
      <x:c r="D979" s="28"/>
      <x:c r="E979" s="28"/>
      <x:c r="F979" s="28"/>
      <x:c r="G979" s="28"/>
      <x:c r="H979" s="28"/>
      <x:c r="I979" s="56"/>
      <x:c r="J979" s="28"/>
      <x:c r="K979" s="28"/>
      <x:c r="L979" s="56"/>
      <x:c r="M979" s="28"/>
      <x:c r="N979" s="28"/>
      <x:c r="O979" s="28"/>
      <x:c r="P979" s="28"/>
      <x:c r="Q979" s="28"/>
      <x:c r="R979" s="28"/>
      <x:c r="S979" s="28"/>
      <x:c r="T979" s="28"/>
      <x:c r="U979" s="28"/>
      <x:c r="V979" s="28"/>
      <x:c r="W979" s="28"/>
      <x:c r="X979" s="28"/>
      <x:c r="Y979" s="28"/>
      <x:c r="Z979" s="28"/>
      <x:c r="AA979" s="28"/>
      <x:c r="AB979" s="56" t="str">
        <x:f>IF($A979="","",IF(Z979="Y",20,IF(Z979="Unknown",10,0))+$L979*5+IF(AA979="Y",15,IF(AA979="Unknown",5,0))+IF($J979="Public",10,IF($J979="Partner",7,IF($J979="Internal",3,0)))+IF($W979="Hard-coded",10,IF($W979="Unknown",7,IF($W979="Configurable",3,0)))+IF($I979&gt;=10,10,IF($I979&gt;=5,7,IF($I979&gt;=2,3,0)))+IF($K979="High",10,IF($K979="Medium",5,0)))</x:f>
      </x:c>
      <x:c r="AC979" s="28" t="str">
        <x:f>IF($A979="","",IF(AB979&gt;=70,"P0 - Immediate",IF(AB979&gt;=50,"P1 - High",IF(AB979&gt;=30,"P2 - Medium",IF(AB979&gt;=15,"P3 - Low","P4 - Monitor")))))</x:f>
      </x:c>
      <x:c r="AD979" s="28"/>
      <x:c r="AE979" s="28"/>
      <x:c r="AF979" s="28"/>
      <x:c r="AG979" s="58"/>
      <x:c r="AH979" s="28"/>
    </x:row>
    <x:row r="980">
      <x:c r="A980" s="28"/>
      <x:c r="B980" s="28"/>
      <x:c r="C980" s="28"/>
      <x:c r="D980" s="28"/>
      <x:c r="E980" s="28"/>
      <x:c r="F980" s="28"/>
      <x:c r="G980" s="28"/>
      <x:c r="H980" s="28"/>
      <x:c r="I980" s="56"/>
      <x:c r="J980" s="28"/>
      <x:c r="K980" s="28"/>
      <x:c r="L980" s="56"/>
      <x:c r="M980" s="28"/>
      <x:c r="N980" s="28"/>
      <x:c r="O980" s="28"/>
      <x:c r="P980" s="28"/>
      <x:c r="Q980" s="28"/>
      <x:c r="R980" s="28"/>
      <x:c r="S980" s="28"/>
      <x:c r="T980" s="28"/>
      <x:c r="U980" s="28"/>
      <x:c r="V980" s="28"/>
      <x:c r="W980" s="28"/>
      <x:c r="X980" s="28"/>
      <x:c r="Y980" s="28"/>
      <x:c r="Z980" s="28"/>
      <x:c r="AA980" s="28"/>
      <x:c r="AB980" s="56" t="str">
        <x:f>IF($A980="","",IF(Z980="Y",20,IF(Z980="Unknown",10,0))+$L980*5+IF(AA980="Y",15,IF(AA980="Unknown",5,0))+IF($J980="Public",10,IF($J980="Partner",7,IF($J980="Internal",3,0)))+IF($W980="Hard-coded",10,IF($W980="Unknown",7,IF($W980="Configurable",3,0)))+IF($I980&gt;=10,10,IF($I980&gt;=5,7,IF($I980&gt;=2,3,0)))+IF($K980="High",10,IF($K980="Medium",5,0)))</x:f>
      </x:c>
      <x:c r="AC980" s="28" t="str">
        <x:f>IF($A980="","",IF(AB980&gt;=70,"P0 - Immediate",IF(AB980&gt;=50,"P1 - High",IF(AB980&gt;=30,"P2 - Medium",IF(AB980&gt;=15,"P3 - Low","P4 - Monitor")))))</x:f>
      </x:c>
      <x:c r="AD980" s="28"/>
      <x:c r="AE980" s="28"/>
      <x:c r="AF980" s="28"/>
      <x:c r="AG980" s="58"/>
      <x:c r="AH980" s="28"/>
    </x:row>
    <x:row r="981">
      <x:c r="A981" s="28"/>
      <x:c r="B981" s="28"/>
      <x:c r="C981" s="28"/>
      <x:c r="D981" s="28"/>
      <x:c r="E981" s="28"/>
      <x:c r="F981" s="28"/>
      <x:c r="G981" s="28"/>
      <x:c r="H981" s="28"/>
      <x:c r="I981" s="56"/>
      <x:c r="J981" s="28"/>
      <x:c r="K981" s="28"/>
      <x:c r="L981" s="56"/>
      <x:c r="M981" s="28"/>
      <x:c r="N981" s="28"/>
      <x:c r="O981" s="28"/>
      <x:c r="P981" s="28"/>
      <x:c r="Q981" s="28"/>
      <x:c r="R981" s="28"/>
      <x:c r="S981" s="28"/>
      <x:c r="T981" s="28"/>
      <x:c r="U981" s="28"/>
      <x:c r="V981" s="28"/>
      <x:c r="W981" s="28"/>
      <x:c r="X981" s="28"/>
      <x:c r="Y981" s="28"/>
      <x:c r="Z981" s="28"/>
      <x:c r="AA981" s="28"/>
      <x:c r="AB981" s="56" t="str">
        <x:f>IF($A981="","",IF(Z981="Y",20,IF(Z981="Unknown",10,0))+$L981*5+IF(AA981="Y",15,IF(AA981="Unknown",5,0))+IF($J981="Public",10,IF($J981="Partner",7,IF($J981="Internal",3,0)))+IF($W981="Hard-coded",10,IF($W981="Unknown",7,IF($W981="Configurable",3,0)))+IF($I981&gt;=10,10,IF($I981&gt;=5,7,IF($I981&gt;=2,3,0)))+IF($K981="High",10,IF($K981="Medium",5,0)))</x:f>
      </x:c>
      <x:c r="AC981" s="28" t="str">
        <x:f>IF($A981="","",IF(AB981&gt;=70,"P0 - Immediate",IF(AB981&gt;=50,"P1 - High",IF(AB981&gt;=30,"P2 - Medium",IF(AB981&gt;=15,"P3 - Low","P4 - Monitor")))))</x:f>
      </x:c>
      <x:c r="AD981" s="28"/>
      <x:c r="AE981" s="28"/>
      <x:c r="AF981" s="28"/>
      <x:c r="AG981" s="58"/>
      <x:c r="AH981" s="28"/>
    </x:row>
    <x:row r="982">
      <x:c r="A982" s="28"/>
      <x:c r="B982" s="28"/>
      <x:c r="C982" s="28"/>
      <x:c r="D982" s="28"/>
      <x:c r="E982" s="28"/>
      <x:c r="F982" s="28"/>
      <x:c r="G982" s="28"/>
      <x:c r="H982" s="28"/>
      <x:c r="I982" s="56"/>
      <x:c r="J982" s="28"/>
      <x:c r="K982" s="28"/>
      <x:c r="L982" s="56"/>
      <x:c r="M982" s="28"/>
      <x:c r="N982" s="28"/>
      <x:c r="O982" s="28"/>
      <x:c r="P982" s="28"/>
      <x:c r="Q982" s="28"/>
      <x:c r="R982" s="28"/>
      <x:c r="S982" s="28"/>
      <x:c r="T982" s="28"/>
      <x:c r="U982" s="28"/>
      <x:c r="V982" s="28"/>
      <x:c r="W982" s="28"/>
      <x:c r="X982" s="28"/>
      <x:c r="Y982" s="28"/>
      <x:c r="Z982" s="28"/>
      <x:c r="AA982" s="28"/>
      <x:c r="AB982" s="56" t="str">
        <x:f>IF($A982="","",IF(Z982="Y",20,IF(Z982="Unknown",10,0))+$L982*5+IF(AA982="Y",15,IF(AA982="Unknown",5,0))+IF($J982="Public",10,IF($J982="Partner",7,IF($J982="Internal",3,0)))+IF($W982="Hard-coded",10,IF($W982="Unknown",7,IF($W982="Configurable",3,0)))+IF($I982&gt;=10,10,IF($I982&gt;=5,7,IF($I982&gt;=2,3,0)))+IF($K982="High",10,IF($K982="Medium",5,0)))</x:f>
      </x:c>
      <x:c r="AC982" s="28" t="str">
        <x:f>IF($A982="","",IF(AB982&gt;=70,"P0 - Immediate",IF(AB982&gt;=50,"P1 - High",IF(AB982&gt;=30,"P2 - Medium",IF(AB982&gt;=15,"P3 - Low","P4 - Monitor")))))</x:f>
      </x:c>
      <x:c r="AD982" s="28"/>
      <x:c r="AE982" s="28"/>
      <x:c r="AF982" s="28"/>
      <x:c r="AG982" s="58"/>
      <x:c r="AH982" s="28"/>
    </x:row>
    <x:row r="983">
      <x:c r="A983" s="28"/>
      <x:c r="B983" s="28"/>
      <x:c r="C983" s="28"/>
      <x:c r="D983" s="28"/>
      <x:c r="E983" s="28"/>
      <x:c r="F983" s="28"/>
      <x:c r="G983" s="28"/>
      <x:c r="H983" s="28"/>
      <x:c r="I983" s="56"/>
      <x:c r="J983" s="28"/>
      <x:c r="K983" s="28"/>
      <x:c r="L983" s="56"/>
      <x:c r="M983" s="28"/>
      <x:c r="N983" s="28"/>
      <x:c r="O983" s="28"/>
      <x:c r="P983" s="28"/>
      <x:c r="Q983" s="28"/>
      <x:c r="R983" s="28"/>
      <x:c r="S983" s="28"/>
      <x:c r="T983" s="28"/>
      <x:c r="U983" s="28"/>
      <x:c r="V983" s="28"/>
      <x:c r="W983" s="28"/>
      <x:c r="X983" s="28"/>
      <x:c r="Y983" s="28"/>
      <x:c r="Z983" s="28"/>
      <x:c r="AA983" s="28"/>
      <x:c r="AB983" s="56" t="str">
        <x:f>IF($A983="","",IF(Z983="Y",20,IF(Z983="Unknown",10,0))+$L983*5+IF(AA983="Y",15,IF(AA983="Unknown",5,0))+IF($J983="Public",10,IF($J983="Partner",7,IF($J983="Internal",3,0)))+IF($W983="Hard-coded",10,IF($W983="Unknown",7,IF($W983="Configurable",3,0)))+IF($I983&gt;=10,10,IF($I983&gt;=5,7,IF($I983&gt;=2,3,0)))+IF($K983="High",10,IF($K983="Medium",5,0)))</x:f>
      </x:c>
      <x:c r="AC983" s="28" t="str">
        <x:f>IF($A983="","",IF(AB983&gt;=70,"P0 - Immediate",IF(AB983&gt;=50,"P1 - High",IF(AB983&gt;=30,"P2 - Medium",IF(AB983&gt;=15,"P3 - Low","P4 - Monitor")))))</x:f>
      </x:c>
      <x:c r="AD983" s="28"/>
      <x:c r="AE983" s="28"/>
      <x:c r="AF983" s="28"/>
      <x:c r="AG983" s="58"/>
      <x:c r="AH983" s="28"/>
    </x:row>
    <x:row r="984">
      <x:c r="A984" s="28"/>
      <x:c r="B984" s="28"/>
      <x:c r="C984" s="28"/>
      <x:c r="D984" s="28"/>
      <x:c r="E984" s="28"/>
      <x:c r="F984" s="28"/>
      <x:c r="G984" s="28"/>
      <x:c r="H984" s="28"/>
      <x:c r="I984" s="56"/>
      <x:c r="J984" s="28"/>
      <x:c r="K984" s="28"/>
      <x:c r="L984" s="56"/>
      <x:c r="M984" s="28"/>
      <x:c r="N984" s="28"/>
      <x:c r="O984" s="28"/>
      <x:c r="P984" s="28"/>
      <x:c r="Q984" s="28"/>
      <x:c r="R984" s="28"/>
      <x:c r="S984" s="28"/>
      <x:c r="T984" s="28"/>
      <x:c r="U984" s="28"/>
      <x:c r="V984" s="28"/>
      <x:c r="W984" s="28"/>
      <x:c r="X984" s="28"/>
      <x:c r="Y984" s="28"/>
      <x:c r="Z984" s="28"/>
      <x:c r="AA984" s="28"/>
      <x:c r="AB984" s="56" t="str">
        <x:f>IF($A984="","",IF(Z984="Y",20,IF(Z984="Unknown",10,0))+$L984*5+IF(AA984="Y",15,IF(AA984="Unknown",5,0))+IF($J984="Public",10,IF($J984="Partner",7,IF($J984="Internal",3,0)))+IF($W984="Hard-coded",10,IF($W984="Unknown",7,IF($W984="Configurable",3,0)))+IF($I984&gt;=10,10,IF($I984&gt;=5,7,IF($I984&gt;=2,3,0)))+IF($K984="High",10,IF($K984="Medium",5,0)))</x:f>
      </x:c>
      <x:c r="AC984" s="28" t="str">
        <x:f>IF($A984="","",IF(AB984&gt;=70,"P0 - Immediate",IF(AB984&gt;=50,"P1 - High",IF(AB984&gt;=30,"P2 - Medium",IF(AB984&gt;=15,"P3 - Low","P4 - Monitor")))))</x:f>
      </x:c>
      <x:c r="AD984" s="28"/>
      <x:c r="AE984" s="28"/>
      <x:c r="AF984" s="28"/>
      <x:c r="AG984" s="58"/>
      <x:c r="AH984" s="28"/>
    </x:row>
    <x:row r="985">
      <x:c r="A985" s="28"/>
      <x:c r="B985" s="28"/>
      <x:c r="C985" s="28"/>
      <x:c r="D985" s="28"/>
      <x:c r="E985" s="28"/>
      <x:c r="F985" s="28"/>
      <x:c r="G985" s="28"/>
      <x:c r="H985" s="28"/>
      <x:c r="I985" s="56"/>
      <x:c r="J985" s="28"/>
      <x:c r="K985" s="28"/>
      <x:c r="L985" s="56"/>
      <x:c r="M985" s="28"/>
      <x:c r="N985" s="28"/>
      <x:c r="O985" s="28"/>
      <x:c r="P985" s="28"/>
      <x:c r="Q985" s="28"/>
      <x:c r="R985" s="28"/>
      <x:c r="S985" s="28"/>
      <x:c r="T985" s="28"/>
      <x:c r="U985" s="28"/>
      <x:c r="V985" s="28"/>
      <x:c r="W985" s="28"/>
      <x:c r="X985" s="28"/>
      <x:c r="Y985" s="28"/>
      <x:c r="Z985" s="28"/>
      <x:c r="AA985" s="28"/>
      <x:c r="AB985" s="56" t="str">
        <x:f>IF($A985="","",IF(Z985="Y",20,IF(Z985="Unknown",10,0))+$L985*5+IF(AA985="Y",15,IF(AA985="Unknown",5,0))+IF($J985="Public",10,IF($J985="Partner",7,IF($J985="Internal",3,0)))+IF($W985="Hard-coded",10,IF($W985="Unknown",7,IF($W985="Configurable",3,0)))+IF($I985&gt;=10,10,IF($I985&gt;=5,7,IF($I985&gt;=2,3,0)))+IF($K985="High",10,IF($K985="Medium",5,0)))</x:f>
      </x:c>
      <x:c r="AC985" s="28" t="str">
        <x:f>IF($A985="","",IF(AB985&gt;=70,"P0 - Immediate",IF(AB985&gt;=50,"P1 - High",IF(AB985&gt;=30,"P2 - Medium",IF(AB985&gt;=15,"P3 - Low","P4 - Monitor")))))</x:f>
      </x:c>
      <x:c r="AD985" s="28"/>
      <x:c r="AE985" s="28"/>
      <x:c r="AF985" s="28"/>
      <x:c r="AG985" s="58"/>
      <x:c r="AH985" s="28"/>
    </x:row>
    <x:row r="986">
      <x:c r="A986" s="28"/>
      <x:c r="B986" s="28"/>
      <x:c r="C986" s="28"/>
      <x:c r="D986" s="28"/>
      <x:c r="E986" s="28"/>
      <x:c r="F986" s="28"/>
      <x:c r="G986" s="28"/>
      <x:c r="H986" s="28"/>
      <x:c r="I986" s="56"/>
      <x:c r="J986" s="28"/>
      <x:c r="K986" s="28"/>
      <x:c r="L986" s="56"/>
      <x:c r="M986" s="28"/>
      <x:c r="N986" s="28"/>
      <x:c r="O986" s="28"/>
      <x:c r="P986" s="28"/>
      <x:c r="Q986" s="28"/>
      <x:c r="R986" s="28"/>
      <x:c r="S986" s="28"/>
      <x:c r="T986" s="28"/>
      <x:c r="U986" s="28"/>
      <x:c r="V986" s="28"/>
      <x:c r="W986" s="28"/>
      <x:c r="X986" s="28"/>
      <x:c r="Y986" s="28"/>
      <x:c r="Z986" s="28"/>
      <x:c r="AA986" s="28"/>
      <x:c r="AB986" s="56" t="str">
        <x:f>IF($A986="","",IF(Z986="Y",20,IF(Z986="Unknown",10,0))+$L986*5+IF(AA986="Y",15,IF(AA986="Unknown",5,0))+IF($J986="Public",10,IF($J986="Partner",7,IF($J986="Internal",3,0)))+IF($W986="Hard-coded",10,IF($W986="Unknown",7,IF($W986="Configurable",3,0)))+IF($I986&gt;=10,10,IF($I986&gt;=5,7,IF($I986&gt;=2,3,0)))+IF($K986="High",10,IF($K986="Medium",5,0)))</x:f>
      </x:c>
      <x:c r="AC986" s="28" t="str">
        <x:f>IF($A986="","",IF(AB986&gt;=70,"P0 - Immediate",IF(AB986&gt;=50,"P1 - High",IF(AB986&gt;=30,"P2 - Medium",IF(AB986&gt;=15,"P3 - Low","P4 - Monitor")))))</x:f>
      </x:c>
      <x:c r="AD986" s="28"/>
      <x:c r="AE986" s="28"/>
      <x:c r="AF986" s="28"/>
      <x:c r="AG986" s="58"/>
      <x:c r="AH986" s="28"/>
    </x:row>
    <x:row r="987">
      <x:c r="A987" s="28"/>
      <x:c r="B987" s="28"/>
      <x:c r="C987" s="28"/>
      <x:c r="D987" s="28"/>
      <x:c r="E987" s="28"/>
      <x:c r="F987" s="28"/>
      <x:c r="G987" s="28"/>
      <x:c r="H987" s="28"/>
      <x:c r="I987" s="56"/>
      <x:c r="J987" s="28"/>
      <x:c r="K987" s="28"/>
      <x:c r="L987" s="56"/>
      <x:c r="M987" s="28"/>
      <x:c r="N987" s="28"/>
      <x:c r="O987" s="28"/>
      <x:c r="P987" s="28"/>
      <x:c r="Q987" s="28"/>
      <x:c r="R987" s="28"/>
      <x:c r="S987" s="28"/>
      <x:c r="T987" s="28"/>
      <x:c r="U987" s="28"/>
      <x:c r="V987" s="28"/>
      <x:c r="W987" s="28"/>
      <x:c r="X987" s="28"/>
      <x:c r="Y987" s="28"/>
      <x:c r="Z987" s="28"/>
      <x:c r="AA987" s="28"/>
      <x:c r="AB987" s="56" t="str">
        <x:f>IF($A987="","",IF(Z987="Y",20,IF(Z987="Unknown",10,0))+$L987*5+IF(AA987="Y",15,IF(AA987="Unknown",5,0))+IF($J987="Public",10,IF($J987="Partner",7,IF($J987="Internal",3,0)))+IF($W987="Hard-coded",10,IF($W987="Unknown",7,IF($W987="Configurable",3,0)))+IF($I987&gt;=10,10,IF($I987&gt;=5,7,IF($I987&gt;=2,3,0)))+IF($K987="High",10,IF($K987="Medium",5,0)))</x:f>
      </x:c>
      <x:c r="AC987" s="28" t="str">
        <x:f>IF($A987="","",IF(AB987&gt;=70,"P0 - Immediate",IF(AB987&gt;=50,"P1 - High",IF(AB987&gt;=30,"P2 - Medium",IF(AB987&gt;=15,"P3 - Low","P4 - Monitor")))))</x:f>
      </x:c>
      <x:c r="AD987" s="28"/>
      <x:c r="AE987" s="28"/>
      <x:c r="AF987" s="28"/>
      <x:c r="AG987" s="58"/>
      <x:c r="AH987" s="28"/>
    </x:row>
    <x:row r="988">
      <x:c r="A988" s="28"/>
      <x:c r="B988" s="28"/>
      <x:c r="C988" s="28"/>
      <x:c r="D988" s="28"/>
      <x:c r="E988" s="28"/>
      <x:c r="F988" s="28"/>
      <x:c r="G988" s="28"/>
      <x:c r="H988" s="28"/>
      <x:c r="I988" s="56"/>
      <x:c r="J988" s="28"/>
      <x:c r="K988" s="28"/>
      <x:c r="L988" s="56"/>
      <x:c r="M988" s="28"/>
      <x:c r="N988" s="28"/>
      <x:c r="O988" s="28"/>
      <x:c r="P988" s="28"/>
      <x:c r="Q988" s="28"/>
      <x:c r="R988" s="28"/>
      <x:c r="S988" s="28"/>
      <x:c r="T988" s="28"/>
      <x:c r="U988" s="28"/>
      <x:c r="V988" s="28"/>
      <x:c r="W988" s="28"/>
      <x:c r="X988" s="28"/>
      <x:c r="Y988" s="28"/>
      <x:c r="Z988" s="28"/>
      <x:c r="AA988" s="28"/>
      <x:c r="AB988" s="56" t="str">
        <x:f>IF($A988="","",IF(Z988="Y",20,IF(Z988="Unknown",10,0))+$L988*5+IF(AA988="Y",15,IF(AA988="Unknown",5,0))+IF($J988="Public",10,IF($J988="Partner",7,IF($J988="Internal",3,0)))+IF($W988="Hard-coded",10,IF($W988="Unknown",7,IF($W988="Configurable",3,0)))+IF($I988&gt;=10,10,IF($I988&gt;=5,7,IF($I988&gt;=2,3,0)))+IF($K988="High",10,IF($K988="Medium",5,0)))</x:f>
      </x:c>
      <x:c r="AC988" s="28" t="str">
        <x:f>IF($A988="","",IF(AB988&gt;=70,"P0 - Immediate",IF(AB988&gt;=50,"P1 - High",IF(AB988&gt;=30,"P2 - Medium",IF(AB988&gt;=15,"P3 - Low","P4 - Monitor")))))</x:f>
      </x:c>
      <x:c r="AD988" s="28"/>
      <x:c r="AE988" s="28"/>
      <x:c r="AF988" s="28"/>
      <x:c r="AG988" s="58"/>
      <x:c r="AH988" s="28"/>
    </x:row>
    <x:row r="989">
      <x:c r="A989" s="28"/>
      <x:c r="B989" s="28"/>
      <x:c r="C989" s="28"/>
      <x:c r="D989" s="28"/>
      <x:c r="E989" s="28"/>
      <x:c r="F989" s="28"/>
      <x:c r="G989" s="28"/>
      <x:c r="H989" s="28"/>
      <x:c r="I989" s="56"/>
      <x:c r="J989" s="28"/>
      <x:c r="K989" s="28"/>
      <x:c r="L989" s="56"/>
      <x:c r="M989" s="28"/>
      <x:c r="N989" s="28"/>
      <x:c r="O989" s="28"/>
      <x:c r="P989" s="28"/>
      <x:c r="Q989" s="28"/>
      <x:c r="R989" s="28"/>
      <x:c r="S989" s="28"/>
      <x:c r="T989" s="28"/>
      <x:c r="U989" s="28"/>
      <x:c r="V989" s="28"/>
      <x:c r="W989" s="28"/>
      <x:c r="X989" s="28"/>
      <x:c r="Y989" s="28"/>
      <x:c r="Z989" s="28"/>
      <x:c r="AA989" s="28"/>
      <x:c r="AB989" s="56" t="str">
        <x:f>IF($A989="","",IF(Z989="Y",20,IF(Z989="Unknown",10,0))+$L989*5+IF(AA989="Y",15,IF(AA989="Unknown",5,0))+IF($J989="Public",10,IF($J989="Partner",7,IF($J989="Internal",3,0)))+IF($W989="Hard-coded",10,IF($W989="Unknown",7,IF($W989="Configurable",3,0)))+IF($I989&gt;=10,10,IF($I989&gt;=5,7,IF($I989&gt;=2,3,0)))+IF($K989="High",10,IF($K989="Medium",5,0)))</x:f>
      </x:c>
      <x:c r="AC989" s="28" t="str">
        <x:f>IF($A989="","",IF(AB989&gt;=70,"P0 - Immediate",IF(AB989&gt;=50,"P1 - High",IF(AB989&gt;=30,"P2 - Medium",IF(AB989&gt;=15,"P3 - Low","P4 - Monitor")))))</x:f>
      </x:c>
      <x:c r="AD989" s="28"/>
      <x:c r="AE989" s="28"/>
      <x:c r="AF989" s="28"/>
      <x:c r="AG989" s="58"/>
      <x:c r="AH989" s="28"/>
    </x:row>
    <x:row r="990">
      <x:c r="A990" s="28"/>
      <x:c r="B990" s="28"/>
      <x:c r="C990" s="28"/>
      <x:c r="D990" s="28"/>
      <x:c r="E990" s="28"/>
      <x:c r="F990" s="28"/>
      <x:c r="G990" s="28"/>
      <x:c r="H990" s="28"/>
      <x:c r="I990" s="56"/>
      <x:c r="J990" s="28"/>
      <x:c r="K990" s="28"/>
      <x:c r="L990" s="56"/>
      <x:c r="M990" s="28"/>
      <x:c r="N990" s="28"/>
      <x:c r="O990" s="28"/>
      <x:c r="P990" s="28"/>
      <x:c r="Q990" s="28"/>
      <x:c r="R990" s="28"/>
      <x:c r="S990" s="28"/>
      <x:c r="T990" s="28"/>
      <x:c r="U990" s="28"/>
      <x:c r="V990" s="28"/>
      <x:c r="W990" s="28"/>
      <x:c r="X990" s="28"/>
      <x:c r="Y990" s="28"/>
      <x:c r="Z990" s="28"/>
      <x:c r="AA990" s="28"/>
      <x:c r="AB990" s="56" t="str">
        <x:f>IF($A990="","",IF(Z990="Y",20,IF(Z990="Unknown",10,0))+$L990*5+IF(AA990="Y",15,IF(AA990="Unknown",5,0))+IF($J990="Public",10,IF($J990="Partner",7,IF($J990="Internal",3,0)))+IF($W990="Hard-coded",10,IF($W990="Unknown",7,IF($W990="Configurable",3,0)))+IF($I990&gt;=10,10,IF($I990&gt;=5,7,IF($I990&gt;=2,3,0)))+IF($K990="High",10,IF($K990="Medium",5,0)))</x:f>
      </x:c>
      <x:c r="AC990" s="28" t="str">
        <x:f>IF($A990="","",IF(AB990&gt;=70,"P0 - Immediate",IF(AB990&gt;=50,"P1 - High",IF(AB990&gt;=30,"P2 - Medium",IF(AB990&gt;=15,"P3 - Low","P4 - Monitor")))))</x:f>
      </x:c>
      <x:c r="AD990" s="28"/>
      <x:c r="AE990" s="28"/>
      <x:c r="AF990" s="28"/>
      <x:c r="AG990" s="58"/>
      <x:c r="AH990" s="28"/>
    </x:row>
    <x:row r="991">
      <x:c r="A991" s="28"/>
      <x:c r="B991" s="28"/>
      <x:c r="C991" s="28"/>
      <x:c r="D991" s="28"/>
      <x:c r="E991" s="28"/>
      <x:c r="F991" s="28"/>
      <x:c r="G991" s="28"/>
      <x:c r="H991" s="28"/>
      <x:c r="I991" s="56"/>
      <x:c r="J991" s="28"/>
      <x:c r="K991" s="28"/>
      <x:c r="L991" s="56"/>
      <x:c r="M991" s="28"/>
      <x:c r="N991" s="28"/>
      <x:c r="O991" s="28"/>
      <x:c r="P991" s="28"/>
      <x:c r="Q991" s="28"/>
      <x:c r="R991" s="28"/>
      <x:c r="S991" s="28"/>
      <x:c r="T991" s="28"/>
      <x:c r="U991" s="28"/>
      <x:c r="V991" s="28"/>
      <x:c r="W991" s="28"/>
      <x:c r="X991" s="28"/>
      <x:c r="Y991" s="28"/>
      <x:c r="Z991" s="28"/>
      <x:c r="AA991" s="28"/>
      <x:c r="AB991" s="56" t="str">
        <x:f>IF($A991="","",IF(Z991="Y",20,IF(Z991="Unknown",10,0))+$L991*5+IF(AA991="Y",15,IF(AA991="Unknown",5,0))+IF($J991="Public",10,IF($J991="Partner",7,IF($J991="Internal",3,0)))+IF($W991="Hard-coded",10,IF($W991="Unknown",7,IF($W991="Configurable",3,0)))+IF($I991&gt;=10,10,IF($I991&gt;=5,7,IF($I991&gt;=2,3,0)))+IF($K991="High",10,IF($K991="Medium",5,0)))</x:f>
      </x:c>
      <x:c r="AC991" s="28" t="str">
        <x:f>IF($A991="","",IF(AB991&gt;=70,"P0 - Immediate",IF(AB991&gt;=50,"P1 - High",IF(AB991&gt;=30,"P2 - Medium",IF(AB991&gt;=15,"P3 - Low","P4 - Monitor")))))</x:f>
      </x:c>
      <x:c r="AD991" s="28"/>
      <x:c r="AE991" s="28"/>
      <x:c r="AF991" s="28"/>
      <x:c r="AG991" s="58"/>
      <x:c r="AH991" s="28"/>
    </x:row>
    <x:row r="992">
      <x:c r="A992" s="28"/>
      <x:c r="B992" s="28"/>
      <x:c r="C992" s="28"/>
      <x:c r="D992" s="28"/>
      <x:c r="E992" s="28"/>
      <x:c r="F992" s="28"/>
      <x:c r="G992" s="28"/>
      <x:c r="H992" s="28"/>
      <x:c r="I992" s="56"/>
      <x:c r="J992" s="28"/>
      <x:c r="K992" s="28"/>
      <x:c r="L992" s="56"/>
      <x:c r="M992" s="28"/>
      <x:c r="N992" s="28"/>
      <x:c r="O992" s="28"/>
      <x:c r="P992" s="28"/>
      <x:c r="Q992" s="28"/>
      <x:c r="R992" s="28"/>
      <x:c r="S992" s="28"/>
      <x:c r="T992" s="28"/>
      <x:c r="U992" s="28"/>
      <x:c r="V992" s="28"/>
      <x:c r="W992" s="28"/>
      <x:c r="X992" s="28"/>
      <x:c r="Y992" s="28"/>
      <x:c r="Z992" s="28"/>
      <x:c r="AA992" s="28"/>
      <x:c r="AB992" s="56" t="str">
        <x:f>IF($A992="","",IF(Z992="Y",20,IF(Z992="Unknown",10,0))+$L992*5+IF(AA992="Y",15,IF(AA992="Unknown",5,0))+IF($J992="Public",10,IF($J992="Partner",7,IF($J992="Internal",3,0)))+IF($W992="Hard-coded",10,IF($W992="Unknown",7,IF($W992="Configurable",3,0)))+IF($I992&gt;=10,10,IF($I992&gt;=5,7,IF($I992&gt;=2,3,0)))+IF($K992="High",10,IF($K992="Medium",5,0)))</x:f>
      </x:c>
      <x:c r="AC992" s="28" t="str">
        <x:f>IF($A992="","",IF(AB992&gt;=70,"P0 - Immediate",IF(AB992&gt;=50,"P1 - High",IF(AB992&gt;=30,"P2 - Medium",IF(AB992&gt;=15,"P3 - Low","P4 - Monitor")))))</x:f>
      </x:c>
      <x:c r="AD992" s="28"/>
      <x:c r="AE992" s="28"/>
      <x:c r="AF992" s="28"/>
      <x:c r="AG992" s="58"/>
      <x:c r="AH992" s="28"/>
    </x:row>
    <x:row r="993">
      <x:c r="A993" s="28"/>
      <x:c r="B993" s="28"/>
      <x:c r="C993" s="28"/>
      <x:c r="D993" s="28"/>
      <x:c r="E993" s="28"/>
      <x:c r="F993" s="28"/>
      <x:c r="G993" s="28"/>
      <x:c r="H993" s="28"/>
      <x:c r="I993" s="56"/>
      <x:c r="J993" s="28"/>
      <x:c r="K993" s="28"/>
      <x:c r="L993" s="56"/>
      <x:c r="M993" s="28"/>
      <x:c r="N993" s="28"/>
      <x:c r="O993" s="28"/>
      <x:c r="P993" s="28"/>
      <x:c r="Q993" s="28"/>
      <x:c r="R993" s="28"/>
      <x:c r="S993" s="28"/>
      <x:c r="T993" s="28"/>
      <x:c r="U993" s="28"/>
      <x:c r="V993" s="28"/>
      <x:c r="W993" s="28"/>
      <x:c r="X993" s="28"/>
      <x:c r="Y993" s="28"/>
      <x:c r="Z993" s="28"/>
      <x:c r="AA993" s="28"/>
      <x:c r="AB993" s="56" t="str">
        <x:f>IF($A993="","",IF(Z993="Y",20,IF(Z993="Unknown",10,0))+$L993*5+IF(AA993="Y",15,IF(AA993="Unknown",5,0))+IF($J993="Public",10,IF($J993="Partner",7,IF($J993="Internal",3,0)))+IF($W993="Hard-coded",10,IF($W993="Unknown",7,IF($W993="Configurable",3,0)))+IF($I993&gt;=10,10,IF($I993&gt;=5,7,IF($I993&gt;=2,3,0)))+IF($K993="High",10,IF($K993="Medium",5,0)))</x:f>
      </x:c>
      <x:c r="AC993" s="28" t="str">
        <x:f>IF($A993="","",IF(AB993&gt;=70,"P0 - Immediate",IF(AB993&gt;=50,"P1 - High",IF(AB993&gt;=30,"P2 - Medium",IF(AB993&gt;=15,"P3 - Low","P4 - Monitor")))))</x:f>
      </x:c>
      <x:c r="AD993" s="28"/>
      <x:c r="AE993" s="28"/>
      <x:c r="AF993" s="28"/>
      <x:c r="AG993" s="58"/>
      <x:c r="AH993" s="28"/>
    </x:row>
    <x:row r="994">
      <x:c r="A994" s="28"/>
      <x:c r="B994" s="28"/>
      <x:c r="C994" s="28"/>
      <x:c r="D994" s="28"/>
      <x:c r="E994" s="28"/>
      <x:c r="F994" s="28"/>
      <x:c r="G994" s="28"/>
      <x:c r="H994" s="28"/>
      <x:c r="I994" s="56"/>
      <x:c r="J994" s="28"/>
      <x:c r="K994" s="28"/>
      <x:c r="L994" s="56"/>
      <x:c r="M994" s="28"/>
      <x:c r="N994" s="28"/>
      <x:c r="O994" s="28"/>
      <x:c r="P994" s="28"/>
      <x:c r="Q994" s="28"/>
      <x:c r="R994" s="28"/>
      <x:c r="S994" s="28"/>
      <x:c r="T994" s="28"/>
      <x:c r="U994" s="28"/>
      <x:c r="V994" s="28"/>
      <x:c r="W994" s="28"/>
      <x:c r="X994" s="28"/>
      <x:c r="Y994" s="28"/>
      <x:c r="Z994" s="28"/>
      <x:c r="AA994" s="28"/>
      <x:c r="AB994" s="56" t="str">
        <x:f>IF($A994="","",IF(Z994="Y",20,IF(Z994="Unknown",10,0))+$L994*5+IF(AA994="Y",15,IF(AA994="Unknown",5,0))+IF($J994="Public",10,IF($J994="Partner",7,IF($J994="Internal",3,0)))+IF($W994="Hard-coded",10,IF($W994="Unknown",7,IF($W994="Configurable",3,0)))+IF($I994&gt;=10,10,IF($I994&gt;=5,7,IF($I994&gt;=2,3,0)))+IF($K994="High",10,IF($K994="Medium",5,0)))</x:f>
      </x:c>
      <x:c r="AC994" s="28" t="str">
        <x:f>IF($A994="","",IF(AB994&gt;=70,"P0 - Immediate",IF(AB994&gt;=50,"P1 - High",IF(AB994&gt;=30,"P2 - Medium",IF(AB994&gt;=15,"P3 - Low","P4 - Monitor")))))</x:f>
      </x:c>
      <x:c r="AD994" s="28"/>
      <x:c r="AE994" s="28"/>
      <x:c r="AF994" s="28"/>
      <x:c r="AG994" s="58"/>
      <x:c r="AH994" s="28"/>
    </x:row>
    <x:row r="995">
      <x:c r="A995" s="28"/>
      <x:c r="B995" s="28"/>
      <x:c r="C995" s="28"/>
      <x:c r="D995" s="28"/>
      <x:c r="E995" s="28"/>
      <x:c r="F995" s="28"/>
      <x:c r="G995" s="28"/>
      <x:c r="H995" s="28"/>
      <x:c r="I995" s="56"/>
      <x:c r="J995" s="28"/>
      <x:c r="K995" s="28"/>
      <x:c r="L995" s="56"/>
      <x:c r="M995" s="28"/>
      <x:c r="N995" s="28"/>
      <x:c r="O995" s="28"/>
      <x:c r="P995" s="28"/>
      <x:c r="Q995" s="28"/>
      <x:c r="R995" s="28"/>
      <x:c r="S995" s="28"/>
      <x:c r="T995" s="28"/>
      <x:c r="U995" s="28"/>
      <x:c r="V995" s="28"/>
      <x:c r="W995" s="28"/>
      <x:c r="X995" s="28"/>
      <x:c r="Y995" s="28"/>
      <x:c r="Z995" s="28"/>
      <x:c r="AA995" s="28"/>
      <x:c r="AB995" s="56" t="str">
        <x:f>IF($A995="","",IF(Z995="Y",20,IF(Z995="Unknown",10,0))+$L995*5+IF(AA995="Y",15,IF(AA995="Unknown",5,0))+IF($J995="Public",10,IF($J995="Partner",7,IF($J995="Internal",3,0)))+IF($W995="Hard-coded",10,IF($W995="Unknown",7,IF($W995="Configurable",3,0)))+IF($I995&gt;=10,10,IF($I995&gt;=5,7,IF($I995&gt;=2,3,0)))+IF($K995="High",10,IF($K995="Medium",5,0)))</x:f>
      </x:c>
      <x:c r="AC995" s="28" t="str">
        <x:f>IF($A995="","",IF(AB995&gt;=70,"P0 - Immediate",IF(AB995&gt;=50,"P1 - High",IF(AB995&gt;=30,"P2 - Medium",IF(AB995&gt;=15,"P3 - Low","P4 - Monitor")))))</x:f>
      </x:c>
      <x:c r="AD995" s="28"/>
      <x:c r="AE995" s="28"/>
      <x:c r="AF995" s="28"/>
      <x:c r="AG995" s="58"/>
      <x:c r="AH995" s="28"/>
    </x:row>
    <x:row r="996">
      <x:c r="A996" s="28"/>
      <x:c r="B996" s="28"/>
      <x:c r="C996" s="28"/>
      <x:c r="D996" s="28"/>
      <x:c r="E996" s="28"/>
      <x:c r="F996" s="28"/>
      <x:c r="G996" s="28"/>
      <x:c r="H996" s="28"/>
      <x:c r="I996" s="56"/>
      <x:c r="J996" s="28"/>
      <x:c r="K996" s="28"/>
      <x:c r="L996" s="56"/>
      <x:c r="M996" s="28"/>
      <x:c r="N996" s="28"/>
      <x:c r="O996" s="28"/>
      <x:c r="P996" s="28"/>
      <x:c r="Q996" s="28"/>
      <x:c r="R996" s="28"/>
      <x:c r="S996" s="28"/>
      <x:c r="T996" s="28"/>
      <x:c r="U996" s="28"/>
      <x:c r="V996" s="28"/>
      <x:c r="W996" s="28"/>
      <x:c r="X996" s="28"/>
      <x:c r="Y996" s="28"/>
      <x:c r="Z996" s="28"/>
      <x:c r="AA996" s="28"/>
      <x:c r="AB996" s="56" t="str">
        <x:f>IF($A996="","",IF(Z996="Y",20,IF(Z996="Unknown",10,0))+$L996*5+IF(AA996="Y",15,IF(AA996="Unknown",5,0))+IF($J996="Public",10,IF($J996="Partner",7,IF($J996="Internal",3,0)))+IF($W996="Hard-coded",10,IF($W996="Unknown",7,IF($W996="Configurable",3,0)))+IF($I996&gt;=10,10,IF($I996&gt;=5,7,IF($I996&gt;=2,3,0)))+IF($K996="High",10,IF($K996="Medium",5,0)))</x:f>
      </x:c>
      <x:c r="AC996" s="28" t="str">
        <x:f>IF($A996="","",IF(AB996&gt;=70,"P0 - Immediate",IF(AB996&gt;=50,"P1 - High",IF(AB996&gt;=30,"P2 - Medium",IF(AB996&gt;=15,"P3 - Low","P4 - Monitor")))))</x:f>
      </x:c>
      <x:c r="AD996" s="28"/>
      <x:c r="AE996" s="28"/>
      <x:c r="AF996" s="28"/>
      <x:c r="AG996" s="58"/>
      <x:c r="AH996" s="28"/>
    </x:row>
    <x:row r="997">
      <x:c r="A997" s="28"/>
      <x:c r="B997" s="28"/>
      <x:c r="C997" s="28"/>
      <x:c r="D997" s="28"/>
      <x:c r="E997" s="28"/>
      <x:c r="F997" s="28"/>
      <x:c r="G997" s="28"/>
      <x:c r="H997" s="28"/>
      <x:c r="I997" s="56"/>
      <x:c r="J997" s="28"/>
      <x:c r="K997" s="28"/>
      <x:c r="L997" s="56"/>
      <x:c r="M997" s="28"/>
      <x:c r="N997" s="28"/>
      <x:c r="O997" s="28"/>
      <x:c r="P997" s="28"/>
      <x:c r="Q997" s="28"/>
      <x:c r="R997" s="28"/>
      <x:c r="S997" s="28"/>
      <x:c r="T997" s="28"/>
      <x:c r="U997" s="28"/>
      <x:c r="V997" s="28"/>
      <x:c r="W997" s="28"/>
      <x:c r="X997" s="28"/>
      <x:c r="Y997" s="28"/>
      <x:c r="Z997" s="28"/>
      <x:c r="AA997" s="28"/>
      <x:c r="AB997" s="56" t="str">
        <x:f>IF($A997="","",IF(Z997="Y",20,IF(Z997="Unknown",10,0))+$L997*5+IF(AA997="Y",15,IF(AA997="Unknown",5,0))+IF($J997="Public",10,IF($J997="Partner",7,IF($J997="Internal",3,0)))+IF($W997="Hard-coded",10,IF($W997="Unknown",7,IF($W997="Configurable",3,0)))+IF($I997&gt;=10,10,IF($I997&gt;=5,7,IF($I997&gt;=2,3,0)))+IF($K997="High",10,IF($K997="Medium",5,0)))</x:f>
      </x:c>
      <x:c r="AC997" s="28" t="str">
        <x:f>IF($A997="","",IF(AB997&gt;=70,"P0 - Immediate",IF(AB997&gt;=50,"P1 - High",IF(AB997&gt;=30,"P2 - Medium",IF(AB997&gt;=15,"P3 - Low","P4 - Monitor")))))</x:f>
      </x:c>
      <x:c r="AD997" s="28"/>
      <x:c r="AE997" s="28"/>
      <x:c r="AF997" s="28"/>
      <x:c r="AG997" s="58"/>
      <x:c r="AH997" s="28"/>
    </x:row>
    <x:row r="998">
      <x:c r="A998" s="28"/>
      <x:c r="B998" s="28"/>
      <x:c r="C998" s="28"/>
      <x:c r="D998" s="28"/>
      <x:c r="E998" s="28"/>
      <x:c r="F998" s="28"/>
      <x:c r="G998" s="28"/>
      <x:c r="H998" s="28"/>
      <x:c r="I998" s="56"/>
      <x:c r="J998" s="28"/>
      <x:c r="K998" s="28"/>
      <x:c r="L998" s="56"/>
      <x:c r="M998" s="28"/>
      <x:c r="N998" s="28"/>
      <x:c r="O998" s="28"/>
      <x:c r="P998" s="28"/>
      <x:c r="Q998" s="28"/>
      <x:c r="R998" s="28"/>
      <x:c r="S998" s="28"/>
      <x:c r="T998" s="28"/>
      <x:c r="U998" s="28"/>
      <x:c r="V998" s="28"/>
      <x:c r="W998" s="28"/>
      <x:c r="X998" s="28"/>
      <x:c r="Y998" s="28"/>
      <x:c r="Z998" s="28"/>
      <x:c r="AA998" s="28"/>
      <x:c r="AB998" s="56" t="str">
        <x:f>IF($A998="","",IF(Z998="Y",20,IF(Z998="Unknown",10,0))+$L998*5+IF(AA998="Y",15,IF(AA998="Unknown",5,0))+IF($J998="Public",10,IF($J998="Partner",7,IF($J998="Internal",3,0)))+IF($W998="Hard-coded",10,IF($W998="Unknown",7,IF($W998="Configurable",3,0)))+IF($I998&gt;=10,10,IF($I998&gt;=5,7,IF($I998&gt;=2,3,0)))+IF($K998="High",10,IF($K998="Medium",5,0)))</x:f>
      </x:c>
      <x:c r="AC998" s="28" t="str">
        <x:f>IF($A998="","",IF(AB998&gt;=70,"P0 - Immediate",IF(AB998&gt;=50,"P1 - High",IF(AB998&gt;=30,"P2 - Medium",IF(AB998&gt;=15,"P3 - Low","P4 - Monitor")))))</x:f>
      </x:c>
      <x:c r="AD998" s="28"/>
      <x:c r="AE998" s="28"/>
      <x:c r="AF998" s="28"/>
      <x:c r="AG998" s="58"/>
      <x:c r="AH998" s="28"/>
    </x:row>
    <x:row r="999">
      <x:c r="A999" s="28"/>
      <x:c r="B999" s="28"/>
      <x:c r="C999" s="28"/>
      <x:c r="D999" s="28"/>
      <x:c r="E999" s="28"/>
      <x:c r="F999" s="28"/>
      <x:c r="G999" s="28"/>
      <x:c r="H999" s="28"/>
      <x:c r="I999" s="56"/>
      <x:c r="J999" s="28"/>
      <x:c r="K999" s="28"/>
      <x:c r="L999" s="56"/>
      <x:c r="M999" s="28"/>
      <x:c r="N999" s="28"/>
      <x:c r="O999" s="28"/>
      <x:c r="P999" s="28"/>
      <x:c r="Q999" s="28"/>
      <x:c r="R999" s="28"/>
      <x:c r="S999" s="28"/>
      <x:c r="T999" s="28"/>
      <x:c r="U999" s="28"/>
      <x:c r="V999" s="28"/>
      <x:c r="W999" s="28"/>
      <x:c r="X999" s="28"/>
      <x:c r="Y999" s="28"/>
      <x:c r="Z999" s="28"/>
      <x:c r="AA999" s="28"/>
      <x:c r="AB999" s="56" t="str">
        <x:f>IF($A999="","",IF(Z999="Y",20,IF(Z999="Unknown",10,0))+$L999*5+IF(AA999="Y",15,IF(AA999="Unknown",5,0))+IF($J999="Public",10,IF($J999="Partner",7,IF($J999="Internal",3,0)))+IF($W999="Hard-coded",10,IF($W999="Unknown",7,IF($W999="Configurable",3,0)))+IF($I999&gt;=10,10,IF($I999&gt;=5,7,IF($I999&gt;=2,3,0)))+IF($K999="High",10,IF($K999="Medium",5,0)))</x:f>
      </x:c>
      <x:c r="AC999" s="28" t="str">
        <x:f>IF($A999="","",IF(AB999&gt;=70,"P0 - Immediate",IF(AB999&gt;=50,"P1 - High",IF(AB999&gt;=30,"P2 - Medium",IF(AB999&gt;=15,"P3 - Low","P4 - Monitor")))))</x:f>
      </x:c>
      <x:c r="AD999" s="28"/>
      <x:c r="AE999" s="28"/>
      <x:c r="AF999" s="28"/>
      <x:c r="AG999" s="58"/>
      <x:c r="AH999" s="28"/>
    </x:row>
    <x:row r="1000">
      <x:c r="A1000" s="28"/>
      <x:c r="B1000" s="28"/>
      <x:c r="C1000" s="28"/>
      <x:c r="D1000" s="28"/>
      <x:c r="E1000" s="28"/>
      <x:c r="F1000" s="28"/>
      <x:c r="G1000" s="28"/>
      <x:c r="H1000" s="28"/>
      <x:c r="I1000" s="56"/>
      <x:c r="J1000" s="28"/>
      <x:c r="K1000" s="28"/>
      <x:c r="L1000" s="56"/>
      <x:c r="M1000" s="28"/>
      <x:c r="N1000" s="28"/>
      <x:c r="O1000" s="28"/>
      <x:c r="P1000" s="28"/>
      <x:c r="Q1000" s="28"/>
      <x:c r="R1000" s="28"/>
      <x:c r="S1000" s="28"/>
      <x:c r="T1000" s="28"/>
      <x:c r="U1000" s="28"/>
      <x:c r="V1000" s="28"/>
      <x:c r="W1000" s="28"/>
      <x:c r="X1000" s="28"/>
      <x:c r="Y1000" s="28"/>
      <x:c r="Z1000" s="28"/>
      <x:c r="AA1000" s="28"/>
      <x:c r="AB1000" s="56" t="str">
        <x:f>IF($A1000="","",IF(Z1000="Y",20,IF(Z1000="Unknown",10,0))+$L1000*5+IF(AA1000="Y",15,IF(AA1000="Unknown",5,0))+IF($J1000="Public",10,IF($J1000="Partner",7,IF($J1000="Internal",3,0)))+IF($W1000="Hard-coded",10,IF($W1000="Unknown",7,IF($W1000="Configurable",3,0)))+IF($I1000&gt;=10,10,IF($I1000&gt;=5,7,IF($I1000&gt;=2,3,0)))+IF($K1000="High",10,IF($K1000="Medium",5,0)))</x:f>
      </x:c>
      <x:c r="AC1000" s="28" t="str">
        <x:f>IF($A1000="","",IF(AB1000&gt;=70,"P0 - Immediate",IF(AB1000&gt;=50,"P1 - High",IF(AB1000&gt;=30,"P2 - Medium",IF(AB1000&gt;=15,"P3 - Low","P4 - Monitor")))))</x:f>
      </x:c>
      <x:c r="AD1000" s="28"/>
      <x:c r="AE1000" s="28"/>
      <x:c r="AF1000" s="28"/>
      <x:c r="AG1000" s="58"/>
      <x:c r="AH1000" s="28"/>
    </x:row>
    <x:row r="1001">
      <x:c r="A1001" s="28"/>
      <x:c r="B1001" s="28"/>
      <x:c r="C1001" s="28"/>
      <x:c r="D1001" s="28"/>
      <x:c r="E1001" s="28"/>
      <x:c r="F1001" s="28"/>
      <x:c r="G1001" s="28"/>
      <x:c r="H1001" s="28"/>
      <x:c r="I1001" s="56"/>
      <x:c r="J1001" s="28"/>
      <x:c r="K1001" s="28"/>
      <x:c r="L1001" s="56"/>
      <x:c r="M1001" s="28"/>
      <x:c r="N1001" s="28"/>
      <x:c r="O1001" s="28"/>
      <x:c r="P1001" s="28"/>
      <x:c r="Q1001" s="28"/>
      <x:c r="R1001" s="28"/>
      <x:c r="S1001" s="28"/>
      <x:c r="T1001" s="28"/>
      <x:c r="U1001" s="28"/>
      <x:c r="V1001" s="28"/>
      <x:c r="W1001" s="28"/>
      <x:c r="X1001" s="28"/>
      <x:c r="Y1001" s="28"/>
      <x:c r="Z1001" s="28"/>
      <x:c r="AA1001" s="28"/>
      <x:c r="AB1001" s="56" t="str">
        <x:f>IF($A1001="","",IF(Z1001="Y",20,IF(Z1001="Unknown",10,0))+$L1001*5+IF(AA1001="Y",15,IF(AA1001="Unknown",5,0))+IF($J1001="Public",10,IF($J1001="Partner",7,IF($J1001="Internal",3,0)))+IF($W1001="Hard-coded",10,IF($W1001="Unknown",7,IF($W1001="Configurable",3,0)))+IF($I1001&gt;=10,10,IF($I1001&gt;=5,7,IF($I1001&gt;=2,3,0)))+IF($K1001="High",10,IF($K1001="Medium",5,0)))</x:f>
      </x:c>
      <x:c r="AC1001" s="28" t="str">
        <x:f>IF($A1001="","",IF(AB1001&gt;=70,"P0 - Immediate",IF(AB1001&gt;=50,"P1 - High",IF(AB1001&gt;=30,"P2 - Medium",IF(AB1001&gt;=15,"P3 - Low","P4 - Monitor")))))</x:f>
      </x:c>
      <x:c r="AD1001" s="28"/>
      <x:c r="AE1001" s="28"/>
      <x:c r="AF1001" s="28"/>
      <x:c r="AG1001" s="58"/>
      <x:c r="AH1001" s="28"/>
    </x:row>
  </x:sheetData>
  <x:conditionalFormatting sqref="AC2:AC1001">
    <x:cfRule type="expression" dxfId="0" priority="1">
      <x:formula>LEFT(AC2,2)="P0"</x:formula>
    </x:cfRule>
    <x:cfRule type="expression" dxfId="1" priority="2">
      <x:formula>LEFT(AC2,2)="P1"</x:formula>
    </x:cfRule>
    <x:cfRule type="expression" dxfId="2" priority="3">
      <x:formula>LEFT(AC2,2)="P2"</x:formula>
    </x:cfRule>
  </x:conditionalFormatting>
  <x:conditionalFormatting sqref="AD2:AD1001">
    <x:cfRule type="expression" dxfId="3" priority="4">
      <x:formula>AD2="Complete"</x:formula>
    </x:cfRule>
  </x:conditionalFormatting>
  <x:conditionalFormatting sqref="AB2:AB1001">
    <x:cfRule type="dataBar" priority="5">
      <x:dataBar>
        <x:cfvo type="min"/>
        <x:cfvo type="max"/>
        <x:color rgb="0B4F6C"/>
      </x:dataBar>
      <x:extLst>
        <x:ext xmlns:x14="http://schemas.microsoft.com/office/spreadsheetml/2009/9/main" uri="{B025F937-C7B1-47D3-B67F-A62EFF666E3E}">
          <x14:id>{DE9BE58A-CD7F-D299-56C6-95139ECBEF51}</x14:id>
        </x:ext>
      </x:extLst>
    </x:cfRule>
  </x:conditionalFormatting>
  <x:dataValidations count="14">
    <x:dataValidation type="list" sqref="F2:F1001">
      <x:formula1>Lists!$A$2:$A$8</x:formula1>
    </x:dataValidation>
    <x:dataValidation type="list" sqref="H2:H1001">
      <x:formula1>Lists!$B$2:$B$8</x:formula1>
    </x:dataValidation>
    <x:dataValidation type="list" sqref="J2:J1001">
      <x:formula1>Lists!$C$2:$C$6</x:formula1>
    </x:dataValidation>
    <x:dataValidation type="list" sqref="K2:K1001">
      <x:formula1>Lists!$D$2:$D$6</x:formula1>
    </x:dataValidation>
    <x:dataValidation type="list" sqref="M2:M1001">
      <x:formula1>Lists!$E$2:$E$20</x:formula1>
    </x:dataValidation>
    <x:dataValidation type="list" sqref="O2:O1001">
      <x:formula1>Lists!$F$2:$F$10</x:formula1>
    </x:dataValidation>
    <x:dataValidation type="list" sqref="Z2:Z1001">
      <x:formula1>Lists!$G$2:$G$4</x:formula1>
    </x:dataValidation>
    <x:dataValidation type="list" sqref="AA2:AA1001">
      <x:formula1>Lists!$H$2:$H$4</x:formula1>
    </x:dataValidation>
    <x:dataValidation type="list" sqref="V2:V1001">
      <x:formula1>Lists!$I$2:$I$7</x:formula1>
    </x:dataValidation>
    <x:dataValidation type="list" sqref="W2:W1001">
      <x:formula1>Lists!$J$2:$J$7</x:formula1>
    </x:dataValidation>
    <x:dataValidation type="list" sqref="X2:X1001">
      <x:formula1>Lists!$K$2:$K$7</x:formula1>
    </x:dataValidation>
    <x:dataValidation type="list" sqref="Y2:Y1001">
      <x:formula1>Lists!$L$2:$L$10</x:formula1>
    </x:dataValidation>
    <x:dataValidation type="list" sqref="AC2:AC1001">
      <x:formula1>Lists!$M$2:$M$6</x:formula1>
    </x:dataValidation>
    <x:dataValidation type="list" sqref="AD2:AD1001">
      <x:formula1>Lists!$N$2:$N$10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64a7aba2b243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DE9BE58A-CD7F-D299-56C6-95139ECBEF51}">
            <x14:dataBar gradient="1">
              <x14:cfvo type="min"/>
              <x14:cfvo type="max"/>
              <x14:fillColor rgb="0B4F6C"/>
            </x14:dataBar>
          </x14:cfRule>
          <xm:sqref>AB2:AB1001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46" hidden="0" customWidth="1"/>
    <x:col min="4" max="4" width="34" hidden="0" customWidth="1"/>
    <x:col min="5" max="5" width="24" hidden="0" customWidth="1"/>
    <x:col min="6" max="6" width="32" hidden="0" customWidth="1"/>
    <x:col min="7" max="7" width="18" hidden="0" customWidth="1"/>
    <x:col min="8" max="8" width="14" hidden="0" customWidth="1"/>
    <x:col min="9" max="9" width="32" hidden="0" customWidth="1"/>
  </x:cols>
  <x:sheetData>
    <x:row r="1">
      <x:c r="A1" s="53" t="str">
        <x:v>Domain</x:v>
      </x:c>
      <x:c r="B1" s="53" t="str">
        <x:v>Checklist Item</x:v>
      </x:c>
      <x:c r="C1" s="53" t="str">
        <x:v>Acceptance Criteria</x:v>
      </x:c>
      <x:c r="D1" s="53" t="str">
        <x:v>Evidence / Artifact</x:v>
      </x:c>
      <x:c r="E1" s="53" t="str">
        <x:v>Suggested Owner</x:v>
      </x:c>
      <x:c r="F1" s="53" t="str">
        <x:v>NIST Alignment</x:v>
      </x:c>
      <x:c r="G1" s="53" t="str">
        <x:v>Status</x:v>
      </x:c>
      <x:c r="H1" s="53" t="str">
        <x:v>Target Date</x:v>
      </x:c>
      <x:c r="I1" s="53" t="str">
        <x:v>Notes</x:v>
      </x:c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>
      <x:c r="A2" s="28" t="str">
        <x:v>Governance</x:v>
      </x:c>
      <x:c r="B2" s="28" t="str">
        <x:v>Assign an accountable PQC migration owner and cross-functional working group.</x:v>
      </x:c>
      <x:c r="C2" s="28" t="str">
        <x:v>Named owner, RACI, recurring cadence, decision log.</x:v>
      </x:c>
      <x:c r="D2" s="28" t="str">
        <x:v>Program charter, RACI, meeting notes.</x:v>
      </x:c>
      <x:c r="E2" s="28" t="str">
        <x:v>Security leadership / architecture</x:v>
      </x:c>
      <x:c r="F2" s="28" t="str">
        <x:v>NIST CSF 2.0 Govern; NCCoE Migration to PQC</x:v>
      </x:c>
      <x:c r="G2" s="28" t="str">
        <x:v>Not Started</x:v>
      </x:c>
      <x:c r="H2" s="58"/>
      <x:c r="I2" s="28" t="str"/>
    </x:row>
    <x:row r="3">
      <x:c r="A3" s="28" t="str">
        <x:v>Governance</x:v>
      </x:c>
      <x:c r="B3" s="28" t="str">
        <x:v>Define enterprise crypto-agility policy.</x:v>
      </x:c>
      <x:c r="C3" s="28" t="str">
        <x:v>Policy requires configurable algorithms, approved cryptographic libraries, and migration-friendly architectures.</x:v>
      </x:c>
      <x:c r="D3" s="28" t="str">
        <x:v>Policy document, architecture standard.</x:v>
      </x:c>
      <x:c r="E3" s="28" t="str">
        <x:v>Security architecture</x:v>
      </x:c>
      <x:c r="F3" s="28" t="str">
        <x:v>NIST CSWP 39; SP 800-53 SC/CM/SA families</x:v>
      </x:c>
      <x:c r="G3" s="28" t="str">
        <x:v>Not Started</x:v>
      </x:c>
      <x:c r="H3" s="58"/>
      <x:c r="I3" s="28" t="str"/>
    </x:row>
    <x:row r="4">
      <x:c r="A4" s="28" t="str">
        <x:v>Inventory</x:v>
      </x:c>
      <x:c r="B4" s="28" t="str">
        <x:v>Build a cryptographic inventory across applications, services, devices, certificates, libraries, protocols, and identities.</x:v>
      </x:c>
      <x:c r="C4" s="28" t="str">
        <x:v>Inventory covers at least externally exposed, high-value, long-lived, regulated, and OT/ICS systems.</x:v>
      </x:c>
      <x:c r="D4" s="28" t="str">
        <x:v>Completed Crypto Inventory sheet.</x:v>
      </x:c>
      <x:c r="E4" s="28" t="str">
        <x:v>Security engineering / asset owners</x:v>
      </x:c>
      <x:c r="F4" s="28" t="str">
        <x:v>NCCoE Migration to PQC; CISA quantum-readiness roadmap</x:v>
      </x:c>
      <x:c r="G4" s="28" t="str">
        <x:v>Not Started</x:v>
      </x:c>
      <x:c r="H4" s="58"/>
      <x:c r="I4" s="28" t="str"/>
    </x:row>
    <x:row r="5">
      <x:c r="A5" s="28" t="str">
        <x:v>Data risk</x:v>
      </x:c>
      <x:c r="B5" s="28" t="str">
        <x:v>Identify store-now/decrypt-later exposure.</x:v>
      </x:c>
      <x:c r="C5" s="28" t="str">
        <x:v>Data shelf life and sensitivity are recorded; long-life confidential data is prioritized.</x:v>
      </x:c>
      <x:c r="D5" s="28" t="str">
        <x:v>Data classification and retention mapping.</x:v>
      </x:c>
      <x:c r="E5" s="28" t="str">
        <x:v>Data governance / privacy / security</x:v>
      </x:c>
      <x:c r="F5" s="28" t="str">
        <x:v>NIST PQC migration planning</x:v>
      </x:c>
      <x:c r="G5" s="28" t="str">
        <x:v>Not Started</x:v>
      </x:c>
      <x:c r="H5" s="58"/>
      <x:c r="I5" s="28" t="str"/>
    </x:row>
    <x:row r="6">
      <x:c r="A6" s="28" t="str">
        <x:v>Architecture</x:v>
      </x:c>
      <x:c r="B6" s="28" t="str">
        <x:v>Classify crypto agility for each asset.</x:v>
      </x:c>
      <x:c r="C6" s="28" t="str">
        <x:v>Hard-coded algorithms and non-upgradeable libraries are flagged as migration blockers.</x:v>
      </x:c>
      <x:c r="D6" s="28" t="str">
        <x:v>Crypto agility field in inventory.</x:v>
      </x:c>
      <x:c r="E6" s="28" t="str">
        <x:v>Application owners / platform teams</x:v>
      </x:c>
      <x:c r="F6" s="28" t="str">
        <x:v>NIST CSWP 39</x:v>
      </x:c>
      <x:c r="G6" s="28" t="str">
        <x:v>Not Started</x:v>
      </x:c>
      <x:c r="H6" s="58"/>
      <x:c r="I6" s="28" t="str"/>
    </x:row>
    <x:row r="7">
      <x:c r="A7" s="28" t="str">
        <x:v>PKI</x:v>
      </x:c>
      <x:c r="B7" s="28" t="str">
        <x:v>Assess certificate authorities, certificate profiles, issuing workflows, trust anchors, and renewal automation.</x:v>
      </x:c>
      <x:c r="C7" s="28" t="str">
        <x:v>PKI roadmap includes algorithm agility, chain size impact, relying-party testing, rollback, and monitoring.</x:v>
      </x:c>
      <x:c r="D7" s="28" t="str">
        <x:v>PKI assessment, CA roadmap, certificate profile matrix.</x:v>
      </x:c>
      <x:c r="E7" s="28" t="str">
        <x:v>PKI/IAM team</x:v>
      </x:c>
      <x:c r="F7" s="28" t="str">
        <x:v>FIPS 204; FIPS 205; SP 800-53 IA/SC</x:v>
      </x:c>
      <x:c r="G7" s="28" t="str">
        <x:v>Not Started</x:v>
      </x:c>
      <x:c r="H7" s="58"/>
      <x:c r="I7" s="28" t="str"/>
    </x:row>
    <x:row r="8">
      <x:c r="A8" s="28" t="str">
        <x:v>Cloud/IAM</x:v>
      </x:c>
      <x:c r="B8" s="28" t="str">
        <x:v>Map authentication and federation dependencies using public-key signatures.</x:v>
      </x:c>
      <x:c r="C8" s="28" t="str">
        <x:v>SAML/OIDC/OAuth, service identities, workload identities, SSH, device identities, and signing flows are inventoried.</x:v>
      </x:c>
      <x:c r="D8" s="28" t="str">
        <x:v>Cloud/IAM playbook output.</x:v>
      </x:c>
      <x:c r="E8" s="28" t="str">
        <x:v>IAM / cloud platform team</x:v>
      </x:c>
      <x:c r="F8" s="28" t="str">
        <x:v>CSF 2.0 Govern/Identify/Protect; FIPS 204/205</x:v>
      </x:c>
      <x:c r="G8" s="28" t="str">
        <x:v>Not Started</x:v>
      </x:c>
      <x:c r="H8" s="58"/>
      <x:c r="I8" s="28" t="str"/>
    </x:row>
    <x:row r="9">
      <x:c r="A9" s="28" t="str">
        <x:v>Network</x:v>
      </x:c>
      <x:c r="B9" s="28" t="str">
        <x:v>Identify TLS, VPN, SSH, API gateway, service mesh, and remote access dependencies.</x:v>
      </x:c>
      <x:c r="C9" s="28" t="str">
        <x:v>Externally exposed and partner-facing endpoints have migration readiness owners and test environments.</x:v>
      </x:c>
      <x:c r="D9" s="28" t="str">
        <x:v>Endpoint and protocol inventory.</x:v>
      </x:c>
      <x:c r="E9" s="28" t="str">
        <x:v>Network / platform security</x:v>
      </x:c>
      <x:c r="F9" s="28" t="str">
        <x:v>FIPS 203; NCCoE Migration to PQC</x:v>
      </x:c>
      <x:c r="G9" s="28" t="str">
        <x:v>Not Started</x:v>
      </x:c>
      <x:c r="H9" s="58"/>
      <x:c r="I9" s="28" t="str"/>
    </x:row>
    <x:row r="10">
      <x:c r="A10" s="28" t="str">
        <x:v>Suppliers</x:v>
      </x:c>
      <x:c r="B10" s="28" t="str">
        <x:v>Request vendor PQC roadmaps and product support statements.</x:v>
      </x:c>
      <x:c r="C10" s="28" t="str">
        <x:v>Critical vendors provide PQC roadmap, dependency disclosures, update mechanisms, and support windows.</x:v>
      </x:c>
      <x:c r="D10" s="28" t="str">
        <x:v>Vendor questionnaire responses, contracts, SLAs.</x:v>
      </x:c>
      <x:c r="E10" s="28" t="str">
        <x:v>Procurement / vendor risk</x:v>
      </x:c>
      <x:c r="F10" s="28" t="str">
        <x:v>SP 800-161r1; CISA product categories</x:v>
      </x:c>
      <x:c r="G10" s="28" t="str">
        <x:v>Not Started</x:v>
      </x:c>
      <x:c r="H10" s="58"/>
      <x:c r="I10" s="28" t="str"/>
    </x:row>
    <x:row r="11">
      <x:c r="A11" s="28" t="str">
        <x:v>Testing</x:v>
      </x:c>
      <x:c r="B11" s="28" t="str">
        <x:v>Create PQC interoperability and performance test plan.</x:v>
      </x:c>
      <x:c r="C11" s="28" t="str">
        <x:v>Test plan includes certificate size, handshake behavior, latency, logging, monitoring, failure modes, and rollback.</x:v>
      </x:c>
      <x:c r="D11" s="28" t="str">
        <x:v>Test plan, lab results.</x:v>
      </x:c>
      <x:c r="E11" s="28" t="str">
        <x:v>Engineering / QA / security</x:v>
      </x:c>
      <x:c r="F11" s="28" t="str">
        <x:v>NCCoE interoperability workstream; NIST CSWP 39</x:v>
      </x:c>
      <x:c r="G11" s="28" t="str">
        <x:v>Not Started</x:v>
      </x:c>
      <x:c r="H11" s="58"/>
      <x:c r="I11" s="28" t="str"/>
    </x:row>
    <x:row r="12">
      <x:c r="A12" s="28" t="str">
        <x:v>OT/ICS</x:v>
      </x:c>
      <x:c r="B12" s="28" t="str">
        <x:v>Use safety-first OT/ICS change governance.</x:v>
      </x:c>
      <x:c r="C12" s="28" t="str">
        <x:v>No production OT crypto changes occur without safety impact assessment, vendor validation, lab testing, MOC approval, and maintenance window.</x:v>
      </x:c>
      <x:c r="D12" s="28" t="str">
        <x:v>MOC records, lab evidence, vendor approval.</x:v>
      </x:c>
      <x:c r="E12" s="28" t="str">
        <x:v>OT security / operations</x:v>
      </x:c>
      <x:c r="F12" s="28" t="str">
        <x:v>NIST SP 800-82r3; CISA OT PQC considerations</x:v>
      </x:c>
      <x:c r="G12" s="28" t="str">
        <x:v>Not Started</x:v>
      </x:c>
      <x:c r="H12" s="58"/>
      <x:c r="I12" s="28" t="str"/>
    </x:row>
    <x:row r="13">
      <x:c r="A13" s="28" t="str">
        <x:v>Operations</x:v>
      </x:c>
      <x:c r="B13" s="28" t="str">
        <x:v>Update monitoring, incident response, and audit evidence for changed cryptographic protocols and certificates.</x:v>
      </x:c>
      <x:c r="C13" s="28" t="str">
        <x:v>Logs and alerts validate new certificates/protocols; runbooks reflect rollback and exception handling.</x:v>
      </x:c>
      <x:c r="D13" s="28" t="str">
        <x:v>Monitoring rules, runbooks, change records.</x:v>
      </x:c>
      <x:c r="E13" s="28" t="str">
        <x:v>SOC / operations</x:v>
      </x:c>
      <x:c r="F13" s="28" t="str">
        <x:v>SP 800-53 AU/IR/SC; CSF Detect/Respond/Recover</x:v>
      </x:c>
      <x:c r="G13" s="28" t="str">
        <x:v>Not Started</x:v>
      </x:c>
      <x:c r="H13" s="58"/>
      <x:c r="I13" s="28" t="str"/>
    </x:row>
    <x:row r="14">
      <x:c r="A14" s="28" t="str">
        <x:v>Training</x:v>
      </x:c>
      <x:c r="B14" s="28" t="str">
        <x:v>Publish role-based awareness for engineers, asset owners, and procurement.</x:v>
      </x:c>
      <x:c r="C14" s="28" t="str">
        <x:v>Audience-specific guidance explains inventory fields, vendor questions, testing expectations, and exception process.</x:v>
      </x:c>
      <x:c r="D14" s="28" t="str">
        <x:v>Training materials, communications.</x:v>
      </x:c>
      <x:c r="E14" s="28" t="str">
        <x:v>Security enablement</x:v>
      </x:c>
      <x:c r="F14" s="28" t="str">
        <x:v>CSF Govern; SP 800-53 AT</x:v>
      </x:c>
      <x:c r="G14" s="28" t="str">
        <x:v>Not Started</x:v>
      </x:c>
      <x:c r="H14" s="58"/>
      <x:c r="I14" s="28" t="str"/>
    </x:row>
    <x:row r="15">
      <x:c r="H15" s="60"/>
    </x:row>
    <x:row r="16">
      <x:c r="H16" s="60"/>
    </x:row>
    <x:row r="17">
      <x:c r="H17" s="60"/>
    </x:row>
    <x:row r="18">
      <x:c r="H18" s="60"/>
    </x:row>
    <x:row r="19">
      <x:c r="H19" s="60"/>
    </x:row>
    <x:row r="20">
      <x:c r="H20" s="60"/>
    </x:row>
    <x:row r="21">
      <x:c r="H21" s="60"/>
    </x:row>
    <x:row r="22">
      <x:c r="H22" s="60"/>
    </x:row>
    <x:row r="23">
      <x:c r="H23" s="60"/>
    </x:row>
    <x:row r="24">
      <x:c r="H24" s="60"/>
    </x:row>
    <x:row r="25">
      <x:c r="H25" s="60"/>
    </x:row>
    <x:row r="26">
      <x:c r="H26" s="60"/>
    </x:row>
    <x:row r="27">
      <x:c r="H27" s="60"/>
    </x:row>
    <x:row r="28">
      <x:c r="H28" s="60"/>
    </x:row>
    <x:row r="29">
      <x:c r="H29" s="60"/>
    </x:row>
    <x:row r="30">
      <x:c r="H30" s="60"/>
    </x:row>
    <x:row r="31">
      <x:c r="H31" s="60"/>
    </x:row>
    <x:row r="32">
      <x:c r="H32" s="60"/>
    </x:row>
    <x:row r="33">
      <x:c r="H33" s="60"/>
    </x:row>
    <x:row r="34">
      <x:c r="H34" s="60"/>
    </x:row>
    <x:row r="35">
      <x:c r="H35" s="60"/>
    </x:row>
    <x:row r="36">
      <x:c r="H36" s="60"/>
    </x:row>
    <x:row r="37">
      <x:c r="H37" s="60"/>
    </x:row>
    <x:row r="38">
      <x:c r="H38" s="60"/>
    </x:row>
    <x:row r="39">
      <x:c r="H39" s="60"/>
    </x:row>
    <x:row r="40">
      <x:c r="H40" s="60"/>
    </x:row>
    <x:row r="41">
      <x:c r="H41" s="60"/>
    </x:row>
    <x:row r="42">
      <x:c r="H42" s="60"/>
    </x:row>
    <x:row r="43">
      <x:c r="H43" s="60"/>
    </x:row>
    <x:row r="44">
      <x:c r="H44" s="60"/>
    </x:row>
    <x:row r="45">
      <x:c r="H45" s="60"/>
    </x:row>
    <x:row r="46">
      <x:c r="H46" s="60"/>
    </x:row>
    <x:row r="47">
      <x:c r="H47" s="60"/>
    </x:row>
    <x:row r="48">
      <x:c r="H48" s="60"/>
    </x:row>
    <x:row r="49">
      <x:c r="H49" s="60"/>
    </x:row>
    <x:row r="50">
      <x:c r="H50" s="60"/>
    </x:row>
    <x:row r="51">
      <x:c r="H51" s="60"/>
    </x:row>
    <x:row r="52">
      <x:c r="H52" s="60"/>
    </x:row>
    <x:row r="53">
      <x:c r="H53" s="60"/>
    </x:row>
    <x:row r="54">
      <x:c r="H54" s="60"/>
    </x:row>
    <x:row r="55">
      <x:c r="H55" s="60"/>
    </x:row>
    <x:row r="56">
      <x:c r="H56" s="60"/>
    </x:row>
    <x:row r="57">
      <x:c r="H57" s="60"/>
    </x:row>
    <x:row r="58">
      <x:c r="H58" s="60"/>
    </x:row>
    <x:row r="59">
      <x:c r="H59" s="60"/>
    </x:row>
    <x:row r="60">
      <x:c r="H60" s="60"/>
    </x:row>
    <x:row r="61">
      <x:c r="H61" s="60"/>
    </x:row>
    <x:row r="62">
      <x:c r="H62" s="60"/>
    </x:row>
    <x:row r="63">
      <x:c r="H63" s="60"/>
    </x:row>
    <x:row r="64">
      <x:c r="H64" s="60"/>
    </x:row>
    <x:row r="65">
      <x:c r="H65" s="60"/>
    </x:row>
    <x:row r="66">
      <x:c r="H66" s="60"/>
    </x:row>
    <x:row r="67">
      <x:c r="H67" s="60"/>
    </x:row>
    <x:row r="68">
      <x:c r="H68" s="60"/>
    </x:row>
    <x:row r="69">
      <x:c r="H69" s="60"/>
    </x:row>
    <x:row r="70">
      <x:c r="H70" s="60"/>
    </x:row>
    <x:row r="71">
      <x:c r="H71" s="60"/>
    </x:row>
    <x:row r="72">
      <x:c r="H72" s="60"/>
    </x:row>
    <x:row r="73">
      <x:c r="H73" s="60"/>
    </x:row>
    <x:row r="74">
      <x:c r="H74" s="60"/>
    </x:row>
    <x:row r="75">
      <x:c r="H75" s="60"/>
    </x:row>
    <x:row r="76">
      <x:c r="H76" s="60"/>
    </x:row>
    <x:row r="77">
      <x:c r="H77" s="60"/>
    </x:row>
    <x:row r="78">
      <x:c r="H78" s="60"/>
    </x:row>
    <x:row r="79">
      <x:c r="H79" s="60"/>
    </x:row>
    <x:row r="80">
      <x:c r="H80" s="60"/>
    </x:row>
    <x:row r="81">
      <x:c r="H81" s="60"/>
    </x:row>
    <x:row r="82">
      <x:c r="H82" s="60"/>
    </x:row>
    <x:row r="83">
      <x:c r="H83" s="60"/>
    </x:row>
    <x:row r="84">
      <x:c r="H84" s="60"/>
    </x:row>
    <x:row r="85">
      <x:c r="H85" s="60"/>
    </x:row>
    <x:row r="86">
      <x:c r="H86" s="60"/>
    </x:row>
    <x:row r="87">
      <x:c r="H87" s="60"/>
    </x:row>
    <x:row r="88">
      <x:c r="H88" s="60"/>
    </x:row>
    <x:row r="89">
      <x:c r="H89" s="60"/>
    </x:row>
    <x:row r="90">
      <x:c r="H90" s="60"/>
    </x:row>
    <x:row r="91">
      <x:c r="H91" s="60"/>
    </x:row>
    <x:row r="92">
      <x:c r="H92" s="60"/>
    </x:row>
    <x:row r="93">
      <x:c r="H93" s="60"/>
    </x:row>
    <x:row r="94">
      <x:c r="H94" s="60"/>
    </x:row>
    <x:row r="95">
      <x:c r="H95" s="60"/>
    </x:row>
    <x:row r="96">
      <x:c r="H96" s="60"/>
    </x:row>
    <x:row r="97">
      <x:c r="H97" s="60"/>
    </x:row>
    <x:row r="98">
      <x:c r="H98" s="60"/>
    </x:row>
    <x:row r="99">
      <x:c r="H99" s="60"/>
    </x:row>
    <x:row r="100">
      <x:c r="H100" s="60"/>
    </x:row>
    <x:row r="101">
      <x:c r="H101" s="60"/>
    </x:row>
    <x:row r="102">
      <x:c r="H102" s="60"/>
    </x:row>
    <x:row r="103">
      <x:c r="H103" s="60"/>
    </x:row>
    <x:row r="104">
      <x:c r="H104" s="60"/>
    </x:row>
    <x:row r="105">
      <x:c r="H105" s="60"/>
    </x:row>
    <x:row r="106">
      <x:c r="H106" s="60"/>
    </x:row>
    <x:row r="107">
      <x:c r="H107" s="60"/>
    </x:row>
    <x:row r="108">
      <x:c r="H108" s="60"/>
    </x:row>
    <x:row r="109">
      <x:c r="H109" s="60"/>
    </x:row>
    <x:row r="110">
      <x:c r="H110" s="60"/>
    </x:row>
    <x:row r="111">
      <x:c r="H111" s="60"/>
    </x:row>
    <x:row r="112">
      <x:c r="H112" s="60"/>
    </x:row>
    <x:row r="113">
      <x:c r="H113" s="60"/>
    </x:row>
    <x:row r="114">
      <x:c r="H114" s="60"/>
    </x:row>
    <x:row r="115">
      <x:c r="H115" s="60"/>
    </x:row>
    <x:row r="116">
      <x:c r="H116" s="60"/>
    </x:row>
    <x:row r="117">
      <x:c r="H117" s="60"/>
    </x:row>
    <x:row r="118">
      <x:c r="H118" s="60"/>
    </x:row>
    <x:row r="119">
      <x:c r="H119" s="60"/>
    </x:row>
    <x:row r="120">
      <x:c r="H120" s="60"/>
    </x:row>
    <x:row r="121">
      <x:c r="H121" s="60"/>
    </x:row>
    <x:row r="122">
      <x:c r="H122" s="60"/>
    </x:row>
    <x:row r="123">
      <x:c r="H123" s="60"/>
    </x:row>
    <x:row r="124">
      <x:c r="H124" s="60"/>
    </x:row>
    <x:row r="125">
      <x:c r="H125" s="60"/>
    </x:row>
    <x:row r="126">
      <x:c r="H126" s="60"/>
    </x:row>
    <x:row r="127">
      <x:c r="H127" s="60"/>
    </x:row>
    <x:row r="128">
      <x:c r="H128" s="60"/>
    </x:row>
    <x:row r="129">
      <x:c r="H129" s="60"/>
    </x:row>
    <x:row r="130">
      <x:c r="H130" s="60"/>
    </x:row>
    <x:row r="131">
      <x:c r="H131" s="60"/>
    </x:row>
    <x:row r="132">
      <x:c r="H132" s="60"/>
    </x:row>
    <x:row r="133">
      <x:c r="H133" s="60"/>
    </x:row>
    <x:row r="134">
      <x:c r="H134" s="60"/>
    </x:row>
    <x:row r="135">
      <x:c r="H135" s="60"/>
    </x:row>
    <x:row r="136">
      <x:c r="H136" s="60"/>
    </x:row>
    <x:row r="137">
      <x:c r="H137" s="60"/>
    </x:row>
    <x:row r="138">
      <x:c r="H138" s="60"/>
    </x:row>
    <x:row r="139">
      <x:c r="H139" s="60"/>
    </x:row>
    <x:row r="140">
      <x:c r="H140" s="60"/>
    </x:row>
    <x:row r="141">
      <x:c r="H141" s="60"/>
    </x:row>
    <x:row r="142">
      <x:c r="H142" s="60"/>
    </x:row>
    <x:row r="143">
      <x:c r="H143" s="60"/>
    </x:row>
    <x:row r="144">
      <x:c r="H144" s="60"/>
    </x:row>
    <x:row r="145">
      <x:c r="H145" s="60"/>
    </x:row>
    <x:row r="146">
      <x:c r="H146" s="60"/>
    </x:row>
    <x:row r="147">
      <x:c r="H147" s="60"/>
    </x:row>
    <x:row r="148">
      <x:c r="H148" s="60"/>
    </x:row>
    <x:row r="149">
      <x:c r="H149" s="60"/>
    </x:row>
    <x:row r="150">
      <x:c r="H150" s="60"/>
    </x:row>
    <x:row r="151">
      <x:c r="H151" s="60"/>
    </x:row>
    <x:row r="152">
      <x:c r="H152" s="60"/>
    </x:row>
    <x:row r="153">
      <x:c r="H153" s="60"/>
    </x:row>
    <x:row r="154">
      <x:c r="H154" s="60"/>
    </x:row>
    <x:row r="155">
      <x:c r="H155" s="60"/>
    </x:row>
    <x:row r="156">
      <x:c r="H156" s="60"/>
    </x:row>
    <x:row r="157">
      <x:c r="H157" s="60"/>
    </x:row>
    <x:row r="158">
      <x:c r="H158" s="60"/>
    </x:row>
    <x:row r="159">
      <x:c r="H159" s="60"/>
    </x:row>
    <x:row r="160">
      <x:c r="H160" s="60"/>
    </x:row>
    <x:row r="161">
      <x:c r="H161" s="60"/>
    </x:row>
    <x:row r="162">
      <x:c r="H162" s="60"/>
    </x:row>
    <x:row r="163">
      <x:c r="H163" s="60"/>
    </x:row>
    <x:row r="164">
      <x:c r="H164" s="60"/>
    </x:row>
    <x:row r="165">
      <x:c r="H165" s="60"/>
    </x:row>
    <x:row r="166">
      <x:c r="H166" s="60"/>
    </x:row>
    <x:row r="167">
      <x:c r="H167" s="60"/>
    </x:row>
    <x:row r="168">
      <x:c r="H168" s="60"/>
    </x:row>
    <x:row r="169">
      <x:c r="H169" s="60"/>
    </x:row>
    <x:row r="170">
      <x:c r="H170" s="60"/>
    </x:row>
    <x:row r="171">
      <x:c r="H171" s="60"/>
    </x:row>
    <x:row r="172">
      <x:c r="H172" s="60"/>
    </x:row>
    <x:row r="173">
      <x:c r="H173" s="60"/>
    </x:row>
    <x:row r="174">
      <x:c r="H174" s="60"/>
    </x:row>
    <x:row r="175">
      <x:c r="H175" s="60"/>
    </x:row>
    <x:row r="176">
      <x:c r="H176" s="60"/>
    </x:row>
    <x:row r="177">
      <x:c r="H177" s="60"/>
    </x:row>
    <x:row r="178">
      <x:c r="H178" s="60"/>
    </x:row>
    <x:row r="179">
      <x:c r="H179" s="60"/>
    </x:row>
    <x:row r="180">
      <x:c r="H180" s="60"/>
    </x:row>
    <x:row r="181">
      <x:c r="H181" s="60"/>
    </x:row>
    <x:row r="182">
      <x:c r="H182" s="60"/>
    </x:row>
    <x:row r="183">
      <x:c r="H183" s="60"/>
    </x:row>
    <x:row r="184">
      <x:c r="H184" s="60"/>
    </x:row>
    <x:row r="185">
      <x:c r="H185" s="60"/>
    </x:row>
    <x:row r="186">
      <x:c r="H186" s="60"/>
    </x:row>
    <x:row r="187">
      <x:c r="H187" s="60"/>
    </x:row>
    <x:row r="188">
      <x:c r="H188" s="60"/>
    </x:row>
    <x:row r="189">
      <x:c r="H189" s="60"/>
    </x:row>
    <x:row r="190">
      <x:c r="H190" s="60"/>
    </x:row>
    <x:row r="191">
      <x:c r="H191" s="60"/>
    </x:row>
    <x:row r="192">
      <x:c r="H192" s="60"/>
    </x:row>
    <x:row r="193">
      <x:c r="H193" s="60"/>
    </x:row>
    <x:row r="194">
      <x:c r="H194" s="60"/>
    </x:row>
    <x:row r="195">
      <x:c r="H195" s="60"/>
    </x:row>
    <x:row r="196">
      <x:c r="H196" s="60"/>
    </x:row>
    <x:row r="197">
      <x:c r="H197" s="60"/>
    </x:row>
    <x:row r="198">
      <x:c r="H198" s="60"/>
    </x:row>
    <x:row r="199">
      <x:c r="H199" s="60"/>
    </x:row>
    <x:row r="200">
      <x:c r="H200" s="60"/>
    </x:row>
  </x:sheetData>
  <x:dataValidations count="1">
    <x:dataValidation type="list" sqref="G2:G200">
      <x:formula1>Lists!$N$2:$N$10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4d910472a243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8" hidden="0" customWidth="1"/>
    <x:col min="4" max="4" width="34" hidden="0" customWidth="1"/>
    <x:col min="5" max="5" width="24" hidden="0" customWidth="1"/>
    <x:col min="6" max="6" width="30" hidden="0" customWidth="1"/>
    <x:col min="7" max="7" width="18" hidden="0" customWidth="1"/>
    <x:col min="8" max="8" width="14" hidden="0" customWidth="1"/>
    <x:col min="9" max="9" width="32" hidden="0" customWidth="1"/>
  </x:cols>
  <x:sheetData>
    <x:row r="1">
      <x:c r="A1" s="53" t="str">
        <x:v>Phase</x:v>
      </x:c>
      <x:c r="B1" s="53" t="str">
        <x:v>Activity</x:v>
      </x:c>
      <x:c r="C1" s="53" t="str">
        <x:v>Detailed Action</x:v>
      </x:c>
      <x:c r="D1" s="53" t="str">
        <x:v>Output / Decision</x:v>
      </x:c>
      <x:c r="E1" s="53" t="str">
        <x:v>Owner</x:v>
      </x:c>
      <x:c r="F1" s="53" t="str">
        <x:v>Dependencies</x:v>
      </x:c>
      <x:c r="G1" s="53" t="str">
        <x:v>Status</x:v>
      </x:c>
      <x:c r="H1" s="53" t="str">
        <x:v>Target Date</x:v>
      </x:c>
      <x:c r="I1" s="53" t="str">
        <x:v>Notes</x:v>
      </x:c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>
      <x:c r="A2" s="28" t="str">
        <x:v>0. Mobilize</x:v>
      </x:c>
      <x:c r="B2" s="28" t="str">
        <x:v>Scope cloud and identity systems</x:v>
      </x:c>
      <x:c r="C2" s="28" t="str">
        <x:v>Define scope for public, private, hybrid cloud, identity providers, directories, PKI, KMS/HSM, certificate automation, workload identities, federation, service mesh, API gateways, VPN, SSH, CI/CD, artifact signing, and secrets management.</x:v>
      </x:c>
      <x:c r="D2" s="28" t="str">
        <x:v>Approved scope and architecture map.</x:v>
      </x:c>
      <x:c r="E2" s="28" t="str">
        <x:v>Cloud security lead</x:v>
      </x:c>
      <x:c r="F2" s="28" t="str">
        <x:v>Executive sponsor, asset inventory</x:v>
      </x:c>
      <x:c r="G2" s="28" t="str">
        <x:v>Not Started</x:v>
      </x:c>
      <x:c r="H2" s="58"/>
      <x:c r="I2" s="28" t="str"/>
    </x:row>
    <x:row r="3">
      <x:c r="A3" s="28" t="str">
        <x:v>0. Mobilize</x:v>
      </x:c>
      <x:c r="B3" s="28" t="str">
        <x:v>Define policy guardrails</x:v>
      </x:c>
      <x:c r="C3" s="28" t="str">
        <x:v>Require approved cryptographic libraries, centralized certificate lifecycle, algorithm agility, supplier disclosure, and documented exceptions.</x:v>
      </x:c>
      <x:c r="D3" s="28" t="str">
        <x:v>Updated cloud/IAM cryptography standard.</x:v>
      </x:c>
      <x:c r="E3" s="28" t="str">
        <x:v>Security architecture</x:v>
      </x:c>
      <x:c r="F3" s="28" t="str">
        <x:v>Policy team, legal/procurement</x:v>
      </x:c>
      <x:c r="G3" s="28" t="str">
        <x:v>Not Started</x:v>
      </x:c>
      <x:c r="H3" s="58"/>
      <x:c r="I3" s="28" t="str"/>
    </x:row>
    <x:row r="4">
      <x:c r="A4" s="28" t="str">
        <x:v>1. Discover</x:v>
      </x:c>
      <x:c r="B4" s="28" t="str">
        <x:v>Inventory machine identities and certificates</x:v>
      </x:c>
      <x:c r="C4" s="28" t="str">
        <x:v>Export certificate inventory from CAs, endpoints, ingress gateways, API gateways, service mesh, VPN, SSH, repositories, CI/CD, and device trust stores.</x:v>
      </x:c>
      <x:c r="D4" s="28" t="str">
        <x:v>Machine identity and certificate inventory.</x:v>
      </x:c>
      <x:c r="E4" s="28" t="str">
        <x:v>PKI/IAM team</x:v>
      </x:c>
      <x:c r="F4" s="28" t="str">
        <x:v>Access to CA and platform APIs</x:v>
      </x:c>
      <x:c r="G4" s="28" t="str">
        <x:v>Not Started</x:v>
      </x:c>
      <x:c r="H4" s="58"/>
      <x:c r="I4" s="28" t="str"/>
    </x:row>
    <x:row r="5">
      <x:c r="A5" s="28" t="str">
        <x:v>1. Discover</x:v>
      </x:c>
      <x:c r="B5" s="28" t="str">
        <x:v>Map federation and token-signing cryptography</x:v>
      </x:c>
      <x:c r="C5" s="28" t="str">
        <x:v>Record SAML signing/encryption certs, OIDC/OAuth token signing keys, JWT algorithms, federation metadata, partner trust anchors, and rotation procedures.</x:v>
      </x:c>
      <x:c r="D5" s="28" t="str">
        <x:v>Federation crypto dependency map.</x:v>
      </x:c>
      <x:c r="E5" s="28" t="str">
        <x:v>IAM team</x:v>
      </x:c>
      <x:c r="F5" s="28" t="str">
        <x:v>Partner metadata, IdP configuration</x:v>
      </x:c>
      <x:c r="G5" s="28" t="str">
        <x:v>Not Started</x:v>
      </x:c>
      <x:c r="H5" s="58"/>
      <x:c r="I5" s="28" t="str"/>
    </x:row>
    <x:row r="6">
      <x:c r="A6" s="28" t="str">
        <x:v>1. Discover</x:v>
      </x:c>
      <x:c r="B6" s="28" t="str">
        <x:v>Map transport and key-establishment paths</x:v>
      </x:c>
      <x:c r="C6" s="28" t="str">
        <x:v>Document TLS, mTLS, SSH, VPN, service-to-service encryption, database drivers, and API gateway policies.</x:v>
      </x:c>
      <x:c r="D6" s="28" t="str">
        <x:v>Transport crypto inventory.</x:v>
      </x:c>
      <x:c r="E6" s="28" t="str">
        <x:v>Network/platform teams</x:v>
      </x:c>
      <x:c r="F6" s="28" t="str">
        <x:v>Traffic flow maps, discovery tooling</x:v>
      </x:c>
      <x:c r="G6" s="28" t="str">
        <x:v>Not Started</x:v>
      </x:c>
      <x:c r="H6" s="58"/>
      <x:c r="I6" s="28" t="str"/>
    </x:row>
    <x:row r="7">
      <x:c r="A7" s="28" t="str">
        <x:v>2. Prioritize</x:v>
      </x:c>
      <x:c r="B7" s="28" t="str">
        <x:v>Score migration priority</x:v>
      </x:c>
      <x:c r="C7" s="28" t="str">
        <x:v>Use quantum vulnerability, data shelf life, public exposure, criticality, crypto agility, and supplier readiness to set P0/P1/P2 priorities.</x:v>
      </x:c>
      <x:c r="D7" s="28" t="str">
        <x:v>Risk-scored backlog.</x:v>
      </x:c>
      <x:c r="E7" s="28" t="str">
        <x:v>Security architecture</x:v>
      </x:c>
      <x:c r="F7" s="28" t="str">
        <x:v>Crypto Inventory sheet</x:v>
      </x:c>
      <x:c r="G7" s="28" t="str">
        <x:v>Not Started</x:v>
      </x:c>
      <x:c r="H7" s="58"/>
      <x:c r="I7" s="28" t="str"/>
    </x:row>
    <x:row r="8">
      <x:c r="A8" s="28" t="str">
        <x:v>2. Prioritize</x:v>
      </x:c>
      <x:c r="B8" s="28" t="str">
        <x:v>Identify blockers</x:v>
      </x:c>
      <x:c r="C8" s="28" t="str">
        <x:v>Flag hard-coded algorithms, legacy dependencies, non-upgradeable appliances, unmanaged certificates, and supplier roadmap gaps.</x:v>
      </x:c>
      <x:c r="D8" s="28" t="str">
        <x:v>Blocker register and mitigation owners.</x:v>
      </x:c>
      <x:c r="E8" s="28" t="str">
        <x:v>Architecture review board</x:v>
      </x:c>
      <x:c r="F8" s="28" t="str">
        <x:v>Supplier responses, engineering input</x:v>
      </x:c>
      <x:c r="G8" s="28" t="str">
        <x:v>Not Started</x:v>
      </x:c>
      <x:c r="H8" s="58"/>
      <x:c r="I8" s="28" t="str"/>
    </x:row>
    <x:row r="9">
      <x:c r="A9" s="28" t="str">
        <x:v>3. Design</x:v>
      </x:c>
      <x:c r="B9" s="28" t="str">
        <x:v>Set target architecture</x:v>
      </x:c>
      <x:c r="C9" s="28" t="str">
        <x:v>Choose migration patterns: library abstraction, certificate lifecycle automation, protocol upgrade, hybrid capable key establishment where supported, hardware refresh, or compensating control.</x:v>
      </x:c>
      <x:c r="D9" s="28" t="str">
        <x:v>Target-state design and standards.</x:v>
      </x:c>
      <x:c r="E9" s="28" t="str">
        <x:v>Cloud/IAM architects</x:v>
      </x:c>
      <x:c r="F9" s="28" t="str">
        <x:v>NIST FIPS 203/204/205; protocol maturity</x:v>
      </x:c>
      <x:c r="G9" s="28" t="str">
        <x:v>Not Started</x:v>
      </x:c>
      <x:c r="H9" s="58"/>
      <x:c r="I9" s="28" t="str"/>
    </x:row>
    <x:row r="10">
      <x:c r="A10" s="28" t="str">
        <x:v>3. Design</x:v>
      </x:c>
      <x:c r="B10" s="28" t="str">
        <x:v>Design certificate and key lifecycle</x:v>
      </x:c>
      <x:c r="C10" s="28" t="str">
        <x:v>Plan certificate issuance, renewal, revocation, telemetry, staged rollout, and emergency rollback. Include chain-size and relying-party compatibility testing.</x:v>
      </x:c>
      <x:c r="D10" s="28" t="str">
        <x:v>PKI transition plan.</x:v>
      </x:c>
      <x:c r="E10" s="28" t="str">
        <x:v>PKI team</x:v>
      </x:c>
      <x:c r="F10" s="28" t="str">
        <x:v>CA, platform, partner dependencies</x:v>
      </x:c>
      <x:c r="G10" s="28" t="str">
        <x:v>Not Started</x:v>
      </x:c>
      <x:c r="H10" s="58"/>
      <x:c r="I10" s="28" t="str"/>
    </x:row>
    <x:row r="11">
      <x:c r="A11" s="28" t="str">
        <x:v>3. Design</x:v>
      </x:c>
      <x:c r="B11" s="28" t="str">
        <x:v>Define non-production pilot</x:v>
      </x:c>
      <x:c r="C11" s="28" t="str">
        <x:v>Select low-blast-radius services with representative TLS, federation, workload identity, signing, and monitoring dependencies.</x:v>
      </x:c>
      <x:c r="D11" s="28" t="str">
        <x:v>Pilot plan and success criteria.</x:v>
      </x:c>
      <x:c r="E11" s="28" t="str">
        <x:v>Engineering lead</x:v>
      </x:c>
      <x:c r="F11" s="28" t="str">
        <x:v>Test environment, observability</x:v>
      </x:c>
      <x:c r="G11" s="28" t="str">
        <x:v>Not Started</x:v>
      </x:c>
      <x:c r="H11" s="58"/>
      <x:c r="I11" s="28" t="str"/>
    </x:row>
    <x:row r="12">
      <x:c r="A12" s="28" t="str">
        <x:v>4. Pilot</x:v>
      </x:c>
      <x:c r="B12" s="28" t="str">
        <x:v>Run interoperability and performance tests</x:v>
      </x:c>
      <x:c r="C12" s="28" t="str">
        <x:v>Measure handshake behavior, certificate size, token validation, latency, logging, monitoring, error handling, and rollback.</x:v>
      </x:c>
      <x:c r="D12" s="28" t="str">
        <x:v>Pilot test report.</x:v>
      </x:c>
      <x:c r="E12" s="28" t="str">
        <x:v>Engineering / QA / SRE</x:v>
      </x:c>
      <x:c r="F12" s="28" t="str">
        <x:v>Load testing, client diversity</x:v>
      </x:c>
      <x:c r="G12" s="28" t="str">
        <x:v>Not Started</x:v>
      </x:c>
      <x:c r="H12" s="58"/>
      <x:c r="I12" s="28" t="str"/>
    </x:row>
    <x:row r="13">
      <x:c r="A13" s="28" t="str">
        <x:v>4. Pilot</x:v>
      </x:c>
      <x:c r="B13" s="28" t="str">
        <x:v>Validate security controls</x:v>
      </x:c>
      <x:c r="C13" s="28" t="str">
        <x:v>Confirm policy enforcement, key protection, audit logging, access control, certificate transparency/telemetry, and incident response runbooks.</x:v>
      </x:c>
      <x:c r="D13" s="28" t="str">
        <x:v>Control validation evidence.</x:v>
      </x:c>
      <x:c r="E13" s="28" t="str">
        <x:v>Security operations</x:v>
      </x:c>
      <x:c r="F13" s="28" t="str">
        <x:v>SOC, GRC, platform owners</x:v>
      </x:c>
      <x:c r="G13" s="28" t="str">
        <x:v>Not Started</x:v>
      </x:c>
      <x:c r="H13" s="58"/>
      <x:c r="I13" s="28" t="str"/>
    </x:row>
    <x:row r="14">
      <x:c r="A14" s="28" t="str">
        <x:v>5. Rollout</x:v>
      </x:c>
      <x:c r="B14" s="28" t="str">
        <x:v>Implement phased migration</x:v>
      </x:c>
      <x:c r="C14" s="28" t="str">
        <x:v>Roll out by priority cohort with maintenance windows, canary deployments, automated checks, and rollback triggers.</x:v>
      </x:c>
      <x:c r="D14" s="28" t="str">
        <x:v>Change records and migration status.</x:v>
      </x:c>
      <x:c r="E14" s="28" t="str">
        <x:v>Platform/service owners</x:v>
      </x:c>
      <x:c r="F14" s="28" t="str">
        <x:v>CAB/MOC approval</x:v>
      </x:c>
      <x:c r="G14" s="28" t="str">
        <x:v>Not Started</x:v>
      </x:c>
      <x:c r="H14" s="58"/>
      <x:c r="I14" s="28" t="str"/>
    </x:row>
    <x:row r="15">
      <x:c r="A15" s="28" t="str">
        <x:v>5. Rollout</x:v>
      </x:c>
      <x:c r="B15" s="28" t="str">
        <x:v>Coordinate partners</x:v>
      </x:c>
      <x:c r="C15" s="28" t="str">
        <x:v>Notify relying parties and partners of certificate/signing/protocol changes; obtain compatibility confirmation.</x:v>
      </x:c>
      <x:c r="D15" s="28" t="str">
        <x:v>Partner compatibility approvals.</x:v>
      </x:c>
      <x:c r="E15" s="28" t="str">
        <x:v>IAM/vendor/partner management</x:v>
      </x:c>
      <x:c r="F15" s="28" t="str">
        <x:v>Partner contacts, contracts</x:v>
      </x:c>
      <x:c r="G15" s="28" t="str">
        <x:v>Not Started</x:v>
      </x:c>
      <x:c r="H15" s="58"/>
      <x:c r="I15" s="28" t="str"/>
    </x:row>
    <x:row r="16">
      <x:c r="A16" s="28" t="str">
        <x:v>6. Operate</x:v>
      </x:c>
      <x:c r="B16" s="28" t="str">
        <x:v>Update continuous discovery</x:v>
      </x:c>
      <x:c r="C16" s="28" t="str">
        <x:v>Schedule recurring crypto inventory refresh from endpoints, certificates, code repos, containers, libraries, and network telemetry.</x:v>
      </x:c>
      <x:c r="D16" s="28" t="str">
        <x:v>Continuous inventory feed.</x:v>
      </x:c>
      <x:c r="E16" s="28" t="str">
        <x:v>Security engineering</x:v>
      </x:c>
      <x:c r="F16" s="28" t="str">
        <x:v>CMDB, scanners, CA logs, SBOMs</x:v>
      </x:c>
      <x:c r="G16" s="28" t="str">
        <x:v>Not Started</x:v>
      </x:c>
      <x:c r="H16" s="58"/>
      <x:c r="I16" s="28" t="str"/>
    </x:row>
    <x:row r="17">
      <x:c r="A17" s="28" t="str">
        <x:v>6. Operate</x:v>
      </x:c>
      <x:c r="B17" s="28" t="str">
        <x:v>Track exceptions and residual risk</x:v>
      </x:c>
      <x:c r="C17" s="28" t="str">
        <x:v>Document non-migrated assets, compensating controls, expiry dates, and accountable owners.</x:v>
      </x:c>
      <x:c r="D17" s="28" t="str">
        <x:v>Exception register and review cadence.</x:v>
      </x:c>
      <x:c r="E17" s="28" t="str">
        <x:v>Risk owner</x:v>
      </x:c>
      <x:c r="F17" s="28" t="str">
        <x:v>GRC workflow</x:v>
      </x:c>
      <x:c r="G17" s="28" t="str">
        <x:v>Not Started</x:v>
      </x:c>
      <x:c r="H17" s="58"/>
      <x:c r="I17" s="28" t="str"/>
    </x:row>
    <x:row r="18">
      <x:c r="H18" s="60"/>
    </x:row>
    <x:row r="19">
      <x:c r="H19" s="60"/>
    </x:row>
    <x:row r="20">
      <x:c r="H20" s="60"/>
    </x:row>
    <x:row r="21">
      <x:c r="H21" s="60"/>
    </x:row>
    <x:row r="22">
      <x:c r="H22" s="60"/>
    </x:row>
    <x:row r="23">
      <x:c r="H23" s="60"/>
    </x:row>
    <x:row r="24">
      <x:c r="H24" s="60"/>
    </x:row>
    <x:row r="25">
      <x:c r="H25" s="60"/>
    </x:row>
    <x:row r="26">
      <x:c r="H26" s="60"/>
    </x:row>
    <x:row r="27">
      <x:c r="H27" s="60"/>
    </x:row>
    <x:row r="28">
      <x:c r="H28" s="60"/>
    </x:row>
    <x:row r="29">
      <x:c r="H29" s="60"/>
    </x:row>
    <x:row r="30">
      <x:c r="H30" s="60"/>
    </x:row>
    <x:row r="31">
      <x:c r="H31" s="60"/>
    </x:row>
    <x:row r="32">
      <x:c r="H32" s="60"/>
    </x:row>
    <x:row r="33">
      <x:c r="H33" s="60"/>
    </x:row>
    <x:row r="34">
      <x:c r="H34" s="60"/>
    </x:row>
    <x:row r="35">
      <x:c r="H35" s="60"/>
    </x:row>
    <x:row r="36">
      <x:c r="H36" s="60"/>
    </x:row>
    <x:row r="37">
      <x:c r="H37" s="60"/>
    </x:row>
    <x:row r="38">
      <x:c r="H38" s="60"/>
    </x:row>
    <x:row r="39">
      <x:c r="H39" s="60"/>
    </x:row>
    <x:row r="40">
      <x:c r="H40" s="60"/>
    </x:row>
    <x:row r="41">
      <x:c r="H41" s="60"/>
    </x:row>
    <x:row r="42">
      <x:c r="H42" s="60"/>
    </x:row>
    <x:row r="43">
      <x:c r="H43" s="60"/>
    </x:row>
    <x:row r="44">
      <x:c r="H44" s="60"/>
    </x:row>
    <x:row r="45">
      <x:c r="H45" s="60"/>
    </x:row>
    <x:row r="46">
      <x:c r="H46" s="60"/>
    </x:row>
    <x:row r="47">
      <x:c r="H47" s="60"/>
    </x:row>
    <x:row r="48">
      <x:c r="H48" s="60"/>
    </x:row>
    <x:row r="49">
      <x:c r="H49" s="60"/>
    </x:row>
    <x:row r="50">
      <x:c r="H50" s="60"/>
    </x:row>
    <x:row r="51">
      <x:c r="H51" s="60"/>
    </x:row>
    <x:row r="52">
      <x:c r="H52" s="60"/>
    </x:row>
    <x:row r="53">
      <x:c r="H53" s="60"/>
    </x:row>
    <x:row r="54">
      <x:c r="H54" s="60"/>
    </x:row>
    <x:row r="55">
      <x:c r="H55" s="60"/>
    </x:row>
    <x:row r="56">
      <x:c r="H56" s="60"/>
    </x:row>
    <x:row r="57">
      <x:c r="H57" s="60"/>
    </x:row>
    <x:row r="58">
      <x:c r="H58" s="60"/>
    </x:row>
    <x:row r="59">
      <x:c r="H59" s="60"/>
    </x:row>
    <x:row r="60">
      <x:c r="H60" s="60"/>
    </x:row>
    <x:row r="61">
      <x:c r="H61" s="60"/>
    </x:row>
    <x:row r="62">
      <x:c r="H62" s="60"/>
    </x:row>
    <x:row r="63">
      <x:c r="H63" s="60"/>
    </x:row>
    <x:row r="64">
      <x:c r="H64" s="60"/>
    </x:row>
    <x:row r="65">
      <x:c r="H65" s="60"/>
    </x:row>
    <x:row r="66">
      <x:c r="H66" s="60"/>
    </x:row>
    <x:row r="67">
      <x:c r="H67" s="60"/>
    </x:row>
    <x:row r="68">
      <x:c r="H68" s="60"/>
    </x:row>
    <x:row r="69">
      <x:c r="H69" s="60"/>
    </x:row>
    <x:row r="70">
      <x:c r="H70" s="60"/>
    </x:row>
    <x:row r="71">
      <x:c r="H71" s="60"/>
    </x:row>
    <x:row r="72">
      <x:c r="H72" s="60"/>
    </x:row>
    <x:row r="73">
      <x:c r="H73" s="60"/>
    </x:row>
    <x:row r="74">
      <x:c r="H74" s="60"/>
    </x:row>
    <x:row r="75">
      <x:c r="H75" s="60"/>
    </x:row>
    <x:row r="76">
      <x:c r="H76" s="60"/>
    </x:row>
    <x:row r="77">
      <x:c r="H77" s="60"/>
    </x:row>
    <x:row r="78">
      <x:c r="H78" s="60"/>
    </x:row>
    <x:row r="79">
      <x:c r="H79" s="60"/>
    </x:row>
    <x:row r="80">
      <x:c r="H80" s="60"/>
    </x:row>
    <x:row r="81">
      <x:c r="H81" s="60"/>
    </x:row>
    <x:row r="82">
      <x:c r="H82" s="60"/>
    </x:row>
    <x:row r="83">
      <x:c r="H83" s="60"/>
    </x:row>
    <x:row r="84">
      <x:c r="H84" s="60"/>
    </x:row>
    <x:row r="85">
      <x:c r="H85" s="60"/>
    </x:row>
    <x:row r="86">
      <x:c r="H86" s="60"/>
    </x:row>
    <x:row r="87">
      <x:c r="H87" s="60"/>
    </x:row>
    <x:row r="88">
      <x:c r="H88" s="60"/>
    </x:row>
    <x:row r="89">
      <x:c r="H89" s="60"/>
    </x:row>
    <x:row r="90">
      <x:c r="H90" s="60"/>
    </x:row>
    <x:row r="91">
      <x:c r="H91" s="60"/>
    </x:row>
    <x:row r="92">
      <x:c r="H92" s="60"/>
    </x:row>
    <x:row r="93">
      <x:c r="H93" s="60"/>
    </x:row>
    <x:row r="94">
      <x:c r="H94" s="60"/>
    </x:row>
    <x:row r="95">
      <x:c r="H95" s="60"/>
    </x:row>
    <x:row r="96">
      <x:c r="H96" s="60"/>
    </x:row>
    <x:row r="97">
      <x:c r="H97" s="60"/>
    </x:row>
    <x:row r="98">
      <x:c r="H98" s="60"/>
    </x:row>
    <x:row r="99">
      <x:c r="H99" s="60"/>
    </x:row>
    <x:row r="100">
      <x:c r="H100" s="60"/>
    </x:row>
    <x:row r="101">
      <x:c r="H101" s="60"/>
    </x:row>
    <x:row r="102">
      <x:c r="H102" s="60"/>
    </x:row>
    <x:row r="103">
      <x:c r="H103" s="60"/>
    </x:row>
    <x:row r="104">
      <x:c r="H104" s="60"/>
    </x:row>
    <x:row r="105">
      <x:c r="H105" s="60"/>
    </x:row>
    <x:row r="106">
      <x:c r="H106" s="60"/>
    </x:row>
    <x:row r="107">
      <x:c r="H107" s="60"/>
    </x:row>
    <x:row r="108">
      <x:c r="H108" s="60"/>
    </x:row>
    <x:row r="109">
      <x:c r="H109" s="60"/>
    </x:row>
    <x:row r="110">
      <x:c r="H110" s="60"/>
    </x:row>
    <x:row r="111">
      <x:c r="H111" s="60"/>
    </x:row>
    <x:row r="112">
      <x:c r="H112" s="60"/>
    </x:row>
    <x:row r="113">
      <x:c r="H113" s="60"/>
    </x:row>
    <x:row r="114">
      <x:c r="H114" s="60"/>
    </x:row>
    <x:row r="115">
      <x:c r="H115" s="60"/>
    </x:row>
    <x:row r="116">
      <x:c r="H116" s="60"/>
    </x:row>
    <x:row r="117">
      <x:c r="H117" s="60"/>
    </x:row>
    <x:row r="118">
      <x:c r="H118" s="60"/>
    </x:row>
    <x:row r="119">
      <x:c r="H119" s="60"/>
    </x:row>
    <x:row r="120">
      <x:c r="H120" s="60"/>
    </x:row>
    <x:row r="121">
      <x:c r="H121" s="60"/>
    </x:row>
    <x:row r="122">
      <x:c r="H122" s="60"/>
    </x:row>
    <x:row r="123">
      <x:c r="H123" s="60"/>
    </x:row>
    <x:row r="124">
      <x:c r="H124" s="60"/>
    </x:row>
    <x:row r="125">
      <x:c r="H125" s="60"/>
    </x:row>
    <x:row r="126">
      <x:c r="H126" s="60"/>
    </x:row>
    <x:row r="127">
      <x:c r="H127" s="60"/>
    </x:row>
    <x:row r="128">
      <x:c r="H128" s="60"/>
    </x:row>
    <x:row r="129">
      <x:c r="H129" s="60"/>
    </x:row>
    <x:row r="130">
      <x:c r="H130" s="60"/>
    </x:row>
    <x:row r="131">
      <x:c r="H131" s="60"/>
    </x:row>
    <x:row r="132">
      <x:c r="H132" s="60"/>
    </x:row>
    <x:row r="133">
      <x:c r="H133" s="60"/>
    </x:row>
    <x:row r="134">
      <x:c r="H134" s="60"/>
    </x:row>
    <x:row r="135">
      <x:c r="H135" s="60"/>
    </x:row>
    <x:row r="136">
      <x:c r="H136" s="60"/>
    </x:row>
    <x:row r="137">
      <x:c r="H137" s="60"/>
    </x:row>
    <x:row r="138">
      <x:c r="H138" s="60"/>
    </x:row>
    <x:row r="139">
      <x:c r="H139" s="60"/>
    </x:row>
    <x:row r="140">
      <x:c r="H140" s="60"/>
    </x:row>
    <x:row r="141">
      <x:c r="H141" s="60"/>
    </x:row>
    <x:row r="142">
      <x:c r="H142" s="60"/>
    </x:row>
    <x:row r="143">
      <x:c r="H143" s="60"/>
    </x:row>
    <x:row r="144">
      <x:c r="H144" s="60"/>
    </x:row>
    <x:row r="145">
      <x:c r="H145" s="60"/>
    </x:row>
    <x:row r="146">
      <x:c r="H146" s="60"/>
    </x:row>
    <x:row r="147">
      <x:c r="H147" s="60"/>
    </x:row>
    <x:row r="148">
      <x:c r="H148" s="60"/>
    </x:row>
    <x:row r="149">
      <x:c r="H149" s="60"/>
    </x:row>
    <x:row r="150">
      <x:c r="H150" s="60"/>
    </x:row>
    <x:row r="151">
      <x:c r="H151" s="60"/>
    </x:row>
    <x:row r="152">
      <x:c r="H152" s="60"/>
    </x:row>
    <x:row r="153">
      <x:c r="H153" s="60"/>
    </x:row>
    <x:row r="154">
      <x:c r="H154" s="60"/>
    </x:row>
    <x:row r="155">
      <x:c r="H155" s="60"/>
    </x:row>
    <x:row r="156">
      <x:c r="H156" s="60"/>
    </x:row>
    <x:row r="157">
      <x:c r="H157" s="60"/>
    </x:row>
    <x:row r="158">
      <x:c r="H158" s="60"/>
    </x:row>
    <x:row r="159">
      <x:c r="H159" s="60"/>
    </x:row>
    <x:row r="160">
      <x:c r="H160" s="60"/>
    </x:row>
    <x:row r="161">
      <x:c r="H161" s="60"/>
    </x:row>
    <x:row r="162">
      <x:c r="H162" s="60"/>
    </x:row>
    <x:row r="163">
      <x:c r="H163" s="60"/>
    </x:row>
    <x:row r="164">
      <x:c r="H164" s="60"/>
    </x:row>
    <x:row r="165">
      <x:c r="H165" s="60"/>
    </x:row>
    <x:row r="166">
      <x:c r="H166" s="60"/>
    </x:row>
    <x:row r="167">
      <x:c r="H167" s="60"/>
    </x:row>
    <x:row r="168">
      <x:c r="H168" s="60"/>
    </x:row>
    <x:row r="169">
      <x:c r="H169" s="60"/>
    </x:row>
    <x:row r="170">
      <x:c r="H170" s="60"/>
    </x:row>
    <x:row r="171">
      <x:c r="H171" s="60"/>
    </x:row>
    <x:row r="172">
      <x:c r="H172" s="60"/>
    </x:row>
    <x:row r="173">
      <x:c r="H173" s="60"/>
    </x:row>
    <x:row r="174">
      <x:c r="H174" s="60"/>
    </x:row>
    <x:row r="175">
      <x:c r="H175" s="60"/>
    </x:row>
    <x:row r="176">
      <x:c r="H176" s="60"/>
    </x:row>
    <x:row r="177">
      <x:c r="H177" s="60"/>
    </x:row>
    <x:row r="178">
      <x:c r="H178" s="60"/>
    </x:row>
    <x:row r="179">
      <x:c r="H179" s="60"/>
    </x:row>
    <x:row r="180">
      <x:c r="H180" s="60"/>
    </x:row>
    <x:row r="181">
      <x:c r="H181" s="60"/>
    </x:row>
    <x:row r="182">
      <x:c r="H182" s="60"/>
    </x:row>
    <x:row r="183">
      <x:c r="H183" s="60"/>
    </x:row>
    <x:row r="184">
      <x:c r="H184" s="60"/>
    </x:row>
    <x:row r="185">
      <x:c r="H185" s="60"/>
    </x:row>
    <x:row r="186">
      <x:c r="H186" s="60"/>
    </x:row>
    <x:row r="187">
      <x:c r="H187" s="60"/>
    </x:row>
    <x:row r="188">
      <x:c r="H188" s="60"/>
    </x:row>
    <x:row r="189">
      <x:c r="H189" s="60"/>
    </x:row>
    <x:row r="190">
      <x:c r="H190" s="60"/>
    </x:row>
    <x:row r="191">
      <x:c r="H191" s="60"/>
    </x:row>
    <x:row r="192">
      <x:c r="H192" s="60"/>
    </x:row>
    <x:row r="193">
      <x:c r="H193" s="60"/>
    </x:row>
    <x:row r="194">
      <x:c r="H194" s="60"/>
    </x:row>
    <x:row r="195">
      <x:c r="H195" s="60"/>
    </x:row>
    <x:row r="196">
      <x:c r="H196" s="60"/>
    </x:row>
    <x:row r="197">
      <x:c r="H197" s="60"/>
    </x:row>
    <x:row r="198">
      <x:c r="H198" s="60"/>
    </x:row>
    <x:row r="199">
      <x:c r="H199" s="60"/>
    </x:row>
    <x:row r="200">
      <x:c r="H200" s="60"/>
    </x:row>
  </x:sheetData>
  <x:dataValidations count="1">
    <x:dataValidation type="list" sqref="G2:G200">
      <x:formula1>Lists!$N$2:$N$10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eea2bcf7a546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52" hidden="0" customWidth="1"/>
    <x:col min="4" max="4" width="34" hidden="0" customWidth="1"/>
    <x:col min="5" max="5" width="26" hidden="0" customWidth="1"/>
    <x:col min="6" max="6" width="32" hidden="0" customWidth="1"/>
    <x:col min="7" max="7" width="18" hidden="0" customWidth="1"/>
    <x:col min="8" max="8" width="14" hidden="0" customWidth="1"/>
    <x:col min="9" max="9" width="32" hidden="0" customWidth="1"/>
  </x:cols>
  <x:sheetData>
    <x:row r="1">
      <x:c r="A1" s="53" t="str">
        <x:v>Area</x:v>
      </x:c>
      <x:c r="B1" s="53" t="str">
        <x:v>Checklist Item</x:v>
      </x:c>
      <x:c r="C1" s="53" t="str">
        <x:v>Safety / Operational Consideration</x:v>
      </x:c>
      <x:c r="D1" s="53" t="str">
        <x:v>Evidence / Artifact</x:v>
      </x:c>
      <x:c r="E1" s="53" t="str">
        <x:v>Owner</x:v>
      </x:c>
      <x:c r="F1" s="53" t="str">
        <x:v>NIST Alignment</x:v>
      </x:c>
      <x:c r="G1" s="53" t="str">
        <x:v>Status</x:v>
      </x:c>
      <x:c r="H1" s="53" t="str">
        <x:v>Target Date</x:v>
      </x:c>
      <x:c r="I1" s="53" t="str">
        <x:v>Notes</x:v>
      </x:c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>
      <x:c r="A2" s="28" t="str">
        <x:v>Governance</x:v>
      </x:c>
      <x:c r="B2" s="28" t="str">
        <x:v>Establish OT PQC change-control policy.</x:v>
      </x:c>
      <x:c r="C2" s="28" t="str">
        <x:v>No production change without safety impact assessment, management of change approval, vendor support, rollback plan, and approved maintenance window.</x:v>
      </x:c>
      <x:c r="D2" s="28" t="str">
        <x:v>MOC procedure, safety approval template.</x:v>
      </x:c>
      <x:c r="E2" s="28" t="str">
        <x:v>OT governance</x:v>
      </x:c>
      <x:c r="F2" s="28" t="str">
        <x:v>NIST SP 800-82r3; CSF Govern</x:v>
      </x:c>
      <x:c r="G2" s="28" t="str">
        <x:v>Not Started</x:v>
      </x:c>
      <x:c r="H2" s="58"/>
      <x:c r="I2" s="28" t="str"/>
    </x:row>
    <x:row r="3">
      <x:c r="A3" s="28" t="str">
        <x:v>Inventory</x:v>
      </x:c>
      <x:c r="B3" s="28" t="str">
        <x:v>Inventory OT crypto use without disrupting operations.</x:v>
      </x:c>
      <x:c r="C3" s="28" t="str">
        <x:v>Use passive discovery, configuration review, vendor docs, certificate exports, and engineering workstation review before active scanning.</x:v>
      </x:c>
      <x:c r="D3" s="28" t="str">
        <x:v>OT crypto inventory, discovery method log.</x:v>
      </x:c>
      <x:c r="E3" s="28" t="str">
        <x:v>OT security / engineering</x:v>
      </x:c>
      <x:c r="F3" s="28" t="str">
        <x:v>NIST SP 800-82r3; NCCoE Migration to PQC</x:v>
      </x:c>
      <x:c r="G3" s="28" t="str">
        <x:v>Not Started</x:v>
      </x:c>
      <x:c r="H3" s="58"/>
      <x:c r="I3" s="28" t="str"/>
    </x:row>
    <x:row r="4">
      <x:c r="A4" s="28" t="str">
        <x:v>Inventory</x:v>
      </x:c>
      <x:c r="B4" s="28" t="str">
        <x:v>Classify OT assets by process criticality and safety impact.</x:v>
      </x:c>
      <x:c r="C4" s="28" t="str">
        <x:v>Prioritize assets by process function, safety consequence, downtime tolerance, vendor support, and data sensitivity.</x:v>
      </x:c>
      <x:c r="D4" s="28" t="str">
        <x:v>Criticality and safety mapping.</x:v>
      </x:c>
      <x:c r="E4" s="28" t="str">
        <x:v>Operations / engineering</x:v>
      </x:c>
      <x:c r="F4" s="28" t="str">
        <x:v>NIST SP 800-82r3 risk management</x:v>
      </x:c>
      <x:c r="G4" s="28" t="str">
        <x:v>Not Started</x:v>
      </x:c>
      <x:c r="H4" s="58"/>
      <x:c r="I4" s="28" t="str"/>
    </x:row>
    <x:row r="5">
      <x:c r="A5" s="28" t="str">
        <x:v>Network</x:v>
      </x:c>
      <x:c r="B5" s="28" t="str">
        <x:v>Document encrypted remote access paths.</x:v>
      </x:c>
      <x:c r="C5" s="28" t="str">
        <x:v>Include VPN, jump hosts, vendor support links, modems, cloud connectors, remote engineering, bastions, and MFA dependencies.</x:v>
      </x:c>
      <x:c r="D5" s="28" t="str">
        <x:v>Remote access architecture map.</x:v>
      </x:c>
      <x:c r="E5" s="28" t="str">
        <x:v>OT network team</x:v>
      </x:c>
      <x:c r="F5" s="28" t="str">
        <x:v>SP 800-82r3; SP 800-53 AC/IA/SC</x:v>
      </x:c>
      <x:c r="G5" s="28" t="str">
        <x:v>Not Started</x:v>
      </x:c>
      <x:c r="H5" s="58"/>
      <x:c r="I5" s="28" t="str"/>
    </x:row>
    <x:row r="6">
      <x:c r="A6" s="28" t="str">
        <x:v>Network</x:v>
      </x:c>
      <x:c r="B6" s="28" t="str">
        <x:v>Review industrial protocol security settings.</x:v>
      </x:c>
      <x:c r="C6" s="28" t="str">
        <x:v>Identify where TLS, certificates, signed firmware, secure boot, or application-layer security are enabled, unsupported, or vendor-dependent.</x:v>
      </x:c>
      <x:c r="D6" s="28" t="str">
        <x:v>Protocol security matrix.</x:v>
      </x:c>
      <x:c r="E6" s="28" t="str">
        <x:v>Control systems engineer</x:v>
      </x:c>
      <x:c r="F6" s="28" t="str">
        <x:v>SP 800-82r3; FIPS 203/204 where applicable</x:v>
      </x:c>
      <x:c r="G6" s="28" t="str">
        <x:v>Not Started</x:v>
      </x:c>
      <x:c r="H6" s="58"/>
      <x:c r="I6" s="28" t="str"/>
    </x:row>
    <x:row r="7">
      <x:c r="A7" s="28" t="str">
        <x:v>PKI</x:v>
      </x:c>
      <x:c r="B7" s="28" t="str">
        <x:v>Map OT certificates and trust stores.</x:v>
      </x:c>
      <x:c r="C7" s="28" t="str">
        <x:v>Include historians, gateways, HMIs, engineering workstations, remote access, OPC UA, web interfaces, and device certificates.</x:v>
      </x:c>
      <x:c r="D7" s="28" t="str">
        <x:v>OT certificate inventory.</x:v>
      </x:c>
      <x:c r="E7" s="28" t="str">
        <x:v>PKI / OT engineering</x:v>
      </x:c>
      <x:c r="F7" s="28" t="str">
        <x:v>SP 800-82r3; FIPS 204/205</x:v>
      </x:c>
      <x:c r="G7" s="28" t="str">
        <x:v>Not Started</x:v>
      </x:c>
      <x:c r="H7" s="58"/>
      <x:c r="I7" s="28" t="str"/>
    </x:row>
    <x:row r="8">
      <x:c r="A8" s="28" t="str">
        <x:v>Vendor</x:v>
      </x:c>
      <x:c r="B8" s="28" t="str">
        <x:v>Request OT vendor PQC roadmap and support windows.</x:v>
      </x:c>
      <x:c r="C8" s="28" t="str">
        <x:v>Confirm firmware/software upgrade paths, protocol support, certificate/key size limits, hardware constraints, and validation process.</x:v>
      </x:c>
      <x:c r="D8" s="28" t="str">
        <x:v>Vendor responses and support statement.</x:v>
      </x:c>
      <x:c r="E8" s="28" t="str">
        <x:v>Vendor management / OT owner</x:v>
      </x:c>
      <x:c r="F8" s="28" t="str">
        <x:v>SP 800-161r1; CISA OT PQC considerations</x:v>
      </x:c>
      <x:c r="G8" s="28" t="str">
        <x:v>Not Started</x:v>
      </x:c>
      <x:c r="H8" s="58"/>
      <x:c r="I8" s="28" t="str"/>
    </x:row>
    <x:row r="9">
      <x:c r="A9" s="28" t="str">
        <x:v>Testing</x:v>
      </x:c>
      <x:c r="B9" s="28" t="str">
        <x:v>Build lab/digital twin test path for PQC-impacting changes.</x:v>
      </x:c>
      <x:c r="C9" s="28" t="str">
        <x:v>Never test unvalidated cryptographic changes directly on production control systems. Use representative devices where feasible.</x:v>
      </x:c>
      <x:c r="D9" s="28" t="str">
        <x:v>Lab plan, test assets, acceptance criteria.</x:v>
      </x:c>
      <x:c r="E9" s="28" t="str">
        <x:v>OT engineering / lab lead</x:v>
      </x:c>
      <x:c r="F9" s="28" t="str">
        <x:v>SP 800-82r3 safety/reliability focus</x:v>
      </x:c>
      <x:c r="G9" s="28" t="str">
        <x:v>Not Started</x:v>
      </x:c>
      <x:c r="H9" s="58"/>
      <x:c r="I9" s="28" t="str"/>
    </x:row>
    <x:row r="10">
      <x:c r="A10" s="28" t="str">
        <x:v>Testing</x:v>
      </x:c>
      <x:c r="B10" s="28" t="str">
        <x:v>Validate performance and packet-size impact.</x:v>
      </x:c>
      <x:c r="C10" s="28" t="str">
        <x:v>Assess latency, CPU/memory, handshake failures, fragmentation, certificate chain size, and recovery behavior on constrained devices.</x:v>
      </x:c>
      <x:c r="D10" s="28" t="str">
        <x:v>Test results and performance baseline.</x:v>
      </x:c>
      <x:c r="E10" s="28" t="str">
        <x:v>OT engineering / QA</x:v>
      </x:c>
      <x:c r="F10" s="28" t="str">
        <x:v>NIST CSWP 39 resource/performance considerations</x:v>
      </x:c>
      <x:c r="G10" s="28" t="str">
        <x:v>Not Started</x:v>
      </x:c>
      <x:c r="H10" s="58"/>
      <x:c r="I10" s="28" t="str"/>
    </x:row>
    <x:row r="11">
      <x:c r="A11" s="28" t="str">
        <x:v>Compensating Controls</x:v>
      </x:c>
      <x:c r="B11" s="28" t="str">
        <x:v>Define controls for non-upgradeable assets.</x:v>
      </x:c>
      <x:c r="C11" s="28" t="str">
        <x:v>Use segmentation, unidirectional gateways where appropriate, jump hosts, strict remote access, monitoring, lifecycle replacement, and accepted-risk expiration.</x:v>
      </x:c>
      <x:c r="D11" s="28" t="str">
        <x:v>Compensating control plan.</x:v>
      </x:c>
      <x:c r="E11" s="28" t="str">
        <x:v>OT security / risk owner</x:v>
      </x:c>
      <x:c r="F11" s="28" t="str">
        <x:v>SP 800-82r3; SP 800-53 SC/AC/RA</x:v>
      </x:c>
      <x:c r="G11" s="28" t="str">
        <x:v>Not Started</x:v>
      </x:c>
      <x:c r="H11" s="58"/>
      <x:c r="I11" s="28" t="str"/>
    </x:row>
    <x:row r="12">
      <x:c r="A12" s="28" t="str">
        <x:v>Operations</x:v>
      </x:c>
      <x:c r="B12" s="28" t="str">
        <x:v>Update OT monitoring and incident response.</x:v>
      </x:c>
      <x:c r="C12" s="28" t="str">
        <x:v>Ensure new or changed crypto protocols/certificates are visible in monitoring and runbooks; document emergency rollback.</x:v>
      </x:c>
      <x:c r="D12" s="28" t="str">
        <x:v>Runbooks, alert rules, tabletop results.</x:v>
      </x:c>
      <x:c r="E12" s="28" t="str">
        <x:v>SOC / OT operations</x:v>
      </x:c>
      <x:c r="F12" s="28" t="str">
        <x:v>CSF Detect/Respond/Recover; SP 800-82r3</x:v>
      </x:c>
      <x:c r="G12" s="28" t="str">
        <x:v>Not Started</x:v>
      </x:c>
      <x:c r="H12" s="58"/>
      <x:c r="I12" s="28" t="str"/>
    </x:row>
    <x:row r="13">
      <x:c r="A13" s="28" t="str">
        <x:v>Lifecycle</x:v>
      </x:c>
      <x:c r="B13" s="28" t="str">
        <x:v>Integrate PQC readiness into capital planning.</x:v>
      </x:c>
      <x:c r="C13" s="28" t="str">
        <x:v>Use asset refresh cycles to replace non-agile devices, unsupported firmware, and appliances with fixed cryptographic parameters.</x:v>
      </x:c>
      <x:c r="D13" s="28" t="str">
        <x:v>Capital plan, lifecycle roadmap.</x:v>
      </x:c>
      <x:c r="E13" s="28" t="str">
        <x:v>Operations / asset management</x:v>
      </x:c>
      <x:c r="F13" s="28" t="str">
        <x:v>SP 800-82r3; NIST CSWP 39</x:v>
      </x:c>
      <x:c r="G13" s="28" t="str">
        <x:v>Not Started</x:v>
      </x:c>
      <x:c r="H13" s="58"/>
      <x:c r="I13" s="28" t="str"/>
    </x:row>
    <x:row r="14">
      <x:c r="H14" s="60"/>
    </x:row>
    <x:row r="15">
      <x:c r="H15" s="60"/>
    </x:row>
    <x:row r="16">
      <x:c r="H16" s="60"/>
    </x:row>
    <x:row r="17">
      <x:c r="H17" s="60"/>
    </x:row>
    <x:row r="18">
      <x:c r="H18" s="60"/>
    </x:row>
    <x:row r="19">
      <x:c r="H19" s="60"/>
    </x:row>
    <x:row r="20">
      <x:c r="H20" s="60"/>
    </x:row>
    <x:row r="21">
      <x:c r="H21" s="60"/>
    </x:row>
    <x:row r="22">
      <x:c r="H22" s="60"/>
    </x:row>
    <x:row r="23">
      <x:c r="H23" s="60"/>
    </x:row>
    <x:row r="24">
      <x:c r="H24" s="60"/>
    </x:row>
    <x:row r="25">
      <x:c r="H25" s="60"/>
    </x:row>
    <x:row r="26">
      <x:c r="H26" s="60"/>
    </x:row>
    <x:row r="27">
      <x:c r="H27" s="60"/>
    </x:row>
    <x:row r="28">
      <x:c r="H28" s="60"/>
    </x:row>
    <x:row r="29">
      <x:c r="H29" s="60"/>
    </x:row>
    <x:row r="30">
      <x:c r="H30" s="60"/>
    </x:row>
    <x:row r="31">
      <x:c r="H31" s="60"/>
    </x:row>
    <x:row r="32">
      <x:c r="H32" s="60"/>
    </x:row>
    <x:row r="33">
      <x:c r="H33" s="60"/>
    </x:row>
    <x:row r="34">
      <x:c r="H34" s="60"/>
    </x:row>
    <x:row r="35">
      <x:c r="H35" s="60"/>
    </x:row>
    <x:row r="36">
      <x:c r="H36" s="60"/>
    </x:row>
    <x:row r="37">
      <x:c r="H37" s="60"/>
    </x:row>
    <x:row r="38">
      <x:c r="H38" s="60"/>
    </x:row>
    <x:row r="39">
      <x:c r="H39" s="60"/>
    </x:row>
    <x:row r="40">
      <x:c r="H40" s="60"/>
    </x:row>
    <x:row r="41">
      <x:c r="H41" s="60"/>
    </x:row>
    <x:row r="42">
      <x:c r="H42" s="60"/>
    </x:row>
    <x:row r="43">
      <x:c r="H43" s="60"/>
    </x:row>
    <x:row r="44">
      <x:c r="H44" s="60"/>
    </x:row>
    <x:row r="45">
      <x:c r="H45" s="60"/>
    </x:row>
    <x:row r="46">
      <x:c r="H46" s="60"/>
    </x:row>
    <x:row r="47">
      <x:c r="H47" s="60"/>
    </x:row>
    <x:row r="48">
      <x:c r="H48" s="60"/>
    </x:row>
    <x:row r="49">
      <x:c r="H49" s="60"/>
    </x:row>
    <x:row r="50">
      <x:c r="H50" s="60"/>
    </x:row>
    <x:row r="51">
      <x:c r="H51" s="60"/>
    </x:row>
    <x:row r="52">
      <x:c r="H52" s="60"/>
    </x:row>
    <x:row r="53">
      <x:c r="H53" s="60"/>
    </x:row>
    <x:row r="54">
      <x:c r="H54" s="60"/>
    </x:row>
    <x:row r="55">
      <x:c r="H55" s="60"/>
    </x:row>
    <x:row r="56">
      <x:c r="H56" s="60"/>
    </x:row>
    <x:row r="57">
      <x:c r="H57" s="60"/>
    </x:row>
    <x:row r="58">
      <x:c r="H58" s="60"/>
    </x:row>
    <x:row r="59">
      <x:c r="H59" s="60"/>
    </x:row>
    <x:row r="60">
      <x:c r="H60" s="60"/>
    </x:row>
    <x:row r="61">
      <x:c r="H61" s="60"/>
    </x:row>
    <x:row r="62">
      <x:c r="H62" s="60"/>
    </x:row>
    <x:row r="63">
      <x:c r="H63" s="60"/>
    </x:row>
    <x:row r="64">
      <x:c r="H64" s="60"/>
    </x:row>
    <x:row r="65">
      <x:c r="H65" s="60"/>
    </x:row>
    <x:row r="66">
      <x:c r="H66" s="60"/>
    </x:row>
    <x:row r="67">
      <x:c r="H67" s="60"/>
    </x:row>
    <x:row r="68">
      <x:c r="H68" s="60"/>
    </x:row>
    <x:row r="69">
      <x:c r="H69" s="60"/>
    </x:row>
    <x:row r="70">
      <x:c r="H70" s="60"/>
    </x:row>
    <x:row r="71">
      <x:c r="H71" s="60"/>
    </x:row>
    <x:row r="72">
      <x:c r="H72" s="60"/>
    </x:row>
    <x:row r="73">
      <x:c r="H73" s="60"/>
    </x:row>
    <x:row r="74">
      <x:c r="H74" s="60"/>
    </x:row>
    <x:row r="75">
      <x:c r="H75" s="60"/>
    </x:row>
    <x:row r="76">
      <x:c r="H76" s="60"/>
    </x:row>
    <x:row r="77">
      <x:c r="H77" s="60"/>
    </x:row>
    <x:row r="78">
      <x:c r="H78" s="60"/>
    </x:row>
    <x:row r="79">
      <x:c r="H79" s="60"/>
    </x:row>
    <x:row r="80">
      <x:c r="H80" s="60"/>
    </x:row>
    <x:row r="81">
      <x:c r="H81" s="60"/>
    </x:row>
    <x:row r="82">
      <x:c r="H82" s="60"/>
    </x:row>
    <x:row r="83">
      <x:c r="H83" s="60"/>
    </x:row>
    <x:row r="84">
      <x:c r="H84" s="60"/>
    </x:row>
    <x:row r="85">
      <x:c r="H85" s="60"/>
    </x:row>
    <x:row r="86">
      <x:c r="H86" s="60"/>
    </x:row>
    <x:row r="87">
      <x:c r="H87" s="60"/>
    </x:row>
    <x:row r="88">
      <x:c r="H88" s="60"/>
    </x:row>
    <x:row r="89">
      <x:c r="H89" s="60"/>
    </x:row>
    <x:row r="90">
      <x:c r="H90" s="60"/>
    </x:row>
    <x:row r="91">
      <x:c r="H91" s="60"/>
    </x:row>
    <x:row r="92">
      <x:c r="H92" s="60"/>
    </x:row>
    <x:row r="93">
      <x:c r="H93" s="60"/>
    </x:row>
    <x:row r="94">
      <x:c r="H94" s="60"/>
    </x:row>
    <x:row r="95">
      <x:c r="H95" s="60"/>
    </x:row>
    <x:row r="96">
      <x:c r="H96" s="60"/>
    </x:row>
    <x:row r="97">
      <x:c r="H97" s="60"/>
    </x:row>
    <x:row r="98">
      <x:c r="H98" s="60"/>
    </x:row>
    <x:row r="99">
      <x:c r="H99" s="60"/>
    </x:row>
    <x:row r="100">
      <x:c r="H100" s="60"/>
    </x:row>
    <x:row r="101">
      <x:c r="H101" s="60"/>
    </x:row>
    <x:row r="102">
      <x:c r="H102" s="60"/>
    </x:row>
    <x:row r="103">
      <x:c r="H103" s="60"/>
    </x:row>
    <x:row r="104">
      <x:c r="H104" s="60"/>
    </x:row>
    <x:row r="105">
      <x:c r="H105" s="60"/>
    </x:row>
    <x:row r="106">
      <x:c r="H106" s="60"/>
    </x:row>
    <x:row r="107">
      <x:c r="H107" s="60"/>
    </x:row>
    <x:row r="108">
      <x:c r="H108" s="60"/>
    </x:row>
    <x:row r="109">
      <x:c r="H109" s="60"/>
    </x:row>
    <x:row r="110">
      <x:c r="H110" s="60"/>
    </x:row>
    <x:row r="111">
      <x:c r="H111" s="60"/>
    </x:row>
    <x:row r="112">
      <x:c r="H112" s="60"/>
    </x:row>
    <x:row r="113">
      <x:c r="H113" s="60"/>
    </x:row>
    <x:row r="114">
      <x:c r="H114" s="60"/>
    </x:row>
    <x:row r="115">
      <x:c r="H115" s="60"/>
    </x:row>
    <x:row r="116">
      <x:c r="H116" s="60"/>
    </x:row>
    <x:row r="117">
      <x:c r="H117" s="60"/>
    </x:row>
    <x:row r="118">
      <x:c r="H118" s="60"/>
    </x:row>
    <x:row r="119">
      <x:c r="H119" s="60"/>
    </x:row>
    <x:row r="120">
      <x:c r="H120" s="60"/>
    </x:row>
    <x:row r="121">
      <x:c r="H121" s="60"/>
    </x:row>
    <x:row r="122">
      <x:c r="H122" s="60"/>
    </x:row>
    <x:row r="123">
      <x:c r="H123" s="60"/>
    </x:row>
    <x:row r="124">
      <x:c r="H124" s="60"/>
    </x:row>
    <x:row r="125">
      <x:c r="H125" s="60"/>
    </x:row>
    <x:row r="126">
      <x:c r="H126" s="60"/>
    </x:row>
    <x:row r="127">
      <x:c r="H127" s="60"/>
    </x:row>
    <x:row r="128">
      <x:c r="H128" s="60"/>
    </x:row>
    <x:row r="129">
      <x:c r="H129" s="60"/>
    </x:row>
    <x:row r="130">
      <x:c r="H130" s="60"/>
    </x:row>
    <x:row r="131">
      <x:c r="H131" s="60"/>
    </x:row>
    <x:row r="132">
      <x:c r="H132" s="60"/>
    </x:row>
    <x:row r="133">
      <x:c r="H133" s="60"/>
    </x:row>
    <x:row r="134">
      <x:c r="H134" s="60"/>
    </x:row>
    <x:row r="135">
      <x:c r="H135" s="60"/>
    </x:row>
    <x:row r="136">
      <x:c r="H136" s="60"/>
    </x:row>
    <x:row r="137">
      <x:c r="H137" s="60"/>
    </x:row>
    <x:row r="138">
      <x:c r="H138" s="60"/>
    </x:row>
    <x:row r="139">
      <x:c r="H139" s="60"/>
    </x:row>
    <x:row r="140">
      <x:c r="H140" s="60"/>
    </x:row>
    <x:row r="141">
      <x:c r="H141" s="60"/>
    </x:row>
    <x:row r="142">
      <x:c r="H142" s="60"/>
    </x:row>
    <x:row r="143">
      <x:c r="H143" s="60"/>
    </x:row>
    <x:row r="144">
      <x:c r="H144" s="60"/>
    </x:row>
    <x:row r="145">
      <x:c r="H145" s="60"/>
    </x:row>
    <x:row r="146">
      <x:c r="H146" s="60"/>
    </x:row>
    <x:row r="147">
      <x:c r="H147" s="60"/>
    </x:row>
    <x:row r="148">
      <x:c r="H148" s="60"/>
    </x:row>
    <x:row r="149">
      <x:c r="H149" s="60"/>
    </x:row>
    <x:row r="150">
      <x:c r="H150" s="60"/>
    </x:row>
    <x:row r="151">
      <x:c r="H151" s="60"/>
    </x:row>
    <x:row r="152">
      <x:c r="H152" s="60"/>
    </x:row>
    <x:row r="153">
      <x:c r="H153" s="60"/>
    </x:row>
    <x:row r="154">
      <x:c r="H154" s="60"/>
    </x:row>
    <x:row r="155">
      <x:c r="H155" s="60"/>
    </x:row>
    <x:row r="156">
      <x:c r="H156" s="60"/>
    </x:row>
    <x:row r="157">
      <x:c r="H157" s="60"/>
    </x:row>
    <x:row r="158">
      <x:c r="H158" s="60"/>
    </x:row>
    <x:row r="159">
      <x:c r="H159" s="60"/>
    </x:row>
    <x:row r="160">
      <x:c r="H160" s="60"/>
    </x:row>
    <x:row r="161">
      <x:c r="H161" s="60"/>
    </x:row>
    <x:row r="162">
      <x:c r="H162" s="60"/>
    </x:row>
    <x:row r="163">
      <x:c r="H163" s="60"/>
    </x:row>
    <x:row r="164">
      <x:c r="H164" s="60"/>
    </x:row>
    <x:row r="165">
      <x:c r="H165" s="60"/>
    </x:row>
    <x:row r="166">
      <x:c r="H166" s="60"/>
    </x:row>
    <x:row r="167">
      <x:c r="H167" s="60"/>
    </x:row>
    <x:row r="168">
      <x:c r="H168" s="60"/>
    </x:row>
    <x:row r="169">
      <x:c r="H169" s="60"/>
    </x:row>
    <x:row r="170">
      <x:c r="H170" s="60"/>
    </x:row>
    <x:row r="171">
      <x:c r="H171" s="60"/>
    </x:row>
    <x:row r="172">
      <x:c r="H172" s="60"/>
    </x:row>
    <x:row r="173">
      <x:c r="H173" s="60"/>
    </x:row>
    <x:row r="174">
      <x:c r="H174" s="60"/>
    </x:row>
    <x:row r="175">
      <x:c r="H175" s="60"/>
    </x:row>
    <x:row r="176">
      <x:c r="H176" s="60"/>
    </x:row>
    <x:row r="177">
      <x:c r="H177" s="60"/>
    </x:row>
    <x:row r="178">
      <x:c r="H178" s="60"/>
    </x:row>
    <x:row r="179">
      <x:c r="H179" s="60"/>
    </x:row>
    <x:row r="180">
      <x:c r="H180" s="60"/>
    </x:row>
    <x:row r="181">
      <x:c r="H181" s="60"/>
    </x:row>
    <x:row r="182">
      <x:c r="H182" s="60"/>
    </x:row>
    <x:row r="183">
      <x:c r="H183" s="60"/>
    </x:row>
    <x:row r="184">
      <x:c r="H184" s="60"/>
    </x:row>
    <x:row r="185">
      <x:c r="H185" s="60"/>
    </x:row>
    <x:row r="186">
      <x:c r="H186" s="60"/>
    </x:row>
    <x:row r="187">
      <x:c r="H187" s="60"/>
    </x:row>
    <x:row r="188">
      <x:c r="H188" s="60"/>
    </x:row>
    <x:row r="189">
      <x:c r="H189" s="60"/>
    </x:row>
    <x:row r="190">
      <x:c r="H190" s="60"/>
    </x:row>
    <x:row r="191">
      <x:c r="H191" s="60"/>
    </x:row>
    <x:row r="192">
      <x:c r="H192" s="60"/>
    </x:row>
    <x:row r="193">
      <x:c r="H193" s="60"/>
    </x:row>
    <x:row r="194">
      <x:c r="H194" s="60"/>
    </x:row>
    <x:row r="195">
      <x:c r="H195" s="60"/>
    </x:row>
    <x:row r="196">
      <x:c r="H196" s="60"/>
    </x:row>
    <x:row r="197">
      <x:c r="H197" s="60"/>
    </x:row>
    <x:row r="198">
      <x:c r="H198" s="60"/>
    </x:row>
    <x:row r="199">
      <x:c r="H199" s="60"/>
    </x:row>
    <x:row r="200">
      <x:c r="H200" s="60"/>
    </x:row>
  </x:sheetData>
  <x:dataValidations count="1">
    <x:dataValidation type="list" sqref="G2:G200">
      <x:formula1>Lists!$N$2:$N$10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fa4f13c59c49f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80" hidden="0" customWidth="1"/>
  </x:cols>
  <x:sheetData>
    <x:row r="1">
      <x:c r="A1" s="53" t="str">
        <x:v>Source</x:v>
      </x:c>
      <x:c r="B1" s="53" t="str">
        <x:v>Why it matters</x:v>
      </x:c>
      <x:c r="C1" s="53" t="str">
        <x:v>URL</x:v>
      </x:c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>
      <x:c r="A2" s="28" t="str">
        <x:v>NIST FIPS 203 — ML-KEM</x:v>
      </x:c>
      <x:c r="B2" s="28" t="str">
        <x:v>Primary NIST standard for key encapsulation / general encryption migration planning.</x:v>
      </x:c>
      <x:c r="C2" s="28" t="str">
        <x:v>https://csrc.nist.gov/pubs/fips/203/final</x:v>
      </x:c>
    </x:row>
    <x:row r="3">
      <x:c r="A3" s="28" t="str">
        <x:v>NIST FIPS 204 — ML-DSA</x:v>
      </x:c>
      <x:c r="B3" s="28" t="str">
        <x:v>Primary NIST digital signature standard based on CRYSTALS-Dilithium.</x:v>
      </x:c>
      <x:c r="C3" s="28" t="str">
        <x:v>https://csrc.nist.gov/pubs/fips/204/final</x:v>
      </x:c>
    </x:row>
    <x:row r="4">
      <x:c r="A4" s="28" t="str">
        <x:v>NIST FIPS 205 — SLH-DSA</x:v>
      </x:c>
      <x:c r="B4" s="28" t="str">
        <x:v>NIST stateless hash-based digital signature standard based on SPHINCS+.</x:v>
      </x:c>
      <x:c r="C4" s="28" t="str">
        <x:v>https://csrc.nist.gov/pubs/fips/205/final</x:v>
      </x:c>
    </x:row>
    <x:row r="5">
      <x:c r="A5" s="28" t="str">
        <x:v>NIST PQC Standardization Project</x:v>
      </x:c>
      <x:c r="B5" s="28" t="str">
        <x:v>Current NIST PQC algorithm/standardization status and project resources.</x:v>
      </x:c>
      <x:c r="C5" s="28" t="str">
        <x:v>https://csrc.nist.gov/projects/post-quantum-cryptography/post-quantum-cryptography-standardization</x:v>
      </x:c>
    </x:row>
    <x:row r="6">
      <x:c r="A6" s="28" t="str">
        <x:v>NIST NCCoE Migration to PQC</x:v>
      </x:c>
      <x:c r="B6" s="28" t="str">
        <x:v>NIST migration project covering crypto discovery inventories, prioritization, and interoperability testing.</x:v>
      </x:c>
      <x:c r="C6" s="28" t="str">
        <x:v>https://www.nccoe.nist.gov/applied-cryptography/migration-to-pqc</x:v>
      </x:c>
    </x:row>
    <x:row r="7">
      <x:c r="A7" s="28" t="str">
        <x:v>NIST CSWP 39 — Crypto Agility</x:v>
      </x:c>
      <x:c r="B7" s="28" t="str">
        <x:v>Strategies and practices for replacing/adapting cryptography while preserving security and operations.</x:v>
      </x:c>
      <x:c r="C7" s="28" t="str">
        <x:v>https://nvlpubs.nist.gov/nistpubs/CSWP/NIST.CSWP.39.pdf</x:v>
      </x:c>
    </x:row>
    <x:row r="8">
      <x:c r="A8" s="28" t="str">
        <x:v>NIST Cybersecurity Framework 2.0</x:v>
      </x:c>
      <x:c r="B8" s="28" t="str">
        <x:v>Govern, Identify, Protect, Detect, Respond, Recover outcomes for risk governance.</x:v>
      </x:c>
      <x:c r="C8" s="28" t="str">
        <x:v>https://www.nist.gov/news-events/news/2024/02/nist-releases-version-20-landmark-cybersecurity-framework</x:v>
      </x:c>
    </x:row>
    <x:row r="9">
      <x:c r="A9" s="28" t="str">
        <x:v>NIST SP 800-53 Rev. 5</x:v>
      </x:c>
      <x:c r="B9" s="28" t="str">
        <x:v>Security and privacy control catalog for organizations and systems.</x:v>
      </x:c>
      <x:c r="C9" s="28" t="str">
        <x:v>https://csrc.nist.gov/pubs/sp/800/53/r5/upd1/final</x:v>
      </x:c>
    </x:row>
    <x:row r="10">
      <x:c r="A10" s="28" t="str">
        <x:v>NIST SP 800-82 Rev. 3</x:v>
      </x:c>
      <x:c r="B10" s="28" t="str">
        <x:v>Operational Technology security guidance, including OT/ICS/SCADA risk context.</x:v>
      </x:c>
      <x:c r="C10" s="28" t="str">
        <x:v>https://csrc.nist.gov/pubs/sp/800/82/r3/final</x:v>
      </x:c>
    </x:row>
    <x:row r="11">
      <x:c r="A11" s="28" t="str">
        <x:v>NIST SP 800-161 Rev. 1 Update 1</x:v>
      </x:c>
      <x:c r="B11" s="28" t="str">
        <x:v>Cybersecurity supply chain risk management guidance for products and services.</x:v>
      </x:c>
      <x:c r="C11" s="28" t="str">
        <x:v>https://csrc.nist.gov/pubs/sp/800/161/r1/upd1/final</x:v>
      </x:c>
    </x:row>
    <x:row r="12">
      <x:c r="A12" s="28" t="str">
        <x:v>CISA Migration to Post-Quantum Cryptography</x:v>
      </x:c>
      <x:c r="B12" s="28" t="str">
        <x:v>Quantum-readiness roadmap and inventory considerations.</x:v>
      </x:c>
      <x:c r="C12" s="28" t="str">
        <x:v>https://www.cisa.gov/resources-tools/resources/quantum-readiness-migration-post-quantum-cryptography</x:v>
      </x:c>
    </x:row>
    <x:row r="13">
      <x:c r="A13" s="28" t="str">
        <x:v>CISA Post-Quantum Considerations for Operational Technology</x:v>
      </x:c>
      <x:c r="B13" s="28" t="str">
        <x:v>OT-specific PQC migration considerations.</x:v>
      </x:c>
      <x:c r="C13" s="28" t="str">
        <x:v>https://www.cisa.gov/resources-tools/resources/post-quantum-considerations-operational-technology</x:v>
      </x:c>
    </x:row>
    <x:row r="14">
      <x:c r="A14" s="28" t="str">
        <x:v>CISA Product Categories for PQC Adoption</x:v>
      </x:c>
      <x:c r="B14" s="28" t="str">
        <x:v>Product categories that currently support or are expected to support PQC standards.</x:v>
      </x:c>
      <x:c r="C14" s="28" t="str">
        <x:v>https://www.cisa.gov/resources-tools/resources/product-categories-technologies-use-post-quantum-cryptography-standards</x:v>
      </x:c>
    </x:row>
  </x:sheetData>
  <x:pageMargins left="0.7" right="0.7" top="0.75" bottom="0.75" header="0.3" footer="0.3"/>
  <x:tableParts count="1">
    <x:tablePart xmlns:r="http://schemas.openxmlformats.org/officeDocument/2006/relationships" r:id="Rad311801e3cf4376"/>
  </x:tableParts>
</x:worksheet>
</file>

<file path=docProps/core.xml><?xml version="1.0" encoding="utf-8"?>
<cp:coreProperties xmlns:cp="http://schemas.openxmlformats.org/package/2006/metadata/core-properties" xmlns:dc="http://purl.org/dc/elements/1.1/">
  <dc:creator>Ankit Gupta</dc:creator>
  <cp:lastModifiedBy>Ankit Gupta</cp:lastModifiedBy>
</cp:coreProperties>
</file>