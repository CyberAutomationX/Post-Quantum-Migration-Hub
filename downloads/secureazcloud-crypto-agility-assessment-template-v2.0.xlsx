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tables/table1.xml" ContentType="application/vnd.openxmlformats-officedocument.spreadsheetml.table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0a6a14663bb64be0" /><ns0:Relationship Id="rIdAuthor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1fa0549b60dd42ef"/>
    <x:sheet xmlns:r="http://schemas.openxmlformats.org/officeDocument/2006/relationships" name="Crypto_Inventory" sheetId="2" r:id="R39dea3df963e441e"/>
    <x:sheet xmlns:r="http://schemas.openxmlformats.org/officeDocument/2006/relationships" name="Assessment_Checklist" sheetId="3" r:id="R0b631d0736384299"/>
    <x:sheet xmlns:r="http://schemas.openxmlformats.org/officeDocument/2006/relationships" name="Scoring_Model" sheetId="4" r:id="R3f6d55b8ba154f42"/>
    <x:sheet xmlns:r="http://schemas.openxmlformats.org/officeDocument/2006/relationships" name="Migration_Roadmap" sheetId="5" r:id="R794fdb4ba4374bfd"/>
    <x:sheet xmlns:r="http://schemas.openxmlformats.org/officeDocument/2006/relationships" name="Vendor_Questions" sheetId="6" r:id="Rd34fa41e43ea4ceb"/>
    <x:sheet xmlns:r="http://schemas.openxmlformats.org/officeDocument/2006/relationships" name="Sources" sheetId="7" r:id="Rc620350f4132494b"/>
    <x:sheet xmlns:r="http://schemas.openxmlformats.org/officeDocument/2006/relationships" name="Threat_Register" sheetId="8" r:id="Rb7ed0cc960114a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8">
    <x:font>
      <x:sz val="11"/>
      <x:name val="Carlito"/>
    </x:font>
    <x:font>
      <x:b/>
      <x:sz val="14"/>
      <x:color rgb="FFFFFFFF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  <x:font>
      <x:sz val="11"/>
      <x:color rgb="FF1D4ED8"/>
      <x:name val="Carlito"/>
    </x:font>
    <x:font>
      <x:b/>
      <x:sz val="10"/>
      <x:color rgb="FFFFFFFF"/>
      <x:name val="Arial"/>
    </x:font>
    <x:font>
      <x:sz val="10"/>
      <x:color rgb="FF273343"/>
      <x:name val="Arial"/>
    </x:font>
    <x:font>
      <x:b/>
      <x:sz val="10"/>
      <x:color rgb="FF273343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12355B"/>
      </x:patternFill>
    </x:fill>
    <x:fill>
      <x:patternFill patternType="solid">
        <x:fgColor rgb="FF7C2D12"/>
      </x:patternFill>
    </x:fill>
    <x:fill>
      <x:patternFill patternType="solid">
        <x:fgColor rgb="FF15385D"/>
      </x:patternFill>
    </x:fill>
    <x:fill>
      <x:patternFill patternType="solid">
        <x:fgColor rgb="FFFFF8E7"/>
      </x:patternFill>
    </x:fill>
    <x:fill>
      <x:patternFill patternType="solid">
        <x:fgColor rgb="FFE8F0F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horizontal="left" vertical="top" wrapText="1"/>
    </x:xf>
    <x:xf numFmtId="200" fontId="6" fillId="0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200" fontId="6" fillId="7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top" wrapText="1"/>
    </x:xf>
    <x:xf numFmtId="201" fontId="2" fillId="9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 vertical="center" wrapText="1"/>
    </x:xf>
    <x:xf numFmtId="201" fontId="6" fillId="9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/>
    <x:xf numFmtId="201" fontId="6" fillId="0" borderId="0" xfId="0" applyNumberFormat="1" applyFont="1" applyFill="1" applyBorder="1" applyAlignment="1">
      <x:alignment wrapText="1"/>
    </x:xf>
    <x:xf numFmtId="201" fontId="6" fillId="9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57dcfa5eb64ce7" /><Relationship Type="http://schemas.openxmlformats.org/officeDocument/2006/relationships/theme" Target="/xl/theme/theme1.xml" Id="Rd63c280789fc4f95" /><Relationship Type="http://schemas.openxmlformats.org/officeDocument/2006/relationships/sharedStrings" Target="/xl/sharedStrings.xml" Id="R7c6d58defad445f2" /><Relationship Type="http://schemas.openxmlformats.org/officeDocument/2006/relationships/worksheet" Target="/xl/worksheets/sheet1.xml" Id="R1fa0549b60dd42ef" /><Relationship Type="http://schemas.openxmlformats.org/officeDocument/2006/relationships/worksheet" Target="/xl/worksheets/sheet2.xml" Id="R39dea3df963e441e" /><Relationship Type="http://schemas.openxmlformats.org/officeDocument/2006/relationships/worksheet" Target="/xl/worksheets/sheet3.xml" Id="R0b631d0736384299" /><Relationship Type="http://schemas.openxmlformats.org/officeDocument/2006/relationships/worksheet" Target="/xl/worksheets/sheet4.xml" Id="R3f6d55b8ba154f42" /><Relationship Type="http://schemas.openxmlformats.org/officeDocument/2006/relationships/worksheet" Target="/xl/worksheets/sheet5.xml" Id="R794fdb4ba4374bfd" /><Relationship Type="http://schemas.openxmlformats.org/officeDocument/2006/relationships/worksheet" Target="/xl/worksheets/sheet6.xml" Id="Rd34fa41e43ea4ceb" /><Relationship Type="http://schemas.openxmlformats.org/officeDocument/2006/relationships/worksheet" Target="/xl/worksheets/sheet7.xml" Id="Rc620350f4132494b" /><Relationship Type="http://schemas.openxmlformats.org/officeDocument/2006/relationships/worksheet" Target="/xl/worksheets/sheet8.xml" Id="Rb7ed0cc960114a41" /></Relationships>
</file>

<file path=xl/tables/table1.xml><?xml version="1.0" encoding="utf-8"?>
<x:table xmlns:x="http://schemas.openxmlformats.org/spreadsheetml/2006/main" id="1" name="AgilityThreats" displayName="AgilityThreats" ref="A1:J13" headerRowCount="1" totalsRowCount="0" totalsRowShown="0">
  <x:tableColumns count="10">
    <x:tableColumn id="1" name="Threat ID"/>
    <x:tableColumn id="2" name="Scenario"/>
    <x:tableColumn id="3" name="Risk to assess"/>
    <x:tableColumn id="4" name="Local recommended mitigation"/>
    <x:tableColumn id="5" name="Expected evidence"/>
    <x:tableColumn id="6" name="Source references"/>
    <x:tableColumn id="7" name="Applicable Asset IDs"/>
    <x:tableColumn id="8" name="Owner"/>
    <x:tableColumn id="9" name="Status"/>
    <x:tableColumn id="10" name="Evidence / Decision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Ankit Gupta">
  <a:themeElements>
    <a:clrScheme name="Ankit Gupt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kit Gupta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c78c31cf554e46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40" hidden="0" customHeight="1">
      <x:c r="A1" s="28" t="str">
        <x:v>SecureAzCloud Crypto-Agility Assessment Template</x:v>
      </x:c>
      <x:c r="B1" s="29"/>
      <x:c r="C1" s="29"/>
      <x:c r="D1" s="29"/>
      <x:c r="E1" s="29"/>
      <x:c r="F1" s="29"/>
      <x:c r="G1" s="29"/>
      <x:c r="H1" s="29"/>
    </x:row>
    <x:row r="2" ht="44" hidden="0" customHeight="1">
      <x:c r="A2" s="13" t="str">
        <x:v>2026–2035 and continuing operations. Updated against public NIST sources available on 2026-09-29. All populated assets are examples.</x:v>
      </x:c>
      <x:c r="B2" s="29"/>
      <x:c r="C2" s="29"/>
      <x:c r="D2" s="29"/>
      <x:c r="E2" s="29"/>
      <x:c r="F2" s="29"/>
      <x:c r="G2" s="29"/>
      <x:c r="H2" s="29"/>
    </x:row>
    <x:row r="3" ht="23" hidden="0" customHeight="1">
      <x:c r="A3" s="22" t="str">
        <x:v>Version</x:v>
      </x:c>
      <x:c r="B3" s="13" t="str">
        <x:v>v2.0</x:v>
      </x:c>
      <x:c r="C3" s="29"/>
      <x:c r="D3" s="29"/>
      <x:c r="E3" s="29"/>
      <x:c r="F3" s="29"/>
      <x:c r="G3" s="29"/>
      <x:c r="H3" s="29"/>
    </x:row>
    <x:row r="4" ht="23" hidden="0" customHeight="1">
      <x:c r="A4" s="22" t="str">
        <x:v>Updated</x:v>
      </x:c>
      <x:c r="B4" s="50" t="n">
        <x:v>46294</x:v>
      </x:c>
      <x:c r="C4" s="29"/>
      <x:c r="D4" s="29"/>
      <x:c r="E4" s="29"/>
      <x:c r="F4" s="29"/>
      <x:c r="G4" s="29"/>
      <x:c r="H4" s="29"/>
    </x:row>
    <x:row r="5" ht="23" hidden="0" customHeight="1">
      <x:c r="A5" s="22" t="str">
        <x:v>Author / Maintainer</x:v>
      </x:c>
      <x:c r="B5" s="13" t="str">
        <x:v>Ankit Gupta</x:v>
      </x:c>
      <x:c r="C5" s="29"/>
      <x:c r="D5" s="29"/>
      <x:c r="E5" s="29"/>
      <x:c r="F5" s="29"/>
      <x:c r="G5" s="29"/>
      <x:c r="H5" s="29"/>
    </x:row>
    <x:row r="6">
      <x:c r="A6" s="29"/>
      <x:c r="B6" s="29"/>
      <x:c r="C6" s="29"/>
      <x:c r="D6" s="29"/>
      <x:c r="E6" s="29"/>
      <x:c r="F6" s="29"/>
      <x:c r="G6" s="29"/>
      <x:c r="H6" s="29"/>
    </x:row>
    <x:row r="7" ht="49" customHeight="1">
      <x:c r="A7" s="22" t="str">
        <x:v>Purpose</x:v>
      </x:c>
      <x:c r="B7" s="48" t="str">
        <x:v>Use this workbook to create an evidence-backed inventory of cryptographic dependencies and score migration priority for quantum-vulnerable assets.</x:v>
      </x:c>
      <x:c r="C7" s="29"/>
      <x:c r="D7" s="29"/>
      <x:c r="E7" s="29"/>
      <x:c r="F7" s="29"/>
      <x:c r="G7" s="29"/>
      <x:c r="H7" s="29"/>
    </x:row>
    <x:row r="8" ht="49" customHeight="1">
      <x:c r="A8" s="22" t="str">
        <x:v>Public/redacted use</x:v>
      </x:c>
      <x:c r="B8" s="48" t="str">
        <x:v>No internal hostnames, customer names, secrets, key material, IP addresses, or proprietary architecture details are required. Use placeholders or evidence links to internal systems when sharing externally.</x:v>
      </x:c>
      <x:c r="C8" s="29"/>
      <x:c r="D8" s="29"/>
      <x:c r="E8" s="29"/>
      <x:c r="F8" s="29"/>
      <x:c r="G8" s="29"/>
      <x:c r="H8" s="29"/>
    </x:row>
    <x:row r="9" ht="49" customHeight="1">
      <x:c r="A9" s="22" t="str">
        <x:v>Recommended sequence</x:v>
      </x:c>
      <x:c r="B9" s="48" t="str">
        <x:v>1) Replace the five example assets. 2) Complete identity, scoring, dependency and evidence fields. 3) Review threats and assessment items. 4) Apply the calendar roadmap and retain approval/test evidence.</x:v>
      </x:c>
      <x:c r="C9" s="29"/>
      <x:c r="D9" s="29"/>
      <x:c r="E9" s="29"/>
      <x:c r="F9" s="29"/>
      <x:c r="G9" s="29"/>
      <x:c r="H9" s="29"/>
    </x:row>
    <x:row r="10" ht="49" customHeight="1">
      <x:c r="A10" s="22" t="str">
        <x:v>Scoring model</x:v>
      </x:c>
      <x:c r="B10" s="48" t="str">
        <x:v>P1/P2/P3, weights and 90/180-day review targets are SecureAzCloud planning heuristics, not NIST requirements. Edit numeric weights and thresholds in Scoring_Model. Unknowns need investigation; incomplete records are not scored.</x:v>
      </x:c>
      <x:c r="C10" s="29"/>
      <x:c r="D10" s="29"/>
      <x:c r="E10" s="29"/>
      <x:c r="F10" s="29"/>
      <x:c r="G10" s="29"/>
      <x:c r="H10" s="29"/>
    </x:row>
    <x:row r="11" ht="49" customHeight="1">
      <x:c r="A11" s="22" t="str">
        <x:v>Evidence standard</x:v>
      </x:c>
      <x:c r="B11" s="48" t="str">
        <x:v>Completion requires owner, test/validation evidence, production approval, rollback/restore evidence and test date. Example records cannot be marked complete. Supplier support alone does not prove deployed protection.</x:v>
      </x:c>
      <x:c r="C11" s="29"/>
      <x:c r="D11" s="29"/>
      <x:c r="E11" s="29"/>
      <x:c r="F11" s="29"/>
      <x:c r="G11" s="29"/>
      <x:c r="H11" s="29"/>
    </x:row>
    <x:row r="12" ht="49" customHeight="1">
      <x:c r="A12" s="22" t="str">
        <x:v>Caution</x:v>
      </x:c>
      <x:c r="B12" s="48" t="str">
        <x:v>This is a planning aid, not a certification. Deploy PQC changes only after architecture review, standards/protocol support, vendor support, testing, and rollback planning.</x:v>
      </x:c>
      <x:c r="C12" s="29"/>
      <x:c r="D12" s="29"/>
      <x:c r="E12" s="29"/>
      <x:c r="F12" s="29"/>
      <x:c r="G12" s="29"/>
      <x:c r="H12" s="29"/>
    </x:row>
    <x:row r="13" ht="49" customHeight="1">
      <x:c r="A13" s="44" t="str">
        <x:v>2026 and future guidance</x:v>
      </x:c>
      <x:c r="B13" s="49" t="str">
        <x:v>FIPS 203/204/205 are final. SP 800-227 is final. CSWP 39 Update 1 is the final agility reference. IR 8547 is still an initial public draft; its dates are planning signals, not a blanket mandate.</x:v>
      </x:c>
      <x:c r="C13" s="29"/>
      <x:c r="D13" s="29"/>
      <x:c r="E13" s="29"/>
      <x:c r="F13" s="29"/>
      <x:c r="G13" s="29"/>
      <x:c r="H13" s="29"/>
    </x:row>
    <x:row r="14" ht="49" customHeight="1">
      <x:c r="A14" s="44" t="str">
        <x:v>Algorithm maturity</x:v>
      </x:c>
      <x:c r="B14" s="49" t="str">
        <x:v>ML-KEM establishes shared secrets; ML-DSA and SLH-DSA sign. Algorithm standards do not prove protocol/product support or FIPS 140 validation. Track FN-DSA and HQC as pending, not approved deployed standards.</x:v>
      </x:c>
      <x:c r="C14" s="29"/>
      <x:c r="D14" s="29"/>
      <x:c r="E14" s="29"/>
      <x:c r="F14" s="29"/>
      <x:c r="G14" s="29"/>
      <x:c r="H14" s="29"/>
    </x:row>
    <x:row r="15" ht="49" customHeight="1">
      <x:c r="A15" s="44" t="str">
        <x:v>Roadmap convention</x:v>
      </x:c>
      <x:c r="B15" s="49" t="str">
        <x:v>2026, 2027, 2028–2030, 2031–2035 and post-2035 actions are local recommendations. Set earlier targets for long-lived secrets, criticality, replacement lead time and applicable obligations.</x:v>
      </x:c>
      <x:c r="C15" s="29"/>
      <x:c r="D15" s="29"/>
      <x:c r="E15" s="29"/>
      <x:c r="F15" s="29"/>
      <x:c r="G15" s="29"/>
      <x:c r="H15" s="29"/>
    </x:row>
    <x:row r="16" ht="49" customHeight="1">
      <x:c r="A16" s="44" t="str">
        <x:v>Refreshing evidence</x:v>
      </x:c>
      <x:c r="B16" s="49" t="str">
        <x:v>Recheck Sources and NIST errata at least quarterly and after a major standards, vulnerability, vendor or architecture change. Record owner, evidence and review date.</x:v>
      </x:c>
      <x:c r="C16" s="29"/>
      <x:c r="D16" s="29"/>
      <x:c r="E16" s="29"/>
      <x:c r="F16" s="29"/>
      <x:c r="G16" s="29"/>
      <x:c r="H16" s="29"/>
    </x:row>
    <x:row r="17" ht="49" customHeight="1">
      <x:c r="A17" s="44" t="str">
        <x:v>Template capacity</x:v>
      </x:c>
      <x:c r="B17" s="49" t="str">
        <x:v>50 inventory records (rows 2–51). Copy formulas, validations and formatting when extending. Also extend bounded duplicate checks before adding row 52. CSV is a static inventory export and does not retain workbook formulas or other tabs.</x:v>
      </x:c>
      <x:c r="C17" s="29"/>
      <x:c r="D17" s="29"/>
      <x:c r="E17" s="29"/>
      <x:c r="F17" s="29"/>
      <x:c r="G17" s="29"/>
      <x:c r="H17" s="29"/>
    </x:row>
    <x:row r="18" ht="49" customHeight="1">
      <x:c r="A18" s="44" t="str">
        <x:v>Threat mapping</x:v>
      </x:c>
      <x:c r="B18" s="49" t="str">
        <x:v>Threat_Register uses scenario IDs. Record applicable IDs in Crypto_Inventory and link supporting controls/evidence. Threats are scenarios to assess, not claims that an incident has occurred.</x:v>
      </x:c>
      <x:c r="C18" s="29"/>
      <x:c r="D18" s="29"/>
      <x:c r="E18" s="29"/>
      <x:c r="F18" s="29"/>
      <x:c r="G18" s="29"/>
      <x:c r="H18" s="29"/>
    </x:row>
    <x:row r="19" ht="49" customHeight="1">
      <x:c r="A19" s="44" t="str">
        <x:v>Validation boundary</x:v>
      </x:c>
      <x:c r="B19" s="49" t="str">
        <x:v>CAVP algorithm validation, CMVP module validation and deployed protocol correctness are separate. Record certificate status, module/version/environment, approved mode and covered PQC services. Historical status is not revoked.</x:v>
      </x:c>
    </x:row>
    <x:row r="20" ht="49" customHeight="1">
      <x:c r="A20" s="44" t="str">
        <x:v>Draft watch</x:v>
      </x:c>
      <x:c r="B20" s="49" t="str">
        <x:v>Monitor SP 800-57 Rev. 6, SP 800-131A Rev. 3, SP 800-133 Rev. 3, SP 800-230 and SP 800-82 Rev. 4 as drafts. Future unpublished recommendations cannot be certified in advance.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32" hidden="0" customWidth="1"/>
    <x:col min="3" max="3" width="16" hidden="0" customWidth="1"/>
    <x:col min="4" max="4" width="26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4" hidden="0" customWidth="1"/>
    <x:col min="16" max="16" width="24" hidden="0" customWidth="1"/>
    <x:col min="17" max="17" width="24" hidden="0" customWidth="1"/>
    <x:col min="18" max="18" width="20" hidden="0" customWidth="1"/>
    <x:col min="19" max="19" width="20" hidden="0" customWidth="1"/>
    <x:col min="20" max="20" width="20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44" hidden="0" customWidth="1"/>
    <x:col min="30" max="30" width="24" hidden="0" customWidth="1"/>
    <x:col min="31" max="31" width="24" hidden="0" customWidth="1"/>
    <x:col min="32" max="32" width="24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31" hidden="0" customWidth="1"/>
    <x:col min="38" max="38" width="31" hidden="0" customWidth="1"/>
    <x:col min="39" max="39" width="25" hidden="0" customWidth="1"/>
    <x:col min="40" max="40" width="25" hidden="0" customWidth="1"/>
    <x:col min="41" max="41" width="25" hidden="0" customWidth="1"/>
    <x:col min="42" max="42" width="25" hidden="0" customWidth="1"/>
    <x:col min="43" max="43" width="34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25" hidden="0" customWidth="1"/>
    <x:col min="49" max="49" width="25" hidden="0" customWidth="1"/>
    <x:col min="50" max="50" width="25" hidden="0" customWidth="1"/>
    <x:col min="51" max="51" width="25" hidden="0" customWidth="1"/>
    <x:col min="52" max="52" width="25" hidden="0" customWidth="1"/>
    <x:col min="53" max="53" width="34" hidden="0" customWidth="1"/>
    <x:col min="54" max="54" width="34" hidden="0" customWidth="1"/>
  </x:cols>
  <x:sheetData>
    <x:row r="1" ht="44" customHeight="1">
      <x:c r="A1" s="32" t="str">
        <x:v>Asset ID</x:v>
      </x:c>
      <x:c r="B1" s="32" t="str">
        <x:v>System/Service</x:v>
      </x:c>
      <x:c r="C1" s="32" t="str">
        <x:v>Environment</x:v>
      </x:c>
      <x:c r="D1" s="32" t="str">
        <x:v>Business Function</x:v>
      </x:c>
      <x:c r="E1" s="32" t="str">
        <x:v>Owner/Team</x:v>
      </x:c>
      <x:c r="F1" s="32" t="str">
        <x:v>Data Classification</x:v>
      </x:c>
      <x:c r="G1" s="32" t="str">
        <x:v>Long-Lived Data?</x:v>
      </x:c>
      <x:c r="H1" s="32" t="str">
        <x:v>Confidentiality Horizon</x:v>
      </x:c>
      <x:c r="I1" s="32" t="str">
        <x:v>External Exposure</x:v>
      </x:c>
      <x:c r="J1" s="32" t="str">
        <x:v>Business Criticality</x:v>
      </x:c>
      <x:c r="K1" s="32" t="str">
        <x:v>Cryptographic Function</x:v>
      </x:c>
      <x:c r="L1" s="32" t="str">
        <x:v>Protocol/Use Case</x:v>
      </x:c>
      <x:c r="M1" s="32" t="str">
        <x:v>Algorithm / Key Type</x:v>
      </x:c>
      <x:c r="N1" s="32" t="str">
        <x:v>Key Size / Curve / Parameter</x:v>
      </x:c>
      <x:c r="O1" s="32" t="str">
        <x:v>Certificate/Key Store</x:v>
      </x:c>
      <x:c r="P1" s="32" t="str">
        <x:v>Vendor/Product</x:v>
      </x:c>
      <x:c r="Q1" s="32" t="str">
        <x:v>Library/Provider</x:v>
      </x:c>
      <x:c r="R1" s="32" t="str">
        <x:v>Hardware/Firmware Dependency?</x:v>
      </x:c>
      <x:c r="S1" s="32" t="str">
        <x:v>PQC Support Status</x:v>
      </x:c>
      <x:c r="T1" s="32" t="str">
        <x:v>Crypto-Agility Level</x:v>
      </x:c>
      <x:c r="U1" s="36" t="str">
        <x:v>Data Life Score</x:v>
      </x:c>
      <x:c r="V1" s="36" t="str">
        <x:v>Exposure Score</x:v>
      </x:c>
      <x:c r="W1" s="36" t="str">
        <x:v>Criticality Score</x:v>
      </x:c>
      <x:c r="X1" s="36" t="str">
        <x:v>Quantum Vulnerability Score</x:v>
      </x:c>
      <x:c r="Y1" s="36" t="str">
        <x:v>Supplier Readiness Score</x:v>
      </x:c>
      <x:c r="Z1" s="36" t="str">
        <x:v>Migration Effort Score</x:v>
      </x:c>
      <x:c r="AA1" s="36" t="str">
        <x:v>Calculated Risk Score</x:v>
      </x:c>
      <x:c r="AB1" s="36" t="str">
        <x:v>Priority</x:v>
      </x:c>
      <x:c r="AC1" s="32" t="str">
        <x:v>Recommended Action</x:v>
      </x:c>
      <x:c r="AD1" s="32" t="str">
        <x:v>Target Quarter</x:v>
      </x:c>
      <x:c r="AE1" s="32" t="str">
        <x:v>Evidence Link</x:v>
      </x:c>
      <x:c r="AF1" s="32" t="str">
        <x:v>Notes</x:v>
      </x:c>
      <x:c r="AG1" s="44" t="str">
        <x:v>Record Type</x:v>
      </x:c>
      <x:c r="AH1" s="44" t="str">
        <x:v>Algorithm Family</x:v>
      </x:c>
      <x:c r="AI1" s="44" t="str">
        <x:v>Protocol/Profile Maturity</x:v>
      </x:c>
      <x:c r="AJ1" s="44" t="str">
        <x:v>Component Version</x:v>
      </x:c>
      <x:c r="AK1" s="44" t="str">
        <x:v>Upstream Dependency IDs</x:v>
      </x:c>
      <x:c r="AL1" s="44" t="str">
        <x:v>Relying Parties / Downstream IDs</x:v>
      </x:c>
      <x:c r="AM1" s="44" t="str">
        <x:v>Discovery Method</x:v>
      </x:c>
      <x:c r="AN1" s="44" t="str">
        <x:v>Discovery Date</x:v>
      </x:c>
      <x:c r="AO1" s="44" t="str">
        <x:v>Protection Lifetime (years)</x:v>
      </x:c>
      <x:c r="AP1" s="44" t="str">
        <x:v>Migration Lead Time (years)</x:v>
      </x:c>
      <x:c r="AQ1" s="44" t="str">
        <x:v>Target Algorithm / Profile</x:v>
      </x:c>
      <x:c r="AR1" s="44" t="str">
        <x:v>Validation / Test Evidence</x:v>
      </x:c>
      <x:c r="AS1" s="44" t="str">
        <x:v>Migration Status</x:v>
      </x:c>
      <x:c r="AT1" s="44" t="str">
        <x:v>Production Approval / Reviewer</x:v>
      </x:c>
      <x:c r="AU1" s="44" t="str">
        <x:v>Rollback / Restore Evidence</x:v>
      </x:c>
      <x:c r="AV1" s="44" t="str">
        <x:v>Last Test Date</x:v>
      </x:c>
      <x:c r="AW1" s="44" t="str">
        <x:v>Vendor Support End</x:v>
      </x:c>
      <x:c r="AX1" s="44" t="str">
        <x:v>Exception Expiry</x:v>
      </x:c>
      <x:c r="AY1" s="44" t="str">
        <x:v>Threat IDs</x:v>
      </x:c>
      <x:c r="AZ1" s="44" t="str">
        <x:v>Source References</x:v>
      </x:c>
      <x:c r="BA1" s="44" t="str">
        <x:v>Record / Scoring Gate</x:v>
      </x:c>
      <x:c r="BB1" s="44" t="str">
        <x:v>Completion Gate</x:v>
      </x:c>
    </x:row>
    <x:row r="2" ht="82" customHeight="1">
      <x:c r="A2" s="33" t="str">
        <x:v>A-001</x:v>
      </x:c>
      <x:c r="B2" s="33" t="str">
        <x:v>Example customer portal TLS</x:v>
      </x:c>
      <x:c r="C2" s="33" t="str">
        <x:v>Production</x:v>
      </x:c>
      <x:c r="D2" s="33" t="str">
        <x:v>Customer web access</x:v>
      </x:c>
      <x:c r="E2" s="33" t="str">
        <x:v>Security Architecture</x:v>
      </x:c>
      <x:c r="F2" s="33" t="str">
        <x:v>Sensitive</x:v>
      </x:c>
      <x:c r="G2" s="33" t="str">
        <x:v>Yes</x:v>
      </x:c>
      <x:c r="H2" s="33" t="str">
        <x:v>5-10 years</x:v>
      </x:c>
      <x:c r="I2" s="33" t="str">
        <x:v>Internet-facing</x:v>
      </x:c>
      <x:c r="J2" s="33" t="str">
        <x:v>High</x:v>
      </x:c>
      <x:c r="K2" s="33" t="str">
        <x:v>Key establishment</x:v>
      </x:c>
      <x:c r="L2" s="33" t="str">
        <x:v>TLS 1.2/1.3</x:v>
      </x:c>
      <x:c r="M2" s="33" t="str">
        <x:v>ECDHE_RSA</x:v>
      </x:c>
      <x:c r="N2" s="33" t="str">
        <x:v>RSA-2048 / P-256</x:v>
      </x:c>
      <x:c r="O2" s="33" t="str">
        <x:v>Public TLS certificate</x:v>
      </x:c>
      <x:c r="P2" s="33" t="str">
        <x:v>Example web platform</x:v>
      </x:c>
      <x:c r="Q2" s="33" t="str">
        <x:v>Managed TLS library</x:v>
      </x:c>
      <x:c r="R2" s="33" t="str">
        <x:v>No</x:v>
      </x:c>
      <x:c r="S2" s="33" t="str">
        <x:v>Roadmap</x:v>
      </x:c>
      <x:c r="T2" s="33" t="str">
        <x:v>Library upgrade</x:v>
      </x:c>
      <x:c r="U2" s="33" t="n">
        <x:f>IF(OR(A2="",G2="",H2=""),"",IF(G2="Yes",5,IF(H2="&gt;10 years",5,IF(H2="5-10 years",4,IF(H2="1-5 years",3,IF(H2="&lt;1 year",1,4))))))</x:f>
        <x:v>5</x:v>
      </x:c>
      <x:c r="V2" s="33" t="n">
        <x:f>IF(OR(A2="",I2=""),"",IF(I2="Internet-facing",5,IF(I2="Partner-accessible",4,IF(I2="Internal",2,IF(I2="Isolated",1,4)))))</x:f>
        <x:v>5</x:v>
      </x:c>
      <x:c r="W2" s="33" t="n">
        <x:f>IF(OR(A2="",J2=""),"",IF(J2="Critical",5,IF(J2="High",4,IF(J2="Medium",3,IF(J2="Low",2,4)))))</x:f>
        <x:v>4</x:v>
      </x:c>
      <x:c r="X2" s="33" t="n">
        <x:f>IF(OR(A2="",AH2=""),"",IF(AH2="Classical public-key",5,IF(AH2="Standardized PQC",1,IF(AH2="Symmetric/hash",2,IF(AH2="Hybrid",3,4)))))</x:f>
        <x:v>5</x:v>
      </x:c>
      <x:c r="Y2" s="33" t="n">
        <x:f>IF(OR(A2="",S2=""),"",IF(S2="Supported",1,IF(S2="Roadmap",3,IF(S2="No",5,IF(S2="N/A",2,4)))))</x:f>
        <x:v>3</x:v>
      </x:c>
      <x:c r="Z2" s="33" t="n">
        <x:f>IF(OR(A2="",T2=""),"",IF(T2="Configurable",1,IF(T2="Library upgrade",2,IF(T2="Requires refactor",4,IF(T2="Embedded/firmware",5,4)))))</x:f>
        <x:v>2</x:v>
      </x:c>
      <x:c r="AA2" s="33" t="n">
        <x:f>IF(A2="","",IF(BA2&lt;&gt;"Ready","",IF(Scoring_Model!$B$15&lt;&gt;"Valid weights","",ROUND((U2*Scoring_Model!$B$8+V2*Scoring_Model!$B$9+W2*Scoring_Model!$B$10+X2*Scoring_Model!$B$11+Y2*Scoring_Model!$B$12+Z2*Scoring_Model!$B$13)*20,0))))</x:f>
        <x:v>89</x:v>
      </x:c>
      <x:c r="AB2" s="33" t="str">
        <x:f>IF(A2="","",IF(BA2&lt;&gt;"Ready","Needs data",IF(Scoring_Model!$B$15&lt;&gt;"Valid weights","Check weights",IF(AA2&gt;=Scoring_Model!$B$17,"P1",IF(AA2&gt;=Scoring_Model!$B$18,"P2","P3")))))</x:f>
        <x:v>P1</x:v>
      </x:c>
      <x:c r="AC2" s="33" t="str">
        <x:f>IF(A2="","",IF(AB2="Needs data","Complete scoring inputs and resolve duplicate ID",IF(AB2="Check weights","Check Scoring_Model weights",IF(AB2="P1","Local target: executive review, pilot and vendor plan in 90 days",IF(AB2="P2","Local target: roadmap and dependencies in 180 days","Recurring review; assess threats and exceptions")))))</x:f>
        <x:v>Local target: executive review, pilot and vendor plan in 90 days</x:v>
      </x:c>
      <x:c r="AD2" s="33" t="str">
        <x:v>2026-Q4</x:v>
      </x:c>
      <x:c r="AE2" s="33" t="str">
        <x:v>https://example.invalid/evidence/A-001</x:v>
      </x:c>
      <x:c r="AF2" s="33" t="str">
        <x:v>Example only; replace with organization evidence.</x:v>
      </x:c>
      <x:c r="AG2" s="52" t="str">
        <x:v>Example</x:v>
      </x:c>
      <x:c r="AH2" s="52" t="str">
        <x:v>Classical public-key</x:v>
      </x:c>
      <x:c r="AI2" s="52" t="str">
        <x:v>Profile review required</x:v>
      </x:c>
      <x:c r="AJ2" s="52" t="str">
        <x:v>Replace with deployed version</x:v>
      </x:c>
      <x:c r="AK2" s="52" t="str">
        <x:v>A-002</x:v>
      </x:c>
      <x:c r="AL2" s="52" t="str">
        <x:v>Customer browser, CDN, proxy</x:v>
      </x:c>
      <x:c r="AM2" s="52" t="str">
        <x:v>Example only</x:v>
      </x:c>
      <x:c r="AN2" s="53"/>
      <x:c r="AO2" s="52" t="n">
        <x:v>10</x:v>
      </x:c>
      <x:c r="AP2" s="52" t="n">
        <x:v>2</x:v>
      </x:c>
      <x:c r="AQ2" s="52" t="str">
        <x:v>ML-KEM in supported protocol; authentication separately</x:v>
      </x:c>
      <x:c r="AR2" s="52"/>
      <x:c r="AS2" s="52" t="str">
        <x:v>Not Started</x:v>
      </x:c>
      <x:c r="AT2" s="52"/>
      <x:c r="AU2" s="52"/>
      <x:c r="AV2" s="53"/>
      <x:c r="AW2" s="53"/>
      <x:c r="AX2" s="53"/>
      <x:c r="AY2" s="52" t="str">
        <x:v>T01, T03, T04, T07</x:v>
      </x:c>
      <x:c r="AZ2" s="52" t="str">
        <x:v>FIPS203; SP800227; CSWP39</x:v>
      </x:c>
      <x:c r="BA2" s="54" t="str">
        <x:f>IF(A2="","",IF(COUNTIFS($A$2:$A$51,A2)&gt;1,"Duplicate asset ID",IF(OR(B2="",E2="",G2="",H2="",I2="",J2="",M2="",S2="",T2="",AH2=""),"Missing required scoring input","Ready")))</x:f>
        <x:v>Ready</x:v>
      </x:c>
      <x:c r="BB2" s="54" t="str">
        <x:f>IF(A2="","",IF(AG2&lt;&gt;"Live","Example or record type missing",IF(AS2="Complete",IF(AND(BA2="Ready",AI2="Approved supported profile",AQ2&lt;&gt;"",AE2&lt;&gt;"",AR2&lt;&gt;"",AT2&lt;&gt;"",AU2&lt;&gt;"",ISNUMBER(AV2),AV2&gt;0,AV2&lt;=Start_Here!$B$4),"Complete with evidence","Missing approval, profile or test evidence"),IF(AS2="Accepted Risk",IF(AND(AT2&lt;&gt;"",AE2&lt;&gt;"",ISNUMBER(AX2),AX2&gt;=Start_Here!$B$4),"Accepted risk; migration open","Missing or expired risk acceptance"),IF(AS2="","Status required",AS2)))))</x:f>
        <x:v>Example or record type missing</x:v>
      </x:c>
    </x:row>
    <x:row r="3" ht="82" customHeight="1">
      <x:c r="A3" s="33" t="str">
        <x:v>A-002</x:v>
      </x:c>
      <x:c r="B3" s="33" t="str">
        <x:v>Example code-signing pipeline</x:v>
      </x:c>
      <x:c r="C3" s="33" t="str">
        <x:v>Production</x:v>
      </x:c>
      <x:c r="D3" s="33" t="str">
        <x:v>Software release integrity</x:v>
      </x:c>
      <x:c r="E3" s="33" t="str">
        <x:v>DevSecOps</x:v>
      </x:c>
      <x:c r="F3" s="33" t="str">
        <x:v>Internal</x:v>
      </x:c>
      <x:c r="G3" s="33" t="str">
        <x:v>No</x:v>
      </x:c>
      <x:c r="H3" s="33" t="str">
        <x:v>1-5 years</x:v>
      </x:c>
      <x:c r="I3" s="33" t="str">
        <x:v>Partner-accessible</x:v>
      </x:c>
      <x:c r="J3" s="33" t="str">
        <x:v>High</x:v>
      </x:c>
      <x:c r="K3" s="33" t="str">
        <x:v>Digital signature</x:v>
      </x:c>
      <x:c r="L3" s="33" t="str">
        <x:v>Artifact/code signing</x:v>
      </x:c>
      <x:c r="M3" s="33" t="str">
        <x:v>RSA</x:v>
      </x:c>
      <x:c r="N3" s="33" t="str">
        <x:v>RSA-3072</x:v>
      </x:c>
      <x:c r="O3" s="33" t="str">
        <x:v>Enterprise signing key store</x:v>
      </x:c>
      <x:c r="P3" s="33" t="str">
        <x:v>Example signing service</x:v>
      </x:c>
      <x:c r="Q3" s="33" t="str">
        <x:v>Signing toolchain</x:v>
      </x:c>
      <x:c r="R3" s="33" t="str">
        <x:v>No</x:v>
      </x:c>
      <x:c r="S3" s="33" t="str">
        <x:v>Unknown</x:v>
      </x:c>
      <x:c r="T3" s="33" t="str">
        <x:v>Requires refactor</x:v>
      </x:c>
      <x:c r="U3" s="33" t="n">
        <x:f>IF(OR(A3="",G3="",H3=""),"",IF(G3="Yes",5,IF(H3="&gt;10 years",5,IF(H3="5-10 years",4,IF(H3="1-5 years",3,IF(H3="&lt;1 year",1,4))))))</x:f>
        <x:v>3</x:v>
      </x:c>
      <x:c r="V3" s="33" t="n">
        <x:f>IF(OR(A3="",I3=""),"",IF(I3="Internet-facing",5,IF(I3="Partner-accessible",4,IF(I3="Internal",2,IF(I3="Isolated",1,4)))))</x:f>
        <x:v>4</x:v>
      </x:c>
      <x:c r="W3" s="33" t="n">
        <x:f>IF(OR(A3="",J3=""),"",IF(J3="Critical",5,IF(J3="High",4,IF(J3="Medium",3,IF(J3="Low",2,4)))))</x:f>
        <x:v>4</x:v>
      </x:c>
      <x:c r="X3" s="33" t="n">
        <x:f>IF(OR(A3="",AH3=""),"",IF(AH3="Classical public-key",5,IF(AH3="Standardized PQC",1,IF(AH3="Symmetric/hash",2,IF(AH3="Hybrid",3,4)))))</x:f>
        <x:v>5</x:v>
      </x:c>
      <x:c r="Y3" s="33" t="n">
        <x:f>IF(OR(A3="",S3=""),"",IF(S3="Supported",1,IF(S3="Roadmap",3,IF(S3="No",5,IF(S3="N/A",2,4)))))</x:f>
        <x:v>4</x:v>
      </x:c>
      <x:c r="Z3" s="33" t="n">
        <x:f>IF(OR(A3="",T3=""),"",IF(T3="Configurable",1,IF(T3="Library upgrade",2,IF(T3="Requires refactor",4,IF(T3="Embedded/firmware",5,4)))))</x:f>
        <x:v>4</x:v>
      </x:c>
      <x:c r="AA3" s="33" t="n">
        <x:f>IF(A3="","",IF(BA3&lt;&gt;"Ready","",IF(Scoring_Model!$B$15&lt;&gt;"Valid weights","",ROUND((U3*Scoring_Model!$B$8+V3*Scoring_Model!$B$9+W3*Scoring_Model!$B$10+X3*Scoring_Model!$B$11+Y3*Scoring_Model!$B$12+Z3*Scoring_Model!$B$13)*20,0))))</x:f>
        <x:v>80</x:v>
      </x:c>
      <x:c r="AB3" s="33" t="str">
        <x:f>IF(A3="","",IF(BA3&lt;&gt;"Ready","Needs data",IF(Scoring_Model!$B$15&lt;&gt;"Valid weights","Check weights",IF(AA3&gt;=Scoring_Model!$B$17,"P1",IF(AA3&gt;=Scoring_Model!$B$18,"P2","P3")))))</x:f>
        <x:v>P1</x:v>
      </x:c>
      <x:c r="AC3" s="33" t="str">
        <x:f>IF(A3="","",IF(AB3="Needs data","Complete scoring inputs and resolve duplicate ID",IF(AB3="Check weights","Check Scoring_Model weights",IF(AB3="P1","Local target: executive review, pilot and vendor plan in 90 days",IF(AB3="P2","Local target: roadmap and dependencies in 180 days","Recurring review; assess threats and exceptions")))))</x:f>
        <x:v>Local target: executive review, pilot and vendor plan in 90 days</x:v>
      </x:c>
      <x:c r="AD3" s="33" t="str">
        <x:v>2027-Q1</x:v>
      </x:c>
      <x:c r="AE3" s="33" t="str"/>
      <x:c r="AF3" s="33" t="str">
        <x:v>Identify PQC signature roadmap and test artifact verification impact.</x:v>
      </x:c>
      <x:c r="AG3" s="52" t="str">
        <x:v>Example</x:v>
      </x:c>
      <x:c r="AH3" s="52" t="str">
        <x:v>Classical public-key</x:v>
      </x:c>
      <x:c r="AI3" s="52" t="str">
        <x:v>Profile review required</x:v>
      </x:c>
      <x:c r="AJ3" s="52" t="str">
        <x:v>Replace with deployed version</x:v>
      </x:c>
      <x:c r="AK3" s="52" t="str">
        <x:v>Signing HSM</x:v>
      </x:c>
      <x:c r="AL3" s="52" t="str">
        <x:v>Artifact consumers and verifiers</x:v>
      </x:c>
      <x:c r="AM3" s="52" t="str">
        <x:v>Example only</x:v>
      </x:c>
      <x:c r="AN3" s="53"/>
      <x:c r="AO3" s="52" t="n">
        <x:v>5</x:v>
      </x:c>
      <x:c r="AP3" s="52" t="n">
        <x:v>2</x:v>
      </x:c>
      <x:c r="AQ3" s="52" t="str">
        <x:v>ML-DSA or SLH-DSA with supported signing profile</x:v>
      </x:c>
      <x:c r="AR3" s="52"/>
      <x:c r="AS3" s="52" t="str">
        <x:v>Not Started</x:v>
      </x:c>
      <x:c r="AT3" s="52"/>
      <x:c r="AU3" s="52"/>
      <x:c r="AV3" s="53"/>
      <x:c r="AW3" s="53"/>
      <x:c r="AX3" s="53"/>
      <x:c r="AY3" s="52" t="str">
        <x:v>T02, T05, T09, T10</x:v>
      </x:c>
      <x:c r="AZ3" s="52" t="str">
        <x:v>FIPS204; FIPS205; CSWP39</x:v>
      </x:c>
      <x:c r="BA3" s="54" t="str">
        <x:f>IF(A3="","",IF(COUNTIFS($A$2:$A$51,A3)&gt;1,"Duplicate asset ID",IF(OR(B3="",E3="",G3="",H3="",I3="",J3="",M3="",S3="",T3="",AH3=""),"Missing required scoring input","Ready")))</x:f>
        <x:v>Ready</x:v>
      </x:c>
      <x:c r="BB3" s="54" t="str">
        <x:f>IF(A3="","",IF(AG3&lt;&gt;"Live","Example or record type missing",IF(AS3="Complete",IF(AND(BA3="Ready",AI3="Approved supported profile",AQ3&lt;&gt;"",AE3&lt;&gt;"",AR3&lt;&gt;"",AT3&lt;&gt;"",AU3&lt;&gt;"",ISNUMBER(AV3),AV3&gt;0,AV3&lt;=Start_Here!$B$4),"Complete with evidence","Missing approval, profile or test evidence"),IF(AS3="Accepted Risk",IF(AND(AT3&lt;&gt;"",AE3&lt;&gt;"",ISNUMBER(AX3),AX3&gt;=Start_Here!$B$4),"Accepted risk; migration open","Missing or expired risk acceptance"),IF(AS3="","Status required",AS3)))))</x:f>
        <x:v>Example or record type missing</x:v>
      </x:c>
    </x:row>
    <x:row r="4" ht="82" customHeight="1">
      <x:c r="A4" s="33" t="str">
        <x:v>A-003</x:v>
      </x:c>
      <x:c r="B4" s="33" t="str">
        <x:v>Example OT remote-access gateway</x:v>
      </x:c>
      <x:c r="C4" s="33" t="str">
        <x:v>Production</x:v>
      </x:c>
      <x:c r="D4" s="33" t="str">
        <x:v>Remote maintenance access</x:v>
      </x:c>
      <x:c r="E4" s="33" t="str">
        <x:v>OT Security</x:v>
      </x:c>
      <x:c r="F4" s="33" t="str">
        <x:v>Operational</x:v>
      </x:c>
      <x:c r="G4" s="33" t="str">
        <x:v>Yes</x:v>
      </x:c>
      <x:c r="H4" s="33" t="str">
        <x:v>&gt;10 years</x:v>
      </x:c>
      <x:c r="I4" s="33" t="str">
        <x:v>Partner-accessible</x:v>
      </x:c>
      <x:c r="J4" s="33" t="str">
        <x:v>Critical</x:v>
      </x:c>
      <x:c r="K4" s="33" t="str">
        <x:v>Remote access</x:v>
      </x:c>
      <x:c r="L4" s="33" t="str">
        <x:v>IPsec/SSL VPN</x:v>
      </x:c>
      <x:c r="M4" s="33" t="str">
        <x:v>ECDHE_RSA</x:v>
      </x:c>
      <x:c r="N4" s="33" t="str">
        <x:v>RSA-2048 / P-256</x:v>
      </x:c>
      <x:c r="O4" s="33" t="str">
        <x:v>Gateway certificate store</x:v>
      </x:c>
      <x:c r="P4" s="33" t="str">
        <x:v>Example gateway appliance</x:v>
      </x:c>
      <x:c r="Q4" s="33" t="str">
        <x:v>Embedded firmware</x:v>
      </x:c>
      <x:c r="R4" s="33" t="str">
        <x:v>Yes</x:v>
      </x:c>
      <x:c r="S4" s="33" t="str">
        <x:v>Unknown</x:v>
      </x:c>
      <x:c r="T4" s="33" t="str">
        <x:v>Embedded/firmware</x:v>
      </x:c>
      <x:c r="U4" s="33" t="n">
        <x:f>IF(OR(A4="",G4="",H4=""),"",IF(G4="Yes",5,IF(H4="&gt;10 years",5,IF(H4="5-10 years",4,IF(H4="1-5 years",3,IF(H4="&lt;1 year",1,4))))))</x:f>
        <x:v>5</x:v>
      </x:c>
      <x:c r="V4" s="33" t="n">
        <x:f>IF(OR(A4="",I4=""),"",IF(I4="Internet-facing",5,IF(I4="Partner-accessible",4,IF(I4="Internal",2,IF(I4="Isolated",1,4)))))</x:f>
        <x:v>4</x:v>
      </x:c>
      <x:c r="W4" s="33" t="n">
        <x:f>IF(OR(A4="",J4=""),"",IF(J4="Critical",5,IF(J4="High",4,IF(J4="Medium",3,IF(J4="Low",2,4)))))</x:f>
        <x:v>5</x:v>
      </x:c>
      <x:c r="X4" s="33" t="n">
        <x:f>IF(OR(A4="",AH4=""),"",IF(AH4="Classical public-key",5,IF(AH4="Standardized PQC",1,IF(AH4="Symmetric/hash",2,IF(AH4="Hybrid",3,4)))))</x:f>
        <x:v>5</x:v>
      </x:c>
      <x:c r="Y4" s="33" t="n">
        <x:f>IF(OR(A4="",S4=""),"",IF(S4="Supported",1,IF(S4="Roadmap",3,IF(S4="No",5,IF(S4="N/A",2,4)))))</x:f>
        <x:v>4</x:v>
      </x:c>
      <x:c r="Z4" s="33" t="n">
        <x:f>IF(OR(A4="",T4=""),"",IF(T4="Configurable",1,IF(T4="Library upgrade",2,IF(T4="Requires refactor",4,IF(T4="Embedded/firmware",5,4)))))</x:f>
        <x:v>5</x:v>
      </x:c>
      <x:c r="AA4" s="33" t="n">
        <x:f>IF(A4="","",IF(BA4&lt;&gt;"Ready","",IF(Scoring_Model!$B$15&lt;&gt;"Valid weights","",ROUND((U4*Scoring_Model!$B$8+V4*Scoring_Model!$B$9+W4*Scoring_Model!$B$10+X4*Scoring_Model!$B$11+Y4*Scoring_Model!$B$12+Z4*Scoring_Model!$B$13)*20,0))))</x:f>
        <x:v>95</x:v>
      </x:c>
      <x:c r="AB4" s="33" t="str">
        <x:f>IF(A4="","",IF(BA4&lt;&gt;"Ready","Needs data",IF(Scoring_Model!$B$15&lt;&gt;"Valid weights","Check weights",IF(AA4&gt;=Scoring_Model!$B$17,"P1",IF(AA4&gt;=Scoring_Model!$B$18,"P2","P3")))))</x:f>
        <x:v>P1</x:v>
      </x:c>
      <x:c r="AC4" s="33" t="str">
        <x:f>IF(A4="","",IF(AB4="Needs data","Complete scoring inputs and resolve duplicate ID",IF(AB4="Check weights","Check Scoring_Model weights",IF(AB4="P1","Local target: executive review, pilot and vendor plan in 90 days",IF(AB4="P2","Local target: roadmap and dependencies in 180 days","Recurring review; assess threats and exceptions")))))</x:f>
        <x:v>Local target: executive review, pilot and vendor plan in 90 days</x:v>
      </x:c>
      <x:c r="AD4" s="33" t="str">
        <x:v>2027-Q1</x:v>
      </x:c>
      <x:c r="AE4" s="33" t="str"/>
      <x:c r="AF4" s="33" t="str">
        <x:v>Safety-first lab validation required before production change.</x:v>
      </x:c>
      <x:c r="AG4" s="52" t="str">
        <x:v>Example</x:v>
      </x:c>
      <x:c r="AH4" s="52" t="str">
        <x:v>Classical public-key</x:v>
      </x:c>
      <x:c r="AI4" s="52" t="str">
        <x:v>Vendor roadmap only</x:v>
      </x:c>
      <x:c r="AJ4" s="52" t="str">
        <x:v>Replace with deployed version</x:v>
      </x:c>
      <x:c r="AK4" s="52" t="str">
        <x:v>Remote-access IdP</x:v>
      </x:c>
      <x:c r="AL4" s="52" t="str">
        <x:v>OT gateway and maintenance clients</x:v>
      </x:c>
      <x:c r="AM4" s="52" t="str">
        <x:v>Example only</x:v>
      </x:c>
      <x:c r="AN4" s="53"/>
      <x:c r="AO4" s="52" t="n">
        <x:v>15</x:v>
      </x:c>
      <x:c r="AP4" s="52" t="n">
        <x:v>5</x:v>
      </x:c>
      <x:c r="AQ4" s="52" t="str">
        <x:v>Vendor-supported PQC transition path after lab validation</x:v>
      </x:c>
      <x:c r="AR4" s="52"/>
      <x:c r="AS4" s="52" t="str">
        <x:v>Not Started</x:v>
      </x:c>
      <x:c r="AT4" s="52"/>
      <x:c r="AU4" s="52"/>
      <x:c r="AV4" s="53"/>
      <x:c r="AW4" s="53"/>
      <x:c r="AX4" s="53"/>
      <x:c r="AY4" s="52" t="str">
        <x:v>T01, T03, T04, T06, T12</x:v>
      </x:c>
      <x:c r="AZ4" s="52" t="str">
        <x:v>CSWP39; SP80082; IR8547 draft</x:v>
      </x:c>
      <x:c r="BA4" s="54" t="str">
        <x:f>IF(A4="","",IF(COUNTIFS($A$2:$A$51,A4)&gt;1,"Duplicate asset ID",IF(OR(B4="",E4="",G4="",H4="",I4="",J4="",M4="",S4="",T4="",AH4=""),"Missing required scoring input","Ready")))</x:f>
        <x:v>Ready</x:v>
      </x:c>
      <x:c r="BB4" s="54" t="str">
        <x:f>IF(A4="","",IF(AG4&lt;&gt;"Live","Example or record type missing",IF(AS4="Complete",IF(AND(BA4="Ready",AI4="Approved supported profile",AQ4&lt;&gt;"",AE4&lt;&gt;"",AR4&lt;&gt;"",AT4&lt;&gt;"",AU4&lt;&gt;"",ISNUMBER(AV4),AV4&gt;0,AV4&lt;=Start_Here!$B$4),"Complete with evidence","Missing approval, profile or test evidence"),IF(AS4="Accepted Risk",IF(AND(AT4&lt;&gt;"",AE4&lt;&gt;"",ISNUMBER(AX4),AX4&gt;=Start_Here!$B$4),"Accepted risk; migration open","Missing or expired risk acceptance"),IF(AS4="","Status required",AS4)))))</x:f>
        <x:v>Example or record type missing</x:v>
      </x:c>
    </x:row>
    <x:row r="5" ht="82" customHeight="1">
      <x:c r="A5" s="33" t="str">
        <x:v>A-004</x:v>
      </x:c>
      <x:c r="B5" s="33" t="str">
        <x:v>Example cloud data lake encryption</x:v>
      </x:c>
      <x:c r="C5" s="33" t="str">
        <x:v>Production</x:v>
      </x:c>
      <x:c r="D5" s="33" t="str">
        <x:v>Long-lived data protection</x:v>
      </x:c>
      <x:c r="E5" s="33" t="str">
        <x:v>Cloud Security</x:v>
      </x:c>
      <x:c r="F5" s="33" t="str">
        <x:v>Restricted</x:v>
      </x:c>
      <x:c r="G5" s="33" t="str">
        <x:v>Yes</x:v>
      </x:c>
      <x:c r="H5" s="33" t="str">
        <x:v>&gt;10 years</x:v>
      </x:c>
      <x:c r="I5" s="33" t="str">
        <x:v>Internal</x:v>
      </x:c>
      <x:c r="J5" s="33" t="str">
        <x:v>Critical</x:v>
      </x:c>
      <x:c r="K5" s="33" t="str">
        <x:v>Encryption at rest</x:v>
      </x:c>
      <x:c r="L5" s="33" t="str">
        <x:v>Object storage/KMS</x:v>
      </x:c>
      <x:c r="M5" s="33" t="str">
        <x:v>AES</x:v>
      </x:c>
      <x:c r="N5" s="33" t="str">
        <x:v>AES-256</x:v>
      </x:c>
      <x:c r="O5" s="33" t="str">
        <x:v>Cloud KMS key</x:v>
      </x:c>
      <x:c r="P5" s="33" t="str">
        <x:v>Example cloud KMS</x:v>
      </x:c>
      <x:c r="Q5" s="33" t="str">
        <x:v>Managed KMS</x:v>
      </x:c>
      <x:c r="R5" s="33" t="str">
        <x:v>No</x:v>
      </x:c>
      <x:c r="S5" s="33" t="str">
        <x:v>Supported</x:v>
      </x:c>
      <x:c r="T5" s="33" t="str">
        <x:v>Configurable</x:v>
      </x:c>
      <x:c r="U5" s="33" t="n">
        <x:f>IF(OR(A5="",G5="",H5=""),"",IF(G5="Yes",5,IF(H5="&gt;10 years",5,IF(H5="5-10 years",4,IF(H5="1-5 years",3,IF(H5="&lt;1 year",1,4))))))</x:f>
        <x:v>5</x:v>
      </x:c>
      <x:c r="V5" s="33" t="n">
        <x:f>IF(OR(A5="",I5=""),"",IF(I5="Internet-facing",5,IF(I5="Partner-accessible",4,IF(I5="Internal",2,IF(I5="Isolated",1,4)))))</x:f>
        <x:v>2</x:v>
      </x:c>
      <x:c r="W5" s="33" t="n">
        <x:f>IF(OR(A5="",J5=""),"",IF(J5="Critical",5,IF(J5="High",4,IF(J5="Medium",3,IF(J5="Low",2,4)))))</x:f>
        <x:v>5</x:v>
      </x:c>
      <x:c r="X5" s="33" t="n">
        <x:f>IF(OR(A5="",AH5=""),"",IF(AH5="Classical public-key",5,IF(AH5="Standardized PQC",1,IF(AH5="Symmetric/hash",2,IF(AH5="Hybrid",3,4)))))</x:f>
        <x:v>2</x:v>
      </x:c>
      <x:c r="Y5" s="33" t="n">
        <x:f>IF(OR(A5="",S5=""),"",IF(S5="Supported",1,IF(S5="Roadmap",3,IF(S5="No",5,IF(S5="N/A",2,4)))))</x:f>
        <x:v>1</x:v>
      </x:c>
      <x:c r="Z5" s="33" t="n">
        <x:f>IF(OR(A5="",T5=""),"",IF(T5="Configurable",1,IF(T5="Library upgrade",2,IF(T5="Requires refactor",4,IF(T5="Embedded/firmware",5,4)))))</x:f>
        <x:v>1</x:v>
      </x:c>
      <x:c r="AA5" s="33" t="n">
        <x:f>IF(A5="","",IF(BA5&lt;&gt;"Ready","",IF(Scoring_Model!$B$15&lt;&gt;"Valid weights","",ROUND((U5*Scoring_Model!$B$8+V5*Scoring_Model!$B$9+W5*Scoring_Model!$B$10+X5*Scoring_Model!$B$11+Y5*Scoring_Model!$B$12+Z5*Scoring_Model!$B$13)*20,0))))</x:f>
        <x:v>64</x:v>
      </x:c>
      <x:c r="AB5" s="33" t="str">
        <x:f>IF(A5="","",IF(BA5&lt;&gt;"Ready","Needs data",IF(Scoring_Model!$B$15&lt;&gt;"Valid weights","Check weights",IF(AA5&gt;=Scoring_Model!$B$17,"P1",IF(AA5&gt;=Scoring_Model!$B$18,"P2","P3")))))</x:f>
        <x:v>P2</x:v>
      </x:c>
      <x:c r="AC5" s="33" t="str">
        <x:f>IF(A5="","",IF(AB5="Needs data","Complete scoring inputs and resolve duplicate ID",IF(AB5="Check weights","Check Scoring_Model weights",IF(AB5="P1","Local target: executive review, pilot and vendor plan in 90 days",IF(AB5="P2","Local target: roadmap and dependencies in 180 days","Recurring review; assess threats and exceptions")))))</x:f>
        <x:v>Local target: roadmap and dependencies in 180 days</x:v>
      </x:c>
      <x:c r="AD5" s="33" t="str">
        <x:v>2026-Q4</x:v>
      </x:c>
      <x:c r="AE5" s="33" t="str"/>
      <x:c r="AF5" s="33" t="str">
        <x:v>Symmetric crypto is not broken like public-key crypto, but key lifecycle and KMS dependencies still matter.</x:v>
      </x:c>
      <x:c r="AG5" s="52" t="str">
        <x:v>Example</x:v>
      </x:c>
      <x:c r="AH5" s="52" t="str">
        <x:v>Symmetric/hash</x:v>
      </x:c>
      <x:c r="AI5" s="52" t="str">
        <x:v>Profile review required</x:v>
      </x:c>
      <x:c r="AJ5" s="52" t="str">
        <x:v>Replace with deployed version</x:v>
      </x:c>
      <x:c r="AK5" s="52" t="str">
        <x:v>KMS transport and key wrapping</x:v>
      </x:c>
      <x:c r="AL5" s="52" t="str">
        <x:v>Storage clients and backup restore</x:v>
      </x:c>
      <x:c r="AM5" s="52" t="str">
        <x:v>Example only</x:v>
      </x:c>
      <x:c r="AN5" s="53"/>
      <x:c r="AO5" s="52" t="n">
        <x:v>15</x:v>
      </x:c>
      <x:c r="AP5" s="52" t="n">
        <x:v>2</x:v>
      </x:c>
      <x:c r="AQ5" s="52" t="str">
        <x:v>Retain adequate symmetric protection; migrate vulnerable key paths</x:v>
      </x:c>
      <x:c r="AR5" s="52"/>
      <x:c r="AS5" s="52" t="str">
        <x:v>Not Started</x:v>
      </x:c>
      <x:c r="AT5" s="52"/>
      <x:c r="AU5" s="52"/>
      <x:c r="AV5" s="53"/>
      <x:c r="AW5" s="53"/>
      <x:c r="AX5" s="53"/>
      <x:c r="AY5" s="52" t="str">
        <x:v>T01, T08, T09</x:v>
      </x:c>
      <x:c r="AZ5" s="52" t="str">
        <x:v>SP80057; CSWP39</x:v>
      </x:c>
      <x:c r="BA5" s="54" t="str">
        <x:f>IF(A5="","",IF(COUNTIFS($A$2:$A$51,A5)&gt;1,"Duplicate asset ID",IF(OR(B5="",E5="",G5="",H5="",I5="",J5="",M5="",S5="",T5="",AH5=""),"Missing required scoring input","Ready")))</x:f>
        <x:v>Ready</x:v>
      </x:c>
      <x:c r="BB5" s="54" t="str">
        <x:f>IF(A5="","",IF(AG5&lt;&gt;"Live","Example or record type missing",IF(AS5="Complete",IF(AND(BA5="Ready",AI5="Approved supported profile",AQ5&lt;&gt;"",AE5&lt;&gt;"",AR5&lt;&gt;"",AT5&lt;&gt;"",AU5&lt;&gt;"",ISNUMBER(AV5),AV5&gt;0,AV5&lt;=Start_Here!$B$4),"Complete with evidence","Missing approval, profile or test evidence"),IF(AS5="Accepted Risk",IF(AND(AT5&lt;&gt;"",AE5&lt;&gt;"",ISNUMBER(AX5),AX5&gt;=Start_Here!$B$4),"Accepted risk; migration open","Missing or expired risk acceptance"),IF(AS5="","Status required",AS5)))))</x:f>
        <x:v>Example or record type missing</x:v>
      </x:c>
    </x:row>
    <x:row r="6" ht="82" customHeight="1">
      <x:c r="A6" s="33" t="str">
        <x:v>A-005</x:v>
      </x:c>
      <x:c r="B6" s="33" t="str">
        <x:v>Example workload identity federation</x:v>
      </x:c>
      <x:c r="C6" s="33" t="str">
        <x:v>Production</x:v>
      </x:c>
      <x:c r="D6" s="33" t="str">
        <x:v>Service-to-service auth</x:v>
      </x:c>
      <x:c r="E6" s="33" t="str">
        <x:v>Identity Security</x:v>
      </x:c>
      <x:c r="F6" s="33" t="str">
        <x:v>Sensitive</x:v>
      </x:c>
      <x:c r="G6" s="33" t="str">
        <x:v>No</x:v>
      </x:c>
      <x:c r="H6" s="33" t="str">
        <x:v>1-5 years</x:v>
      </x:c>
      <x:c r="I6" s="33" t="str">
        <x:v>Internet-facing</x:v>
      </x:c>
      <x:c r="J6" s="33" t="str">
        <x:v>High</x:v>
      </x:c>
      <x:c r="K6" s="33" t="str">
        <x:v>Digital signature</x:v>
      </x:c>
      <x:c r="L6" s="33" t="str">
        <x:v>OIDC/JWT/SAML</x:v>
      </x:c>
      <x:c r="M6" s="33" t="str">
        <x:v>RSA</x:v>
      </x:c>
      <x:c r="N6" s="33" t="str">
        <x:v>RSA-2048</x:v>
      </x:c>
      <x:c r="O6" s="33" t="str">
        <x:v>Federation signing keys</x:v>
      </x:c>
      <x:c r="P6" s="33" t="str">
        <x:v>Example IdP</x:v>
      </x:c>
      <x:c r="Q6" s="33" t="str">
        <x:v>IdP managed keys</x:v>
      </x:c>
      <x:c r="R6" s="33" t="str">
        <x:v>No</x:v>
      </x:c>
      <x:c r="S6" s="33" t="str">
        <x:v>Roadmap</x:v>
      </x:c>
      <x:c r="T6" s="33" t="str">
        <x:v>Configurable</x:v>
      </x:c>
      <x:c r="U6" s="33" t="n">
        <x:f>IF(OR(A6="",G6="",H6=""),"",IF(G6="Yes",5,IF(H6="&gt;10 years",5,IF(H6="5-10 years",4,IF(H6="1-5 years",3,IF(H6="&lt;1 year",1,4))))))</x:f>
        <x:v>3</x:v>
      </x:c>
      <x:c r="V6" s="33" t="n">
        <x:f>IF(OR(A6="",I6=""),"",IF(I6="Internet-facing",5,IF(I6="Partner-accessible",4,IF(I6="Internal",2,IF(I6="Isolated",1,4)))))</x:f>
        <x:v>5</x:v>
      </x:c>
      <x:c r="W6" s="33" t="n">
        <x:f>IF(OR(A6="",J6=""),"",IF(J6="Critical",5,IF(J6="High",4,IF(J6="Medium",3,IF(J6="Low",2,4)))))</x:f>
        <x:v>4</x:v>
      </x:c>
      <x:c r="X6" s="33" t="n">
        <x:f>IF(OR(A6="",AH6=""),"",IF(AH6="Classical public-key",5,IF(AH6="Standardized PQC",1,IF(AH6="Symmetric/hash",2,IF(AH6="Hybrid",3,4)))))</x:f>
        <x:v>5</x:v>
      </x:c>
      <x:c r="Y6" s="33" t="n">
        <x:f>IF(OR(A6="",S6=""),"",IF(S6="Supported",1,IF(S6="Roadmap",3,IF(S6="No",5,IF(S6="N/A",2,4)))))</x:f>
        <x:v>3</x:v>
      </x:c>
      <x:c r="Z6" s="33" t="n">
        <x:f>IF(OR(A6="",T6=""),"",IF(T6="Configurable",1,IF(T6="Library upgrade",2,IF(T6="Requires refactor",4,IF(T6="Embedded/firmware",5,4)))))</x:f>
        <x:v>1</x:v>
      </x:c>
      <x:c r="AA6" s="33" t="n">
        <x:f>IF(A6="","",IF(BA6&lt;&gt;"Ready","",IF(Scoring_Model!$B$15&lt;&gt;"Valid weights","",ROUND((U6*Scoring_Model!$B$8+V6*Scoring_Model!$B$9+W6*Scoring_Model!$B$10+X6*Scoring_Model!$B$11+Y6*Scoring_Model!$B$12+Z6*Scoring_Model!$B$13)*20,0))))</x:f>
        <x:v>78</x:v>
      </x:c>
      <x:c r="AB6" s="33" t="str">
        <x:f>IF(A6="","",IF(BA6&lt;&gt;"Ready","Needs data",IF(Scoring_Model!$B$15&lt;&gt;"Valid weights","Check weights",IF(AA6&gt;=Scoring_Model!$B$17,"P1",IF(AA6&gt;=Scoring_Model!$B$18,"P2","P3")))))</x:f>
        <x:v>P2</x:v>
      </x:c>
      <x:c r="AC6" s="33" t="str">
        <x:f>IF(A6="","",IF(AB6="Needs data","Complete scoring inputs and resolve duplicate ID",IF(AB6="Check weights","Check Scoring_Model weights",IF(AB6="P1","Local target: executive review, pilot and vendor plan in 90 days",IF(AB6="P2","Local target: roadmap and dependencies in 180 days","Recurring review; assess threats and exceptions")))))</x:f>
        <x:v>Local target: roadmap and dependencies in 180 days</x:v>
      </x:c>
      <x:c r="AD6" s="33" t="str">
        <x:v>2027-Q1</x:v>
      </x:c>
      <x:c r="AE6" s="33" t="str"/>
      <x:c r="AF6" s="33" t="str">
        <x:v>Track token-signing and relying-party verification dependencies.</x:v>
      </x:c>
      <x:c r="AG6" s="52" t="str">
        <x:v>Example</x:v>
      </x:c>
      <x:c r="AH6" s="52" t="str">
        <x:v>Classical public-key</x:v>
      </x:c>
      <x:c r="AI6" s="52" t="str">
        <x:v>Vendor roadmap only</x:v>
      </x:c>
      <x:c r="AJ6" s="52" t="str">
        <x:v>Replace with deployed version</x:v>
      </x:c>
      <x:c r="AK6" s="52" t="str">
        <x:v>IdP, JWKS and CA</x:v>
      </x:c>
      <x:c r="AL6" s="52" t="str">
        <x:v>Token verifiers and service mesh</x:v>
      </x:c>
      <x:c r="AM6" s="52" t="str">
        <x:v>Example only</x:v>
      </x:c>
      <x:c r="AN6" s="53"/>
      <x:c r="AO6" s="52" t="n">
        <x:v>5</x:v>
      </x:c>
      <x:c r="AP6" s="52" t="n">
        <x:v>2</x:v>
      </x:c>
      <x:c r="AQ6" s="52" t="str">
        <x:v>Supported PQ signature profile and PQ transport assessed separately</x:v>
      </x:c>
      <x:c r="AR6" s="52"/>
      <x:c r="AS6" s="52" t="str">
        <x:v>Not Started</x:v>
      </x:c>
      <x:c r="AT6" s="52"/>
      <x:c r="AU6" s="52"/>
      <x:c r="AV6" s="53"/>
      <x:c r="AW6" s="53"/>
      <x:c r="AX6" s="53"/>
      <x:c r="AY6" s="52" t="str">
        <x:v>T02, T03, T05, T10</x:v>
      </x:c>
      <x:c r="AZ6" s="52" t="str">
        <x:v>FIPS204; FIPS205; CSWP39</x:v>
      </x:c>
      <x:c r="BA6" s="54" t="str">
        <x:f>IF(A6="","",IF(COUNTIFS($A$2:$A$51,A6)&gt;1,"Duplicate asset ID",IF(OR(B6="",E6="",G6="",H6="",I6="",J6="",M6="",S6="",T6="",AH6=""),"Missing required scoring input","Ready")))</x:f>
        <x:v>Ready</x:v>
      </x:c>
      <x:c r="BB6" s="54" t="str">
        <x:f>IF(A6="","",IF(AG6&lt;&gt;"Live","Example or record type missing",IF(AS6="Complete",IF(AND(BA6="Ready",AI6="Approved supported profile",AQ6&lt;&gt;"",AE6&lt;&gt;"",AR6&lt;&gt;"",AT6&lt;&gt;"",AU6&lt;&gt;"",ISNUMBER(AV6),AV6&gt;0,AV6&lt;=Start_Here!$B$4),"Complete with evidence","Missing approval, profile or test evidence"),IF(AS6="Accepted Risk",IF(AND(AT6&lt;&gt;"",AE6&lt;&gt;"",ISNUMBER(AX6),AX6&gt;=Start_Here!$B$4),"Accepted risk; migration open","Missing or expired risk acceptance"),IF(AS6="","Status required",AS6)))))</x:f>
        <x:v>Example or record type missing</x:v>
      </x:c>
    </x:row>
    <x:row r="7" ht="30" customHeight="1">
      <x:c r="A7" s="33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>
        <x:f>IF(OR(A7="",G7="",H7=""),"",IF(G7="Yes",5,IF(H7="&gt;10 years",5,IF(H7="5-10 years",4,IF(H7="1-5 years",3,IF(H7="&lt;1 year",1,4))))))</x:f>
      </x:c>
      <x:c r="V7" s="33" t="str">
        <x:f>IF(OR(A7="",I7=""),"",IF(I7="Internet-facing",5,IF(I7="Partner-accessible",4,IF(I7="Internal",2,IF(I7="Isolated",1,4)))))</x:f>
      </x:c>
      <x:c r="W7" s="33" t="str">
        <x:f>IF(OR(A7="",J7=""),"",IF(J7="Critical",5,IF(J7="High",4,IF(J7="Medium",3,IF(J7="Low",2,4)))))</x:f>
      </x:c>
      <x:c r="X7" s="33" t="str">
        <x:f>IF(OR(A7="",AH7=""),"",IF(AH7="Classical public-key",5,IF(AH7="Standardized PQC",1,IF(AH7="Symmetric/hash",2,IF(AH7="Hybrid",3,4)))))</x:f>
      </x:c>
      <x:c r="Y7" s="33" t="str">
        <x:f>IF(OR(A7="",S7=""),"",IF(S7="Supported",1,IF(S7="Roadmap",3,IF(S7="No",5,IF(S7="N/A",2,4)))))</x:f>
      </x:c>
      <x:c r="Z7" s="33" t="str">
        <x:f>IF(OR(A7="",T7=""),"",IF(T7="Configurable",1,IF(T7="Library upgrade",2,IF(T7="Requires refactor",4,IF(T7="Embedded/firmware",5,4)))))</x:f>
      </x:c>
      <x:c r="AA7" s="33" t="str">
        <x:f>IF(A7="","",IF(BA7&lt;&gt;"Ready","",IF(Scoring_Model!$B$15&lt;&gt;"Valid weights","",ROUND((U7*Scoring_Model!$B$8+V7*Scoring_Model!$B$9+W7*Scoring_Model!$B$10+X7*Scoring_Model!$B$11+Y7*Scoring_Model!$B$12+Z7*Scoring_Model!$B$13)*20,0))))</x:f>
      </x:c>
      <x:c r="AB7" s="33" t="str">
        <x:f>IF(A7="","",IF(BA7&lt;&gt;"Ready","Needs data",IF(Scoring_Model!$B$15&lt;&gt;"Valid weights","Check weights",IF(AA7&gt;=Scoring_Model!$B$17,"P1",IF(AA7&gt;=Scoring_Model!$B$18,"P2","P3")))))</x:f>
      </x:c>
      <x:c r="AC7" s="33" t="str">
        <x:f>IF(A7="","",IF(AB7="Needs data","Complete scoring inputs and resolve duplicate ID",IF(AB7="Check weights","Check Scoring_Model weights",IF(AB7="P1","Local target: executive review, pilot and vendor plan in 90 days",IF(AB7="P2","Local target: roadmap and dependencies in 180 days","Recurring review; assess threats and exceptions")))))</x:f>
      </x:c>
      <x:c r="AD7" s="33" t="str"/>
      <x:c r="AE7" s="33" t="str"/>
      <x:c r="AF7" s="33" t="str"/>
      <x:c r="AG7" s="52"/>
      <x:c r="AH7" s="52"/>
      <x:c r="AI7" s="52"/>
      <x:c r="AJ7" s="52"/>
      <x:c r="AK7" s="52"/>
      <x:c r="AL7" s="52"/>
      <x:c r="AM7" s="52"/>
      <x:c r="AN7" s="53"/>
      <x:c r="AO7" s="52"/>
      <x:c r="AP7" s="52"/>
      <x:c r="AQ7" s="52"/>
      <x:c r="AR7" s="52"/>
      <x:c r="AS7" s="52"/>
      <x:c r="AT7" s="52"/>
      <x:c r="AU7" s="52"/>
      <x:c r="AV7" s="53"/>
      <x:c r="AW7" s="53"/>
      <x:c r="AX7" s="53"/>
      <x:c r="AY7" s="52"/>
      <x:c r="AZ7" s="52"/>
      <x:c r="BA7" s="54" t="str">
        <x:f>IF(A7="","",IF(COUNTIFS($A$2:$A$51,A7)&gt;1,"Duplicate asset ID",IF(OR(B7="",E7="",G7="",H7="",I7="",J7="",M7="",S7="",T7="",AH7=""),"Missing required scoring input","Ready")))</x:f>
      </x:c>
      <x:c r="BB7" s="54" t="str">
        <x:f>IF(A7="","",IF(AG7&lt;&gt;"Live","Example or record type missing",IF(AS7="Complete",IF(AND(BA7="Ready",AI7="Approved supported profile",AQ7&lt;&gt;"",AE7&lt;&gt;"",AR7&lt;&gt;"",AT7&lt;&gt;"",AU7&lt;&gt;"",ISNUMBER(AV7),AV7&gt;0,AV7&lt;=Start_Here!$B$4),"Complete with evidence","Missing approval, profile or test evidence"),IF(AS7="Accepted Risk",IF(AND(AT7&lt;&gt;"",AE7&lt;&gt;"",ISNUMBER(AX7),AX7&gt;=Start_Here!$B$4),"Accepted risk; migration open","Missing or expired risk acceptance"),IF(AS7="","Status required",AS7)))))</x:f>
      </x:c>
    </x:row>
    <x:row r="8" ht="30" customHeight="1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>
        <x:f>IF(OR(A8="",G8="",H8=""),"",IF(G8="Yes",5,IF(H8="&gt;10 years",5,IF(H8="5-10 years",4,IF(H8="1-5 years",3,IF(H8="&lt;1 year",1,4))))))</x:f>
      </x:c>
      <x:c r="V8" s="33" t="str">
        <x:f>IF(OR(A8="",I8=""),"",IF(I8="Internet-facing",5,IF(I8="Partner-accessible",4,IF(I8="Internal",2,IF(I8="Isolated",1,4)))))</x:f>
      </x:c>
      <x:c r="W8" s="33" t="str">
        <x:f>IF(OR(A8="",J8=""),"",IF(J8="Critical",5,IF(J8="High",4,IF(J8="Medium",3,IF(J8="Low",2,4)))))</x:f>
      </x:c>
      <x:c r="X8" s="33" t="str">
        <x:f>IF(OR(A8="",AH8=""),"",IF(AH8="Classical public-key",5,IF(AH8="Standardized PQC",1,IF(AH8="Symmetric/hash",2,IF(AH8="Hybrid",3,4)))))</x:f>
      </x:c>
      <x:c r="Y8" s="33" t="str">
        <x:f>IF(OR(A8="",S8=""),"",IF(S8="Supported",1,IF(S8="Roadmap",3,IF(S8="No",5,IF(S8="N/A",2,4)))))</x:f>
      </x:c>
      <x:c r="Z8" s="33" t="str">
        <x:f>IF(OR(A8="",T8=""),"",IF(T8="Configurable",1,IF(T8="Library upgrade",2,IF(T8="Requires refactor",4,IF(T8="Embedded/firmware",5,4)))))</x:f>
      </x:c>
      <x:c r="AA8" s="33" t="str">
        <x:f>IF(A8="","",IF(BA8&lt;&gt;"Ready","",IF(Scoring_Model!$B$15&lt;&gt;"Valid weights","",ROUND((U8*Scoring_Model!$B$8+V8*Scoring_Model!$B$9+W8*Scoring_Model!$B$10+X8*Scoring_Model!$B$11+Y8*Scoring_Model!$B$12+Z8*Scoring_Model!$B$13)*20,0))))</x:f>
      </x:c>
      <x:c r="AB8" s="33" t="str">
        <x:f>IF(A8="","",IF(BA8&lt;&gt;"Ready","Needs data",IF(Scoring_Model!$B$15&lt;&gt;"Valid weights","Check weights",IF(AA8&gt;=Scoring_Model!$B$17,"P1",IF(AA8&gt;=Scoring_Model!$B$18,"P2","P3")))))</x:f>
      </x:c>
      <x:c r="AC8" s="33" t="str">
        <x:f>IF(A8="","",IF(AB8="Needs data","Complete scoring inputs and resolve duplicate ID",IF(AB8="Check weights","Check Scoring_Model weights",IF(AB8="P1","Local target: executive review, pilot and vendor plan in 90 days",IF(AB8="P2","Local target: roadmap and dependencies in 180 days","Recurring review; assess threats and exceptions")))))</x:f>
      </x:c>
      <x:c r="AD8" s="33" t="str"/>
      <x:c r="AE8" s="33" t="str"/>
      <x:c r="AF8" s="33" t="str"/>
      <x:c r="AG8" s="52"/>
      <x:c r="AH8" s="52"/>
      <x:c r="AI8" s="52"/>
      <x:c r="AJ8" s="52"/>
      <x:c r="AK8" s="52"/>
      <x:c r="AL8" s="52"/>
      <x:c r="AM8" s="52"/>
      <x:c r="AN8" s="53"/>
      <x:c r="AO8" s="52"/>
      <x:c r="AP8" s="52"/>
      <x:c r="AQ8" s="52"/>
      <x:c r="AR8" s="52"/>
      <x:c r="AS8" s="52"/>
      <x:c r="AT8" s="52"/>
      <x:c r="AU8" s="52"/>
      <x:c r="AV8" s="53"/>
      <x:c r="AW8" s="53"/>
      <x:c r="AX8" s="53"/>
      <x:c r="AY8" s="52"/>
      <x:c r="AZ8" s="52"/>
      <x:c r="BA8" s="54" t="str">
        <x:f>IF(A8="","",IF(COUNTIFS($A$2:$A$51,A8)&gt;1,"Duplicate asset ID",IF(OR(B8="",E8="",G8="",H8="",I8="",J8="",M8="",S8="",T8="",AH8=""),"Missing required scoring input","Ready")))</x:f>
      </x:c>
      <x:c r="BB8" s="54" t="str">
        <x:f>IF(A8="","",IF(AG8&lt;&gt;"Live","Example or record type missing",IF(AS8="Complete",IF(AND(BA8="Ready",AI8="Approved supported profile",AQ8&lt;&gt;"",AE8&lt;&gt;"",AR8&lt;&gt;"",AT8&lt;&gt;"",AU8&lt;&gt;"",ISNUMBER(AV8),AV8&gt;0,AV8&lt;=Start_Here!$B$4),"Complete with evidence","Missing approval, profile or test evidence"),IF(AS8="Accepted Risk",IF(AND(AT8&lt;&gt;"",AE8&lt;&gt;"",ISNUMBER(AX8),AX8&gt;=Start_Here!$B$4),"Accepted risk; migration open","Missing or expired risk acceptance"),IF(AS8="","Status required",AS8)))))</x:f>
      </x:c>
    </x:row>
    <x:row r="9" ht="30" customHeight="1">
      <x:c r="A9" s="33" t="str"/>
      <x:c r="B9" s="33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  <x:c r="L9" s="33" t="str"/>
      <x:c r="M9" s="33" t="str"/>
      <x:c r="N9" s="33" t="str"/>
      <x:c r="O9" s="33" t="str"/>
      <x:c r="P9" s="33" t="str"/>
      <x:c r="Q9" s="33" t="str"/>
      <x:c r="R9" s="33" t="str"/>
      <x:c r="S9" s="33" t="str"/>
      <x:c r="T9" s="33" t="str"/>
      <x:c r="U9" s="33" t="str">
        <x:f>IF(OR(A9="",G9="",H9=""),"",IF(G9="Yes",5,IF(H9="&gt;10 years",5,IF(H9="5-10 years",4,IF(H9="1-5 years",3,IF(H9="&lt;1 year",1,4))))))</x:f>
      </x:c>
      <x:c r="V9" s="33" t="str">
        <x:f>IF(OR(A9="",I9=""),"",IF(I9="Internet-facing",5,IF(I9="Partner-accessible",4,IF(I9="Internal",2,IF(I9="Isolated",1,4)))))</x:f>
      </x:c>
      <x:c r="W9" s="33" t="str">
        <x:f>IF(OR(A9="",J9=""),"",IF(J9="Critical",5,IF(J9="High",4,IF(J9="Medium",3,IF(J9="Low",2,4)))))</x:f>
      </x:c>
      <x:c r="X9" s="33" t="str">
        <x:f>IF(OR(A9="",AH9=""),"",IF(AH9="Classical public-key",5,IF(AH9="Standardized PQC",1,IF(AH9="Symmetric/hash",2,IF(AH9="Hybrid",3,4)))))</x:f>
      </x:c>
      <x:c r="Y9" s="33" t="str">
        <x:f>IF(OR(A9="",S9=""),"",IF(S9="Supported",1,IF(S9="Roadmap",3,IF(S9="No",5,IF(S9="N/A",2,4)))))</x:f>
      </x:c>
      <x:c r="Z9" s="33" t="str">
        <x:f>IF(OR(A9="",T9=""),"",IF(T9="Configurable",1,IF(T9="Library upgrade",2,IF(T9="Requires refactor",4,IF(T9="Embedded/firmware",5,4)))))</x:f>
      </x:c>
      <x:c r="AA9" s="33" t="str">
        <x:f>IF(A9="","",IF(BA9&lt;&gt;"Ready","",IF(Scoring_Model!$B$15&lt;&gt;"Valid weights","",ROUND((U9*Scoring_Model!$B$8+V9*Scoring_Model!$B$9+W9*Scoring_Model!$B$10+X9*Scoring_Model!$B$11+Y9*Scoring_Model!$B$12+Z9*Scoring_Model!$B$13)*20,0))))</x:f>
      </x:c>
      <x:c r="AB9" s="33" t="str">
        <x:f>IF(A9="","",IF(BA9&lt;&gt;"Ready","Needs data",IF(Scoring_Model!$B$15&lt;&gt;"Valid weights","Check weights",IF(AA9&gt;=Scoring_Model!$B$17,"P1",IF(AA9&gt;=Scoring_Model!$B$18,"P2","P3")))))</x:f>
      </x:c>
      <x:c r="AC9" s="33" t="str">
        <x:f>IF(A9="","",IF(AB9="Needs data","Complete scoring inputs and resolve duplicate ID",IF(AB9="Check weights","Check Scoring_Model weights",IF(AB9="P1","Local target: executive review, pilot and vendor plan in 90 days",IF(AB9="P2","Local target: roadmap and dependencies in 180 days","Recurring review; assess threats and exceptions")))))</x:f>
      </x:c>
      <x:c r="AD9" s="33" t="str"/>
      <x:c r="AE9" s="33" t="str"/>
      <x:c r="AF9" s="33" t="str"/>
      <x:c r="AG9" s="52"/>
      <x:c r="AH9" s="52"/>
      <x:c r="AI9" s="52"/>
      <x:c r="AJ9" s="52"/>
      <x:c r="AK9" s="52"/>
      <x:c r="AL9" s="52"/>
      <x:c r="AM9" s="52"/>
      <x:c r="AN9" s="53"/>
      <x:c r="AO9" s="52"/>
      <x:c r="AP9" s="52"/>
      <x:c r="AQ9" s="52"/>
      <x:c r="AR9" s="52"/>
      <x:c r="AS9" s="52"/>
      <x:c r="AT9" s="52"/>
      <x:c r="AU9" s="52"/>
      <x:c r="AV9" s="53"/>
      <x:c r="AW9" s="53"/>
      <x:c r="AX9" s="53"/>
      <x:c r="AY9" s="52"/>
      <x:c r="AZ9" s="52"/>
      <x:c r="BA9" s="54" t="str">
        <x:f>IF(A9="","",IF(COUNTIFS($A$2:$A$51,A9)&gt;1,"Duplicate asset ID",IF(OR(B9="",E9="",G9="",H9="",I9="",J9="",M9="",S9="",T9="",AH9=""),"Missing required scoring input","Ready")))</x:f>
      </x:c>
      <x:c r="BB9" s="54" t="str">
        <x:f>IF(A9="","",IF(AG9&lt;&gt;"Live","Example or record type missing",IF(AS9="Complete",IF(AND(BA9="Ready",AI9="Approved supported profile",AQ9&lt;&gt;"",AE9&lt;&gt;"",AR9&lt;&gt;"",AT9&lt;&gt;"",AU9&lt;&gt;"",ISNUMBER(AV9),AV9&gt;0,AV9&lt;=Start_Here!$B$4),"Complete with evidence","Missing approval, profile or test evidence"),IF(AS9="Accepted Risk",IF(AND(AT9&lt;&gt;"",AE9&lt;&gt;"",ISNUMBER(AX9),AX9&gt;=Start_Here!$B$4),"Accepted risk; migration open","Missing or expired risk acceptance"),IF(AS9="","Status required",AS9)))))</x:f>
      </x:c>
    </x:row>
    <x:row r="10" ht="30" customHeight="1">
      <x:c r="A10" s="33" t="str"/>
      <x:c r="B10" s="33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3" t="str"/>
      <x:c r="M10" s="33" t="str"/>
      <x:c r="N10" s="33" t="str"/>
      <x:c r="O10" s="33" t="str"/>
      <x:c r="P10" s="33" t="str"/>
      <x:c r="Q10" s="33" t="str"/>
      <x:c r="R10" s="33" t="str"/>
      <x:c r="S10" s="33" t="str"/>
      <x:c r="T10" s="33" t="str"/>
      <x:c r="U10" s="33" t="str">
        <x:f>IF(OR(A10="",G10="",H10=""),"",IF(G10="Yes",5,IF(H10="&gt;10 years",5,IF(H10="5-10 years",4,IF(H10="1-5 years",3,IF(H10="&lt;1 year",1,4))))))</x:f>
      </x:c>
      <x:c r="V10" s="33" t="str">
        <x:f>IF(OR(A10="",I10=""),"",IF(I10="Internet-facing",5,IF(I10="Partner-accessible",4,IF(I10="Internal",2,IF(I10="Isolated",1,4)))))</x:f>
      </x:c>
      <x:c r="W10" s="33" t="str">
        <x:f>IF(OR(A10="",J10=""),"",IF(J10="Critical",5,IF(J10="High",4,IF(J10="Medium",3,IF(J10="Low",2,4)))))</x:f>
      </x:c>
      <x:c r="X10" s="33" t="str">
        <x:f>IF(OR(A10="",AH10=""),"",IF(AH10="Classical public-key",5,IF(AH10="Standardized PQC",1,IF(AH10="Symmetric/hash",2,IF(AH10="Hybrid",3,4)))))</x:f>
      </x:c>
      <x:c r="Y10" s="33" t="str">
        <x:f>IF(OR(A10="",S10=""),"",IF(S10="Supported",1,IF(S10="Roadmap",3,IF(S10="No",5,IF(S10="N/A",2,4)))))</x:f>
      </x:c>
      <x:c r="Z10" s="33" t="str">
        <x:f>IF(OR(A10="",T10=""),"",IF(T10="Configurable",1,IF(T10="Library upgrade",2,IF(T10="Requires refactor",4,IF(T10="Embedded/firmware",5,4)))))</x:f>
      </x:c>
      <x:c r="AA10" s="33" t="str">
        <x:f>IF(A10="","",IF(BA10&lt;&gt;"Ready","",IF(Scoring_Model!$B$15&lt;&gt;"Valid weights","",ROUND((U10*Scoring_Model!$B$8+V10*Scoring_Model!$B$9+W10*Scoring_Model!$B$10+X10*Scoring_Model!$B$11+Y10*Scoring_Model!$B$12+Z10*Scoring_Model!$B$13)*20,0))))</x:f>
      </x:c>
      <x:c r="AB10" s="33" t="str">
        <x:f>IF(A10="","",IF(BA10&lt;&gt;"Ready","Needs data",IF(Scoring_Model!$B$15&lt;&gt;"Valid weights","Check weights",IF(AA10&gt;=Scoring_Model!$B$17,"P1",IF(AA10&gt;=Scoring_Model!$B$18,"P2","P3")))))</x:f>
      </x:c>
      <x:c r="AC10" s="33" t="str">
        <x:f>IF(A10="","",IF(AB10="Needs data","Complete scoring inputs and resolve duplicate ID",IF(AB10="Check weights","Check Scoring_Model weights",IF(AB10="P1","Local target: executive review, pilot and vendor plan in 90 days",IF(AB10="P2","Local target: roadmap and dependencies in 180 days","Recurring review; assess threats and exceptions")))))</x:f>
      </x:c>
      <x:c r="AD10" s="33" t="str"/>
      <x:c r="AE10" s="33" t="str"/>
      <x:c r="AF10" s="33" t="str"/>
      <x:c r="AG10" s="52"/>
      <x:c r="AH10" s="52"/>
      <x:c r="AI10" s="52"/>
      <x:c r="AJ10" s="52"/>
      <x:c r="AK10" s="52"/>
      <x:c r="AL10" s="52"/>
      <x:c r="AM10" s="52"/>
      <x:c r="AN10" s="53"/>
      <x:c r="AO10" s="52"/>
      <x:c r="AP10" s="52"/>
      <x:c r="AQ10" s="52"/>
      <x:c r="AR10" s="52"/>
      <x:c r="AS10" s="52"/>
      <x:c r="AT10" s="52"/>
      <x:c r="AU10" s="52"/>
      <x:c r="AV10" s="53"/>
      <x:c r="AW10" s="53"/>
      <x:c r="AX10" s="53"/>
      <x:c r="AY10" s="52"/>
      <x:c r="AZ10" s="52"/>
      <x:c r="BA10" s="54" t="str">
        <x:f>IF(A10="","",IF(COUNTIFS($A$2:$A$51,A10)&gt;1,"Duplicate asset ID",IF(OR(B10="",E10="",G10="",H10="",I10="",J10="",M10="",S10="",T10="",AH10=""),"Missing required scoring input","Ready")))</x:f>
      </x:c>
      <x:c r="BB10" s="54" t="str">
        <x:f>IF(A10="","",IF(AG10&lt;&gt;"Live","Example or record type missing",IF(AS10="Complete",IF(AND(BA10="Ready",AI10="Approved supported profile",AQ10&lt;&gt;"",AE10&lt;&gt;"",AR10&lt;&gt;"",AT10&lt;&gt;"",AU10&lt;&gt;"",ISNUMBER(AV10),AV10&gt;0,AV10&lt;=Start_Here!$B$4),"Complete with evidence","Missing approval, profile or test evidence"),IF(AS10="Accepted Risk",IF(AND(AT10&lt;&gt;"",AE10&lt;&gt;"",ISNUMBER(AX10),AX10&gt;=Start_Here!$B$4),"Accepted risk; migration open","Missing or expired risk acceptance"),IF(AS10="","Status required",AS10)))))</x:f>
      </x:c>
    </x:row>
    <x:row r="11" ht="30" customHeight="1">
      <x:c r="A11" s="33" t="str"/>
      <x:c r="B11" s="33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  <x:c r="L11" s="33" t="str"/>
      <x:c r="M11" s="33" t="str"/>
      <x:c r="N11" s="33" t="str"/>
      <x:c r="O11" s="33" t="str"/>
      <x:c r="P11" s="33" t="str"/>
      <x:c r="Q11" s="33" t="str"/>
      <x:c r="R11" s="33" t="str"/>
      <x:c r="S11" s="33" t="str"/>
      <x:c r="T11" s="33" t="str"/>
      <x:c r="U11" s="33" t="str">
        <x:f>IF(OR(A11="",G11="",H11=""),"",IF(G11="Yes",5,IF(H11="&gt;10 years",5,IF(H11="5-10 years",4,IF(H11="1-5 years",3,IF(H11="&lt;1 year",1,4))))))</x:f>
      </x:c>
      <x:c r="V11" s="33" t="str">
        <x:f>IF(OR(A11="",I11=""),"",IF(I11="Internet-facing",5,IF(I11="Partner-accessible",4,IF(I11="Internal",2,IF(I11="Isolated",1,4)))))</x:f>
      </x:c>
      <x:c r="W11" s="33" t="str">
        <x:f>IF(OR(A11="",J11=""),"",IF(J11="Critical",5,IF(J11="High",4,IF(J11="Medium",3,IF(J11="Low",2,4)))))</x:f>
      </x:c>
      <x:c r="X11" s="33" t="str">
        <x:f>IF(OR(A11="",AH11=""),"",IF(AH11="Classical public-key",5,IF(AH11="Standardized PQC",1,IF(AH11="Symmetric/hash",2,IF(AH11="Hybrid",3,4)))))</x:f>
      </x:c>
      <x:c r="Y11" s="33" t="str">
        <x:f>IF(OR(A11="",S11=""),"",IF(S11="Supported",1,IF(S11="Roadmap",3,IF(S11="No",5,IF(S11="N/A",2,4)))))</x:f>
      </x:c>
      <x:c r="Z11" s="33" t="str">
        <x:f>IF(OR(A11="",T11=""),"",IF(T11="Configurable",1,IF(T11="Library upgrade",2,IF(T11="Requires refactor",4,IF(T11="Embedded/firmware",5,4)))))</x:f>
      </x:c>
      <x:c r="AA11" s="33" t="str">
        <x:f>IF(A11="","",IF(BA11&lt;&gt;"Ready","",IF(Scoring_Model!$B$15&lt;&gt;"Valid weights","",ROUND((U11*Scoring_Model!$B$8+V11*Scoring_Model!$B$9+W11*Scoring_Model!$B$10+X11*Scoring_Model!$B$11+Y11*Scoring_Model!$B$12+Z11*Scoring_Model!$B$13)*20,0))))</x:f>
      </x:c>
      <x:c r="AB11" s="33" t="str">
        <x:f>IF(A11="","",IF(BA11&lt;&gt;"Ready","Needs data",IF(Scoring_Model!$B$15&lt;&gt;"Valid weights","Check weights",IF(AA11&gt;=Scoring_Model!$B$17,"P1",IF(AA11&gt;=Scoring_Model!$B$18,"P2","P3")))))</x:f>
      </x:c>
      <x:c r="AC11" s="33" t="str">
        <x:f>IF(A11="","",IF(AB11="Needs data","Complete scoring inputs and resolve duplicate ID",IF(AB11="Check weights","Check Scoring_Model weights",IF(AB11="P1","Local target: executive review, pilot and vendor plan in 90 days",IF(AB11="P2","Local target: roadmap and dependencies in 180 days","Recurring review; assess threats and exceptions")))))</x:f>
      </x:c>
      <x:c r="AD11" s="33" t="str"/>
      <x:c r="AE11" s="33" t="str"/>
      <x:c r="AF11" s="33" t="str"/>
      <x:c r="AG11" s="52"/>
      <x:c r="AH11" s="52"/>
      <x:c r="AI11" s="52"/>
      <x:c r="AJ11" s="52"/>
      <x:c r="AK11" s="52"/>
      <x:c r="AL11" s="52"/>
      <x:c r="AM11" s="52"/>
      <x:c r="AN11" s="53"/>
      <x:c r="AO11" s="52"/>
      <x:c r="AP11" s="52"/>
      <x:c r="AQ11" s="52"/>
      <x:c r="AR11" s="52"/>
      <x:c r="AS11" s="52"/>
      <x:c r="AT11" s="52"/>
      <x:c r="AU11" s="52"/>
      <x:c r="AV11" s="53"/>
      <x:c r="AW11" s="53"/>
      <x:c r="AX11" s="53"/>
      <x:c r="AY11" s="52"/>
      <x:c r="AZ11" s="52"/>
      <x:c r="BA11" s="54" t="str">
        <x:f>IF(A11="","",IF(COUNTIFS($A$2:$A$51,A11)&gt;1,"Duplicate asset ID",IF(OR(B11="",E11="",G11="",H11="",I11="",J11="",M11="",S11="",T11="",AH11=""),"Missing required scoring input","Ready")))</x:f>
      </x:c>
      <x:c r="BB11" s="54" t="str">
        <x:f>IF(A11="","",IF(AG11&lt;&gt;"Live","Example or record type missing",IF(AS11="Complete",IF(AND(BA11="Ready",AI11="Approved supported profile",AQ11&lt;&gt;"",AE11&lt;&gt;"",AR11&lt;&gt;"",AT11&lt;&gt;"",AU11&lt;&gt;"",ISNUMBER(AV11),AV11&gt;0,AV11&lt;=Start_Here!$B$4),"Complete with evidence","Missing approval, profile or test evidence"),IF(AS11="Accepted Risk",IF(AND(AT11&lt;&gt;"",AE11&lt;&gt;"",ISNUMBER(AX11),AX11&gt;=Start_Here!$B$4),"Accepted risk; migration open","Missing or expired risk acceptance"),IF(AS11="","Status required",AS11)))))</x:f>
      </x:c>
    </x:row>
    <x:row r="12" ht="30" customHeight="1">
      <x:c r="A12" s="33" t="str"/>
      <x:c r="B12" s="33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3" t="str"/>
      <x:c r="M12" s="33" t="str"/>
      <x:c r="N12" s="33" t="str"/>
      <x:c r="O12" s="33" t="str"/>
      <x:c r="P12" s="33" t="str"/>
      <x:c r="Q12" s="33" t="str"/>
      <x:c r="R12" s="33" t="str"/>
      <x:c r="S12" s="33" t="str"/>
      <x:c r="T12" s="33" t="str"/>
      <x:c r="U12" s="33" t="str">
        <x:f>IF(OR(A12="",G12="",H12=""),"",IF(G12="Yes",5,IF(H12="&gt;10 years",5,IF(H12="5-10 years",4,IF(H12="1-5 years",3,IF(H12="&lt;1 year",1,4))))))</x:f>
      </x:c>
      <x:c r="V12" s="33" t="str">
        <x:f>IF(OR(A12="",I12=""),"",IF(I12="Internet-facing",5,IF(I12="Partner-accessible",4,IF(I12="Internal",2,IF(I12="Isolated",1,4)))))</x:f>
      </x:c>
      <x:c r="W12" s="33" t="str">
        <x:f>IF(OR(A12="",J12=""),"",IF(J12="Critical",5,IF(J12="High",4,IF(J12="Medium",3,IF(J12="Low",2,4)))))</x:f>
      </x:c>
      <x:c r="X12" s="33" t="str">
        <x:f>IF(OR(A12="",AH12=""),"",IF(AH12="Classical public-key",5,IF(AH12="Standardized PQC",1,IF(AH12="Symmetric/hash",2,IF(AH12="Hybrid",3,4)))))</x:f>
      </x:c>
      <x:c r="Y12" s="33" t="str">
        <x:f>IF(OR(A12="",S12=""),"",IF(S12="Supported",1,IF(S12="Roadmap",3,IF(S12="No",5,IF(S12="N/A",2,4)))))</x:f>
      </x:c>
      <x:c r="Z12" s="33" t="str">
        <x:f>IF(OR(A12="",T12=""),"",IF(T12="Configurable",1,IF(T12="Library upgrade",2,IF(T12="Requires refactor",4,IF(T12="Embedded/firmware",5,4)))))</x:f>
      </x:c>
      <x:c r="AA12" s="33" t="str">
        <x:f>IF(A12="","",IF(BA12&lt;&gt;"Ready","",IF(Scoring_Model!$B$15&lt;&gt;"Valid weights","",ROUND((U12*Scoring_Model!$B$8+V12*Scoring_Model!$B$9+W12*Scoring_Model!$B$10+X12*Scoring_Model!$B$11+Y12*Scoring_Model!$B$12+Z12*Scoring_Model!$B$13)*20,0))))</x:f>
      </x:c>
      <x:c r="AB12" s="33" t="str">
        <x:f>IF(A12="","",IF(BA12&lt;&gt;"Ready","Needs data",IF(Scoring_Model!$B$15&lt;&gt;"Valid weights","Check weights",IF(AA12&gt;=Scoring_Model!$B$17,"P1",IF(AA12&gt;=Scoring_Model!$B$18,"P2","P3")))))</x:f>
      </x:c>
      <x:c r="AC12" s="33" t="str">
        <x:f>IF(A12="","",IF(AB12="Needs data","Complete scoring inputs and resolve duplicate ID",IF(AB12="Check weights","Check Scoring_Model weights",IF(AB12="P1","Local target: executive review, pilot and vendor plan in 90 days",IF(AB12="P2","Local target: roadmap and dependencies in 180 days","Recurring review; assess threats and exceptions")))))</x:f>
      </x:c>
      <x:c r="AD12" s="33" t="str"/>
      <x:c r="AE12" s="33" t="str"/>
      <x:c r="AF12" s="33" t="str"/>
      <x:c r="AG12" s="52"/>
      <x:c r="AH12" s="52"/>
      <x:c r="AI12" s="52"/>
      <x:c r="AJ12" s="52"/>
      <x:c r="AK12" s="52"/>
      <x:c r="AL12" s="52"/>
      <x:c r="AM12" s="52"/>
      <x:c r="AN12" s="53"/>
      <x:c r="AO12" s="52"/>
      <x:c r="AP12" s="52"/>
      <x:c r="AQ12" s="52"/>
      <x:c r="AR12" s="52"/>
      <x:c r="AS12" s="52"/>
      <x:c r="AT12" s="52"/>
      <x:c r="AU12" s="52"/>
      <x:c r="AV12" s="53"/>
      <x:c r="AW12" s="53"/>
      <x:c r="AX12" s="53"/>
      <x:c r="AY12" s="52"/>
      <x:c r="AZ12" s="52"/>
      <x:c r="BA12" s="54" t="str">
        <x:f>IF(A12="","",IF(COUNTIFS($A$2:$A$51,A12)&gt;1,"Duplicate asset ID",IF(OR(B12="",E12="",G12="",H12="",I12="",J12="",M12="",S12="",T12="",AH12=""),"Missing required scoring input","Ready")))</x:f>
      </x:c>
      <x:c r="BB12" s="54" t="str">
        <x:f>IF(A12="","",IF(AG12&lt;&gt;"Live","Example or record type missing",IF(AS12="Complete",IF(AND(BA12="Ready",AI12="Approved supported profile",AQ12&lt;&gt;"",AE12&lt;&gt;"",AR12&lt;&gt;"",AT12&lt;&gt;"",AU12&lt;&gt;"",ISNUMBER(AV12),AV12&gt;0,AV12&lt;=Start_Here!$B$4),"Complete with evidence","Missing approval, profile or test evidence"),IF(AS12="Accepted Risk",IF(AND(AT12&lt;&gt;"",AE12&lt;&gt;"",ISNUMBER(AX12),AX12&gt;=Start_Here!$B$4),"Accepted risk; migration open","Missing or expired risk acceptance"),IF(AS12="","Status required",AS12)))))</x:f>
      </x:c>
    </x:row>
    <x:row r="13" ht="30" customHeight="1">
      <x:c r="A13" s="33" t="str"/>
      <x:c r="B13" s="33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  <x:c r="L13" s="33" t="str"/>
      <x:c r="M13" s="33" t="str"/>
      <x:c r="N13" s="33" t="str"/>
      <x:c r="O13" s="33" t="str"/>
      <x:c r="P13" s="33" t="str"/>
      <x:c r="Q13" s="33" t="str"/>
      <x:c r="R13" s="33" t="str"/>
      <x:c r="S13" s="33" t="str"/>
      <x:c r="T13" s="33" t="str"/>
      <x:c r="U13" s="33" t="str">
        <x:f>IF(OR(A13="",G13="",H13=""),"",IF(G13="Yes",5,IF(H13="&gt;10 years",5,IF(H13="5-10 years",4,IF(H13="1-5 years",3,IF(H13="&lt;1 year",1,4))))))</x:f>
      </x:c>
      <x:c r="V13" s="33" t="str">
        <x:f>IF(OR(A13="",I13=""),"",IF(I13="Internet-facing",5,IF(I13="Partner-accessible",4,IF(I13="Internal",2,IF(I13="Isolated",1,4)))))</x:f>
      </x:c>
      <x:c r="W13" s="33" t="str">
        <x:f>IF(OR(A13="",J13=""),"",IF(J13="Critical",5,IF(J13="High",4,IF(J13="Medium",3,IF(J13="Low",2,4)))))</x:f>
      </x:c>
      <x:c r="X13" s="33" t="str">
        <x:f>IF(OR(A13="",AH13=""),"",IF(AH13="Classical public-key",5,IF(AH13="Standardized PQC",1,IF(AH13="Symmetric/hash",2,IF(AH13="Hybrid",3,4)))))</x:f>
      </x:c>
      <x:c r="Y13" s="33" t="str">
        <x:f>IF(OR(A13="",S13=""),"",IF(S13="Supported",1,IF(S13="Roadmap",3,IF(S13="No",5,IF(S13="N/A",2,4)))))</x:f>
      </x:c>
      <x:c r="Z13" s="33" t="str">
        <x:f>IF(OR(A13="",T13=""),"",IF(T13="Configurable",1,IF(T13="Library upgrade",2,IF(T13="Requires refactor",4,IF(T13="Embedded/firmware",5,4)))))</x:f>
      </x:c>
      <x:c r="AA13" s="33" t="str">
        <x:f>IF(A13="","",IF(BA13&lt;&gt;"Ready","",IF(Scoring_Model!$B$15&lt;&gt;"Valid weights","",ROUND((U13*Scoring_Model!$B$8+V13*Scoring_Model!$B$9+W13*Scoring_Model!$B$10+X13*Scoring_Model!$B$11+Y13*Scoring_Model!$B$12+Z13*Scoring_Model!$B$13)*20,0))))</x:f>
      </x:c>
      <x:c r="AB13" s="33" t="str">
        <x:f>IF(A13="","",IF(BA13&lt;&gt;"Ready","Needs data",IF(Scoring_Model!$B$15&lt;&gt;"Valid weights","Check weights",IF(AA13&gt;=Scoring_Model!$B$17,"P1",IF(AA13&gt;=Scoring_Model!$B$18,"P2","P3")))))</x:f>
      </x:c>
      <x:c r="AC13" s="33" t="str">
        <x:f>IF(A13="","",IF(AB13="Needs data","Complete scoring inputs and resolve duplicate ID",IF(AB13="Check weights","Check Scoring_Model weights",IF(AB13="P1","Local target: executive review, pilot and vendor plan in 90 days",IF(AB13="P2","Local target: roadmap and dependencies in 180 days","Recurring review; assess threats and exceptions")))))</x:f>
      </x:c>
      <x:c r="AD13" s="33" t="str"/>
      <x:c r="AE13" s="33" t="str"/>
      <x:c r="AF13" s="33" t="str"/>
      <x:c r="AG13" s="52"/>
      <x:c r="AH13" s="52"/>
      <x:c r="AI13" s="52"/>
      <x:c r="AJ13" s="52"/>
      <x:c r="AK13" s="52"/>
      <x:c r="AL13" s="52"/>
      <x:c r="AM13" s="52"/>
      <x:c r="AN13" s="53"/>
      <x:c r="AO13" s="52"/>
      <x:c r="AP13" s="52"/>
      <x:c r="AQ13" s="52"/>
      <x:c r="AR13" s="52"/>
      <x:c r="AS13" s="52"/>
      <x:c r="AT13" s="52"/>
      <x:c r="AU13" s="52"/>
      <x:c r="AV13" s="53"/>
      <x:c r="AW13" s="53"/>
      <x:c r="AX13" s="53"/>
      <x:c r="AY13" s="52"/>
      <x:c r="AZ13" s="52"/>
      <x:c r="BA13" s="54" t="str">
        <x:f>IF(A13="","",IF(COUNTIFS($A$2:$A$51,A13)&gt;1,"Duplicate asset ID",IF(OR(B13="",E13="",G13="",H13="",I13="",J13="",M13="",S13="",T13="",AH13=""),"Missing required scoring input","Ready")))</x:f>
      </x:c>
      <x:c r="BB13" s="54" t="str">
        <x:f>IF(A13="","",IF(AG13&lt;&gt;"Live","Example or record type missing",IF(AS13="Complete",IF(AND(BA13="Ready",AI13="Approved supported profile",AQ13&lt;&gt;"",AE13&lt;&gt;"",AR13&lt;&gt;"",AT13&lt;&gt;"",AU13&lt;&gt;"",ISNUMBER(AV13),AV13&gt;0,AV13&lt;=Start_Here!$B$4),"Complete with evidence","Missing approval, profile or test evidence"),IF(AS13="Accepted Risk",IF(AND(AT13&lt;&gt;"",AE13&lt;&gt;"",ISNUMBER(AX13),AX13&gt;=Start_Here!$B$4),"Accepted risk; migration open","Missing or expired risk acceptance"),IF(AS13="","Status required",AS13)))))</x:f>
      </x:c>
    </x:row>
    <x:row r="14" ht="30" customHeight="1">
      <x:c r="A14" s="33" t="str"/>
      <x:c r="B14" s="33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  <x:c r="L14" s="33" t="str"/>
      <x:c r="M14" s="33" t="str"/>
      <x:c r="N14" s="33" t="str"/>
      <x:c r="O14" s="33" t="str"/>
      <x:c r="P14" s="33" t="str"/>
      <x:c r="Q14" s="33" t="str"/>
      <x:c r="R14" s="33" t="str"/>
      <x:c r="S14" s="33" t="str"/>
      <x:c r="T14" s="33" t="str"/>
      <x:c r="U14" s="33" t="str">
        <x:f>IF(OR(A14="",G14="",H14=""),"",IF(G14="Yes",5,IF(H14="&gt;10 years",5,IF(H14="5-10 years",4,IF(H14="1-5 years",3,IF(H14="&lt;1 year",1,4))))))</x:f>
      </x:c>
      <x:c r="V14" s="33" t="str">
        <x:f>IF(OR(A14="",I14=""),"",IF(I14="Internet-facing",5,IF(I14="Partner-accessible",4,IF(I14="Internal",2,IF(I14="Isolated",1,4)))))</x:f>
      </x:c>
      <x:c r="W14" s="33" t="str">
        <x:f>IF(OR(A14="",J14=""),"",IF(J14="Critical",5,IF(J14="High",4,IF(J14="Medium",3,IF(J14="Low",2,4)))))</x:f>
      </x:c>
      <x:c r="X14" s="33" t="str">
        <x:f>IF(OR(A14="",AH14=""),"",IF(AH14="Classical public-key",5,IF(AH14="Standardized PQC",1,IF(AH14="Symmetric/hash",2,IF(AH14="Hybrid",3,4)))))</x:f>
      </x:c>
      <x:c r="Y14" s="33" t="str">
        <x:f>IF(OR(A14="",S14=""),"",IF(S14="Supported",1,IF(S14="Roadmap",3,IF(S14="No",5,IF(S14="N/A",2,4)))))</x:f>
      </x:c>
      <x:c r="Z14" s="33" t="str">
        <x:f>IF(OR(A14="",T14=""),"",IF(T14="Configurable",1,IF(T14="Library upgrade",2,IF(T14="Requires refactor",4,IF(T14="Embedded/firmware",5,4)))))</x:f>
      </x:c>
      <x:c r="AA14" s="33" t="str">
        <x:f>IF(A14="","",IF(BA14&lt;&gt;"Ready","",IF(Scoring_Model!$B$15&lt;&gt;"Valid weights","",ROUND((U14*Scoring_Model!$B$8+V14*Scoring_Model!$B$9+W14*Scoring_Model!$B$10+X14*Scoring_Model!$B$11+Y14*Scoring_Model!$B$12+Z14*Scoring_Model!$B$13)*20,0))))</x:f>
      </x:c>
      <x:c r="AB14" s="33" t="str">
        <x:f>IF(A14="","",IF(BA14&lt;&gt;"Ready","Needs data",IF(Scoring_Model!$B$15&lt;&gt;"Valid weights","Check weights",IF(AA14&gt;=Scoring_Model!$B$17,"P1",IF(AA14&gt;=Scoring_Model!$B$18,"P2","P3")))))</x:f>
      </x:c>
      <x:c r="AC14" s="33" t="str">
        <x:f>IF(A14="","",IF(AB14="Needs data","Complete scoring inputs and resolve duplicate ID",IF(AB14="Check weights","Check Scoring_Model weights",IF(AB14="P1","Local target: executive review, pilot and vendor plan in 90 days",IF(AB14="P2","Local target: roadmap and dependencies in 180 days","Recurring review; assess threats and exceptions")))))</x:f>
      </x:c>
      <x:c r="AD14" s="33" t="str"/>
      <x:c r="AE14" s="33" t="str"/>
      <x:c r="AF14" s="33" t="str"/>
      <x:c r="AG14" s="52"/>
      <x:c r="AH14" s="52"/>
      <x:c r="AI14" s="52"/>
      <x:c r="AJ14" s="52"/>
      <x:c r="AK14" s="52"/>
      <x:c r="AL14" s="52"/>
      <x:c r="AM14" s="52"/>
      <x:c r="AN14" s="53"/>
      <x:c r="AO14" s="52"/>
      <x:c r="AP14" s="52"/>
      <x:c r="AQ14" s="52"/>
      <x:c r="AR14" s="52"/>
      <x:c r="AS14" s="52"/>
      <x:c r="AT14" s="52"/>
      <x:c r="AU14" s="52"/>
      <x:c r="AV14" s="53"/>
      <x:c r="AW14" s="53"/>
      <x:c r="AX14" s="53"/>
      <x:c r="AY14" s="52"/>
      <x:c r="AZ14" s="52"/>
      <x:c r="BA14" s="54" t="str">
        <x:f>IF(A14="","",IF(COUNTIFS($A$2:$A$51,A14)&gt;1,"Duplicate asset ID",IF(OR(B14="",E14="",G14="",H14="",I14="",J14="",M14="",S14="",T14="",AH14=""),"Missing required scoring input","Ready")))</x:f>
      </x:c>
      <x:c r="BB14" s="54" t="str">
        <x:f>IF(A14="","",IF(AG14&lt;&gt;"Live","Example or record type missing",IF(AS14="Complete",IF(AND(BA14="Ready",AI14="Approved supported profile",AQ14&lt;&gt;"",AE14&lt;&gt;"",AR14&lt;&gt;"",AT14&lt;&gt;"",AU14&lt;&gt;"",ISNUMBER(AV14),AV14&gt;0,AV14&lt;=Start_Here!$B$4),"Complete with evidence","Missing approval, profile or test evidence"),IF(AS14="Accepted Risk",IF(AND(AT14&lt;&gt;"",AE14&lt;&gt;"",ISNUMBER(AX14),AX14&gt;=Start_Here!$B$4),"Accepted risk; migration open","Missing or expired risk acceptance"),IF(AS14="","Status required",AS14)))))</x:f>
      </x:c>
    </x:row>
    <x:row r="15" ht="30" customHeight="1">
      <x:c r="A15" s="33" t="str"/>
      <x:c r="B15" s="33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3" t="str"/>
      <x:c r="M15" s="33" t="str"/>
      <x:c r="N15" s="33" t="str"/>
      <x:c r="O15" s="33" t="str"/>
      <x:c r="P15" s="33" t="str"/>
      <x:c r="Q15" s="33" t="str"/>
      <x:c r="R15" s="33" t="str"/>
      <x:c r="S15" s="33" t="str"/>
      <x:c r="T15" s="33" t="str"/>
      <x:c r="U15" s="33" t="str">
        <x:f>IF(OR(A15="",G15="",H15=""),"",IF(G15="Yes",5,IF(H15="&gt;10 years",5,IF(H15="5-10 years",4,IF(H15="1-5 years",3,IF(H15="&lt;1 year",1,4))))))</x:f>
      </x:c>
      <x:c r="V15" s="33" t="str">
        <x:f>IF(OR(A15="",I15=""),"",IF(I15="Internet-facing",5,IF(I15="Partner-accessible",4,IF(I15="Internal",2,IF(I15="Isolated",1,4)))))</x:f>
      </x:c>
      <x:c r="W15" s="33" t="str">
        <x:f>IF(OR(A15="",J15=""),"",IF(J15="Critical",5,IF(J15="High",4,IF(J15="Medium",3,IF(J15="Low",2,4)))))</x:f>
      </x:c>
      <x:c r="X15" s="33" t="str">
        <x:f>IF(OR(A15="",AH15=""),"",IF(AH15="Classical public-key",5,IF(AH15="Standardized PQC",1,IF(AH15="Symmetric/hash",2,IF(AH15="Hybrid",3,4)))))</x:f>
      </x:c>
      <x:c r="Y15" s="33" t="str">
        <x:f>IF(OR(A15="",S15=""),"",IF(S15="Supported",1,IF(S15="Roadmap",3,IF(S15="No",5,IF(S15="N/A",2,4)))))</x:f>
      </x:c>
      <x:c r="Z15" s="33" t="str">
        <x:f>IF(OR(A15="",T15=""),"",IF(T15="Configurable",1,IF(T15="Library upgrade",2,IF(T15="Requires refactor",4,IF(T15="Embedded/firmware",5,4)))))</x:f>
      </x:c>
      <x:c r="AA15" s="33" t="str">
        <x:f>IF(A15="","",IF(BA15&lt;&gt;"Ready","",IF(Scoring_Model!$B$15&lt;&gt;"Valid weights","",ROUND((U15*Scoring_Model!$B$8+V15*Scoring_Model!$B$9+W15*Scoring_Model!$B$10+X15*Scoring_Model!$B$11+Y15*Scoring_Model!$B$12+Z15*Scoring_Model!$B$13)*20,0))))</x:f>
      </x:c>
      <x:c r="AB15" s="33" t="str">
        <x:f>IF(A15="","",IF(BA15&lt;&gt;"Ready","Needs data",IF(Scoring_Model!$B$15&lt;&gt;"Valid weights","Check weights",IF(AA15&gt;=Scoring_Model!$B$17,"P1",IF(AA15&gt;=Scoring_Model!$B$18,"P2","P3")))))</x:f>
      </x:c>
      <x:c r="AC15" s="33" t="str">
        <x:f>IF(A15="","",IF(AB15="Needs data","Complete scoring inputs and resolve duplicate ID",IF(AB15="Check weights","Check Scoring_Model weights",IF(AB15="P1","Local target: executive review, pilot and vendor plan in 90 days",IF(AB15="P2","Local target: roadmap and dependencies in 180 days","Recurring review; assess threats and exceptions")))))</x:f>
      </x:c>
      <x:c r="AD15" s="33" t="str"/>
      <x:c r="AE15" s="33" t="str"/>
      <x:c r="AF15" s="33" t="str"/>
      <x:c r="AG15" s="52"/>
      <x:c r="AH15" s="52"/>
      <x:c r="AI15" s="52"/>
      <x:c r="AJ15" s="52"/>
      <x:c r="AK15" s="52"/>
      <x:c r="AL15" s="52"/>
      <x:c r="AM15" s="52"/>
      <x:c r="AN15" s="53"/>
      <x:c r="AO15" s="52"/>
      <x:c r="AP15" s="52"/>
      <x:c r="AQ15" s="52"/>
      <x:c r="AR15" s="52"/>
      <x:c r="AS15" s="52"/>
      <x:c r="AT15" s="52"/>
      <x:c r="AU15" s="52"/>
      <x:c r="AV15" s="53"/>
      <x:c r="AW15" s="53"/>
      <x:c r="AX15" s="53"/>
      <x:c r="AY15" s="52"/>
      <x:c r="AZ15" s="52"/>
      <x:c r="BA15" s="54" t="str">
        <x:f>IF(A15="","",IF(COUNTIFS($A$2:$A$51,A15)&gt;1,"Duplicate asset ID",IF(OR(B15="",E15="",G15="",H15="",I15="",J15="",M15="",S15="",T15="",AH15=""),"Missing required scoring input","Ready")))</x:f>
      </x:c>
      <x:c r="BB15" s="54" t="str">
        <x:f>IF(A15="","",IF(AG15&lt;&gt;"Live","Example or record type missing",IF(AS15="Complete",IF(AND(BA15="Ready",AI15="Approved supported profile",AQ15&lt;&gt;"",AE15&lt;&gt;"",AR15&lt;&gt;"",AT15&lt;&gt;"",AU15&lt;&gt;"",ISNUMBER(AV15),AV15&gt;0,AV15&lt;=Start_Here!$B$4),"Complete with evidence","Missing approval, profile or test evidence"),IF(AS15="Accepted Risk",IF(AND(AT15&lt;&gt;"",AE15&lt;&gt;"",ISNUMBER(AX15),AX15&gt;=Start_Here!$B$4),"Accepted risk; migration open","Missing or expired risk acceptance"),IF(AS15="","Status required",AS15)))))</x:f>
      </x:c>
    </x:row>
    <x:row r="16" ht="30" customHeight="1">
      <x:c r="A16" s="33" t="str"/>
      <x:c r="B16" s="33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3" t="str"/>
      <x:c r="M16" s="33" t="str"/>
      <x:c r="N16" s="33" t="str"/>
      <x:c r="O16" s="33" t="str"/>
      <x:c r="P16" s="33" t="str"/>
      <x:c r="Q16" s="33" t="str"/>
      <x:c r="R16" s="33" t="str"/>
      <x:c r="S16" s="33" t="str"/>
      <x:c r="T16" s="33" t="str"/>
      <x:c r="U16" s="33" t="str">
        <x:f>IF(OR(A16="",G16="",H16=""),"",IF(G16="Yes",5,IF(H16="&gt;10 years",5,IF(H16="5-10 years",4,IF(H16="1-5 years",3,IF(H16="&lt;1 year",1,4))))))</x:f>
      </x:c>
      <x:c r="V16" s="33" t="str">
        <x:f>IF(OR(A16="",I16=""),"",IF(I16="Internet-facing",5,IF(I16="Partner-accessible",4,IF(I16="Internal",2,IF(I16="Isolated",1,4)))))</x:f>
      </x:c>
      <x:c r="W16" s="33" t="str">
        <x:f>IF(OR(A16="",J16=""),"",IF(J16="Critical",5,IF(J16="High",4,IF(J16="Medium",3,IF(J16="Low",2,4)))))</x:f>
      </x:c>
      <x:c r="X16" s="33" t="str">
        <x:f>IF(OR(A16="",AH16=""),"",IF(AH16="Classical public-key",5,IF(AH16="Standardized PQC",1,IF(AH16="Symmetric/hash",2,IF(AH16="Hybrid",3,4)))))</x:f>
      </x:c>
      <x:c r="Y16" s="33" t="str">
        <x:f>IF(OR(A16="",S16=""),"",IF(S16="Supported",1,IF(S16="Roadmap",3,IF(S16="No",5,IF(S16="N/A",2,4)))))</x:f>
      </x:c>
      <x:c r="Z16" s="33" t="str">
        <x:f>IF(OR(A16="",T16=""),"",IF(T16="Configurable",1,IF(T16="Library upgrade",2,IF(T16="Requires refactor",4,IF(T16="Embedded/firmware",5,4)))))</x:f>
      </x:c>
      <x:c r="AA16" s="33" t="str">
        <x:f>IF(A16="","",IF(BA16&lt;&gt;"Ready","",IF(Scoring_Model!$B$15&lt;&gt;"Valid weights","",ROUND((U16*Scoring_Model!$B$8+V16*Scoring_Model!$B$9+W16*Scoring_Model!$B$10+X16*Scoring_Model!$B$11+Y16*Scoring_Model!$B$12+Z16*Scoring_Model!$B$13)*20,0))))</x:f>
      </x:c>
      <x:c r="AB16" s="33" t="str">
        <x:f>IF(A16="","",IF(BA16&lt;&gt;"Ready","Needs data",IF(Scoring_Model!$B$15&lt;&gt;"Valid weights","Check weights",IF(AA16&gt;=Scoring_Model!$B$17,"P1",IF(AA16&gt;=Scoring_Model!$B$18,"P2","P3")))))</x:f>
      </x:c>
      <x:c r="AC16" s="33" t="str">
        <x:f>IF(A16="","",IF(AB16="Needs data","Complete scoring inputs and resolve duplicate ID",IF(AB16="Check weights","Check Scoring_Model weights",IF(AB16="P1","Local target: executive review, pilot and vendor plan in 90 days",IF(AB16="P2","Local target: roadmap and dependencies in 180 days","Recurring review; assess threats and exceptions")))))</x:f>
      </x:c>
      <x:c r="AD16" s="33" t="str"/>
      <x:c r="AE16" s="33" t="str"/>
      <x:c r="AF16" s="33" t="str"/>
      <x:c r="AG16" s="52"/>
      <x:c r="AH16" s="52"/>
      <x:c r="AI16" s="52"/>
      <x:c r="AJ16" s="52"/>
      <x:c r="AK16" s="52"/>
      <x:c r="AL16" s="52"/>
      <x:c r="AM16" s="52"/>
      <x:c r="AN16" s="53"/>
      <x:c r="AO16" s="52"/>
      <x:c r="AP16" s="52"/>
      <x:c r="AQ16" s="52"/>
      <x:c r="AR16" s="52"/>
      <x:c r="AS16" s="52"/>
      <x:c r="AT16" s="52"/>
      <x:c r="AU16" s="52"/>
      <x:c r="AV16" s="53"/>
      <x:c r="AW16" s="53"/>
      <x:c r="AX16" s="53"/>
      <x:c r="AY16" s="52"/>
      <x:c r="AZ16" s="52"/>
      <x:c r="BA16" s="54" t="str">
        <x:f>IF(A16="","",IF(COUNTIFS($A$2:$A$51,A16)&gt;1,"Duplicate asset ID",IF(OR(B16="",E16="",G16="",H16="",I16="",J16="",M16="",S16="",T16="",AH16=""),"Missing required scoring input","Ready")))</x:f>
      </x:c>
      <x:c r="BB16" s="54" t="str">
        <x:f>IF(A16="","",IF(AG16&lt;&gt;"Live","Example or record type missing",IF(AS16="Complete",IF(AND(BA16="Ready",AI16="Approved supported profile",AQ16&lt;&gt;"",AE16&lt;&gt;"",AR16&lt;&gt;"",AT16&lt;&gt;"",AU16&lt;&gt;"",ISNUMBER(AV16),AV16&gt;0,AV16&lt;=Start_Here!$B$4),"Complete with evidence","Missing approval, profile or test evidence"),IF(AS16="Accepted Risk",IF(AND(AT16&lt;&gt;"",AE16&lt;&gt;"",ISNUMBER(AX16),AX16&gt;=Start_Here!$B$4),"Accepted risk; migration open","Missing or expired risk acceptance"),IF(AS16="","Status required",AS16)))))</x:f>
      </x:c>
    </x:row>
    <x:row r="17" ht="30" customHeight="1">
      <x:c r="A17" s="33" t="str"/>
      <x:c r="B17" s="33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3" t="str"/>
      <x:c r="M17" s="33" t="str"/>
      <x:c r="N17" s="33" t="str"/>
      <x:c r="O17" s="33" t="str"/>
      <x:c r="P17" s="33" t="str"/>
      <x:c r="Q17" s="33" t="str"/>
      <x:c r="R17" s="33" t="str"/>
      <x:c r="S17" s="33" t="str"/>
      <x:c r="T17" s="33" t="str"/>
      <x:c r="U17" s="33" t="str">
        <x:f>IF(OR(A17="",G17="",H17=""),"",IF(G17="Yes",5,IF(H17="&gt;10 years",5,IF(H17="5-10 years",4,IF(H17="1-5 years",3,IF(H17="&lt;1 year",1,4))))))</x:f>
      </x:c>
      <x:c r="V17" s="33" t="str">
        <x:f>IF(OR(A17="",I17=""),"",IF(I17="Internet-facing",5,IF(I17="Partner-accessible",4,IF(I17="Internal",2,IF(I17="Isolated",1,4)))))</x:f>
      </x:c>
      <x:c r="W17" s="33" t="str">
        <x:f>IF(OR(A17="",J17=""),"",IF(J17="Critical",5,IF(J17="High",4,IF(J17="Medium",3,IF(J17="Low",2,4)))))</x:f>
      </x:c>
      <x:c r="X17" s="33" t="str">
        <x:f>IF(OR(A17="",AH17=""),"",IF(AH17="Classical public-key",5,IF(AH17="Standardized PQC",1,IF(AH17="Symmetric/hash",2,IF(AH17="Hybrid",3,4)))))</x:f>
      </x:c>
      <x:c r="Y17" s="33" t="str">
        <x:f>IF(OR(A17="",S17=""),"",IF(S17="Supported",1,IF(S17="Roadmap",3,IF(S17="No",5,IF(S17="N/A",2,4)))))</x:f>
      </x:c>
      <x:c r="Z17" s="33" t="str">
        <x:f>IF(OR(A17="",T17=""),"",IF(T17="Configurable",1,IF(T17="Library upgrade",2,IF(T17="Requires refactor",4,IF(T17="Embedded/firmware",5,4)))))</x:f>
      </x:c>
      <x:c r="AA17" s="33" t="str">
        <x:f>IF(A17="","",IF(BA17&lt;&gt;"Ready","",IF(Scoring_Model!$B$15&lt;&gt;"Valid weights","",ROUND((U17*Scoring_Model!$B$8+V17*Scoring_Model!$B$9+W17*Scoring_Model!$B$10+X17*Scoring_Model!$B$11+Y17*Scoring_Model!$B$12+Z17*Scoring_Model!$B$13)*20,0))))</x:f>
      </x:c>
      <x:c r="AB17" s="33" t="str">
        <x:f>IF(A17="","",IF(BA17&lt;&gt;"Ready","Needs data",IF(Scoring_Model!$B$15&lt;&gt;"Valid weights","Check weights",IF(AA17&gt;=Scoring_Model!$B$17,"P1",IF(AA17&gt;=Scoring_Model!$B$18,"P2","P3")))))</x:f>
      </x:c>
      <x:c r="AC17" s="33" t="str">
        <x:f>IF(A17="","",IF(AB17="Needs data","Complete scoring inputs and resolve duplicate ID",IF(AB17="Check weights","Check Scoring_Model weights",IF(AB17="P1","Local target: executive review, pilot and vendor plan in 90 days",IF(AB17="P2","Local target: roadmap and dependencies in 180 days","Recurring review; assess threats and exceptions")))))</x:f>
      </x:c>
      <x:c r="AD17" s="33" t="str"/>
      <x:c r="AE17" s="33" t="str"/>
      <x:c r="AF17" s="33" t="str"/>
      <x:c r="AG17" s="52"/>
      <x:c r="AH17" s="52"/>
      <x:c r="AI17" s="52"/>
      <x:c r="AJ17" s="52"/>
      <x:c r="AK17" s="52"/>
      <x:c r="AL17" s="52"/>
      <x:c r="AM17" s="52"/>
      <x:c r="AN17" s="53"/>
      <x:c r="AO17" s="52"/>
      <x:c r="AP17" s="52"/>
      <x:c r="AQ17" s="52"/>
      <x:c r="AR17" s="52"/>
      <x:c r="AS17" s="52"/>
      <x:c r="AT17" s="52"/>
      <x:c r="AU17" s="52"/>
      <x:c r="AV17" s="53"/>
      <x:c r="AW17" s="53"/>
      <x:c r="AX17" s="53"/>
      <x:c r="AY17" s="52"/>
      <x:c r="AZ17" s="52"/>
      <x:c r="BA17" s="54" t="str">
        <x:f>IF(A17="","",IF(COUNTIFS($A$2:$A$51,A17)&gt;1,"Duplicate asset ID",IF(OR(B17="",E17="",G17="",H17="",I17="",J17="",M17="",S17="",T17="",AH17=""),"Missing required scoring input","Ready")))</x:f>
      </x:c>
      <x:c r="BB17" s="54" t="str">
        <x:f>IF(A17="","",IF(AG17&lt;&gt;"Live","Example or record type missing",IF(AS17="Complete",IF(AND(BA17="Ready",AI17="Approved supported profile",AQ17&lt;&gt;"",AE17&lt;&gt;"",AR17&lt;&gt;"",AT17&lt;&gt;"",AU17&lt;&gt;"",ISNUMBER(AV17),AV17&gt;0,AV17&lt;=Start_Here!$B$4),"Complete with evidence","Missing approval, profile or test evidence"),IF(AS17="Accepted Risk",IF(AND(AT17&lt;&gt;"",AE17&lt;&gt;"",ISNUMBER(AX17),AX17&gt;=Start_Here!$B$4),"Accepted risk; migration open","Missing or expired risk acceptance"),IF(AS17="","Status required",AS17)))))</x:f>
      </x:c>
    </x:row>
    <x:row r="18" ht="30" customHeight="1">
      <x:c r="A18" s="33" t="str"/>
      <x:c r="B18" s="33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3" t="str"/>
      <x:c r="M18" s="33" t="str"/>
      <x:c r="N18" s="33" t="str"/>
      <x:c r="O18" s="33" t="str"/>
      <x:c r="P18" s="33" t="str"/>
      <x:c r="Q18" s="33" t="str"/>
      <x:c r="R18" s="33" t="str"/>
      <x:c r="S18" s="33" t="str"/>
      <x:c r="T18" s="33" t="str"/>
      <x:c r="U18" s="33" t="str">
        <x:f>IF(OR(A18="",G18="",H18=""),"",IF(G18="Yes",5,IF(H18="&gt;10 years",5,IF(H18="5-10 years",4,IF(H18="1-5 years",3,IF(H18="&lt;1 year",1,4))))))</x:f>
      </x:c>
      <x:c r="V18" s="33" t="str">
        <x:f>IF(OR(A18="",I18=""),"",IF(I18="Internet-facing",5,IF(I18="Partner-accessible",4,IF(I18="Internal",2,IF(I18="Isolated",1,4)))))</x:f>
      </x:c>
      <x:c r="W18" s="33" t="str">
        <x:f>IF(OR(A18="",J18=""),"",IF(J18="Critical",5,IF(J18="High",4,IF(J18="Medium",3,IF(J18="Low",2,4)))))</x:f>
      </x:c>
      <x:c r="X18" s="33" t="str">
        <x:f>IF(OR(A18="",AH18=""),"",IF(AH18="Classical public-key",5,IF(AH18="Standardized PQC",1,IF(AH18="Symmetric/hash",2,IF(AH18="Hybrid",3,4)))))</x:f>
      </x:c>
      <x:c r="Y18" s="33" t="str">
        <x:f>IF(OR(A18="",S18=""),"",IF(S18="Supported",1,IF(S18="Roadmap",3,IF(S18="No",5,IF(S18="N/A",2,4)))))</x:f>
      </x:c>
      <x:c r="Z18" s="33" t="str">
        <x:f>IF(OR(A18="",T18=""),"",IF(T18="Configurable",1,IF(T18="Library upgrade",2,IF(T18="Requires refactor",4,IF(T18="Embedded/firmware",5,4)))))</x:f>
      </x:c>
      <x:c r="AA18" s="33" t="str">
        <x:f>IF(A18="","",IF(BA18&lt;&gt;"Ready","",IF(Scoring_Model!$B$15&lt;&gt;"Valid weights","",ROUND((U18*Scoring_Model!$B$8+V18*Scoring_Model!$B$9+W18*Scoring_Model!$B$10+X18*Scoring_Model!$B$11+Y18*Scoring_Model!$B$12+Z18*Scoring_Model!$B$13)*20,0))))</x:f>
      </x:c>
      <x:c r="AB18" s="33" t="str">
        <x:f>IF(A18="","",IF(BA18&lt;&gt;"Ready","Needs data",IF(Scoring_Model!$B$15&lt;&gt;"Valid weights","Check weights",IF(AA18&gt;=Scoring_Model!$B$17,"P1",IF(AA18&gt;=Scoring_Model!$B$18,"P2","P3")))))</x:f>
      </x:c>
      <x:c r="AC18" s="33" t="str">
        <x:f>IF(A18="","",IF(AB18="Needs data","Complete scoring inputs and resolve duplicate ID",IF(AB18="Check weights","Check Scoring_Model weights",IF(AB18="P1","Local target: executive review, pilot and vendor plan in 90 days",IF(AB18="P2","Local target: roadmap and dependencies in 180 days","Recurring review; assess threats and exceptions")))))</x:f>
      </x:c>
      <x:c r="AD18" s="33" t="str"/>
      <x:c r="AE18" s="33" t="str"/>
      <x:c r="AF18" s="33" t="str"/>
      <x:c r="AG18" s="52"/>
      <x:c r="AH18" s="52"/>
      <x:c r="AI18" s="52"/>
      <x:c r="AJ18" s="52"/>
      <x:c r="AK18" s="52"/>
      <x:c r="AL18" s="52"/>
      <x:c r="AM18" s="52"/>
      <x:c r="AN18" s="53"/>
      <x:c r="AO18" s="52"/>
      <x:c r="AP18" s="52"/>
      <x:c r="AQ18" s="52"/>
      <x:c r="AR18" s="52"/>
      <x:c r="AS18" s="52"/>
      <x:c r="AT18" s="52"/>
      <x:c r="AU18" s="52"/>
      <x:c r="AV18" s="53"/>
      <x:c r="AW18" s="53"/>
      <x:c r="AX18" s="53"/>
      <x:c r="AY18" s="52"/>
      <x:c r="AZ18" s="52"/>
      <x:c r="BA18" s="54" t="str">
        <x:f>IF(A18="","",IF(COUNTIFS($A$2:$A$51,A18)&gt;1,"Duplicate asset ID",IF(OR(B18="",E18="",G18="",H18="",I18="",J18="",M18="",S18="",T18="",AH18=""),"Missing required scoring input","Ready")))</x:f>
      </x:c>
      <x:c r="BB18" s="54" t="str">
        <x:f>IF(A18="","",IF(AG18&lt;&gt;"Live","Example or record type missing",IF(AS18="Complete",IF(AND(BA18="Ready",AI18="Approved supported profile",AQ18&lt;&gt;"",AE18&lt;&gt;"",AR18&lt;&gt;"",AT18&lt;&gt;"",AU18&lt;&gt;"",ISNUMBER(AV18),AV18&gt;0,AV18&lt;=Start_Here!$B$4),"Complete with evidence","Missing approval, profile or test evidence"),IF(AS18="Accepted Risk",IF(AND(AT18&lt;&gt;"",AE18&lt;&gt;"",ISNUMBER(AX18),AX18&gt;=Start_Here!$B$4),"Accepted risk; migration open","Missing or expired risk acceptance"),IF(AS18="","Status required",AS18)))))</x:f>
      </x:c>
    </x:row>
    <x:row r="19" ht="30" customHeight="1">
      <x:c r="A19" s="33" t="str"/>
      <x:c r="B19" s="33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3" t="str"/>
      <x:c r="M19" s="33" t="str"/>
      <x:c r="N19" s="33" t="str"/>
      <x:c r="O19" s="33" t="str"/>
      <x:c r="P19" s="33" t="str"/>
      <x:c r="Q19" s="33" t="str"/>
      <x:c r="R19" s="33" t="str"/>
      <x:c r="S19" s="33" t="str"/>
      <x:c r="T19" s="33" t="str"/>
      <x:c r="U19" s="33" t="str">
        <x:f>IF(OR(A19="",G19="",H19=""),"",IF(G19="Yes",5,IF(H19="&gt;10 years",5,IF(H19="5-10 years",4,IF(H19="1-5 years",3,IF(H19="&lt;1 year",1,4))))))</x:f>
      </x:c>
      <x:c r="V19" s="33" t="str">
        <x:f>IF(OR(A19="",I19=""),"",IF(I19="Internet-facing",5,IF(I19="Partner-accessible",4,IF(I19="Internal",2,IF(I19="Isolated",1,4)))))</x:f>
      </x:c>
      <x:c r="W19" s="33" t="str">
        <x:f>IF(OR(A19="",J19=""),"",IF(J19="Critical",5,IF(J19="High",4,IF(J19="Medium",3,IF(J19="Low",2,4)))))</x:f>
      </x:c>
      <x:c r="X19" s="33" t="str">
        <x:f>IF(OR(A19="",AH19=""),"",IF(AH19="Classical public-key",5,IF(AH19="Standardized PQC",1,IF(AH19="Symmetric/hash",2,IF(AH19="Hybrid",3,4)))))</x:f>
      </x:c>
      <x:c r="Y19" s="33" t="str">
        <x:f>IF(OR(A19="",S19=""),"",IF(S19="Supported",1,IF(S19="Roadmap",3,IF(S19="No",5,IF(S19="N/A",2,4)))))</x:f>
      </x:c>
      <x:c r="Z19" s="33" t="str">
        <x:f>IF(OR(A19="",T19=""),"",IF(T19="Configurable",1,IF(T19="Library upgrade",2,IF(T19="Requires refactor",4,IF(T19="Embedded/firmware",5,4)))))</x:f>
      </x:c>
      <x:c r="AA19" s="33" t="str">
        <x:f>IF(A19="","",IF(BA19&lt;&gt;"Ready","",IF(Scoring_Model!$B$15&lt;&gt;"Valid weights","",ROUND((U19*Scoring_Model!$B$8+V19*Scoring_Model!$B$9+W19*Scoring_Model!$B$10+X19*Scoring_Model!$B$11+Y19*Scoring_Model!$B$12+Z19*Scoring_Model!$B$13)*20,0))))</x:f>
      </x:c>
      <x:c r="AB19" s="33" t="str">
        <x:f>IF(A19="","",IF(BA19&lt;&gt;"Ready","Needs data",IF(Scoring_Model!$B$15&lt;&gt;"Valid weights","Check weights",IF(AA19&gt;=Scoring_Model!$B$17,"P1",IF(AA19&gt;=Scoring_Model!$B$18,"P2","P3")))))</x:f>
      </x:c>
      <x:c r="AC19" s="33" t="str">
        <x:f>IF(A19="","",IF(AB19="Needs data","Complete scoring inputs and resolve duplicate ID",IF(AB19="Check weights","Check Scoring_Model weights",IF(AB19="P1","Local target: executive review, pilot and vendor plan in 90 days",IF(AB19="P2","Local target: roadmap and dependencies in 180 days","Recurring review; assess threats and exceptions")))))</x:f>
      </x:c>
      <x:c r="AD19" s="33" t="str"/>
      <x:c r="AE19" s="33" t="str"/>
      <x:c r="AF19" s="33" t="str"/>
      <x:c r="AG19" s="52"/>
      <x:c r="AH19" s="52"/>
      <x:c r="AI19" s="52"/>
      <x:c r="AJ19" s="52"/>
      <x:c r="AK19" s="52"/>
      <x:c r="AL19" s="52"/>
      <x:c r="AM19" s="52"/>
      <x:c r="AN19" s="53"/>
      <x:c r="AO19" s="52"/>
      <x:c r="AP19" s="52"/>
      <x:c r="AQ19" s="52"/>
      <x:c r="AR19" s="52"/>
      <x:c r="AS19" s="52"/>
      <x:c r="AT19" s="52"/>
      <x:c r="AU19" s="52"/>
      <x:c r="AV19" s="53"/>
      <x:c r="AW19" s="53"/>
      <x:c r="AX19" s="53"/>
      <x:c r="AY19" s="52"/>
      <x:c r="AZ19" s="52"/>
      <x:c r="BA19" s="54" t="str">
        <x:f>IF(A19="","",IF(COUNTIFS($A$2:$A$51,A19)&gt;1,"Duplicate asset ID",IF(OR(B19="",E19="",G19="",H19="",I19="",J19="",M19="",S19="",T19="",AH19=""),"Missing required scoring input","Ready")))</x:f>
      </x:c>
      <x:c r="BB19" s="54" t="str">
        <x:f>IF(A19="","",IF(AG19&lt;&gt;"Live","Example or record type missing",IF(AS19="Complete",IF(AND(BA19="Ready",AI19="Approved supported profile",AQ19&lt;&gt;"",AE19&lt;&gt;"",AR19&lt;&gt;"",AT19&lt;&gt;"",AU19&lt;&gt;"",ISNUMBER(AV19),AV19&gt;0,AV19&lt;=Start_Here!$B$4),"Complete with evidence","Missing approval, profile or test evidence"),IF(AS19="Accepted Risk",IF(AND(AT19&lt;&gt;"",AE19&lt;&gt;"",ISNUMBER(AX19),AX19&gt;=Start_Here!$B$4),"Accepted risk; migration open","Missing or expired risk acceptance"),IF(AS19="","Status required",AS19)))))</x:f>
      </x:c>
    </x:row>
    <x:row r="20" ht="30" customHeight="1">
      <x:c r="A20" s="33" t="str"/>
      <x:c r="B20" s="33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3" t="str"/>
      <x:c r="M20" s="33" t="str"/>
      <x:c r="N20" s="33" t="str"/>
      <x:c r="O20" s="33" t="str"/>
      <x:c r="P20" s="33" t="str"/>
      <x:c r="Q20" s="33" t="str"/>
      <x:c r="R20" s="33" t="str"/>
      <x:c r="S20" s="33" t="str"/>
      <x:c r="T20" s="33" t="str"/>
      <x:c r="U20" s="33" t="str">
        <x:f>IF(OR(A20="",G20="",H20=""),"",IF(G20="Yes",5,IF(H20="&gt;10 years",5,IF(H20="5-10 years",4,IF(H20="1-5 years",3,IF(H20="&lt;1 year",1,4))))))</x:f>
      </x:c>
      <x:c r="V20" s="33" t="str">
        <x:f>IF(OR(A20="",I20=""),"",IF(I20="Internet-facing",5,IF(I20="Partner-accessible",4,IF(I20="Internal",2,IF(I20="Isolated",1,4)))))</x:f>
      </x:c>
      <x:c r="W20" s="33" t="str">
        <x:f>IF(OR(A20="",J20=""),"",IF(J20="Critical",5,IF(J20="High",4,IF(J20="Medium",3,IF(J20="Low",2,4)))))</x:f>
      </x:c>
      <x:c r="X20" s="33" t="str">
        <x:f>IF(OR(A20="",AH20=""),"",IF(AH20="Classical public-key",5,IF(AH20="Standardized PQC",1,IF(AH20="Symmetric/hash",2,IF(AH20="Hybrid",3,4)))))</x:f>
      </x:c>
      <x:c r="Y20" s="33" t="str">
        <x:f>IF(OR(A20="",S20=""),"",IF(S20="Supported",1,IF(S20="Roadmap",3,IF(S20="No",5,IF(S20="N/A",2,4)))))</x:f>
      </x:c>
      <x:c r="Z20" s="33" t="str">
        <x:f>IF(OR(A20="",T20=""),"",IF(T20="Configurable",1,IF(T20="Library upgrade",2,IF(T20="Requires refactor",4,IF(T20="Embedded/firmware",5,4)))))</x:f>
      </x:c>
      <x:c r="AA20" s="33" t="str">
        <x:f>IF(A20="","",IF(BA20&lt;&gt;"Ready","",IF(Scoring_Model!$B$15&lt;&gt;"Valid weights","",ROUND((U20*Scoring_Model!$B$8+V20*Scoring_Model!$B$9+W20*Scoring_Model!$B$10+X20*Scoring_Model!$B$11+Y20*Scoring_Model!$B$12+Z20*Scoring_Model!$B$13)*20,0))))</x:f>
      </x:c>
      <x:c r="AB20" s="33" t="str">
        <x:f>IF(A20="","",IF(BA20&lt;&gt;"Ready","Needs data",IF(Scoring_Model!$B$15&lt;&gt;"Valid weights","Check weights",IF(AA20&gt;=Scoring_Model!$B$17,"P1",IF(AA20&gt;=Scoring_Model!$B$18,"P2","P3")))))</x:f>
      </x:c>
      <x:c r="AC20" s="33" t="str">
        <x:f>IF(A20="","",IF(AB20="Needs data","Complete scoring inputs and resolve duplicate ID",IF(AB20="Check weights","Check Scoring_Model weights",IF(AB20="P1","Local target: executive review, pilot and vendor plan in 90 days",IF(AB20="P2","Local target: roadmap and dependencies in 180 days","Recurring review; assess threats and exceptions")))))</x:f>
      </x:c>
      <x:c r="AD20" s="33" t="str"/>
      <x:c r="AE20" s="33" t="str"/>
      <x:c r="AF20" s="33" t="str"/>
      <x:c r="AG20" s="52"/>
      <x:c r="AH20" s="52"/>
      <x:c r="AI20" s="52"/>
      <x:c r="AJ20" s="52"/>
      <x:c r="AK20" s="52"/>
      <x:c r="AL20" s="52"/>
      <x:c r="AM20" s="52"/>
      <x:c r="AN20" s="53"/>
      <x:c r="AO20" s="52"/>
      <x:c r="AP20" s="52"/>
      <x:c r="AQ20" s="52"/>
      <x:c r="AR20" s="52"/>
      <x:c r="AS20" s="52"/>
      <x:c r="AT20" s="52"/>
      <x:c r="AU20" s="52"/>
      <x:c r="AV20" s="53"/>
      <x:c r="AW20" s="53"/>
      <x:c r="AX20" s="53"/>
      <x:c r="AY20" s="52"/>
      <x:c r="AZ20" s="52"/>
      <x:c r="BA20" s="54" t="str">
        <x:f>IF(A20="","",IF(COUNTIFS($A$2:$A$51,A20)&gt;1,"Duplicate asset ID",IF(OR(B20="",E20="",G20="",H20="",I20="",J20="",M20="",S20="",T20="",AH20=""),"Missing required scoring input","Ready")))</x:f>
      </x:c>
      <x:c r="BB20" s="54" t="str">
        <x:f>IF(A20="","",IF(AG20&lt;&gt;"Live","Example or record type missing",IF(AS20="Complete",IF(AND(BA20="Ready",AI20="Approved supported profile",AQ20&lt;&gt;"",AE20&lt;&gt;"",AR20&lt;&gt;"",AT20&lt;&gt;"",AU20&lt;&gt;"",ISNUMBER(AV20),AV20&gt;0,AV20&lt;=Start_Here!$B$4),"Complete with evidence","Missing approval, profile or test evidence"),IF(AS20="Accepted Risk",IF(AND(AT20&lt;&gt;"",AE20&lt;&gt;"",ISNUMBER(AX20),AX20&gt;=Start_Here!$B$4),"Accepted risk; migration open","Missing or expired risk acceptance"),IF(AS20="","Status required",AS20)))))</x:f>
      </x:c>
    </x:row>
    <x:row r="21" ht="30" customHeight="1">
      <x:c r="A21" s="33" t="str"/>
      <x:c r="B21" s="33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/>
      <x:c r="O21" s="33" t="str"/>
      <x:c r="P21" s="33" t="str"/>
      <x:c r="Q21" s="33" t="str"/>
      <x:c r="R21" s="33" t="str"/>
      <x:c r="S21" s="33" t="str"/>
      <x:c r="T21" s="33" t="str"/>
      <x:c r="U21" s="33" t="str">
        <x:f>IF(OR(A21="",G21="",H21=""),"",IF(G21="Yes",5,IF(H21="&gt;10 years",5,IF(H21="5-10 years",4,IF(H21="1-5 years",3,IF(H21="&lt;1 year",1,4))))))</x:f>
      </x:c>
      <x:c r="V21" s="33" t="str">
        <x:f>IF(OR(A21="",I21=""),"",IF(I21="Internet-facing",5,IF(I21="Partner-accessible",4,IF(I21="Internal",2,IF(I21="Isolated",1,4)))))</x:f>
      </x:c>
      <x:c r="W21" s="33" t="str">
        <x:f>IF(OR(A21="",J21=""),"",IF(J21="Critical",5,IF(J21="High",4,IF(J21="Medium",3,IF(J21="Low",2,4)))))</x:f>
      </x:c>
      <x:c r="X21" s="33" t="str">
        <x:f>IF(OR(A21="",AH21=""),"",IF(AH21="Classical public-key",5,IF(AH21="Standardized PQC",1,IF(AH21="Symmetric/hash",2,IF(AH21="Hybrid",3,4)))))</x:f>
      </x:c>
      <x:c r="Y21" s="33" t="str">
        <x:f>IF(OR(A21="",S21=""),"",IF(S21="Supported",1,IF(S21="Roadmap",3,IF(S21="No",5,IF(S21="N/A",2,4)))))</x:f>
      </x:c>
      <x:c r="Z21" s="33" t="str">
        <x:f>IF(OR(A21="",T21=""),"",IF(T21="Configurable",1,IF(T21="Library upgrade",2,IF(T21="Requires refactor",4,IF(T21="Embedded/firmware",5,4)))))</x:f>
      </x:c>
      <x:c r="AA21" s="33" t="str">
        <x:f>IF(A21="","",IF(BA21&lt;&gt;"Ready","",IF(Scoring_Model!$B$15&lt;&gt;"Valid weights","",ROUND((U21*Scoring_Model!$B$8+V21*Scoring_Model!$B$9+W21*Scoring_Model!$B$10+X21*Scoring_Model!$B$11+Y21*Scoring_Model!$B$12+Z21*Scoring_Model!$B$13)*20,0))))</x:f>
      </x:c>
      <x:c r="AB21" s="33" t="str">
        <x:f>IF(A21="","",IF(BA21&lt;&gt;"Ready","Needs data",IF(Scoring_Model!$B$15&lt;&gt;"Valid weights","Check weights",IF(AA21&gt;=Scoring_Model!$B$17,"P1",IF(AA21&gt;=Scoring_Model!$B$18,"P2","P3")))))</x:f>
      </x:c>
      <x:c r="AC21" s="33" t="str">
        <x:f>IF(A21="","",IF(AB21="Needs data","Complete scoring inputs and resolve duplicate ID",IF(AB21="Check weights","Check Scoring_Model weights",IF(AB21="P1","Local target: executive review, pilot and vendor plan in 90 days",IF(AB21="P2","Local target: roadmap and dependencies in 180 days","Recurring review; assess threats and exceptions")))))</x:f>
      </x:c>
      <x:c r="AD21" s="33" t="str"/>
      <x:c r="AE21" s="33" t="str"/>
      <x:c r="AF21" s="33" t="str"/>
      <x:c r="AG21" s="52"/>
      <x:c r="AH21" s="52"/>
      <x:c r="AI21" s="52"/>
      <x:c r="AJ21" s="52"/>
      <x:c r="AK21" s="52"/>
      <x:c r="AL21" s="52"/>
      <x:c r="AM21" s="52"/>
      <x:c r="AN21" s="53"/>
      <x:c r="AO21" s="52"/>
      <x:c r="AP21" s="52"/>
      <x:c r="AQ21" s="52"/>
      <x:c r="AR21" s="52"/>
      <x:c r="AS21" s="52"/>
      <x:c r="AT21" s="52"/>
      <x:c r="AU21" s="52"/>
      <x:c r="AV21" s="53"/>
      <x:c r="AW21" s="53"/>
      <x:c r="AX21" s="53"/>
      <x:c r="AY21" s="52"/>
      <x:c r="AZ21" s="52"/>
      <x:c r="BA21" s="54" t="str">
        <x:f>IF(A21="","",IF(COUNTIFS($A$2:$A$51,A21)&gt;1,"Duplicate asset ID",IF(OR(B21="",E21="",G21="",H21="",I21="",J21="",M21="",S21="",T21="",AH21=""),"Missing required scoring input","Ready")))</x:f>
      </x:c>
      <x:c r="BB21" s="54" t="str">
        <x:f>IF(A21="","",IF(AG21&lt;&gt;"Live","Example or record type missing",IF(AS21="Complete",IF(AND(BA21="Ready",AI21="Approved supported profile",AQ21&lt;&gt;"",AE21&lt;&gt;"",AR21&lt;&gt;"",AT21&lt;&gt;"",AU21&lt;&gt;"",ISNUMBER(AV21),AV21&gt;0,AV21&lt;=Start_Here!$B$4),"Complete with evidence","Missing approval, profile or test evidence"),IF(AS21="Accepted Risk",IF(AND(AT21&lt;&gt;"",AE21&lt;&gt;"",ISNUMBER(AX21),AX21&gt;=Start_Here!$B$4),"Accepted risk; migration open","Missing or expired risk acceptance"),IF(AS21="","Status required",AS21)))))</x:f>
      </x:c>
    </x:row>
    <x:row r="22" ht="30" customHeight="1">
      <x:c r="A22" s="33" t="str"/>
      <x:c r="B22" s="33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  <x:c r="K22" s="33" t="str"/>
      <x:c r="L22" s="33" t="str"/>
      <x:c r="M22" s="33" t="str"/>
      <x:c r="N22" s="33" t="str"/>
      <x:c r="O22" s="33" t="str"/>
      <x:c r="P22" s="33" t="str"/>
      <x:c r="Q22" s="33" t="str"/>
      <x:c r="R22" s="33" t="str"/>
      <x:c r="S22" s="33" t="str"/>
      <x:c r="T22" s="33" t="str"/>
      <x:c r="U22" s="33" t="str">
        <x:f>IF(OR(A22="",G22="",H22=""),"",IF(G22="Yes",5,IF(H22="&gt;10 years",5,IF(H22="5-10 years",4,IF(H22="1-5 years",3,IF(H22="&lt;1 year",1,4))))))</x:f>
      </x:c>
      <x:c r="V22" s="33" t="str">
        <x:f>IF(OR(A22="",I22=""),"",IF(I22="Internet-facing",5,IF(I22="Partner-accessible",4,IF(I22="Internal",2,IF(I22="Isolated",1,4)))))</x:f>
      </x:c>
      <x:c r="W22" s="33" t="str">
        <x:f>IF(OR(A22="",J22=""),"",IF(J22="Critical",5,IF(J22="High",4,IF(J22="Medium",3,IF(J22="Low",2,4)))))</x:f>
      </x:c>
      <x:c r="X22" s="33" t="str">
        <x:f>IF(OR(A22="",AH22=""),"",IF(AH22="Classical public-key",5,IF(AH22="Standardized PQC",1,IF(AH22="Symmetric/hash",2,IF(AH22="Hybrid",3,4)))))</x:f>
      </x:c>
      <x:c r="Y22" s="33" t="str">
        <x:f>IF(OR(A22="",S22=""),"",IF(S22="Supported",1,IF(S22="Roadmap",3,IF(S22="No",5,IF(S22="N/A",2,4)))))</x:f>
      </x:c>
      <x:c r="Z22" s="33" t="str">
        <x:f>IF(OR(A22="",T22=""),"",IF(T22="Configurable",1,IF(T22="Library upgrade",2,IF(T22="Requires refactor",4,IF(T22="Embedded/firmware",5,4)))))</x:f>
      </x:c>
      <x:c r="AA22" s="33" t="str">
        <x:f>IF(A22="","",IF(BA22&lt;&gt;"Ready","",IF(Scoring_Model!$B$15&lt;&gt;"Valid weights","",ROUND((U22*Scoring_Model!$B$8+V22*Scoring_Model!$B$9+W22*Scoring_Model!$B$10+X22*Scoring_Model!$B$11+Y22*Scoring_Model!$B$12+Z22*Scoring_Model!$B$13)*20,0))))</x:f>
      </x:c>
      <x:c r="AB22" s="33" t="str">
        <x:f>IF(A22="","",IF(BA22&lt;&gt;"Ready","Needs data",IF(Scoring_Model!$B$15&lt;&gt;"Valid weights","Check weights",IF(AA22&gt;=Scoring_Model!$B$17,"P1",IF(AA22&gt;=Scoring_Model!$B$18,"P2","P3")))))</x:f>
      </x:c>
      <x:c r="AC22" s="33" t="str">
        <x:f>IF(A22="","",IF(AB22="Needs data","Complete scoring inputs and resolve duplicate ID",IF(AB22="Check weights","Check Scoring_Model weights",IF(AB22="P1","Local target: executive review, pilot and vendor plan in 90 days",IF(AB22="P2","Local target: roadmap and dependencies in 180 days","Recurring review; assess threats and exceptions")))))</x:f>
      </x:c>
      <x:c r="AD22" s="33" t="str"/>
      <x:c r="AE22" s="33" t="str"/>
      <x:c r="AF22" s="33" t="str"/>
      <x:c r="AG22" s="52"/>
      <x:c r="AH22" s="52"/>
      <x:c r="AI22" s="52"/>
      <x:c r="AJ22" s="52"/>
      <x:c r="AK22" s="52"/>
      <x:c r="AL22" s="52"/>
      <x:c r="AM22" s="52"/>
      <x:c r="AN22" s="53"/>
      <x:c r="AO22" s="52"/>
      <x:c r="AP22" s="52"/>
      <x:c r="AQ22" s="52"/>
      <x:c r="AR22" s="52"/>
      <x:c r="AS22" s="52"/>
      <x:c r="AT22" s="52"/>
      <x:c r="AU22" s="52"/>
      <x:c r="AV22" s="53"/>
      <x:c r="AW22" s="53"/>
      <x:c r="AX22" s="53"/>
      <x:c r="AY22" s="52"/>
      <x:c r="AZ22" s="52"/>
      <x:c r="BA22" s="54" t="str">
        <x:f>IF(A22="","",IF(COUNTIFS($A$2:$A$51,A22)&gt;1,"Duplicate asset ID",IF(OR(B22="",E22="",G22="",H22="",I22="",J22="",M22="",S22="",T22="",AH22=""),"Missing required scoring input","Ready")))</x:f>
      </x:c>
      <x:c r="BB22" s="54" t="str">
        <x:f>IF(A22="","",IF(AG22&lt;&gt;"Live","Example or record type missing",IF(AS22="Complete",IF(AND(BA22="Ready",AI22="Approved supported profile",AQ22&lt;&gt;"",AE22&lt;&gt;"",AR22&lt;&gt;"",AT22&lt;&gt;"",AU22&lt;&gt;"",ISNUMBER(AV22),AV22&gt;0,AV22&lt;=Start_Here!$B$4),"Complete with evidence","Missing approval, profile or test evidence"),IF(AS22="Accepted Risk",IF(AND(AT22&lt;&gt;"",AE22&lt;&gt;"",ISNUMBER(AX22),AX22&gt;=Start_Here!$B$4),"Accepted risk; migration open","Missing or expired risk acceptance"),IF(AS22="","Status required",AS22)))))</x:f>
      </x:c>
    </x:row>
    <x:row r="23" ht="30" customHeight="1">
      <x:c r="A23" s="33" t="str"/>
      <x:c r="B23" s="33" t="str"/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  <x:c r="K23" s="33" t="str"/>
      <x:c r="L23" s="33" t="str"/>
      <x:c r="M23" s="33" t="str"/>
      <x:c r="N23" s="33" t="str"/>
      <x:c r="O23" s="33" t="str"/>
      <x:c r="P23" s="33" t="str"/>
      <x:c r="Q23" s="33" t="str"/>
      <x:c r="R23" s="33" t="str"/>
      <x:c r="S23" s="33" t="str"/>
      <x:c r="T23" s="33" t="str"/>
      <x:c r="U23" s="33" t="str">
        <x:f>IF(OR(A23="",G23="",H23=""),"",IF(G23="Yes",5,IF(H23="&gt;10 years",5,IF(H23="5-10 years",4,IF(H23="1-5 years",3,IF(H23="&lt;1 year",1,4))))))</x:f>
      </x:c>
      <x:c r="V23" s="33" t="str">
        <x:f>IF(OR(A23="",I23=""),"",IF(I23="Internet-facing",5,IF(I23="Partner-accessible",4,IF(I23="Internal",2,IF(I23="Isolated",1,4)))))</x:f>
      </x:c>
      <x:c r="W23" s="33" t="str">
        <x:f>IF(OR(A23="",J23=""),"",IF(J23="Critical",5,IF(J23="High",4,IF(J23="Medium",3,IF(J23="Low",2,4)))))</x:f>
      </x:c>
      <x:c r="X23" s="33" t="str">
        <x:f>IF(OR(A23="",AH23=""),"",IF(AH23="Classical public-key",5,IF(AH23="Standardized PQC",1,IF(AH23="Symmetric/hash",2,IF(AH23="Hybrid",3,4)))))</x:f>
      </x:c>
      <x:c r="Y23" s="33" t="str">
        <x:f>IF(OR(A23="",S23=""),"",IF(S23="Supported",1,IF(S23="Roadmap",3,IF(S23="No",5,IF(S23="N/A",2,4)))))</x:f>
      </x:c>
      <x:c r="Z23" s="33" t="str">
        <x:f>IF(OR(A23="",T23=""),"",IF(T23="Configurable",1,IF(T23="Library upgrade",2,IF(T23="Requires refactor",4,IF(T23="Embedded/firmware",5,4)))))</x:f>
      </x:c>
      <x:c r="AA23" s="33" t="str">
        <x:f>IF(A23="","",IF(BA23&lt;&gt;"Ready","",IF(Scoring_Model!$B$15&lt;&gt;"Valid weights","",ROUND((U23*Scoring_Model!$B$8+V23*Scoring_Model!$B$9+W23*Scoring_Model!$B$10+X23*Scoring_Model!$B$11+Y23*Scoring_Model!$B$12+Z23*Scoring_Model!$B$13)*20,0))))</x:f>
      </x:c>
      <x:c r="AB23" s="33" t="str">
        <x:f>IF(A23="","",IF(BA23&lt;&gt;"Ready","Needs data",IF(Scoring_Model!$B$15&lt;&gt;"Valid weights","Check weights",IF(AA23&gt;=Scoring_Model!$B$17,"P1",IF(AA23&gt;=Scoring_Model!$B$18,"P2","P3")))))</x:f>
      </x:c>
      <x:c r="AC23" s="33" t="str">
        <x:f>IF(A23="","",IF(AB23="Needs data","Complete scoring inputs and resolve duplicate ID",IF(AB23="Check weights","Check Scoring_Model weights",IF(AB23="P1","Local target: executive review, pilot and vendor plan in 90 days",IF(AB23="P2","Local target: roadmap and dependencies in 180 days","Recurring review; assess threats and exceptions")))))</x:f>
      </x:c>
      <x:c r="AD23" s="33" t="str"/>
      <x:c r="AE23" s="33" t="str"/>
      <x:c r="AF23" s="33" t="str"/>
      <x:c r="AG23" s="52"/>
      <x:c r="AH23" s="52"/>
      <x:c r="AI23" s="52"/>
      <x:c r="AJ23" s="52"/>
      <x:c r="AK23" s="52"/>
      <x:c r="AL23" s="52"/>
      <x:c r="AM23" s="52"/>
      <x:c r="AN23" s="53"/>
      <x:c r="AO23" s="52"/>
      <x:c r="AP23" s="52"/>
      <x:c r="AQ23" s="52"/>
      <x:c r="AR23" s="52"/>
      <x:c r="AS23" s="52"/>
      <x:c r="AT23" s="52"/>
      <x:c r="AU23" s="52"/>
      <x:c r="AV23" s="53"/>
      <x:c r="AW23" s="53"/>
      <x:c r="AX23" s="53"/>
      <x:c r="AY23" s="52"/>
      <x:c r="AZ23" s="52"/>
      <x:c r="BA23" s="54" t="str">
        <x:f>IF(A23="","",IF(COUNTIFS($A$2:$A$51,A23)&gt;1,"Duplicate asset ID",IF(OR(B23="",E23="",G23="",H23="",I23="",J23="",M23="",S23="",T23="",AH23=""),"Missing required scoring input","Ready")))</x:f>
      </x:c>
      <x:c r="BB23" s="54" t="str">
        <x:f>IF(A23="","",IF(AG23&lt;&gt;"Live","Example or record type missing",IF(AS23="Complete",IF(AND(BA23="Ready",AI23="Approved supported profile",AQ23&lt;&gt;"",AE23&lt;&gt;"",AR23&lt;&gt;"",AT23&lt;&gt;"",AU23&lt;&gt;"",ISNUMBER(AV23),AV23&gt;0,AV23&lt;=Start_Here!$B$4),"Complete with evidence","Missing approval, profile or test evidence"),IF(AS23="Accepted Risk",IF(AND(AT23&lt;&gt;"",AE23&lt;&gt;"",ISNUMBER(AX23),AX23&gt;=Start_Here!$B$4),"Accepted risk; migration open","Missing or expired risk acceptance"),IF(AS23="","Status required",AS23)))))</x:f>
      </x:c>
    </x:row>
    <x:row r="24" ht="30" customHeight="1">
      <x:c r="A24" s="33" t="str"/>
      <x:c r="B24" s="33" t="str"/>
      <x:c r="C24" s="33" t="str"/>
      <x:c r="D24" s="33" t="str"/>
      <x:c r="E24" s="33" t="str"/>
      <x:c r="F24" s="33" t="str"/>
      <x:c r="G24" s="33" t="str"/>
      <x:c r="H24" s="33" t="str"/>
      <x:c r="I24" s="33" t="str"/>
      <x:c r="J24" s="33" t="str"/>
      <x:c r="K24" s="33" t="str"/>
      <x:c r="L24" s="33" t="str"/>
      <x:c r="M24" s="33" t="str"/>
      <x:c r="N24" s="33" t="str"/>
      <x:c r="O24" s="33" t="str"/>
      <x:c r="P24" s="33" t="str"/>
      <x:c r="Q24" s="33" t="str"/>
      <x:c r="R24" s="33" t="str"/>
      <x:c r="S24" s="33" t="str"/>
      <x:c r="T24" s="33" t="str"/>
      <x:c r="U24" s="33" t="str">
        <x:f>IF(OR(A24="",G24="",H24=""),"",IF(G24="Yes",5,IF(H24="&gt;10 years",5,IF(H24="5-10 years",4,IF(H24="1-5 years",3,IF(H24="&lt;1 year",1,4))))))</x:f>
      </x:c>
      <x:c r="V24" s="33" t="str">
        <x:f>IF(OR(A24="",I24=""),"",IF(I24="Internet-facing",5,IF(I24="Partner-accessible",4,IF(I24="Internal",2,IF(I24="Isolated",1,4)))))</x:f>
      </x:c>
      <x:c r="W24" s="33" t="str">
        <x:f>IF(OR(A24="",J24=""),"",IF(J24="Critical",5,IF(J24="High",4,IF(J24="Medium",3,IF(J24="Low",2,4)))))</x:f>
      </x:c>
      <x:c r="X24" s="33" t="str">
        <x:f>IF(OR(A24="",AH24=""),"",IF(AH24="Classical public-key",5,IF(AH24="Standardized PQC",1,IF(AH24="Symmetric/hash",2,IF(AH24="Hybrid",3,4)))))</x:f>
      </x:c>
      <x:c r="Y24" s="33" t="str">
        <x:f>IF(OR(A24="",S24=""),"",IF(S24="Supported",1,IF(S24="Roadmap",3,IF(S24="No",5,IF(S24="N/A",2,4)))))</x:f>
      </x:c>
      <x:c r="Z24" s="33" t="str">
        <x:f>IF(OR(A24="",T24=""),"",IF(T24="Configurable",1,IF(T24="Library upgrade",2,IF(T24="Requires refactor",4,IF(T24="Embedded/firmware",5,4)))))</x:f>
      </x:c>
      <x:c r="AA24" s="33" t="str">
        <x:f>IF(A24="","",IF(BA24&lt;&gt;"Ready","",IF(Scoring_Model!$B$15&lt;&gt;"Valid weights","",ROUND((U24*Scoring_Model!$B$8+V24*Scoring_Model!$B$9+W24*Scoring_Model!$B$10+X24*Scoring_Model!$B$11+Y24*Scoring_Model!$B$12+Z24*Scoring_Model!$B$13)*20,0))))</x:f>
      </x:c>
      <x:c r="AB24" s="33" t="str">
        <x:f>IF(A24="","",IF(BA24&lt;&gt;"Ready","Needs data",IF(Scoring_Model!$B$15&lt;&gt;"Valid weights","Check weights",IF(AA24&gt;=Scoring_Model!$B$17,"P1",IF(AA24&gt;=Scoring_Model!$B$18,"P2","P3")))))</x:f>
      </x:c>
      <x:c r="AC24" s="33" t="str">
        <x:f>IF(A24="","",IF(AB24="Needs data","Complete scoring inputs and resolve duplicate ID",IF(AB24="Check weights","Check Scoring_Model weights",IF(AB24="P1","Local target: executive review, pilot and vendor plan in 90 days",IF(AB24="P2","Local target: roadmap and dependencies in 180 days","Recurring review; assess threats and exceptions")))))</x:f>
      </x:c>
      <x:c r="AD24" s="33" t="str"/>
      <x:c r="AE24" s="33" t="str"/>
      <x:c r="AF24" s="33" t="str"/>
      <x:c r="AG24" s="52"/>
      <x:c r="AH24" s="52"/>
      <x:c r="AI24" s="52"/>
      <x:c r="AJ24" s="52"/>
      <x:c r="AK24" s="52"/>
      <x:c r="AL24" s="52"/>
      <x:c r="AM24" s="52"/>
      <x:c r="AN24" s="53"/>
      <x:c r="AO24" s="52"/>
      <x:c r="AP24" s="52"/>
      <x:c r="AQ24" s="52"/>
      <x:c r="AR24" s="52"/>
      <x:c r="AS24" s="52"/>
      <x:c r="AT24" s="52"/>
      <x:c r="AU24" s="52"/>
      <x:c r="AV24" s="53"/>
      <x:c r="AW24" s="53"/>
      <x:c r="AX24" s="53"/>
      <x:c r="AY24" s="52"/>
      <x:c r="AZ24" s="52"/>
      <x:c r="BA24" s="54" t="str">
        <x:f>IF(A24="","",IF(COUNTIFS($A$2:$A$51,A24)&gt;1,"Duplicate asset ID",IF(OR(B24="",E24="",G24="",H24="",I24="",J24="",M24="",S24="",T24="",AH24=""),"Missing required scoring input","Ready")))</x:f>
      </x:c>
      <x:c r="BB24" s="54" t="str">
        <x:f>IF(A24="","",IF(AG24&lt;&gt;"Live","Example or record type missing",IF(AS24="Complete",IF(AND(BA24="Ready",AI24="Approved supported profile",AQ24&lt;&gt;"",AE24&lt;&gt;"",AR24&lt;&gt;"",AT24&lt;&gt;"",AU24&lt;&gt;"",ISNUMBER(AV24),AV24&gt;0,AV24&lt;=Start_Here!$B$4),"Complete with evidence","Missing approval, profile or test evidence"),IF(AS24="Accepted Risk",IF(AND(AT24&lt;&gt;"",AE24&lt;&gt;"",ISNUMBER(AX24),AX24&gt;=Start_Here!$B$4),"Accepted risk; migration open","Missing or expired risk acceptance"),IF(AS24="","Status required",AS24)))))</x:f>
      </x:c>
    </x:row>
    <x:row r="25" ht="30" customHeight="1">
      <x:c r="A25" s="33" t="str"/>
      <x:c r="B25" s="33" t="str"/>
      <x:c r="C25" s="33" t="str"/>
      <x:c r="D25" s="33" t="str"/>
      <x:c r="E25" s="33" t="str"/>
      <x:c r="F25" s="33" t="str"/>
      <x:c r="G25" s="33" t="str"/>
      <x:c r="H25" s="33" t="str"/>
      <x:c r="I25" s="33" t="str"/>
      <x:c r="J25" s="33" t="str"/>
      <x:c r="K25" s="33" t="str"/>
      <x:c r="L25" s="33" t="str"/>
      <x:c r="M25" s="33" t="str"/>
      <x:c r="N25" s="33" t="str"/>
      <x:c r="O25" s="33" t="str"/>
      <x:c r="P25" s="33" t="str"/>
      <x:c r="Q25" s="33" t="str"/>
      <x:c r="R25" s="33" t="str"/>
      <x:c r="S25" s="33" t="str"/>
      <x:c r="T25" s="33" t="str"/>
      <x:c r="U25" s="33" t="str">
        <x:f>IF(OR(A25="",G25="",H25=""),"",IF(G25="Yes",5,IF(H25="&gt;10 years",5,IF(H25="5-10 years",4,IF(H25="1-5 years",3,IF(H25="&lt;1 year",1,4))))))</x:f>
      </x:c>
      <x:c r="V25" s="33" t="str">
        <x:f>IF(OR(A25="",I25=""),"",IF(I25="Internet-facing",5,IF(I25="Partner-accessible",4,IF(I25="Internal",2,IF(I25="Isolated",1,4)))))</x:f>
      </x:c>
      <x:c r="W25" s="33" t="str">
        <x:f>IF(OR(A25="",J25=""),"",IF(J25="Critical",5,IF(J25="High",4,IF(J25="Medium",3,IF(J25="Low",2,4)))))</x:f>
      </x:c>
      <x:c r="X25" s="33" t="str">
        <x:f>IF(OR(A25="",AH25=""),"",IF(AH25="Classical public-key",5,IF(AH25="Standardized PQC",1,IF(AH25="Symmetric/hash",2,IF(AH25="Hybrid",3,4)))))</x:f>
      </x:c>
      <x:c r="Y25" s="33" t="str">
        <x:f>IF(OR(A25="",S25=""),"",IF(S25="Supported",1,IF(S25="Roadmap",3,IF(S25="No",5,IF(S25="N/A",2,4)))))</x:f>
      </x:c>
      <x:c r="Z25" s="33" t="str">
        <x:f>IF(OR(A25="",T25=""),"",IF(T25="Configurable",1,IF(T25="Library upgrade",2,IF(T25="Requires refactor",4,IF(T25="Embedded/firmware",5,4)))))</x:f>
      </x:c>
      <x:c r="AA25" s="33" t="str">
        <x:f>IF(A25="","",IF(BA25&lt;&gt;"Ready","",IF(Scoring_Model!$B$15&lt;&gt;"Valid weights","",ROUND((U25*Scoring_Model!$B$8+V25*Scoring_Model!$B$9+W25*Scoring_Model!$B$10+X25*Scoring_Model!$B$11+Y25*Scoring_Model!$B$12+Z25*Scoring_Model!$B$13)*20,0))))</x:f>
      </x:c>
      <x:c r="AB25" s="33" t="str">
        <x:f>IF(A25="","",IF(BA25&lt;&gt;"Ready","Needs data",IF(Scoring_Model!$B$15&lt;&gt;"Valid weights","Check weights",IF(AA25&gt;=Scoring_Model!$B$17,"P1",IF(AA25&gt;=Scoring_Model!$B$18,"P2","P3")))))</x:f>
      </x:c>
      <x:c r="AC25" s="33" t="str">
        <x:f>IF(A25="","",IF(AB25="Needs data","Complete scoring inputs and resolve duplicate ID",IF(AB25="Check weights","Check Scoring_Model weights",IF(AB25="P1","Local target: executive review, pilot and vendor plan in 90 days",IF(AB25="P2","Local target: roadmap and dependencies in 180 days","Recurring review; assess threats and exceptions")))))</x:f>
      </x:c>
      <x:c r="AD25" s="33" t="str"/>
      <x:c r="AE25" s="33" t="str"/>
      <x:c r="AF25" s="33" t="str"/>
      <x:c r="AG25" s="52"/>
      <x:c r="AH25" s="52"/>
      <x:c r="AI25" s="52"/>
      <x:c r="AJ25" s="52"/>
      <x:c r="AK25" s="52"/>
      <x:c r="AL25" s="52"/>
      <x:c r="AM25" s="52"/>
      <x:c r="AN25" s="53"/>
      <x:c r="AO25" s="52"/>
      <x:c r="AP25" s="52"/>
      <x:c r="AQ25" s="52"/>
      <x:c r="AR25" s="52"/>
      <x:c r="AS25" s="52"/>
      <x:c r="AT25" s="52"/>
      <x:c r="AU25" s="52"/>
      <x:c r="AV25" s="53"/>
      <x:c r="AW25" s="53"/>
      <x:c r="AX25" s="53"/>
      <x:c r="AY25" s="52"/>
      <x:c r="AZ25" s="52"/>
      <x:c r="BA25" s="54" t="str">
        <x:f>IF(A25="","",IF(COUNTIFS($A$2:$A$51,A25)&gt;1,"Duplicate asset ID",IF(OR(B25="",E25="",G25="",H25="",I25="",J25="",M25="",S25="",T25="",AH25=""),"Missing required scoring input","Ready")))</x:f>
      </x:c>
      <x:c r="BB25" s="54" t="str">
        <x:f>IF(A25="","",IF(AG25&lt;&gt;"Live","Example or record type missing",IF(AS25="Complete",IF(AND(BA25="Ready",AI25="Approved supported profile",AQ25&lt;&gt;"",AE25&lt;&gt;"",AR25&lt;&gt;"",AT25&lt;&gt;"",AU25&lt;&gt;"",ISNUMBER(AV25),AV25&gt;0,AV25&lt;=Start_Here!$B$4),"Complete with evidence","Missing approval, profile or test evidence"),IF(AS25="Accepted Risk",IF(AND(AT25&lt;&gt;"",AE25&lt;&gt;"",ISNUMBER(AX25),AX25&gt;=Start_Here!$B$4),"Accepted risk; migration open","Missing or expired risk acceptance"),IF(AS25="","Status required",AS25)))))</x:f>
      </x:c>
    </x:row>
    <x:row r="26" ht="30" customHeight="1">
      <x:c r="A26" s="33" t="str"/>
      <x:c r="B26" s="33" t="str"/>
      <x:c r="C26" s="33" t="str"/>
      <x:c r="D26" s="33" t="str"/>
      <x:c r="E26" s="33" t="str"/>
      <x:c r="F26" s="33" t="str"/>
      <x:c r="G26" s="33" t="str"/>
      <x:c r="H26" s="33" t="str"/>
      <x:c r="I26" s="33" t="str"/>
      <x:c r="J26" s="33" t="str"/>
      <x:c r="K26" s="33" t="str"/>
      <x:c r="L26" s="33" t="str"/>
      <x:c r="M26" s="33" t="str"/>
      <x:c r="N26" s="33" t="str"/>
      <x:c r="O26" s="33" t="str"/>
      <x:c r="P26" s="33" t="str"/>
      <x:c r="Q26" s="33" t="str"/>
      <x:c r="R26" s="33" t="str"/>
      <x:c r="S26" s="33" t="str"/>
      <x:c r="T26" s="33" t="str"/>
      <x:c r="U26" s="33" t="str">
        <x:f>IF(OR(A26="",G26="",H26=""),"",IF(G26="Yes",5,IF(H26="&gt;10 years",5,IF(H26="5-10 years",4,IF(H26="1-5 years",3,IF(H26="&lt;1 year",1,4))))))</x:f>
      </x:c>
      <x:c r="V26" s="33" t="str">
        <x:f>IF(OR(A26="",I26=""),"",IF(I26="Internet-facing",5,IF(I26="Partner-accessible",4,IF(I26="Internal",2,IF(I26="Isolated",1,4)))))</x:f>
      </x:c>
      <x:c r="W26" s="33" t="str">
        <x:f>IF(OR(A26="",J26=""),"",IF(J26="Critical",5,IF(J26="High",4,IF(J26="Medium",3,IF(J26="Low",2,4)))))</x:f>
      </x:c>
      <x:c r="X26" s="33" t="str">
        <x:f>IF(OR(A26="",AH26=""),"",IF(AH26="Classical public-key",5,IF(AH26="Standardized PQC",1,IF(AH26="Symmetric/hash",2,IF(AH26="Hybrid",3,4)))))</x:f>
      </x:c>
      <x:c r="Y26" s="33" t="str">
        <x:f>IF(OR(A26="",S26=""),"",IF(S26="Supported",1,IF(S26="Roadmap",3,IF(S26="No",5,IF(S26="N/A",2,4)))))</x:f>
      </x:c>
      <x:c r="Z26" s="33" t="str">
        <x:f>IF(OR(A26="",T26=""),"",IF(T26="Configurable",1,IF(T26="Library upgrade",2,IF(T26="Requires refactor",4,IF(T26="Embedded/firmware",5,4)))))</x:f>
      </x:c>
      <x:c r="AA26" s="33" t="str">
        <x:f>IF(A26="","",IF(BA26&lt;&gt;"Ready","",IF(Scoring_Model!$B$15&lt;&gt;"Valid weights","",ROUND((U26*Scoring_Model!$B$8+V26*Scoring_Model!$B$9+W26*Scoring_Model!$B$10+X26*Scoring_Model!$B$11+Y26*Scoring_Model!$B$12+Z26*Scoring_Model!$B$13)*20,0))))</x:f>
      </x:c>
      <x:c r="AB26" s="33" t="str">
        <x:f>IF(A26="","",IF(BA26&lt;&gt;"Ready","Needs data",IF(Scoring_Model!$B$15&lt;&gt;"Valid weights","Check weights",IF(AA26&gt;=Scoring_Model!$B$17,"P1",IF(AA26&gt;=Scoring_Model!$B$18,"P2","P3")))))</x:f>
      </x:c>
      <x:c r="AC26" s="33" t="str">
        <x:f>IF(A26="","",IF(AB26="Needs data","Complete scoring inputs and resolve duplicate ID",IF(AB26="Check weights","Check Scoring_Model weights",IF(AB26="P1","Local target: executive review, pilot and vendor plan in 90 days",IF(AB26="P2","Local target: roadmap and dependencies in 180 days","Recurring review; assess threats and exceptions")))))</x:f>
      </x:c>
      <x:c r="AD26" s="33" t="str"/>
      <x:c r="AE26" s="33" t="str"/>
      <x:c r="AF26" s="33" t="str"/>
      <x:c r="AG26" s="52"/>
      <x:c r="AH26" s="52"/>
      <x:c r="AI26" s="52"/>
      <x:c r="AJ26" s="52"/>
      <x:c r="AK26" s="52"/>
      <x:c r="AL26" s="52"/>
      <x:c r="AM26" s="52"/>
      <x:c r="AN26" s="53"/>
      <x:c r="AO26" s="52"/>
      <x:c r="AP26" s="52"/>
      <x:c r="AQ26" s="52"/>
      <x:c r="AR26" s="52"/>
      <x:c r="AS26" s="52"/>
      <x:c r="AT26" s="52"/>
      <x:c r="AU26" s="52"/>
      <x:c r="AV26" s="53"/>
      <x:c r="AW26" s="53"/>
      <x:c r="AX26" s="53"/>
      <x:c r="AY26" s="52"/>
      <x:c r="AZ26" s="52"/>
      <x:c r="BA26" s="54" t="str">
        <x:f>IF(A26="","",IF(COUNTIFS($A$2:$A$51,A26)&gt;1,"Duplicate asset ID",IF(OR(B26="",E26="",G26="",H26="",I26="",J26="",M26="",S26="",T26="",AH26=""),"Missing required scoring input","Ready")))</x:f>
      </x:c>
      <x:c r="BB26" s="54" t="str">
        <x:f>IF(A26="","",IF(AG26&lt;&gt;"Live","Example or record type missing",IF(AS26="Complete",IF(AND(BA26="Ready",AI26="Approved supported profile",AQ26&lt;&gt;"",AE26&lt;&gt;"",AR26&lt;&gt;"",AT26&lt;&gt;"",AU26&lt;&gt;"",ISNUMBER(AV26),AV26&gt;0,AV26&lt;=Start_Here!$B$4),"Complete with evidence","Missing approval, profile or test evidence"),IF(AS26="Accepted Risk",IF(AND(AT26&lt;&gt;"",AE26&lt;&gt;"",ISNUMBER(AX26),AX26&gt;=Start_Here!$B$4),"Accepted risk; migration open","Missing or expired risk acceptance"),IF(AS26="","Status required",AS26)))))</x:f>
      </x:c>
    </x:row>
    <x:row r="27" ht="30" customHeight="1">
      <x:c r="A27" s="33" t="str"/>
      <x:c r="B27" s="33" t="str"/>
      <x:c r="C27" s="33" t="str"/>
      <x:c r="D27" s="33" t="str"/>
      <x:c r="E27" s="33" t="str"/>
      <x:c r="F27" s="33" t="str"/>
      <x:c r="G27" s="33" t="str"/>
      <x:c r="H27" s="33" t="str"/>
      <x:c r="I27" s="33" t="str"/>
      <x:c r="J27" s="33" t="str"/>
      <x:c r="K27" s="33" t="str"/>
      <x:c r="L27" s="33" t="str"/>
      <x:c r="M27" s="33" t="str"/>
      <x:c r="N27" s="33" t="str"/>
      <x:c r="O27" s="33" t="str"/>
      <x:c r="P27" s="33" t="str"/>
      <x:c r="Q27" s="33" t="str"/>
      <x:c r="R27" s="33" t="str"/>
      <x:c r="S27" s="33" t="str"/>
      <x:c r="T27" s="33" t="str"/>
      <x:c r="U27" s="33" t="str">
        <x:f>IF(OR(A27="",G27="",H27=""),"",IF(G27="Yes",5,IF(H27="&gt;10 years",5,IF(H27="5-10 years",4,IF(H27="1-5 years",3,IF(H27="&lt;1 year",1,4))))))</x:f>
      </x:c>
      <x:c r="V27" s="33" t="str">
        <x:f>IF(OR(A27="",I27=""),"",IF(I27="Internet-facing",5,IF(I27="Partner-accessible",4,IF(I27="Internal",2,IF(I27="Isolated",1,4)))))</x:f>
      </x:c>
      <x:c r="W27" s="33" t="str">
        <x:f>IF(OR(A27="",J27=""),"",IF(J27="Critical",5,IF(J27="High",4,IF(J27="Medium",3,IF(J27="Low",2,4)))))</x:f>
      </x:c>
      <x:c r="X27" s="33" t="str">
        <x:f>IF(OR(A27="",AH27=""),"",IF(AH27="Classical public-key",5,IF(AH27="Standardized PQC",1,IF(AH27="Symmetric/hash",2,IF(AH27="Hybrid",3,4)))))</x:f>
      </x:c>
      <x:c r="Y27" s="33" t="str">
        <x:f>IF(OR(A27="",S27=""),"",IF(S27="Supported",1,IF(S27="Roadmap",3,IF(S27="No",5,IF(S27="N/A",2,4)))))</x:f>
      </x:c>
      <x:c r="Z27" s="33" t="str">
        <x:f>IF(OR(A27="",T27=""),"",IF(T27="Configurable",1,IF(T27="Library upgrade",2,IF(T27="Requires refactor",4,IF(T27="Embedded/firmware",5,4)))))</x:f>
      </x:c>
      <x:c r="AA27" s="33" t="str">
        <x:f>IF(A27="","",IF(BA27&lt;&gt;"Ready","",IF(Scoring_Model!$B$15&lt;&gt;"Valid weights","",ROUND((U27*Scoring_Model!$B$8+V27*Scoring_Model!$B$9+W27*Scoring_Model!$B$10+X27*Scoring_Model!$B$11+Y27*Scoring_Model!$B$12+Z27*Scoring_Model!$B$13)*20,0))))</x:f>
      </x:c>
      <x:c r="AB27" s="33" t="str">
        <x:f>IF(A27="","",IF(BA27&lt;&gt;"Ready","Needs data",IF(Scoring_Model!$B$15&lt;&gt;"Valid weights","Check weights",IF(AA27&gt;=Scoring_Model!$B$17,"P1",IF(AA27&gt;=Scoring_Model!$B$18,"P2","P3")))))</x:f>
      </x:c>
      <x:c r="AC27" s="33" t="str">
        <x:f>IF(A27="","",IF(AB27="Needs data","Complete scoring inputs and resolve duplicate ID",IF(AB27="Check weights","Check Scoring_Model weights",IF(AB27="P1","Local target: executive review, pilot and vendor plan in 90 days",IF(AB27="P2","Local target: roadmap and dependencies in 180 days","Recurring review; assess threats and exceptions")))))</x:f>
      </x:c>
      <x:c r="AD27" s="33" t="str"/>
      <x:c r="AE27" s="33" t="str"/>
      <x:c r="AF27" s="33" t="str"/>
      <x:c r="AG27" s="52"/>
      <x:c r="AH27" s="52"/>
      <x:c r="AI27" s="52"/>
      <x:c r="AJ27" s="52"/>
      <x:c r="AK27" s="52"/>
      <x:c r="AL27" s="52"/>
      <x:c r="AM27" s="52"/>
      <x:c r="AN27" s="53"/>
      <x:c r="AO27" s="52"/>
      <x:c r="AP27" s="52"/>
      <x:c r="AQ27" s="52"/>
      <x:c r="AR27" s="52"/>
      <x:c r="AS27" s="52"/>
      <x:c r="AT27" s="52"/>
      <x:c r="AU27" s="52"/>
      <x:c r="AV27" s="53"/>
      <x:c r="AW27" s="53"/>
      <x:c r="AX27" s="53"/>
      <x:c r="AY27" s="52"/>
      <x:c r="AZ27" s="52"/>
      <x:c r="BA27" s="54" t="str">
        <x:f>IF(A27="","",IF(COUNTIFS($A$2:$A$51,A27)&gt;1,"Duplicate asset ID",IF(OR(B27="",E27="",G27="",H27="",I27="",J27="",M27="",S27="",T27="",AH27=""),"Missing required scoring input","Ready")))</x:f>
      </x:c>
      <x:c r="BB27" s="54" t="str">
        <x:f>IF(A27="","",IF(AG27&lt;&gt;"Live","Example or record type missing",IF(AS27="Complete",IF(AND(BA27="Ready",AI27="Approved supported profile",AQ27&lt;&gt;"",AE27&lt;&gt;"",AR27&lt;&gt;"",AT27&lt;&gt;"",AU27&lt;&gt;"",ISNUMBER(AV27),AV27&gt;0,AV27&lt;=Start_Here!$B$4),"Complete with evidence","Missing approval, profile or test evidence"),IF(AS27="Accepted Risk",IF(AND(AT27&lt;&gt;"",AE27&lt;&gt;"",ISNUMBER(AX27),AX27&gt;=Start_Here!$B$4),"Accepted risk; migration open","Missing or expired risk acceptance"),IF(AS27="","Status required",AS27)))))</x:f>
      </x:c>
    </x:row>
    <x:row r="28" ht="30" customHeight="1">
      <x:c r="A28" s="33" t="str"/>
      <x:c r="B28" s="33" t="str"/>
      <x:c r="C28" s="33" t="str"/>
      <x:c r="D28" s="33" t="str"/>
      <x:c r="E28" s="33" t="str"/>
      <x:c r="F28" s="33" t="str"/>
      <x:c r="G28" s="33" t="str"/>
      <x:c r="H28" s="33" t="str"/>
      <x:c r="I28" s="33" t="str"/>
      <x:c r="J28" s="33" t="str"/>
      <x:c r="K28" s="33" t="str"/>
      <x:c r="L28" s="33" t="str"/>
      <x:c r="M28" s="33" t="str"/>
      <x:c r="N28" s="33" t="str"/>
      <x:c r="O28" s="33" t="str"/>
      <x:c r="P28" s="33" t="str"/>
      <x:c r="Q28" s="33" t="str"/>
      <x:c r="R28" s="33" t="str"/>
      <x:c r="S28" s="33" t="str"/>
      <x:c r="T28" s="33" t="str"/>
      <x:c r="U28" s="33" t="str">
        <x:f>IF(OR(A28="",G28="",H28=""),"",IF(G28="Yes",5,IF(H28="&gt;10 years",5,IF(H28="5-10 years",4,IF(H28="1-5 years",3,IF(H28="&lt;1 year",1,4))))))</x:f>
      </x:c>
      <x:c r="V28" s="33" t="str">
        <x:f>IF(OR(A28="",I28=""),"",IF(I28="Internet-facing",5,IF(I28="Partner-accessible",4,IF(I28="Internal",2,IF(I28="Isolated",1,4)))))</x:f>
      </x:c>
      <x:c r="W28" s="33" t="str">
        <x:f>IF(OR(A28="",J28=""),"",IF(J28="Critical",5,IF(J28="High",4,IF(J28="Medium",3,IF(J28="Low",2,4)))))</x:f>
      </x:c>
      <x:c r="X28" s="33" t="str">
        <x:f>IF(OR(A28="",AH28=""),"",IF(AH28="Classical public-key",5,IF(AH28="Standardized PQC",1,IF(AH28="Symmetric/hash",2,IF(AH28="Hybrid",3,4)))))</x:f>
      </x:c>
      <x:c r="Y28" s="33" t="str">
        <x:f>IF(OR(A28="",S28=""),"",IF(S28="Supported",1,IF(S28="Roadmap",3,IF(S28="No",5,IF(S28="N/A",2,4)))))</x:f>
      </x:c>
      <x:c r="Z28" s="33" t="str">
        <x:f>IF(OR(A28="",T28=""),"",IF(T28="Configurable",1,IF(T28="Library upgrade",2,IF(T28="Requires refactor",4,IF(T28="Embedded/firmware",5,4)))))</x:f>
      </x:c>
      <x:c r="AA28" s="33" t="str">
        <x:f>IF(A28="","",IF(BA28&lt;&gt;"Ready","",IF(Scoring_Model!$B$15&lt;&gt;"Valid weights","",ROUND((U28*Scoring_Model!$B$8+V28*Scoring_Model!$B$9+W28*Scoring_Model!$B$10+X28*Scoring_Model!$B$11+Y28*Scoring_Model!$B$12+Z28*Scoring_Model!$B$13)*20,0))))</x:f>
      </x:c>
      <x:c r="AB28" s="33" t="str">
        <x:f>IF(A28="","",IF(BA28&lt;&gt;"Ready","Needs data",IF(Scoring_Model!$B$15&lt;&gt;"Valid weights","Check weights",IF(AA28&gt;=Scoring_Model!$B$17,"P1",IF(AA28&gt;=Scoring_Model!$B$18,"P2","P3")))))</x:f>
      </x:c>
      <x:c r="AC28" s="33" t="str">
        <x:f>IF(A28="","",IF(AB28="Needs data","Complete scoring inputs and resolve duplicate ID",IF(AB28="Check weights","Check Scoring_Model weights",IF(AB28="P1","Local target: executive review, pilot and vendor plan in 90 days",IF(AB28="P2","Local target: roadmap and dependencies in 180 days","Recurring review; assess threats and exceptions")))))</x:f>
      </x:c>
      <x:c r="AD28" s="33" t="str"/>
      <x:c r="AE28" s="33" t="str"/>
      <x:c r="AF28" s="33" t="str"/>
      <x:c r="AG28" s="52"/>
      <x:c r="AH28" s="52"/>
      <x:c r="AI28" s="52"/>
      <x:c r="AJ28" s="52"/>
      <x:c r="AK28" s="52"/>
      <x:c r="AL28" s="52"/>
      <x:c r="AM28" s="52"/>
      <x:c r="AN28" s="53"/>
      <x:c r="AO28" s="52"/>
      <x:c r="AP28" s="52"/>
      <x:c r="AQ28" s="52"/>
      <x:c r="AR28" s="52"/>
      <x:c r="AS28" s="52"/>
      <x:c r="AT28" s="52"/>
      <x:c r="AU28" s="52"/>
      <x:c r="AV28" s="53"/>
      <x:c r="AW28" s="53"/>
      <x:c r="AX28" s="53"/>
      <x:c r="AY28" s="52"/>
      <x:c r="AZ28" s="52"/>
      <x:c r="BA28" s="54" t="str">
        <x:f>IF(A28="","",IF(COUNTIFS($A$2:$A$51,A28)&gt;1,"Duplicate asset ID",IF(OR(B28="",E28="",G28="",H28="",I28="",J28="",M28="",S28="",T28="",AH28=""),"Missing required scoring input","Ready")))</x:f>
      </x:c>
      <x:c r="BB28" s="54" t="str">
        <x:f>IF(A28="","",IF(AG28&lt;&gt;"Live","Example or record type missing",IF(AS28="Complete",IF(AND(BA28="Ready",AI28="Approved supported profile",AQ28&lt;&gt;"",AE28&lt;&gt;"",AR28&lt;&gt;"",AT28&lt;&gt;"",AU28&lt;&gt;"",ISNUMBER(AV28),AV28&gt;0,AV28&lt;=Start_Here!$B$4),"Complete with evidence","Missing approval, profile or test evidence"),IF(AS28="Accepted Risk",IF(AND(AT28&lt;&gt;"",AE28&lt;&gt;"",ISNUMBER(AX28),AX28&gt;=Start_Here!$B$4),"Accepted risk; migration open","Missing or expired risk acceptance"),IF(AS28="","Status required",AS28)))))</x:f>
      </x:c>
    </x:row>
    <x:row r="29" ht="30" customHeight="1">
      <x:c r="A29" s="33" t="str"/>
      <x:c r="B29" s="33" t="str"/>
      <x:c r="C29" s="33" t="str"/>
      <x:c r="D29" s="33" t="str"/>
      <x:c r="E29" s="33" t="str"/>
      <x:c r="F29" s="33" t="str"/>
      <x:c r="G29" s="33" t="str"/>
      <x:c r="H29" s="33" t="str"/>
      <x:c r="I29" s="33" t="str"/>
      <x:c r="J29" s="33" t="str"/>
      <x:c r="K29" s="33" t="str"/>
      <x:c r="L29" s="33" t="str"/>
      <x:c r="M29" s="33" t="str"/>
      <x:c r="N29" s="33" t="str"/>
      <x:c r="O29" s="33" t="str"/>
      <x:c r="P29" s="33" t="str"/>
      <x:c r="Q29" s="33" t="str"/>
      <x:c r="R29" s="33" t="str"/>
      <x:c r="S29" s="33" t="str"/>
      <x:c r="T29" s="33" t="str"/>
      <x:c r="U29" s="33" t="str">
        <x:f>IF(OR(A29="",G29="",H29=""),"",IF(G29="Yes",5,IF(H29="&gt;10 years",5,IF(H29="5-10 years",4,IF(H29="1-5 years",3,IF(H29="&lt;1 year",1,4))))))</x:f>
      </x:c>
      <x:c r="V29" s="33" t="str">
        <x:f>IF(OR(A29="",I29=""),"",IF(I29="Internet-facing",5,IF(I29="Partner-accessible",4,IF(I29="Internal",2,IF(I29="Isolated",1,4)))))</x:f>
      </x:c>
      <x:c r="W29" s="33" t="str">
        <x:f>IF(OR(A29="",J29=""),"",IF(J29="Critical",5,IF(J29="High",4,IF(J29="Medium",3,IF(J29="Low",2,4)))))</x:f>
      </x:c>
      <x:c r="X29" s="33" t="str">
        <x:f>IF(OR(A29="",AH29=""),"",IF(AH29="Classical public-key",5,IF(AH29="Standardized PQC",1,IF(AH29="Symmetric/hash",2,IF(AH29="Hybrid",3,4)))))</x:f>
      </x:c>
      <x:c r="Y29" s="33" t="str">
        <x:f>IF(OR(A29="",S29=""),"",IF(S29="Supported",1,IF(S29="Roadmap",3,IF(S29="No",5,IF(S29="N/A",2,4)))))</x:f>
      </x:c>
      <x:c r="Z29" s="33" t="str">
        <x:f>IF(OR(A29="",T29=""),"",IF(T29="Configurable",1,IF(T29="Library upgrade",2,IF(T29="Requires refactor",4,IF(T29="Embedded/firmware",5,4)))))</x:f>
      </x:c>
      <x:c r="AA29" s="33" t="str">
        <x:f>IF(A29="","",IF(BA29&lt;&gt;"Ready","",IF(Scoring_Model!$B$15&lt;&gt;"Valid weights","",ROUND((U29*Scoring_Model!$B$8+V29*Scoring_Model!$B$9+W29*Scoring_Model!$B$10+X29*Scoring_Model!$B$11+Y29*Scoring_Model!$B$12+Z29*Scoring_Model!$B$13)*20,0))))</x:f>
      </x:c>
      <x:c r="AB29" s="33" t="str">
        <x:f>IF(A29="","",IF(BA29&lt;&gt;"Ready","Needs data",IF(Scoring_Model!$B$15&lt;&gt;"Valid weights","Check weights",IF(AA29&gt;=Scoring_Model!$B$17,"P1",IF(AA29&gt;=Scoring_Model!$B$18,"P2","P3")))))</x:f>
      </x:c>
      <x:c r="AC29" s="33" t="str">
        <x:f>IF(A29="","",IF(AB29="Needs data","Complete scoring inputs and resolve duplicate ID",IF(AB29="Check weights","Check Scoring_Model weights",IF(AB29="P1","Local target: executive review, pilot and vendor plan in 90 days",IF(AB29="P2","Local target: roadmap and dependencies in 180 days","Recurring review; assess threats and exceptions")))))</x:f>
      </x:c>
      <x:c r="AD29" s="33" t="str"/>
      <x:c r="AE29" s="33" t="str"/>
      <x:c r="AF29" s="33" t="str"/>
      <x:c r="AG29" s="52"/>
      <x:c r="AH29" s="52"/>
      <x:c r="AI29" s="52"/>
      <x:c r="AJ29" s="52"/>
      <x:c r="AK29" s="52"/>
      <x:c r="AL29" s="52"/>
      <x:c r="AM29" s="52"/>
      <x:c r="AN29" s="53"/>
      <x:c r="AO29" s="52"/>
      <x:c r="AP29" s="52"/>
      <x:c r="AQ29" s="52"/>
      <x:c r="AR29" s="52"/>
      <x:c r="AS29" s="52"/>
      <x:c r="AT29" s="52"/>
      <x:c r="AU29" s="52"/>
      <x:c r="AV29" s="53"/>
      <x:c r="AW29" s="53"/>
      <x:c r="AX29" s="53"/>
      <x:c r="AY29" s="52"/>
      <x:c r="AZ29" s="52"/>
      <x:c r="BA29" s="54" t="str">
        <x:f>IF(A29="","",IF(COUNTIFS($A$2:$A$51,A29)&gt;1,"Duplicate asset ID",IF(OR(B29="",E29="",G29="",H29="",I29="",J29="",M29="",S29="",T29="",AH29=""),"Missing required scoring input","Ready")))</x:f>
      </x:c>
      <x:c r="BB29" s="54" t="str">
        <x:f>IF(A29="","",IF(AG29&lt;&gt;"Live","Example or record type missing",IF(AS29="Complete",IF(AND(BA29="Ready",AI29="Approved supported profile",AQ29&lt;&gt;"",AE29&lt;&gt;"",AR29&lt;&gt;"",AT29&lt;&gt;"",AU29&lt;&gt;"",ISNUMBER(AV29),AV29&gt;0,AV29&lt;=Start_Here!$B$4),"Complete with evidence","Missing approval, profile or test evidence"),IF(AS29="Accepted Risk",IF(AND(AT29&lt;&gt;"",AE29&lt;&gt;"",ISNUMBER(AX29),AX29&gt;=Start_Here!$B$4),"Accepted risk; migration open","Missing or expired risk acceptance"),IF(AS29="","Status required",AS29)))))</x:f>
      </x:c>
    </x:row>
    <x:row r="30" ht="30" customHeight="1">
      <x:c r="A30" s="33" t="str"/>
      <x:c r="B30" s="33" t="str"/>
      <x:c r="C30" s="33" t="str"/>
      <x:c r="D30" s="33" t="str"/>
      <x:c r="E30" s="33" t="str"/>
      <x:c r="F30" s="33" t="str"/>
      <x:c r="G30" s="33" t="str"/>
      <x:c r="H30" s="33" t="str"/>
      <x:c r="I30" s="33" t="str"/>
      <x:c r="J30" s="33" t="str"/>
      <x:c r="K30" s="33" t="str"/>
      <x:c r="L30" s="33" t="str"/>
      <x:c r="M30" s="33" t="str"/>
      <x:c r="N30" s="33" t="str"/>
      <x:c r="O30" s="33" t="str"/>
      <x:c r="P30" s="33" t="str"/>
      <x:c r="Q30" s="33" t="str"/>
      <x:c r="R30" s="33" t="str"/>
      <x:c r="S30" s="33" t="str"/>
      <x:c r="T30" s="33" t="str"/>
      <x:c r="U30" s="33" t="str">
        <x:f>IF(OR(A30="",G30="",H30=""),"",IF(G30="Yes",5,IF(H30="&gt;10 years",5,IF(H30="5-10 years",4,IF(H30="1-5 years",3,IF(H30="&lt;1 year",1,4))))))</x:f>
      </x:c>
      <x:c r="V30" s="33" t="str">
        <x:f>IF(OR(A30="",I30=""),"",IF(I30="Internet-facing",5,IF(I30="Partner-accessible",4,IF(I30="Internal",2,IF(I30="Isolated",1,4)))))</x:f>
      </x:c>
      <x:c r="W30" s="33" t="str">
        <x:f>IF(OR(A30="",J30=""),"",IF(J30="Critical",5,IF(J30="High",4,IF(J30="Medium",3,IF(J30="Low",2,4)))))</x:f>
      </x:c>
      <x:c r="X30" s="33" t="str">
        <x:f>IF(OR(A30="",AH30=""),"",IF(AH30="Classical public-key",5,IF(AH30="Standardized PQC",1,IF(AH30="Symmetric/hash",2,IF(AH30="Hybrid",3,4)))))</x:f>
      </x:c>
      <x:c r="Y30" s="33" t="str">
        <x:f>IF(OR(A30="",S30=""),"",IF(S30="Supported",1,IF(S30="Roadmap",3,IF(S30="No",5,IF(S30="N/A",2,4)))))</x:f>
      </x:c>
      <x:c r="Z30" s="33" t="str">
        <x:f>IF(OR(A30="",T30=""),"",IF(T30="Configurable",1,IF(T30="Library upgrade",2,IF(T30="Requires refactor",4,IF(T30="Embedded/firmware",5,4)))))</x:f>
      </x:c>
      <x:c r="AA30" s="33" t="str">
        <x:f>IF(A30="","",IF(BA30&lt;&gt;"Ready","",IF(Scoring_Model!$B$15&lt;&gt;"Valid weights","",ROUND((U30*Scoring_Model!$B$8+V30*Scoring_Model!$B$9+W30*Scoring_Model!$B$10+X30*Scoring_Model!$B$11+Y30*Scoring_Model!$B$12+Z30*Scoring_Model!$B$13)*20,0))))</x:f>
      </x:c>
      <x:c r="AB30" s="33" t="str">
        <x:f>IF(A30="","",IF(BA30&lt;&gt;"Ready","Needs data",IF(Scoring_Model!$B$15&lt;&gt;"Valid weights","Check weights",IF(AA30&gt;=Scoring_Model!$B$17,"P1",IF(AA30&gt;=Scoring_Model!$B$18,"P2","P3")))))</x:f>
      </x:c>
      <x:c r="AC30" s="33" t="str">
        <x:f>IF(A30="","",IF(AB30="Needs data","Complete scoring inputs and resolve duplicate ID",IF(AB30="Check weights","Check Scoring_Model weights",IF(AB30="P1","Local target: executive review, pilot and vendor plan in 90 days",IF(AB30="P2","Local target: roadmap and dependencies in 180 days","Recurring review; assess threats and exceptions")))))</x:f>
      </x:c>
      <x:c r="AD30" s="33" t="str"/>
      <x:c r="AE30" s="33" t="str"/>
      <x:c r="AF30" s="33" t="str"/>
      <x:c r="AG30" s="52"/>
      <x:c r="AH30" s="52"/>
      <x:c r="AI30" s="52"/>
      <x:c r="AJ30" s="52"/>
      <x:c r="AK30" s="52"/>
      <x:c r="AL30" s="52"/>
      <x:c r="AM30" s="52"/>
      <x:c r="AN30" s="53"/>
      <x:c r="AO30" s="52"/>
      <x:c r="AP30" s="52"/>
      <x:c r="AQ30" s="52"/>
      <x:c r="AR30" s="52"/>
      <x:c r="AS30" s="52"/>
      <x:c r="AT30" s="52"/>
      <x:c r="AU30" s="52"/>
      <x:c r="AV30" s="53"/>
      <x:c r="AW30" s="53"/>
      <x:c r="AX30" s="53"/>
      <x:c r="AY30" s="52"/>
      <x:c r="AZ30" s="52"/>
      <x:c r="BA30" s="54" t="str">
        <x:f>IF(A30="","",IF(COUNTIFS($A$2:$A$51,A30)&gt;1,"Duplicate asset ID",IF(OR(B30="",E30="",G30="",H30="",I30="",J30="",M30="",S30="",T30="",AH30=""),"Missing required scoring input","Ready")))</x:f>
      </x:c>
      <x:c r="BB30" s="54" t="str">
        <x:f>IF(A30="","",IF(AG30&lt;&gt;"Live","Example or record type missing",IF(AS30="Complete",IF(AND(BA30="Ready",AI30="Approved supported profile",AQ30&lt;&gt;"",AE30&lt;&gt;"",AR30&lt;&gt;"",AT30&lt;&gt;"",AU30&lt;&gt;"",ISNUMBER(AV30),AV30&gt;0,AV30&lt;=Start_Here!$B$4),"Complete with evidence","Missing approval, profile or test evidence"),IF(AS30="Accepted Risk",IF(AND(AT30&lt;&gt;"",AE30&lt;&gt;"",ISNUMBER(AX30),AX30&gt;=Start_Here!$B$4),"Accepted risk; migration open","Missing or expired risk acceptance"),IF(AS30="","Status required",AS30)))))</x:f>
      </x:c>
    </x:row>
    <x:row r="31" ht="30" customHeight="1">
      <x:c r="A31" s="33" t="str"/>
      <x:c r="B31" s="33" t="str"/>
      <x:c r="C31" s="33" t="str"/>
      <x:c r="D31" s="33" t="str"/>
      <x:c r="E31" s="33" t="str"/>
      <x:c r="F31" s="33" t="str"/>
      <x:c r="G31" s="33" t="str"/>
      <x:c r="H31" s="33" t="str"/>
      <x:c r="I31" s="33" t="str"/>
      <x:c r="J31" s="33" t="str"/>
      <x:c r="K31" s="33" t="str"/>
      <x:c r="L31" s="33" t="str"/>
      <x:c r="M31" s="33" t="str"/>
      <x:c r="N31" s="33" t="str"/>
      <x:c r="O31" s="33" t="str"/>
      <x:c r="P31" s="33" t="str"/>
      <x:c r="Q31" s="33" t="str"/>
      <x:c r="R31" s="33" t="str"/>
      <x:c r="S31" s="33" t="str"/>
      <x:c r="T31" s="33" t="str"/>
      <x:c r="U31" s="33" t="str">
        <x:f>IF(OR(A31="",G31="",H31=""),"",IF(G31="Yes",5,IF(H31="&gt;10 years",5,IF(H31="5-10 years",4,IF(H31="1-5 years",3,IF(H31="&lt;1 year",1,4))))))</x:f>
      </x:c>
      <x:c r="V31" s="33" t="str">
        <x:f>IF(OR(A31="",I31=""),"",IF(I31="Internet-facing",5,IF(I31="Partner-accessible",4,IF(I31="Internal",2,IF(I31="Isolated",1,4)))))</x:f>
      </x:c>
      <x:c r="W31" s="33" t="str">
        <x:f>IF(OR(A31="",J31=""),"",IF(J31="Critical",5,IF(J31="High",4,IF(J31="Medium",3,IF(J31="Low",2,4)))))</x:f>
      </x:c>
      <x:c r="X31" s="33" t="str">
        <x:f>IF(OR(A31="",AH31=""),"",IF(AH31="Classical public-key",5,IF(AH31="Standardized PQC",1,IF(AH31="Symmetric/hash",2,IF(AH31="Hybrid",3,4)))))</x:f>
      </x:c>
      <x:c r="Y31" s="33" t="str">
        <x:f>IF(OR(A31="",S31=""),"",IF(S31="Supported",1,IF(S31="Roadmap",3,IF(S31="No",5,IF(S31="N/A",2,4)))))</x:f>
      </x:c>
      <x:c r="Z31" s="33" t="str">
        <x:f>IF(OR(A31="",T31=""),"",IF(T31="Configurable",1,IF(T31="Library upgrade",2,IF(T31="Requires refactor",4,IF(T31="Embedded/firmware",5,4)))))</x:f>
      </x:c>
      <x:c r="AA31" s="33" t="str">
        <x:f>IF(A31="","",IF(BA31&lt;&gt;"Ready","",IF(Scoring_Model!$B$15&lt;&gt;"Valid weights","",ROUND((U31*Scoring_Model!$B$8+V31*Scoring_Model!$B$9+W31*Scoring_Model!$B$10+X31*Scoring_Model!$B$11+Y31*Scoring_Model!$B$12+Z31*Scoring_Model!$B$13)*20,0))))</x:f>
      </x:c>
      <x:c r="AB31" s="33" t="str">
        <x:f>IF(A31="","",IF(BA31&lt;&gt;"Ready","Needs data",IF(Scoring_Model!$B$15&lt;&gt;"Valid weights","Check weights",IF(AA31&gt;=Scoring_Model!$B$17,"P1",IF(AA31&gt;=Scoring_Model!$B$18,"P2","P3")))))</x:f>
      </x:c>
      <x:c r="AC31" s="33" t="str">
        <x:f>IF(A31="","",IF(AB31="Needs data","Complete scoring inputs and resolve duplicate ID",IF(AB31="Check weights","Check Scoring_Model weights",IF(AB31="P1","Local target: executive review, pilot and vendor plan in 90 days",IF(AB31="P2","Local target: roadmap and dependencies in 180 days","Recurring review; assess threats and exceptions")))))</x:f>
      </x:c>
      <x:c r="AD31" s="33" t="str"/>
      <x:c r="AE31" s="33" t="str"/>
      <x:c r="AF31" s="33" t="str"/>
      <x:c r="AG31" s="52"/>
      <x:c r="AH31" s="52"/>
      <x:c r="AI31" s="52"/>
      <x:c r="AJ31" s="52"/>
      <x:c r="AK31" s="52"/>
      <x:c r="AL31" s="52"/>
      <x:c r="AM31" s="52"/>
      <x:c r="AN31" s="53"/>
      <x:c r="AO31" s="52"/>
      <x:c r="AP31" s="52"/>
      <x:c r="AQ31" s="52"/>
      <x:c r="AR31" s="52"/>
      <x:c r="AS31" s="52"/>
      <x:c r="AT31" s="52"/>
      <x:c r="AU31" s="52"/>
      <x:c r="AV31" s="53"/>
      <x:c r="AW31" s="53"/>
      <x:c r="AX31" s="53"/>
      <x:c r="AY31" s="52"/>
      <x:c r="AZ31" s="52"/>
      <x:c r="BA31" s="54" t="str">
        <x:f>IF(A31="","",IF(COUNTIFS($A$2:$A$51,A31)&gt;1,"Duplicate asset ID",IF(OR(B31="",E31="",G31="",H31="",I31="",J31="",M31="",S31="",T31="",AH31=""),"Missing required scoring input","Ready")))</x:f>
      </x:c>
      <x:c r="BB31" s="54" t="str">
        <x:f>IF(A31="","",IF(AG31&lt;&gt;"Live","Example or record type missing",IF(AS31="Complete",IF(AND(BA31="Ready",AI31="Approved supported profile",AQ31&lt;&gt;"",AE31&lt;&gt;"",AR31&lt;&gt;"",AT31&lt;&gt;"",AU31&lt;&gt;"",ISNUMBER(AV31),AV31&gt;0,AV31&lt;=Start_Here!$B$4),"Complete with evidence","Missing approval, profile or test evidence"),IF(AS31="Accepted Risk",IF(AND(AT31&lt;&gt;"",AE31&lt;&gt;"",ISNUMBER(AX31),AX31&gt;=Start_Here!$B$4),"Accepted risk; migration open","Missing or expired risk acceptance"),IF(AS31="","Status required",AS31)))))</x:f>
      </x:c>
    </x:row>
    <x:row r="32" ht="30" customHeight="1">
      <x:c r="A32" s="33" t="str"/>
      <x:c r="B32" s="33" t="str"/>
      <x:c r="C32" s="33" t="str"/>
      <x:c r="D32" s="33" t="str"/>
      <x:c r="E32" s="33" t="str"/>
      <x:c r="F32" s="33" t="str"/>
      <x:c r="G32" s="33" t="str"/>
      <x:c r="H32" s="33" t="str"/>
      <x:c r="I32" s="33" t="str"/>
      <x:c r="J32" s="33" t="str"/>
      <x:c r="K32" s="33" t="str"/>
      <x:c r="L32" s="33" t="str"/>
      <x:c r="M32" s="33" t="str"/>
      <x:c r="N32" s="33" t="str"/>
      <x:c r="O32" s="33" t="str"/>
      <x:c r="P32" s="33" t="str"/>
      <x:c r="Q32" s="33" t="str"/>
      <x:c r="R32" s="33" t="str"/>
      <x:c r="S32" s="33" t="str"/>
      <x:c r="T32" s="33" t="str"/>
      <x:c r="U32" s="33" t="str">
        <x:f>IF(OR(A32="",G32="",H32=""),"",IF(G32="Yes",5,IF(H32="&gt;10 years",5,IF(H32="5-10 years",4,IF(H32="1-5 years",3,IF(H32="&lt;1 year",1,4))))))</x:f>
      </x:c>
      <x:c r="V32" s="33" t="str">
        <x:f>IF(OR(A32="",I32=""),"",IF(I32="Internet-facing",5,IF(I32="Partner-accessible",4,IF(I32="Internal",2,IF(I32="Isolated",1,4)))))</x:f>
      </x:c>
      <x:c r="W32" s="33" t="str">
        <x:f>IF(OR(A32="",J32=""),"",IF(J32="Critical",5,IF(J32="High",4,IF(J32="Medium",3,IF(J32="Low",2,4)))))</x:f>
      </x:c>
      <x:c r="X32" s="33" t="str">
        <x:f>IF(OR(A32="",AH32=""),"",IF(AH32="Classical public-key",5,IF(AH32="Standardized PQC",1,IF(AH32="Symmetric/hash",2,IF(AH32="Hybrid",3,4)))))</x:f>
      </x:c>
      <x:c r="Y32" s="33" t="str">
        <x:f>IF(OR(A32="",S32=""),"",IF(S32="Supported",1,IF(S32="Roadmap",3,IF(S32="No",5,IF(S32="N/A",2,4)))))</x:f>
      </x:c>
      <x:c r="Z32" s="33" t="str">
        <x:f>IF(OR(A32="",T32=""),"",IF(T32="Configurable",1,IF(T32="Library upgrade",2,IF(T32="Requires refactor",4,IF(T32="Embedded/firmware",5,4)))))</x:f>
      </x:c>
      <x:c r="AA32" s="33" t="str">
        <x:f>IF(A32="","",IF(BA32&lt;&gt;"Ready","",IF(Scoring_Model!$B$15&lt;&gt;"Valid weights","",ROUND((U32*Scoring_Model!$B$8+V32*Scoring_Model!$B$9+W32*Scoring_Model!$B$10+X32*Scoring_Model!$B$11+Y32*Scoring_Model!$B$12+Z32*Scoring_Model!$B$13)*20,0))))</x:f>
      </x:c>
      <x:c r="AB32" s="33" t="str">
        <x:f>IF(A32="","",IF(BA32&lt;&gt;"Ready","Needs data",IF(Scoring_Model!$B$15&lt;&gt;"Valid weights","Check weights",IF(AA32&gt;=Scoring_Model!$B$17,"P1",IF(AA32&gt;=Scoring_Model!$B$18,"P2","P3")))))</x:f>
      </x:c>
      <x:c r="AC32" s="33" t="str">
        <x:f>IF(A32="","",IF(AB32="Needs data","Complete scoring inputs and resolve duplicate ID",IF(AB32="Check weights","Check Scoring_Model weights",IF(AB32="P1","Local target: executive review, pilot and vendor plan in 90 days",IF(AB32="P2","Local target: roadmap and dependencies in 180 days","Recurring review; assess threats and exceptions")))))</x:f>
      </x:c>
      <x:c r="AD32" s="33" t="str"/>
      <x:c r="AE32" s="33" t="str"/>
      <x:c r="AF32" s="33" t="str"/>
      <x:c r="AG32" s="52"/>
      <x:c r="AH32" s="52"/>
      <x:c r="AI32" s="52"/>
      <x:c r="AJ32" s="52"/>
      <x:c r="AK32" s="52"/>
      <x:c r="AL32" s="52"/>
      <x:c r="AM32" s="52"/>
      <x:c r="AN32" s="53"/>
      <x:c r="AO32" s="52"/>
      <x:c r="AP32" s="52"/>
      <x:c r="AQ32" s="52"/>
      <x:c r="AR32" s="52"/>
      <x:c r="AS32" s="52"/>
      <x:c r="AT32" s="52"/>
      <x:c r="AU32" s="52"/>
      <x:c r="AV32" s="53"/>
      <x:c r="AW32" s="53"/>
      <x:c r="AX32" s="53"/>
      <x:c r="AY32" s="52"/>
      <x:c r="AZ32" s="52"/>
      <x:c r="BA32" s="54" t="str">
        <x:f>IF(A32="","",IF(COUNTIFS($A$2:$A$51,A32)&gt;1,"Duplicate asset ID",IF(OR(B32="",E32="",G32="",H32="",I32="",J32="",M32="",S32="",T32="",AH32=""),"Missing required scoring input","Ready")))</x:f>
      </x:c>
      <x:c r="BB32" s="54" t="str">
        <x:f>IF(A32="","",IF(AG32&lt;&gt;"Live","Example or record type missing",IF(AS32="Complete",IF(AND(BA32="Ready",AI32="Approved supported profile",AQ32&lt;&gt;"",AE32&lt;&gt;"",AR32&lt;&gt;"",AT32&lt;&gt;"",AU32&lt;&gt;"",ISNUMBER(AV32),AV32&gt;0,AV32&lt;=Start_Here!$B$4),"Complete with evidence","Missing approval, profile or test evidence"),IF(AS32="Accepted Risk",IF(AND(AT32&lt;&gt;"",AE32&lt;&gt;"",ISNUMBER(AX32),AX32&gt;=Start_Here!$B$4),"Accepted risk; migration open","Missing or expired risk acceptance"),IF(AS32="","Status required",AS32)))))</x:f>
      </x:c>
    </x:row>
    <x:row r="33" ht="30" customHeight="1">
      <x:c r="A33" s="33" t="str"/>
      <x:c r="B33" s="33" t="str"/>
      <x:c r="C33" s="33" t="str"/>
      <x:c r="D33" s="33" t="str"/>
      <x:c r="E33" s="33" t="str"/>
      <x:c r="F33" s="33" t="str"/>
      <x:c r="G33" s="33" t="str"/>
      <x:c r="H33" s="33" t="str"/>
      <x:c r="I33" s="33" t="str"/>
      <x:c r="J33" s="33" t="str"/>
      <x:c r="K33" s="33" t="str"/>
      <x:c r="L33" s="33" t="str"/>
      <x:c r="M33" s="33" t="str"/>
      <x:c r="N33" s="33" t="str"/>
      <x:c r="O33" s="33" t="str"/>
      <x:c r="P33" s="33" t="str"/>
      <x:c r="Q33" s="33" t="str"/>
      <x:c r="R33" s="33" t="str"/>
      <x:c r="S33" s="33" t="str"/>
      <x:c r="T33" s="33" t="str"/>
      <x:c r="U33" s="33" t="str">
        <x:f>IF(OR(A33="",G33="",H33=""),"",IF(G33="Yes",5,IF(H33="&gt;10 years",5,IF(H33="5-10 years",4,IF(H33="1-5 years",3,IF(H33="&lt;1 year",1,4))))))</x:f>
      </x:c>
      <x:c r="V33" s="33" t="str">
        <x:f>IF(OR(A33="",I33=""),"",IF(I33="Internet-facing",5,IF(I33="Partner-accessible",4,IF(I33="Internal",2,IF(I33="Isolated",1,4)))))</x:f>
      </x:c>
      <x:c r="W33" s="33" t="str">
        <x:f>IF(OR(A33="",J33=""),"",IF(J33="Critical",5,IF(J33="High",4,IF(J33="Medium",3,IF(J33="Low",2,4)))))</x:f>
      </x:c>
      <x:c r="X33" s="33" t="str">
        <x:f>IF(OR(A33="",AH33=""),"",IF(AH33="Classical public-key",5,IF(AH33="Standardized PQC",1,IF(AH33="Symmetric/hash",2,IF(AH33="Hybrid",3,4)))))</x:f>
      </x:c>
      <x:c r="Y33" s="33" t="str">
        <x:f>IF(OR(A33="",S33=""),"",IF(S33="Supported",1,IF(S33="Roadmap",3,IF(S33="No",5,IF(S33="N/A",2,4)))))</x:f>
      </x:c>
      <x:c r="Z33" s="33" t="str">
        <x:f>IF(OR(A33="",T33=""),"",IF(T33="Configurable",1,IF(T33="Library upgrade",2,IF(T33="Requires refactor",4,IF(T33="Embedded/firmware",5,4)))))</x:f>
      </x:c>
      <x:c r="AA33" s="33" t="str">
        <x:f>IF(A33="","",IF(BA33&lt;&gt;"Ready","",IF(Scoring_Model!$B$15&lt;&gt;"Valid weights","",ROUND((U33*Scoring_Model!$B$8+V33*Scoring_Model!$B$9+W33*Scoring_Model!$B$10+X33*Scoring_Model!$B$11+Y33*Scoring_Model!$B$12+Z33*Scoring_Model!$B$13)*20,0))))</x:f>
      </x:c>
      <x:c r="AB33" s="33" t="str">
        <x:f>IF(A33="","",IF(BA33&lt;&gt;"Ready","Needs data",IF(Scoring_Model!$B$15&lt;&gt;"Valid weights","Check weights",IF(AA33&gt;=Scoring_Model!$B$17,"P1",IF(AA33&gt;=Scoring_Model!$B$18,"P2","P3")))))</x:f>
      </x:c>
      <x:c r="AC33" s="33" t="str">
        <x:f>IF(A33="","",IF(AB33="Needs data","Complete scoring inputs and resolve duplicate ID",IF(AB33="Check weights","Check Scoring_Model weights",IF(AB33="P1","Local target: executive review, pilot and vendor plan in 90 days",IF(AB33="P2","Local target: roadmap and dependencies in 180 days","Recurring review; assess threats and exceptions")))))</x:f>
      </x:c>
      <x:c r="AD33" s="33" t="str"/>
      <x:c r="AE33" s="33" t="str"/>
      <x:c r="AF33" s="33" t="str"/>
      <x:c r="AG33" s="52"/>
      <x:c r="AH33" s="52"/>
      <x:c r="AI33" s="52"/>
      <x:c r="AJ33" s="52"/>
      <x:c r="AK33" s="52"/>
      <x:c r="AL33" s="52"/>
      <x:c r="AM33" s="52"/>
      <x:c r="AN33" s="53"/>
      <x:c r="AO33" s="52"/>
      <x:c r="AP33" s="52"/>
      <x:c r="AQ33" s="52"/>
      <x:c r="AR33" s="52"/>
      <x:c r="AS33" s="52"/>
      <x:c r="AT33" s="52"/>
      <x:c r="AU33" s="52"/>
      <x:c r="AV33" s="53"/>
      <x:c r="AW33" s="53"/>
      <x:c r="AX33" s="53"/>
      <x:c r="AY33" s="52"/>
      <x:c r="AZ33" s="52"/>
      <x:c r="BA33" s="54" t="str">
        <x:f>IF(A33="","",IF(COUNTIFS($A$2:$A$51,A33)&gt;1,"Duplicate asset ID",IF(OR(B33="",E33="",G33="",H33="",I33="",J33="",M33="",S33="",T33="",AH33=""),"Missing required scoring input","Ready")))</x:f>
      </x:c>
      <x:c r="BB33" s="54" t="str">
        <x:f>IF(A33="","",IF(AG33&lt;&gt;"Live","Example or record type missing",IF(AS33="Complete",IF(AND(BA33="Ready",AI33="Approved supported profile",AQ33&lt;&gt;"",AE33&lt;&gt;"",AR33&lt;&gt;"",AT33&lt;&gt;"",AU33&lt;&gt;"",ISNUMBER(AV33),AV33&gt;0,AV33&lt;=Start_Here!$B$4),"Complete with evidence","Missing approval, profile or test evidence"),IF(AS33="Accepted Risk",IF(AND(AT33&lt;&gt;"",AE33&lt;&gt;"",ISNUMBER(AX33),AX33&gt;=Start_Here!$B$4),"Accepted risk; migration open","Missing or expired risk acceptance"),IF(AS33="","Status required",AS33)))))</x:f>
      </x:c>
    </x:row>
    <x:row r="34" ht="30" customHeight="1">
      <x:c r="A34" s="33" t="str"/>
      <x:c r="B34" s="33" t="str"/>
      <x:c r="C34" s="33" t="str"/>
      <x:c r="D34" s="33" t="str"/>
      <x:c r="E34" s="33" t="str"/>
      <x:c r="F34" s="33" t="str"/>
      <x:c r="G34" s="33" t="str"/>
      <x:c r="H34" s="33" t="str"/>
      <x:c r="I34" s="33" t="str"/>
      <x:c r="J34" s="33" t="str"/>
      <x:c r="K34" s="33" t="str"/>
      <x:c r="L34" s="33" t="str"/>
      <x:c r="M34" s="33" t="str"/>
      <x:c r="N34" s="33" t="str"/>
      <x:c r="O34" s="33" t="str"/>
      <x:c r="P34" s="33" t="str"/>
      <x:c r="Q34" s="33" t="str"/>
      <x:c r="R34" s="33" t="str"/>
      <x:c r="S34" s="33" t="str"/>
      <x:c r="T34" s="33" t="str"/>
      <x:c r="U34" s="33" t="str">
        <x:f>IF(OR(A34="",G34="",H34=""),"",IF(G34="Yes",5,IF(H34="&gt;10 years",5,IF(H34="5-10 years",4,IF(H34="1-5 years",3,IF(H34="&lt;1 year",1,4))))))</x:f>
      </x:c>
      <x:c r="V34" s="33" t="str">
        <x:f>IF(OR(A34="",I34=""),"",IF(I34="Internet-facing",5,IF(I34="Partner-accessible",4,IF(I34="Internal",2,IF(I34="Isolated",1,4)))))</x:f>
      </x:c>
      <x:c r="W34" s="33" t="str">
        <x:f>IF(OR(A34="",J34=""),"",IF(J34="Critical",5,IF(J34="High",4,IF(J34="Medium",3,IF(J34="Low",2,4)))))</x:f>
      </x:c>
      <x:c r="X34" s="33" t="str">
        <x:f>IF(OR(A34="",AH34=""),"",IF(AH34="Classical public-key",5,IF(AH34="Standardized PQC",1,IF(AH34="Symmetric/hash",2,IF(AH34="Hybrid",3,4)))))</x:f>
      </x:c>
      <x:c r="Y34" s="33" t="str">
        <x:f>IF(OR(A34="",S34=""),"",IF(S34="Supported",1,IF(S34="Roadmap",3,IF(S34="No",5,IF(S34="N/A",2,4)))))</x:f>
      </x:c>
      <x:c r="Z34" s="33" t="str">
        <x:f>IF(OR(A34="",T34=""),"",IF(T34="Configurable",1,IF(T34="Library upgrade",2,IF(T34="Requires refactor",4,IF(T34="Embedded/firmware",5,4)))))</x:f>
      </x:c>
      <x:c r="AA34" s="33" t="str">
        <x:f>IF(A34="","",IF(BA34&lt;&gt;"Ready","",IF(Scoring_Model!$B$15&lt;&gt;"Valid weights","",ROUND((U34*Scoring_Model!$B$8+V34*Scoring_Model!$B$9+W34*Scoring_Model!$B$10+X34*Scoring_Model!$B$11+Y34*Scoring_Model!$B$12+Z34*Scoring_Model!$B$13)*20,0))))</x:f>
      </x:c>
      <x:c r="AB34" s="33" t="str">
        <x:f>IF(A34="","",IF(BA34&lt;&gt;"Ready","Needs data",IF(Scoring_Model!$B$15&lt;&gt;"Valid weights","Check weights",IF(AA34&gt;=Scoring_Model!$B$17,"P1",IF(AA34&gt;=Scoring_Model!$B$18,"P2","P3")))))</x:f>
      </x:c>
      <x:c r="AC34" s="33" t="str">
        <x:f>IF(A34="","",IF(AB34="Needs data","Complete scoring inputs and resolve duplicate ID",IF(AB34="Check weights","Check Scoring_Model weights",IF(AB34="P1","Local target: executive review, pilot and vendor plan in 90 days",IF(AB34="P2","Local target: roadmap and dependencies in 180 days","Recurring review; assess threats and exceptions")))))</x:f>
      </x:c>
      <x:c r="AD34" s="33" t="str"/>
      <x:c r="AE34" s="33" t="str"/>
      <x:c r="AF34" s="33" t="str"/>
      <x:c r="AG34" s="52"/>
      <x:c r="AH34" s="52"/>
      <x:c r="AI34" s="52"/>
      <x:c r="AJ34" s="52"/>
      <x:c r="AK34" s="52"/>
      <x:c r="AL34" s="52"/>
      <x:c r="AM34" s="52"/>
      <x:c r="AN34" s="53"/>
      <x:c r="AO34" s="52"/>
      <x:c r="AP34" s="52"/>
      <x:c r="AQ34" s="52"/>
      <x:c r="AR34" s="52"/>
      <x:c r="AS34" s="52"/>
      <x:c r="AT34" s="52"/>
      <x:c r="AU34" s="52"/>
      <x:c r="AV34" s="53"/>
      <x:c r="AW34" s="53"/>
      <x:c r="AX34" s="53"/>
      <x:c r="AY34" s="52"/>
      <x:c r="AZ34" s="52"/>
      <x:c r="BA34" s="54" t="str">
        <x:f>IF(A34="","",IF(COUNTIFS($A$2:$A$51,A34)&gt;1,"Duplicate asset ID",IF(OR(B34="",E34="",G34="",H34="",I34="",J34="",M34="",S34="",T34="",AH34=""),"Missing required scoring input","Ready")))</x:f>
      </x:c>
      <x:c r="BB34" s="54" t="str">
        <x:f>IF(A34="","",IF(AG34&lt;&gt;"Live","Example or record type missing",IF(AS34="Complete",IF(AND(BA34="Ready",AI34="Approved supported profile",AQ34&lt;&gt;"",AE34&lt;&gt;"",AR34&lt;&gt;"",AT34&lt;&gt;"",AU34&lt;&gt;"",ISNUMBER(AV34),AV34&gt;0,AV34&lt;=Start_Here!$B$4),"Complete with evidence","Missing approval, profile or test evidence"),IF(AS34="Accepted Risk",IF(AND(AT34&lt;&gt;"",AE34&lt;&gt;"",ISNUMBER(AX34),AX34&gt;=Start_Here!$B$4),"Accepted risk; migration open","Missing or expired risk acceptance"),IF(AS34="","Status required",AS34)))))</x:f>
      </x:c>
    </x:row>
    <x:row r="35" ht="30" customHeight="1">
      <x:c r="A35" s="33" t="str"/>
      <x:c r="B35" s="33" t="str"/>
      <x:c r="C35" s="33" t="str"/>
      <x:c r="D35" s="33" t="str"/>
      <x:c r="E35" s="33" t="str"/>
      <x:c r="F35" s="33" t="str"/>
      <x:c r="G35" s="33" t="str"/>
      <x:c r="H35" s="33" t="str"/>
      <x:c r="I35" s="33" t="str"/>
      <x:c r="J35" s="33" t="str"/>
      <x:c r="K35" s="33" t="str"/>
      <x:c r="L35" s="33" t="str"/>
      <x:c r="M35" s="33" t="str"/>
      <x:c r="N35" s="33" t="str"/>
      <x:c r="O35" s="33" t="str"/>
      <x:c r="P35" s="33" t="str"/>
      <x:c r="Q35" s="33" t="str"/>
      <x:c r="R35" s="33" t="str"/>
      <x:c r="S35" s="33" t="str"/>
      <x:c r="T35" s="33" t="str"/>
      <x:c r="U35" s="33" t="str">
        <x:f>IF(OR(A35="",G35="",H35=""),"",IF(G35="Yes",5,IF(H35="&gt;10 years",5,IF(H35="5-10 years",4,IF(H35="1-5 years",3,IF(H35="&lt;1 year",1,4))))))</x:f>
      </x:c>
      <x:c r="V35" s="33" t="str">
        <x:f>IF(OR(A35="",I35=""),"",IF(I35="Internet-facing",5,IF(I35="Partner-accessible",4,IF(I35="Internal",2,IF(I35="Isolated",1,4)))))</x:f>
      </x:c>
      <x:c r="W35" s="33" t="str">
        <x:f>IF(OR(A35="",J35=""),"",IF(J35="Critical",5,IF(J35="High",4,IF(J35="Medium",3,IF(J35="Low",2,4)))))</x:f>
      </x:c>
      <x:c r="X35" s="33" t="str">
        <x:f>IF(OR(A35="",AH35=""),"",IF(AH35="Classical public-key",5,IF(AH35="Standardized PQC",1,IF(AH35="Symmetric/hash",2,IF(AH35="Hybrid",3,4)))))</x:f>
      </x:c>
      <x:c r="Y35" s="33" t="str">
        <x:f>IF(OR(A35="",S35=""),"",IF(S35="Supported",1,IF(S35="Roadmap",3,IF(S35="No",5,IF(S35="N/A",2,4)))))</x:f>
      </x:c>
      <x:c r="Z35" s="33" t="str">
        <x:f>IF(OR(A35="",T35=""),"",IF(T35="Configurable",1,IF(T35="Library upgrade",2,IF(T35="Requires refactor",4,IF(T35="Embedded/firmware",5,4)))))</x:f>
      </x:c>
      <x:c r="AA35" s="33" t="str">
        <x:f>IF(A35="","",IF(BA35&lt;&gt;"Ready","",IF(Scoring_Model!$B$15&lt;&gt;"Valid weights","",ROUND((U35*Scoring_Model!$B$8+V35*Scoring_Model!$B$9+W35*Scoring_Model!$B$10+X35*Scoring_Model!$B$11+Y35*Scoring_Model!$B$12+Z35*Scoring_Model!$B$13)*20,0))))</x:f>
      </x:c>
      <x:c r="AB35" s="33" t="str">
        <x:f>IF(A35="","",IF(BA35&lt;&gt;"Ready","Needs data",IF(Scoring_Model!$B$15&lt;&gt;"Valid weights","Check weights",IF(AA35&gt;=Scoring_Model!$B$17,"P1",IF(AA35&gt;=Scoring_Model!$B$18,"P2","P3")))))</x:f>
      </x:c>
      <x:c r="AC35" s="33" t="str">
        <x:f>IF(A35="","",IF(AB35="Needs data","Complete scoring inputs and resolve duplicate ID",IF(AB35="Check weights","Check Scoring_Model weights",IF(AB35="P1","Local target: executive review, pilot and vendor plan in 90 days",IF(AB35="P2","Local target: roadmap and dependencies in 180 days","Recurring review; assess threats and exceptions")))))</x:f>
      </x:c>
      <x:c r="AD35" s="33" t="str"/>
      <x:c r="AE35" s="33" t="str"/>
      <x:c r="AF35" s="33" t="str"/>
      <x:c r="AG35" s="52"/>
      <x:c r="AH35" s="52"/>
      <x:c r="AI35" s="52"/>
      <x:c r="AJ35" s="52"/>
      <x:c r="AK35" s="52"/>
      <x:c r="AL35" s="52"/>
      <x:c r="AM35" s="52"/>
      <x:c r="AN35" s="53"/>
      <x:c r="AO35" s="52"/>
      <x:c r="AP35" s="52"/>
      <x:c r="AQ35" s="52"/>
      <x:c r="AR35" s="52"/>
      <x:c r="AS35" s="52"/>
      <x:c r="AT35" s="52"/>
      <x:c r="AU35" s="52"/>
      <x:c r="AV35" s="53"/>
      <x:c r="AW35" s="53"/>
      <x:c r="AX35" s="53"/>
      <x:c r="AY35" s="52"/>
      <x:c r="AZ35" s="52"/>
      <x:c r="BA35" s="54" t="str">
        <x:f>IF(A35="","",IF(COUNTIFS($A$2:$A$51,A35)&gt;1,"Duplicate asset ID",IF(OR(B35="",E35="",G35="",H35="",I35="",J35="",M35="",S35="",T35="",AH35=""),"Missing required scoring input","Ready")))</x:f>
      </x:c>
      <x:c r="BB35" s="54" t="str">
        <x:f>IF(A35="","",IF(AG35&lt;&gt;"Live","Example or record type missing",IF(AS35="Complete",IF(AND(BA35="Ready",AI35="Approved supported profile",AQ35&lt;&gt;"",AE35&lt;&gt;"",AR35&lt;&gt;"",AT35&lt;&gt;"",AU35&lt;&gt;"",ISNUMBER(AV35),AV35&gt;0,AV35&lt;=Start_Here!$B$4),"Complete with evidence","Missing approval, profile or test evidence"),IF(AS35="Accepted Risk",IF(AND(AT35&lt;&gt;"",AE35&lt;&gt;"",ISNUMBER(AX35),AX35&gt;=Start_Here!$B$4),"Accepted risk; migration open","Missing or expired risk acceptance"),IF(AS35="","Status required",AS35)))))</x:f>
      </x:c>
    </x:row>
    <x:row r="36" ht="30" customHeight="1">
      <x:c r="A36" s="33" t="str"/>
      <x:c r="B36" s="33" t="str"/>
      <x:c r="C36" s="33" t="str"/>
      <x:c r="D36" s="33" t="str"/>
      <x:c r="E36" s="33" t="str"/>
      <x:c r="F36" s="33" t="str"/>
      <x:c r="G36" s="33" t="str"/>
      <x:c r="H36" s="33" t="str"/>
      <x:c r="I36" s="33" t="str"/>
      <x:c r="J36" s="33" t="str"/>
      <x:c r="K36" s="33" t="str"/>
      <x:c r="L36" s="33" t="str"/>
      <x:c r="M36" s="33" t="str"/>
      <x:c r="N36" s="33" t="str"/>
      <x:c r="O36" s="33" t="str"/>
      <x:c r="P36" s="33" t="str"/>
      <x:c r="Q36" s="33" t="str"/>
      <x:c r="R36" s="33" t="str"/>
      <x:c r="S36" s="33" t="str"/>
      <x:c r="T36" s="33" t="str"/>
      <x:c r="U36" s="33" t="str">
        <x:f>IF(OR(A36="",G36="",H36=""),"",IF(G36="Yes",5,IF(H36="&gt;10 years",5,IF(H36="5-10 years",4,IF(H36="1-5 years",3,IF(H36="&lt;1 year",1,4))))))</x:f>
      </x:c>
      <x:c r="V36" s="33" t="str">
        <x:f>IF(OR(A36="",I36=""),"",IF(I36="Internet-facing",5,IF(I36="Partner-accessible",4,IF(I36="Internal",2,IF(I36="Isolated",1,4)))))</x:f>
      </x:c>
      <x:c r="W36" s="33" t="str">
        <x:f>IF(OR(A36="",J36=""),"",IF(J36="Critical",5,IF(J36="High",4,IF(J36="Medium",3,IF(J36="Low",2,4)))))</x:f>
      </x:c>
      <x:c r="X36" s="33" t="str">
        <x:f>IF(OR(A36="",AH36=""),"",IF(AH36="Classical public-key",5,IF(AH36="Standardized PQC",1,IF(AH36="Symmetric/hash",2,IF(AH36="Hybrid",3,4)))))</x:f>
      </x:c>
      <x:c r="Y36" s="33" t="str">
        <x:f>IF(OR(A36="",S36=""),"",IF(S36="Supported",1,IF(S36="Roadmap",3,IF(S36="No",5,IF(S36="N/A",2,4)))))</x:f>
      </x:c>
      <x:c r="Z36" s="33" t="str">
        <x:f>IF(OR(A36="",T36=""),"",IF(T36="Configurable",1,IF(T36="Library upgrade",2,IF(T36="Requires refactor",4,IF(T36="Embedded/firmware",5,4)))))</x:f>
      </x:c>
      <x:c r="AA36" s="33" t="str">
        <x:f>IF(A36="","",IF(BA36&lt;&gt;"Ready","",IF(Scoring_Model!$B$15&lt;&gt;"Valid weights","",ROUND((U36*Scoring_Model!$B$8+V36*Scoring_Model!$B$9+W36*Scoring_Model!$B$10+X36*Scoring_Model!$B$11+Y36*Scoring_Model!$B$12+Z36*Scoring_Model!$B$13)*20,0))))</x:f>
      </x:c>
      <x:c r="AB36" s="33" t="str">
        <x:f>IF(A36="","",IF(BA36&lt;&gt;"Ready","Needs data",IF(Scoring_Model!$B$15&lt;&gt;"Valid weights","Check weights",IF(AA36&gt;=Scoring_Model!$B$17,"P1",IF(AA36&gt;=Scoring_Model!$B$18,"P2","P3")))))</x:f>
      </x:c>
      <x:c r="AC36" s="33" t="str">
        <x:f>IF(A36="","",IF(AB36="Needs data","Complete scoring inputs and resolve duplicate ID",IF(AB36="Check weights","Check Scoring_Model weights",IF(AB36="P1","Local target: executive review, pilot and vendor plan in 90 days",IF(AB36="P2","Local target: roadmap and dependencies in 180 days","Recurring review; assess threats and exceptions")))))</x:f>
      </x:c>
      <x:c r="AD36" s="33" t="str"/>
      <x:c r="AE36" s="33" t="str"/>
      <x:c r="AF36" s="33" t="str"/>
      <x:c r="AG36" s="52"/>
      <x:c r="AH36" s="52"/>
      <x:c r="AI36" s="52"/>
      <x:c r="AJ36" s="52"/>
      <x:c r="AK36" s="52"/>
      <x:c r="AL36" s="52"/>
      <x:c r="AM36" s="52"/>
      <x:c r="AN36" s="53"/>
      <x:c r="AO36" s="52"/>
      <x:c r="AP36" s="52"/>
      <x:c r="AQ36" s="52"/>
      <x:c r="AR36" s="52"/>
      <x:c r="AS36" s="52"/>
      <x:c r="AT36" s="52"/>
      <x:c r="AU36" s="52"/>
      <x:c r="AV36" s="53"/>
      <x:c r="AW36" s="53"/>
      <x:c r="AX36" s="53"/>
      <x:c r="AY36" s="52"/>
      <x:c r="AZ36" s="52"/>
      <x:c r="BA36" s="54" t="str">
        <x:f>IF(A36="","",IF(COUNTIFS($A$2:$A$51,A36)&gt;1,"Duplicate asset ID",IF(OR(B36="",E36="",G36="",H36="",I36="",J36="",M36="",S36="",T36="",AH36=""),"Missing required scoring input","Ready")))</x:f>
      </x:c>
      <x:c r="BB36" s="54" t="str">
        <x:f>IF(A36="","",IF(AG36&lt;&gt;"Live","Example or record type missing",IF(AS36="Complete",IF(AND(BA36="Ready",AI36="Approved supported profile",AQ36&lt;&gt;"",AE36&lt;&gt;"",AR36&lt;&gt;"",AT36&lt;&gt;"",AU36&lt;&gt;"",ISNUMBER(AV36),AV36&gt;0,AV36&lt;=Start_Here!$B$4),"Complete with evidence","Missing approval, profile or test evidence"),IF(AS36="Accepted Risk",IF(AND(AT36&lt;&gt;"",AE36&lt;&gt;"",ISNUMBER(AX36),AX36&gt;=Start_Here!$B$4),"Accepted risk; migration open","Missing or expired risk acceptance"),IF(AS36="","Status required",AS36)))))</x:f>
      </x:c>
    </x:row>
    <x:row r="37" ht="30" customHeight="1">
      <x:c r="A37" s="33" t="str"/>
      <x:c r="B37" s="33" t="str"/>
      <x:c r="C37" s="33" t="str"/>
      <x:c r="D37" s="33" t="str"/>
      <x:c r="E37" s="33" t="str"/>
      <x:c r="F37" s="33" t="str"/>
      <x:c r="G37" s="33" t="str"/>
      <x:c r="H37" s="33" t="str"/>
      <x:c r="I37" s="33" t="str"/>
      <x:c r="J37" s="33" t="str"/>
      <x:c r="K37" s="33" t="str"/>
      <x:c r="L37" s="33" t="str"/>
      <x:c r="M37" s="33" t="str"/>
      <x:c r="N37" s="33" t="str"/>
      <x:c r="O37" s="33" t="str"/>
      <x:c r="P37" s="33" t="str"/>
      <x:c r="Q37" s="33" t="str"/>
      <x:c r="R37" s="33" t="str"/>
      <x:c r="S37" s="33" t="str"/>
      <x:c r="T37" s="33" t="str"/>
      <x:c r="U37" s="33" t="str">
        <x:f>IF(OR(A37="",G37="",H37=""),"",IF(G37="Yes",5,IF(H37="&gt;10 years",5,IF(H37="5-10 years",4,IF(H37="1-5 years",3,IF(H37="&lt;1 year",1,4))))))</x:f>
      </x:c>
      <x:c r="V37" s="33" t="str">
        <x:f>IF(OR(A37="",I37=""),"",IF(I37="Internet-facing",5,IF(I37="Partner-accessible",4,IF(I37="Internal",2,IF(I37="Isolated",1,4)))))</x:f>
      </x:c>
      <x:c r="W37" s="33" t="str">
        <x:f>IF(OR(A37="",J37=""),"",IF(J37="Critical",5,IF(J37="High",4,IF(J37="Medium",3,IF(J37="Low",2,4)))))</x:f>
      </x:c>
      <x:c r="X37" s="33" t="str">
        <x:f>IF(OR(A37="",AH37=""),"",IF(AH37="Classical public-key",5,IF(AH37="Standardized PQC",1,IF(AH37="Symmetric/hash",2,IF(AH37="Hybrid",3,4)))))</x:f>
      </x:c>
      <x:c r="Y37" s="33" t="str">
        <x:f>IF(OR(A37="",S37=""),"",IF(S37="Supported",1,IF(S37="Roadmap",3,IF(S37="No",5,IF(S37="N/A",2,4)))))</x:f>
      </x:c>
      <x:c r="Z37" s="33" t="str">
        <x:f>IF(OR(A37="",T37=""),"",IF(T37="Configurable",1,IF(T37="Library upgrade",2,IF(T37="Requires refactor",4,IF(T37="Embedded/firmware",5,4)))))</x:f>
      </x:c>
      <x:c r="AA37" s="33" t="str">
        <x:f>IF(A37="","",IF(BA37&lt;&gt;"Ready","",IF(Scoring_Model!$B$15&lt;&gt;"Valid weights","",ROUND((U37*Scoring_Model!$B$8+V37*Scoring_Model!$B$9+W37*Scoring_Model!$B$10+X37*Scoring_Model!$B$11+Y37*Scoring_Model!$B$12+Z37*Scoring_Model!$B$13)*20,0))))</x:f>
      </x:c>
      <x:c r="AB37" s="33" t="str">
        <x:f>IF(A37="","",IF(BA37&lt;&gt;"Ready","Needs data",IF(Scoring_Model!$B$15&lt;&gt;"Valid weights","Check weights",IF(AA37&gt;=Scoring_Model!$B$17,"P1",IF(AA37&gt;=Scoring_Model!$B$18,"P2","P3")))))</x:f>
      </x:c>
      <x:c r="AC37" s="33" t="str">
        <x:f>IF(A37="","",IF(AB37="Needs data","Complete scoring inputs and resolve duplicate ID",IF(AB37="Check weights","Check Scoring_Model weights",IF(AB37="P1","Local target: executive review, pilot and vendor plan in 90 days",IF(AB37="P2","Local target: roadmap and dependencies in 180 days","Recurring review; assess threats and exceptions")))))</x:f>
      </x:c>
      <x:c r="AD37" s="33" t="str"/>
      <x:c r="AE37" s="33" t="str"/>
      <x:c r="AF37" s="33" t="str"/>
      <x:c r="AG37" s="52"/>
      <x:c r="AH37" s="52"/>
      <x:c r="AI37" s="52"/>
      <x:c r="AJ37" s="52"/>
      <x:c r="AK37" s="52"/>
      <x:c r="AL37" s="52"/>
      <x:c r="AM37" s="52"/>
      <x:c r="AN37" s="53"/>
      <x:c r="AO37" s="52"/>
      <x:c r="AP37" s="52"/>
      <x:c r="AQ37" s="52"/>
      <x:c r="AR37" s="52"/>
      <x:c r="AS37" s="52"/>
      <x:c r="AT37" s="52"/>
      <x:c r="AU37" s="52"/>
      <x:c r="AV37" s="53"/>
      <x:c r="AW37" s="53"/>
      <x:c r="AX37" s="53"/>
      <x:c r="AY37" s="52"/>
      <x:c r="AZ37" s="52"/>
      <x:c r="BA37" s="54" t="str">
        <x:f>IF(A37="","",IF(COUNTIFS($A$2:$A$51,A37)&gt;1,"Duplicate asset ID",IF(OR(B37="",E37="",G37="",H37="",I37="",J37="",M37="",S37="",T37="",AH37=""),"Missing required scoring input","Ready")))</x:f>
      </x:c>
      <x:c r="BB37" s="54" t="str">
        <x:f>IF(A37="","",IF(AG37&lt;&gt;"Live","Example or record type missing",IF(AS37="Complete",IF(AND(BA37="Ready",AI37="Approved supported profile",AQ37&lt;&gt;"",AE37&lt;&gt;"",AR37&lt;&gt;"",AT37&lt;&gt;"",AU37&lt;&gt;"",ISNUMBER(AV37),AV37&gt;0,AV37&lt;=Start_Here!$B$4),"Complete with evidence","Missing approval, profile or test evidence"),IF(AS37="Accepted Risk",IF(AND(AT37&lt;&gt;"",AE37&lt;&gt;"",ISNUMBER(AX37),AX37&gt;=Start_Here!$B$4),"Accepted risk; migration open","Missing or expired risk acceptance"),IF(AS37="","Status required",AS37)))))</x:f>
      </x:c>
    </x:row>
    <x:row r="38" ht="30" customHeight="1">
      <x:c r="A38" s="33" t="str"/>
      <x:c r="B38" s="33" t="str"/>
      <x:c r="C38" s="33" t="str"/>
      <x:c r="D38" s="33" t="str"/>
      <x:c r="E38" s="33" t="str"/>
      <x:c r="F38" s="33" t="str"/>
      <x:c r="G38" s="33" t="str"/>
      <x:c r="H38" s="33" t="str"/>
      <x:c r="I38" s="33" t="str"/>
      <x:c r="J38" s="33" t="str"/>
      <x:c r="K38" s="33" t="str"/>
      <x:c r="L38" s="33" t="str"/>
      <x:c r="M38" s="33" t="str"/>
      <x:c r="N38" s="33" t="str"/>
      <x:c r="O38" s="33" t="str"/>
      <x:c r="P38" s="33" t="str"/>
      <x:c r="Q38" s="33" t="str"/>
      <x:c r="R38" s="33" t="str"/>
      <x:c r="S38" s="33" t="str"/>
      <x:c r="T38" s="33" t="str"/>
      <x:c r="U38" s="33" t="str">
        <x:f>IF(OR(A38="",G38="",H38=""),"",IF(G38="Yes",5,IF(H38="&gt;10 years",5,IF(H38="5-10 years",4,IF(H38="1-5 years",3,IF(H38="&lt;1 year",1,4))))))</x:f>
      </x:c>
      <x:c r="V38" s="33" t="str">
        <x:f>IF(OR(A38="",I38=""),"",IF(I38="Internet-facing",5,IF(I38="Partner-accessible",4,IF(I38="Internal",2,IF(I38="Isolated",1,4)))))</x:f>
      </x:c>
      <x:c r="W38" s="33" t="str">
        <x:f>IF(OR(A38="",J38=""),"",IF(J38="Critical",5,IF(J38="High",4,IF(J38="Medium",3,IF(J38="Low",2,4)))))</x:f>
      </x:c>
      <x:c r="X38" s="33" t="str">
        <x:f>IF(OR(A38="",AH38=""),"",IF(AH38="Classical public-key",5,IF(AH38="Standardized PQC",1,IF(AH38="Symmetric/hash",2,IF(AH38="Hybrid",3,4)))))</x:f>
      </x:c>
      <x:c r="Y38" s="33" t="str">
        <x:f>IF(OR(A38="",S38=""),"",IF(S38="Supported",1,IF(S38="Roadmap",3,IF(S38="No",5,IF(S38="N/A",2,4)))))</x:f>
      </x:c>
      <x:c r="Z38" s="33" t="str">
        <x:f>IF(OR(A38="",T38=""),"",IF(T38="Configurable",1,IF(T38="Library upgrade",2,IF(T38="Requires refactor",4,IF(T38="Embedded/firmware",5,4)))))</x:f>
      </x:c>
      <x:c r="AA38" s="33" t="str">
        <x:f>IF(A38="","",IF(BA38&lt;&gt;"Ready","",IF(Scoring_Model!$B$15&lt;&gt;"Valid weights","",ROUND((U38*Scoring_Model!$B$8+V38*Scoring_Model!$B$9+W38*Scoring_Model!$B$10+X38*Scoring_Model!$B$11+Y38*Scoring_Model!$B$12+Z38*Scoring_Model!$B$13)*20,0))))</x:f>
      </x:c>
      <x:c r="AB38" s="33" t="str">
        <x:f>IF(A38="","",IF(BA38&lt;&gt;"Ready","Needs data",IF(Scoring_Model!$B$15&lt;&gt;"Valid weights","Check weights",IF(AA38&gt;=Scoring_Model!$B$17,"P1",IF(AA38&gt;=Scoring_Model!$B$18,"P2","P3")))))</x:f>
      </x:c>
      <x:c r="AC38" s="33" t="str">
        <x:f>IF(A38="","",IF(AB38="Needs data","Complete scoring inputs and resolve duplicate ID",IF(AB38="Check weights","Check Scoring_Model weights",IF(AB38="P1","Local target: executive review, pilot and vendor plan in 90 days",IF(AB38="P2","Local target: roadmap and dependencies in 180 days","Recurring review; assess threats and exceptions")))))</x:f>
      </x:c>
      <x:c r="AD38" s="33" t="str"/>
      <x:c r="AE38" s="33" t="str"/>
      <x:c r="AF38" s="33" t="str"/>
      <x:c r="AG38" s="52"/>
      <x:c r="AH38" s="52"/>
      <x:c r="AI38" s="52"/>
      <x:c r="AJ38" s="52"/>
      <x:c r="AK38" s="52"/>
      <x:c r="AL38" s="52"/>
      <x:c r="AM38" s="52"/>
      <x:c r="AN38" s="53"/>
      <x:c r="AO38" s="52"/>
      <x:c r="AP38" s="52"/>
      <x:c r="AQ38" s="52"/>
      <x:c r="AR38" s="52"/>
      <x:c r="AS38" s="52"/>
      <x:c r="AT38" s="52"/>
      <x:c r="AU38" s="52"/>
      <x:c r="AV38" s="53"/>
      <x:c r="AW38" s="53"/>
      <x:c r="AX38" s="53"/>
      <x:c r="AY38" s="52"/>
      <x:c r="AZ38" s="52"/>
      <x:c r="BA38" s="54" t="str">
        <x:f>IF(A38="","",IF(COUNTIFS($A$2:$A$51,A38)&gt;1,"Duplicate asset ID",IF(OR(B38="",E38="",G38="",H38="",I38="",J38="",M38="",S38="",T38="",AH38=""),"Missing required scoring input","Ready")))</x:f>
      </x:c>
      <x:c r="BB38" s="54" t="str">
        <x:f>IF(A38="","",IF(AG38&lt;&gt;"Live","Example or record type missing",IF(AS38="Complete",IF(AND(BA38="Ready",AI38="Approved supported profile",AQ38&lt;&gt;"",AE38&lt;&gt;"",AR38&lt;&gt;"",AT38&lt;&gt;"",AU38&lt;&gt;"",ISNUMBER(AV38),AV38&gt;0,AV38&lt;=Start_Here!$B$4),"Complete with evidence","Missing approval, profile or test evidence"),IF(AS38="Accepted Risk",IF(AND(AT38&lt;&gt;"",AE38&lt;&gt;"",ISNUMBER(AX38),AX38&gt;=Start_Here!$B$4),"Accepted risk; migration open","Missing or expired risk acceptance"),IF(AS38="","Status required",AS38)))))</x:f>
      </x:c>
    </x:row>
    <x:row r="39" ht="30" customHeight="1">
      <x:c r="A39" s="33" t="str"/>
      <x:c r="B39" s="33" t="str"/>
      <x:c r="C39" s="33" t="str"/>
      <x:c r="D39" s="33" t="str"/>
      <x:c r="E39" s="33" t="str"/>
      <x:c r="F39" s="33" t="str"/>
      <x:c r="G39" s="33" t="str"/>
      <x:c r="H39" s="33" t="str"/>
      <x:c r="I39" s="33" t="str"/>
      <x:c r="J39" s="33" t="str"/>
      <x:c r="K39" s="33" t="str"/>
      <x:c r="L39" s="33" t="str"/>
      <x:c r="M39" s="33" t="str"/>
      <x:c r="N39" s="33" t="str"/>
      <x:c r="O39" s="33" t="str"/>
      <x:c r="P39" s="33" t="str"/>
      <x:c r="Q39" s="33" t="str"/>
      <x:c r="R39" s="33" t="str"/>
      <x:c r="S39" s="33" t="str"/>
      <x:c r="T39" s="33" t="str"/>
      <x:c r="U39" s="33" t="str">
        <x:f>IF(OR(A39="",G39="",H39=""),"",IF(G39="Yes",5,IF(H39="&gt;10 years",5,IF(H39="5-10 years",4,IF(H39="1-5 years",3,IF(H39="&lt;1 year",1,4))))))</x:f>
      </x:c>
      <x:c r="V39" s="33" t="str">
        <x:f>IF(OR(A39="",I39=""),"",IF(I39="Internet-facing",5,IF(I39="Partner-accessible",4,IF(I39="Internal",2,IF(I39="Isolated",1,4)))))</x:f>
      </x:c>
      <x:c r="W39" s="33" t="str">
        <x:f>IF(OR(A39="",J39=""),"",IF(J39="Critical",5,IF(J39="High",4,IF(J39="Medium",3,IF(J39="Low",2,4)))))</x:f>
      </x:c>
      <x:c r="X39" s="33" t="str">
        <x:f>IF(OR(A39="",AH39=""),"",IF(AH39="Classical public-key",5,IF(AH39="Standardized PQC",1,IF(AH39="Symmetric/hash",2,IF(AH39="Hybrid",3,4)))))</x:f>
      </x:c>
      <x:c r="Y39" s="33" t="str">
        <x:f>IF(OR(A39="",S39=""),"",IF(S39="Supported",1,IF(S39="Roadmap",3,IF(S39="No",5,IF(S39="N/A",2,4)))))</x:f>
      </x:c>
      <x:c r="Z39" s="33" t="str">
        <x:f>IF(OR(A39="",T39=""),"",IF(T39="Configurable",1,IF(T39="Library upgrade",2,IF(T39="Requires refactor",4,IF(T39="Embedded/firmware",5,4)))))</x:f>
      </x:c>
      <x:c r="AA39" s="33" t="str">
        <x:f>IF(A39="","",IF(BA39&lt;&gt;"Ready","",IF(Scoring_Model!$B$15&lt;&gt;"Valid weights","",ROUND((U39*Scoring_Model!$B$8+V39*Scoring_Model!$B$9+W39*Scoring_Model!$B$10+X39*Scoring_Model!$B$11+Y39*Scoring_Model!$B$12+Z39*Scoring_Model!$B$13)*20,0))))</x:f>
      </x:c>
      <x:c r="AB39" s="33" t="str">
        <x:f>IF(A39="","",IF(BA39&lt;&gt;"Ready","Needs data",IF(Scoring_Model!$B$15&lt;&gt;"Valid weights","Check weights",IF(AA39&gt;=Scoring_Model!$B$17,"P1",IF(AA39&gt;=Scoring_Model!$B$18,"P2","P3")))))</x:f>
      </x:c>
      <x:c r="AC39" s="33" t="str">
        <x:f>IF(A39="","",IF(AB39="Needs data","Complete scoring inputs and resolve duplicate ID",IF(AB39="Check weights","Check Scoring_Model weights",IF(AB39="P1","Local target: executive review, pilot and vendor plan in 90 days",IF(AB39="P2","Local target: roadmap and dependencies in 180 days","Recurring review; assess threats and exceptions")))))</x:f>
      </x:c>
      <x:c r="AD39" s="33" t="str"/>
      <x:c r="AE39" s="33" t="str"/>
      <x:c r="AF39" s="33" t="str"/>
      <x:c r="AG39" s="52"/>
      <x:c r="AH39" s="52"/>
      <x:c r="AI39" s="52"/>
      <x:c r="AJ39" s="52"/>
      <x:c r="AK39" s="52"/>
      <x:c r="AL39" s="52"/>
      <x:c r="AM39" s="52"/>
      <x:c r="AN39" s="53"/>
      <x:c r="AO39" s="52"/>
      <x:c r="AP39" s="52"/>
      <x:c r="AQ39" s="52"/>
      <x:c r="AR39" s="52"/>
      <x:c r="AS39" s="52"/>
      <x:c r="AT39" s="52"/>
      <x:c r="AU39" s="52"/>
      <x:c r="AV39" s="53"/>
      <x:c r="AW39" s="53"/>
      <x:c r="AX39" s="53"/>
      <x:c r="AY39" s="52"/>
      <x:c r="AZ39" s="52"/>
      <x:c r="BA39" s="54" t="str">
        <x:f>IF(A39="","",IF(COUNTIFS($A$2:$A$51,A39)&gt;1,"Duplicate asset ID",IF(OR(B39="",E39="",G39="",H39="",I39="",J39="",M39="",S39="",T39="",AH39=""),"Missing required scoring input","Ready")))</x:f>
      </x:c>
      <x:c r="BB39" s="54" t="str">
        <x:f>IF(A39="","",IF(AG39&lt;&gt;"Live","Example or record type missing",IF(AS39="Complete",IF(AND(BA39="Ready",AI39="Approved supported profile",AQ39&lt;&gt;"",AE39&lt;&gt;"",AR39&lt;&gt;"",AT39&lt;&gt;"",AU39&lt;&gt;"",ISNUMBER(AV39),AV39&gt;0,AV39&lt;=Start_Here!$B$4),"Complete with evidence","Missing approval, profile or test evidence"),IF(AS39="Accepted Risk",IF(AND(AT39&lt;&gt;"",AE39&lt;&gt;"",ISNUMBER(AX39),AX39&gt;=Start_Here!$B$4),"Accepted risk; migration open","Missing or expired risk acceptance"),IF(AS39="","Status required",AS39)))))</x:f>
      </x:c>
    </x:row>
    <x:row r="40" ht="30" customHeight="1">
      <x:c r="A40" s="33" t="str"/>
      <x:c r="B40" s="33" t="str"/>
      <x:c r="C40" s="33" t="str"/>
      <x:c r="D40" s="33" t="str"/>
      <x:c r="E40" s="33" t="str"/>
      <x:c r="F40" s="33" t="str"/>
      <x:c r="G40" s="33" t="str"/>
      <x:c r="H40" s="33" t="str"/>
      <x:c r="I40" s="33" t="str"/>
      <x:c r="J40" s="33" t="str"/>
      <x:c r="K40" s="33" t="str"/>
      <x:c r="L40" s="33" t="str"/>
      <x:c r="M40" s="33" t="str"/>
      <x:c r="N40" s="33" t="str"/>
      <x:c r="O40" s="33" t="str"/>
      <x:c r="P40" s="33" t="str"/>
      <x:c r="Q40" s="33" t="str"/>
      <x:c r="R40" s="33" t="str"/>
      <x:c r="S40" s="33" t="str"/>
      <x:c r="T40" s="33" t="str"/>
      <x:c r="U40" s="33" t="str">
        <x:f>IF(OR(A40="",G40="",H40=""),"",IF(G40="Yes",5,IF(H40="&gt;10 years",5,IF(H40="5-10 years",4,IF(H40="1-5 years",3,IF(H40="&lt;1 year",1,4))))))</x:f>
      </x:c>
      <x:c r="V40" s="33" t="str">
        <x:f>IF(OR(A40="",I40=""),"",IF(I40="Internet-facing",5,IF(I40="Partner-accessible",4,IF(I40="Internal",2,IF(I40="Isolated",1,4)))))</x:f>
      </x:c>
      <x:c r="W40" s="33" t="str">
        <x:f>IF(OR(A40="",J40=""),"",IF(J40="Critical",5,IF(J40="High",4,IF(J40="Medium",3,IF(J40="Low",2,4)))))</x:f>
      </x:c>
      <x:c r="X40" s="33" t="str">
        <x:f>IF(OR(A40="",AH40=""),"",IF(AH40="Classical public-key",5,IF(AH40="Standardized PQC",1,IF(AH40="Symmetric/hash",2,IF(AH40="Hybrid",3,4)))))</x:f>
      </x:c>
      <x:c r="Y40" s="33" t="str">
        <x:f>IF(OR(A40="",S40=""),"",IF(S40="Supported",1,IF(S40="Roadmap",3,IF(S40="No",5,IF(S40="N/A",2,4)))))</x:f>
      </x:c>
      <x:c r="Z40" s="33" t="str">
        <x:f>IF(OR(A40="",T40=""),"",IF(T40="Configurable",1,IF(T40="Library upgrade",2,IF(T40="Requires refactor",4,IF(T40="Embedded/firmware",5,4)))))</x:f>
      </x:c>
      <x:c r="AA40" s="33" t="str">
        <x:f>IF(A40="","",IF(BA40&lt;&gt;"Ready","",IF(Scoring_Model!$B$15&lt;&gt;"Valid weights","",ROUND((U40*Scoring_Model!$B$8+V40*Scoring_Model!$B$9+W40*Scoring_Model!$B$10+X40*Scoring_Model!$B$11+Y40*Scoring_Model!$B$12+Z40*Scoring_Model!$B$13)*20,0))))</x:f>
      </x:c>
      <x:c r="AB40" s="33" t="str">
        <x:f>IF(A40="","",IF(BA40&lt;&gt;"Ready","Needs data",IF(Scoring_Model!$B$15&lt;&gt;"Valid weights","Check weights",IF(AA40&gt;=Scoring_Model!$B$17,"P1",IF(AA40&gt;=Scoring_Model!$B$18,"P2","P3")))))</x:f>
      </x:c>
      <x:c r="AC40" s="33" t="str">
        <x:f>IF(A40="","",IF(AB40="Needs data","Complete scoring inputs and resolve duplicate ID",IF(AB40="Check weights","Check Scoring_Model weights",IF(AB40="P1","Local target: executive review, pilot and vendor plan in 90 days",IF(AB40="P2","Local target: roadmap and dependencies in 180 days","Recurring review; assess threats and exceptions")))))</x:f>
      </x:c>
      <x:c r="AD40" s="33" t="str"/>
      <x:c r="AE40" s="33" t="str"/>
      <x:c r="AF40" s="33" t="str"/>
      <x:c r="AG40" s="52"/>
      <x:c r="AH40" s="52"/>
      <x:c r="AI40" s="52"/>
      <x:c r="AJ40" s="52"/>
      <x:c r="AK40" s="52"/>
      <x:c r="AL40" s="52"/>
      <x:c r="AM40" s="52"/>
      <x:c r="AN40" s="53"/>
      <x:c r="AO40" s="52"/>
      <x:c r="AP40" s="52"/>
      <x:c r="AQ40" s="52"/>
      <x:c r="AR40" s="52"/>
      <x:c r="AS40" s="52"/>
      <x:c r="AT40" s="52"/>
      <x:c r="AU40" s="52"/>
      <x:c r="AV40" s="53"/>
      <x:c r="AW40" s="53"/>
      <x:c r="AX40" s="53"/>
      <x:c r="AY40" s="52"/>
      <x:c r="AZ40" s="52"/>
      <x:c r="BA40" s="54" t="str">
        <x:f>IF(A40="","",IF(COUNTIFS($A$2:$A$51,A40)&gt;1,"Duplicate asset ID",IF(OR(B40="",E40="",G40="",H40="",I40="",J40="",M40="",S40="",T40="",AH40=""),"Missing required scoring input","Ready")))</x:f>
      </x:c>
      <x:c r="BB40" s="54" t="str">
        <x:f>IF(A40="","",IF(AG40&lt;&gt;"Live","Example or record type missing",IF(AS40="Complete",IF(AND(BA40="Ready",AI40="Approved supported profile",AQ40&lt;&gt;"",AE40&lt;&gt;"",AR40&lt;&gt;"",AT40&lt;&gt;"",AU40&lt;&gt;"",ISNUMBER(AV40),AV40&gt;0,AV40&lt;=Start_Here!$B$4),"Complete with evidence","Missing approval, profile or test evidence"),IF(AS40="Accepted Risk",IF(AND(AT40&lt;&gt;"",AE40&lt;&gt;"",ISNUMBER(AX40),AX40&gt;=Start_Here!$B$4),"Accepted risk; migration open","Missing or expired risk acceptance"),IF(AS40="","Status required",AS40)))))</x:f>
      </x:c>
    </x:row>
    <x:row r="41" ht="30" customHeight="1">
      <x:c r="A41" s="33" t="str"/>
      <x:c r="B41" s="33" t="str"/>
      <x:c r="C41" s="33" t="str"/>
      <x:c r="D41" s="33" t="str"/>
      <x:c r="E41" s="33" t="str"/>
      <x:c r="F41" s="33" t="str"/>
      <x:c r="G41" s="33" t="str"/>
      <x:c r="H41" s="33" t="str"/>
      <x:c r="I41" s="33" t="str"/>
      <x:c r="J41" s="33" t="str"/>
      <x:c r="K41" s="33" t="str"/>
      <x:c r="L41" s="33" t="str"/>
      <x:c r="M41" s="33" t="str"/>
      <x:c r="N41" s="33" t="str"/>
      <x:c r="O41" s="33" t="str"/>
      <x:c r="P41" s="33" t="str"/>
      <x:c r="Q41" s="33" t="str"/>
      <x:c r="R41" s="33" t="str"/>
      <x:c r="S41" s="33" t="str"/>
      <x:c r="T41" s="33" t="str"/>
      <x:c r="U41" s="33" t="str">
        <x:f>IF(OR(A41="",G41="",H41=""),"",IF(G41="Yes",5,IF(H41="&gt;10 years",5,IF(H41="5-10 years",4,IF(H41="1-5 years",3,IF(H41="&lt;1 year",1,4))))))</x:f>
      </x:c>
      <x:c r="V41" s="33" t="str">
        <x:f>IF(OR(A41="",I41=""),"",IF(I41="Internet-facing",5,IF(I41="Partner-accessible",4,IF(I41="Internal",2,IF(I41="Isolated",1,4)))))</x:f>
      </x:c>
      <x:c r="W41" s="33" t="str">
        <x:f>IF(OR(A41="",J41=""),"",IF(J41="Critical",5,IF(J41="High",4,IF(J41="Medium",3,IF(J41="Low",2,4)))))</x:f>
      </x:c>
      <x:c r="X41" s="33" t="str">
        <x:f>IF(OR(A41="",AH41=""),"",IF(AH41="Classical public-key",5,IF(AH41="Standardized PQC",1,IF(AH41="Symmetric/hash",2,IF(AH41="Hybrid",3,4)))))</x:f>
      </x:c>
      <x:c r="Y41" s="33" t="str">
        <x:f>IF(OR(A41="",S41=""),"",IF(S41="Supported",1,IF(S41="Roadmap",3,IF(S41="No",5,IF(S41="N/A",2,4)))))</x:f>
      </x:c>
      <x:c r="Z41" s="33" t="str">
        <x:f>IF(OR(A41="",T41=""),"",IF(T41="Configurable",1,IF(T41="Library upgrade",2,IF(T41="Requires refactor",4,IF(T41="Embedded/firmware",5,4)))))</x:f>
      </x:c>
      <x:c r="AA41" s="33" t="str">
        <x:f>IF(A41="","",IF(BA41&lt;&gt;"Ready","",IF(Scoring_Model!$B$15&lt;&gt;"Valid weights","",ROUND((U41*Scoring_Model!$B$8+V41*Scoring_Model!$B$9+W41*Scoring_Model!$B$10+X41*Scoring_Model!$B$11+Y41*Scoring_Model!$B$12+Z41*Scoring_Model!$B$13)*20,0))))</x:f>
      </x:c>
      <x:c r="AB41" s="33" t="str">
        <x:f>IF(A41="","",IF(BA41&lt;&gt;"Ready","Needs data",IF(Scoring_Model!$B$15&lt;&gt;"Valid weights","Check weights",IF(AA41&gt;=Scoring_Model!$B$17,"P1",IF(AA41&gt;=Scoring_Model!$B$18,"P2","P3")))))</x:f>
      </x:c>
      <x:c r="AC41" s="33" t="str">
        <x:f>IF(A41="","",IF(AB41="Needs data","Complete scoring inputs and resolve duplicate ID",IF(AB41="Check weights","Check Scoring_Model weights",IF(AB41="P1","Local target: executive review, pilot and vendor plan in 90 days",IF(AB41="P2","Local target: roadmap and dependencies in 180 days","Recurring review; assess threats and exceptions")))))</x:f>
      </x:c>
      <x:c r="AD41" s="33" t="str"/>
      <x:c r="AE41" s="33" t="str"/>
      <x:c r="AF41" s="33" t="str"/>
      <x:c r="AG41" s="52"/>
      <x:c r="AH41" s="52"/>
      <x:c r="AI41" s="52"/>
      <x:c r="AJ41" s="52"/>
      <x:c r="AK41" s="52"/>
      <x:c r="AL41" s="52"/>
      <x:c r="AM41" s="52"/>
      <x:c r="AN41" s="53"/>
      <x:c r="AO41" s="52"/>
      <x:c r="AP41" s="52"/>
      <x:c r="AQ41" s="52"/>
      <x:c r="AR41" s="52"/>
      <x:c r="AS41" s="52"/>
      <x:c r="AT41" s="52"/>
      <x:c r="AU41" s="52"/>
      <x:c r="AV41" s="53"/>
      <x:c r="AW41" s="53"/>
      <x:c r="AX41" s="53"/>
      <x:c r="AY41" s="52"/>
      <x:c r="AZ41" s="52"/>
      <x:c r="BA41" s="54" t="str">
        <x:f>IF(A41="","",IF(COUNTIFS($A$2:$A$51,A41)&gt;1,"Duplicate asset ID",IF(OR(B41="",E41="",G41="",H41="",I41="",J41="",M41="",S41="",T41="",AH41=""),"Missing required scoring input","Ready")))</x:f>
      </x:c>
      <x:c r="BB41" s="54" t="str">
        <x:f>IF(A41="","",IF(AG41&lt;&gt;"Live","Example or record type missing",IF(AS41="Complete",IF(AND(BA41="Ready",AI41="Approved supported profile",AQ41&lt;&gt;"",AE41&lt;&gt;"",AR41&lt;&gt;"",AT41&lt;&gt;"",AU41&lt;&gt;"",ISNUMBER(AV41),AV41&gt;0,AV41&lt;=Start_Here!$B$4),"Complete with evidence","Missing approval, profile or test evidence"),IF(AS41="Accepted Risk",IF(AND(AT41&lt;&gt;"",AE41&lt;&gt;"",ISNUMBER(AX41),AX41&gt;=Start_Here!$B$4),"Accepted risk; migration open","Missing or expired risk acceptance"),IF(AS41="","Status required",AS41)))))</x:f>
      </x:c>
    </x:row>
    <x:row r="42" ht="30" customHeight="1">
      <x:c r="A42" s="33" t="str"/>
      <x:c r="B42" s="33" t="str"/>
      <x:c r="C42" s="33" t="str"/>
      <x:c r="D42" s="33" t="str"/>
      <x:c r="E42" s="33" t="str"/>
      <x:c r="F42" s="33" t="str"/>
      <x:c r="G42" s="33" t="str"/>
      <x:c r="H42" s="33" t="str"/>
      <x:c r="I42" s="33" t="str"/>
      <x:c r="J42" s="33" t="str"/>
      <x:c r="K42" s="33" t="str"/>
      <x:c r="L42" s="33" t="str"/>
      <x:c r="M42" s="33" t="str"/>
      <x:c r="N42" s="33" t="str"/>
      <x:c r="O42" s="33" t="str"/>
      <x:c r="P42" s="33" t="str"/>
      <x:c r="Q42" s="33" t="str"/>
      <x:c r="R42" s="33" t="str"/>
      <x:c r="S42" s="33" t="str"/>
      <x:c r="T42" s="33" t="str"/>
      <x:c r="U42" s="33" t="str">
        <x:f>IF(OR(A42="",G42="",H42=""),"",IF(G42="Yes",5,IF(H42="&gt;10 years",5,IF(H42="5-10 years",4,IF(H42="1-5 years",3,IF(H42="&lt;1 year",1,4))))))</x:f>
      </x:c>
      <x:c r="V42" s="33" t="str">
        <x:f>IF(OR(A42="",I42=""),"",IF(I42="Internet-facing",5,IF(I42="Partner-accessible",4,IF(I42="Internal",2,IF(I42="Isolated",1,4)))))</x:f>
      </x:c>
      <x:c r="W42" s="33" t="str">
        <x:f>IF(OR(A42="",J42=""),"",IF(J42="Critical",5,IF(J42="High",4,IF(J42="Medium",3,IF(J42="Low",2,4)))))</x:f>
      </x:c>
      <x:c r="X42" s="33" t="str">
        <x:f>IF(OR(A42="",AH42=""),"",IF(AH42="Classical public-key",5,IF(AH42="Standardized PQC",1,IF(AH42="Symmetric/hash",2,IF(AH42="Hybrid",3,4)))))</x:f>
      </x:c>
      <x:c r="Y42" s="33" t="str">
        <x:f>IF(OR(A42="",S42=""),"",IF(S42="Supported",1,IF(S42="Roadmap",3,IF(S42="No",5,IF(S42="N/A",2,4)))))</x:f>
      </x:c>
      <x:c r="Z42" s="33" t="str">
        <x:f>IF(OR(A42="",T42=""),"",IF(T42="Configurable",1,IF(T42="Library upgrade",2,IF(T42="Requires refactor",4,IF(T42="Embedded/firmware",5,4)))))</x:f>
      </x:c>
      <x:c r="AA42" s="33" t="str">
        <x:f>IF(A42="","",IF(BA42&lt;&gt;"Ready","",IF(Scoring_Model!$B$15&lt;&gt;"Valid weights","",ROUND((U42*Scoring_Model!$B$8+V42*Scoring_Model!$B$9+W42*Scoring_Model!$B$10+X42*Scoring_Model!$B$11+Y42*Scoring_Model!$B$12+Z42*Scoring_Model!$B$13)*20,0))))</x:f>
      </x:c>
      <x:c r="AB42" s="33" t="str">
        <x:f>IF(A42="","",IF(BA42&lt;&gt;"Ready","Needs data",IF(Scoring_Model!$B$15&lt;&gt;"Valid weights","Check weights",IF(AA42&gt;=Scoring_Model!$B$17,"P1",IF(AA42&gt;=Scoring_Model!$B$18,"P2","P3")))))</x:f>
      </x:c>
      <x:c r="AC42" s="33" t="str">
        <x:f>IF(A42="","",IF(AB42="Needs data","Complete scoring inputs and resolve duplicate ID",IF(AB42="Check weights","Check Scoring_Model weights",IF(AB42="P1","Local target: executive review, pilot and vendor plan in 90 days",IF(AB42="P2","Local target: roadmap and dependencies in 180 days","Recurring review; assess threats and exceptions")))))</x:f>
      </x:c>
      <x:c r="AD42" s="33" t="str"/>
      <x:c r="AE42" s="33" t="str"/>
      <x:c r="AF42" s="33" t="str"/>
      <x:c r="AG42" s="52"/>
      <x:c r="AH42" s="52"/>
      <x:c r="AI42" s="52"/>
      <x:c r="AJ42" s="52"/>
      <x:c r="AK42" s="52"/>
      <x:c r="AL42" s="52"/>
      <x:c r="AM42" s="52"/>
      <x:c r="AN42" s="53"/>
      <x:c r="AO42" s="52"/>
      <x:c r="AP42" s="52"/>
      <x:c r="AQ42" s="52"/>
      <x:c r="AR42" s="52"/>
      <x:c r="AS42" s="52"/>
      <x:c r="AT42" s="52"/>
      <x:c r="AU42" s="52"/>
      <x:c r="AV42" s="53"/>
      <x:c r="AW42" s="53"/>
      <x:c r="AX42" s="53"/>
      <x:c r="AY42" s="52"/>
      <x:c r="AZ42" s="52"/>
      <x:c r="BA42" s="54" t="str">
        <x:f>IF(A42="","",IF(COUNTIFS($A$2:$A$51,A42)&gt;1,"Duplicate asset ID",IF(OR(B42="",E42="",G42="",H42="",I42="",J42="",M42="",S42="",T42="",AH42=""),"Missing required scoring input","Ready")))</x:f>
      </x:c>
      <x:c r="BB42" s="54" t="str">
        <x:f>IF(A42="","",IF(AG42&lt;&gt;"Live","Example or record type missing",IF(AS42="Complete",IF(AND(BA42="Ready",AI42="Approved supported profile",AQ42&lt;&gt;"",AE42&lt;&gt;"",AR42&lt;&gt;"",AT42&lt;&gt;"",AU42&lt;&gt;"",ISNUMBER(AV42),AV42&gt;0,AV42&lt;=Start_Here!$B$4),"Complete with evidence","Missing approval, profile or test evidence"),IF(AS42="Accepted Risk",IF(AND(AT42&lt;&gt;"",AE42&lt;&gt;"",ISNUMBER(AX42),AX42&gt;=Start_Here!$B$4),"Accepted risk; migration open","Missing or expired risk acceptance"),IF(AS42="","Status required",AS42)))))</x:f>
      </x:c>
    </x:row>
    <x:row r="43" ht="30" customHeight="1">
      <x:c r="A43" s="33" t="str"/>
      <x:c r="B43" s="33" t="str"/>
      <x:c r="C43" s="33" t="str"/>
      <x:c r="D43" s="33" t="str"/>
      <x:c r="E43" s="33" t="str"/>
      <x:c r="F43" s="33" t="str"/>
      <x:c r="G43" s="33" t="str"/>
      <x:c r="H43" s="33" t="str"/>
      <x:c r="I43" s="33" t="str"/>
      <x:c r="J43" s="33" t="str"/>
      <x:c r="K43" s="33" t="str"/>
      <x:c r="L43" s="33" t="str"/>
      <x:c r="M43" s="33" t="str"/>
      <x:c r="N43" s="33" t="str"/>
      <x:c r="O43" s="33" t="str"/>
      <x:c r="P43" s="33" t="str"/>
      <x:c r="Q43" s="33" t="str"/>
      <x:c r="R43" s="33" t="str"/>
      <x:c r="S43" s="33" t="str"/>
      <x:c r="T43" s="33" t="str"/>
      <x:c r="U43" s="33" t="str">
        <x:f>IF(OR(A43="",G43="",H43=""),"",IF(G43="Yes",5,IF(H43="&gt;10 years",5,IF(H43="5-10 years",4,IF(H43="1-5 years",3,IF(H43="&lt;1 year",1,4))))))</x:f>
      </x:c>
      <x:c r="V43" s="33" t="str">
        <x:f>IF(OR(A43="",I43=""),"",IF(I43="Internet-facing",5,IF(I43="Partner-accessible",4,IF(I43="Internal",2,IF(I43="Isolated",1,4)))))</x:f>
      </x:c>
      <x:c r="W43" s="33" t="str">
        <x:f>IF(OR(A43="",J43=""),"",IF(J43="Critical",5,IF(J43="High",4,IF(J43="Medium",3,IF(J43="Low",2,4)))))</x:f>
      </x:c>
      <x:c r="X43" s="33" t="str">
        <x:f>IF(OR(A43="",AH43=""),"",IF(AH43="Classical public-key",5,IF(AH43="Standardized PQC",1,IF(AH43="Symmetric/hash",2,IF(AH43="Hybrid",3,4)))))</x:f>
      </x:c>
      <x:c r="Y43" s="33" t="str">
        <x:f>IF(OR(A43="",S43=""),"",IF(S43="Supported",1,IF(S43="Roadmap",3,IF(S43="No",5,IF(S43="N/A",2,4)))))</x:f>
      </x:c>
      <x:c r="Z43" s="33" t="str">
        <x:f>IF(OR(A43="",T43=""),"",IF(T43="Configurable",1,IF(T43="Library upgrade",2,IF(T43="Requires refactor",4,IF(T43="Embedded/firmware",5,4)))))</x:f>
      </x:c>
      <x:c r="AA43" s="33" t="str">
        <x:f>IF(A43="","",IF(BA43&lt;&gt;"Ready","",IF(Scoring_Model!$B$15&lt;&gt;"Valid weights","",ROUND((U43*Scoring_Model!$B$8+V43*Scoring_Model!$B$9+W43*Scoring_Model!$B$10+X43*Scoring_Model!$B$11+Y43*Scoring_Model!$B$12+Z43*Scoring_Model!$B$13)*20,0))))</x:f>
      </x:c>
      <x:c r="AB43" s="33" t="str">
        <x:f>IF(A43="","",IF(BA43&lt;&gt;"Ready","Needs data",IF(Scoring_Model!$B$15&lt;&gt;"Valid weights","Check weights",IF(AA43&gt;=Scoring_Model!$B$17,"P1",IF(AA43&gt;=Scoring_Model!$B$18,"P2","P3")))))</x:f>
      </x:c>
      <x:c r="AC43" s="33" t="str">
        <x:f>IF(A43="","",IF(AB43="Needs data","Complete scoring inputs and resolve duplicate ID",IF(AB43="Check weights","Check Scoring_Model weights",IF(AB43="P1","Local target: executive review, pilot and vendor plan in 90 days",IF(AB43="P2","Local target: roadmap and dependencies in 180 days","Recurring review; assess threats and exceptions")))))</x:f>
      </x:c>
      <x:c r="AD43" s="33" t="str"/>
      <x:c r="AE43" s="33" t="str"/>
      <x:c r="AF43" s="33" t="str"/>
      <x:c r="AG43" s="52"/>
      <x:c r="AH43" s="52"/>
      <x:c r="AI43" s="52"/>
      <x:c r="AJ43" s="52"/>
      <x:c r="AK43" s="52"/>
      <x:c r="AL43" s="52"/>
      <x:c r="AM43" s="52"/>
      <x:c r="AN43" s="53"/>
      <x:c r="AO43" s="52"/>
      <x:c r="AP43" s="52"/>
      <x:c r="AQ43" s="52"/>
      <x:c r="AR43" s="52"/>
      <x:c r="AS43" s="52"/>
      <x:c r="AT43" s="52"/>
      <x:c r="AU43" s="52"/>
      <x:c r="AV43" s="53"/>
      <x:c r="AW43" s="53"/>
      <x:c r="AX43" s="53"/>
      <x:c r="AY43" s="52"/>
      <x:c r="AZ43" s="52"/>
      <x:c r="BA43" s="54" t="str">
        <x:f>IF(A43="","",IF(COUNTIFS($A$2:$A$51,A43)&gt;1,"Duplicate asset ID",IF(OR(B43="",E43="",G43="",H43="",I43="",J43="",M43="",S43="",T43="",AH43=""),"Missing required scoring input","Ready")))</x:f>
      </x:c>
      <x:c r="BB43" s="54" t="str">
        <x:f>IF(A43="","",IF(AG43&lt;&gt;"Live","Example or record type missing",IF(AS43="Complete",IF(AND(BA43="Ready",AI43="Approved supported profile",AQ43&lt;&gt;"",AE43&lt;&gt;"",AR43&lt;&gt;"",AT43&lt;&gt;"",AU43&lt;&gt;"",ISNUMBER(AV43),AV43&gt;0,AV43&lt;=Start_Here!$B$4),"Complete with evidence","Missing approval, profile or test evidence"),IF(AS43="Accepted Risk",IF(AND(AT43&lt;&gt;"",AE43&lt;&gt;"",ISNUMBER(AX43),AX43&gt;=Start_Here!$B$4),"Accepted risk; migration open","Missing or expired risk acceptance"),IF(AS43="","Status required",AS43)))))</x:f>
      </x:c>
    </x:row>
    <x:row r="44" ht="30" customHeight="1">
      <x:c r="A44" s="33" t="str"/>
      <x:c r="B44" s="33" t="str"/>
      <x:c r="C44" s="33" t="str"/>
      <x:c r="D44" s="33" t="str"/>
      <x:c r="E44" s="33" t="str"/>
      <x:c r="F44" s="33" t="str"/>
      <x:c r="G44" s="33" t="str"/>
      <x:c r="H44" s="33" t="str"/>
      <x:c r="I44" s="33" t="str"/>
      <x:c r="J44" s="33" t="str"/>
      <x:c r="K44" s="33" t="str"/>
      <x:c r="L44" s="33" t="str"/>
      <x:c r="M44" s="33" t="str"/>
      <x:c r="N44" s="33" t="str"/>
      <x:c r="O44" s="33" t="str"/>
      <x:c r="P44" s="33" t="str"/>
      <x:c r="Q44" s="33" t="str"/>
      <x:c r="R44" s="33" t="str"/>
      <x:c r="S44" s="33" t="str"/>
      <x:c r="T44" s="33" t="str"/>
      <x:c r="U44" s="33" t="str">
        <x:f>IF(OR(A44="",G44="",H44=""),"",IF(G44="Yes",5,IF(H44="&gt;10 years",5,IF(H44="5-10 years",4,IF(H44="1-5 years",3,IF(H44="&lt;1 year",1,4))))))</x:f>
      </x:c>
      <x:c r="V44" s="33" t="str">
        <x:f>IF(OR(A44="",I44=""),"",IF(I44="Internet-facing",5,IF(I44="Partner-accessible",4,IF(I44="Internal",2,IF(I44="Isolated",1,4)))))</x:f>
      </x:c>
      <x:c r="W44" s="33" t="str">
        <x:f>IF(OR(A44="",J44=""),"",IF(J44="Critical",5,IF(J44="High",4,IF(J44="Medium",3,IF(J44="Low",2,4)))))</x:f>
      </x:c>
      <x:c r="X44" s="33" t="str">
        <x:f>IF(OR(A44="",AH44=""),"",IF(AH44="Classical public-key",5,IF(AH44="Standardized PQC",1,IF(AH44="Symmetric/hash",2,IF(AH44="Hybrid",3,4)))))</x:f>
      </x:c>
      <x:c r="Y44" s="33" t="str">
        <x:f>IF(OR(A44="",S44=""),"",IF(S44="Supported",1,IF(S44="Roadmap",3,IF(S44="No",5,IF(S44="N/A",2,4)))))</x:f>
      </x:c>
      <x:c r="Z44" s="33" t="str">
        <x:f>IF(OR(A44="",T44=""),"",IF(T44="Configurable",1,IF(T44="Library upgrade",2,IF(T44="Requires refactor",4,IF(T44="Embedded/firmware",5,4)))))</x:f>
      </x:c>
      <x:c r="AA44" s="33" t="str">
        <x:f>IF(A44="","",IF(BA44&lt;&gt;"Ready","",IF(Scoring_Model!$B$15&lt;&gt;"Valid weights","",ROUND((U44*Scoring_Model!$B$8+V44*Scoring_Model!$B$9+W44*Scoring_Model!$B$10+X44*Scoring_Model!$B$11+Y44*Scoring_Model!$B$12+Z44*Scoring_Model!$B$13)*20,0))))</x:f>
      </x:c>
      <x:c r="AB44" s="33" t="str">
        <x:f>IF(A44="","",IF(BA44&lt;&gt;"Ready","Needs data",IF(Scoring_Model!$B$15&lt;&gt;"Valid weights","Check weights",IF(AA44&gt;=Scoring_Model!$B$17,"P1",IF(AA44&gt;=Scoring_Model!$B$18,"P2","P3")))))</x:f>
      </x:c>
      <x:c r="AC44" s="33" t="str">
        <x:f>IF(A44="","",IF(AB44="Needs data","Complete scoring inputs and resolve duplicate ID",IF(AB44="Check weights","Check Scoring_Model weights",IF(AB44="P1","Local target: executive review, pilot and vendor plan in 90 days",IF(AB44="P2","Local target: roadmap and dependencies in 180 days","Recurring review; assess threats and exceptions")))))</x:f>
      </x:c>
      <x:c r="AD44" s="33" t="str"/>
      <x:c r="AE44" s="33" t="str"/>
      <x:c r="AF44" s="33" t="str"/>
      <x:c r="AG44" s="52"/>
      <x:c r="AH44" s="52"/>
      <x:c r="AI44" s="52"/>
      <x:c r="AJ44" s="52"/>
      <x:c r="AK44" s="52"/>
      <x:c r="AL44" s="52"/>
      <x:c r="AM44" s="52"/>
      <x:c r="AN44" s="53"/>
      <x:c r="AO44" s="52"/>
      <x:c r="AP44" s="52"/>
      <x:c r="AQ44" s="52"/>
      <x:c r="AR44" s="52"/>
      <x:c r="AS44" s="52"/>
      <x:c r="AT44" s="52"/>
      <x:c r="AU44" s="52"/>
      <x:c r="AV44" s="53"/>
      <x:c r="AW44" s="53"/>
      <x:c r="AX44" s="53"/>
      <x:c r="AY44" s="52"/>
      <x:c r="AZ44" s="52"/>
      <x:c r="BA44" s="54" t="str">
        <x:f>IF(A44="","",IF(COUNTIFS($A$2:$A$51,A44)&gt;1,"Duplicate asset ID",IF(OR(B44="",E44="",G44="",H44="",I44="",J44="",M44="",S44="",T44="",AH44=""),"Missing required scoring input","Ready")))</x:f>
      </x:c>
      <x:c r="BB44" s="54" t="str">
        <x:f>IF(A44="","",IF(AG44&lt;&gt;"Live","Example or record type missing",IF(AS44="Complete",IF(AND(BA44="Ready",AI44="Approved supported profile",AQ44&lt;&gt;"",AE44&lt;&gt;"",AR44&lt;&gt;"",AT44&lt;&gt;"",AU44&lt;&gt;"",ISNUMBER(AV44),AV44&gt;0,AV44&lt;=Start_Here!$B$4),"Complete with evidence","Missing approval, profile or test evidence"),IF(AS44="Accepted Risk",IF(AND(AT44&lt;&gt;"",AE44&lt;&gt;"",ISNUMBER(AX44),AX44&gt;=Start_Here!$B$4),"Accepted risk; migration open","Missing or expired risk acceptance"),IF(AS44="","Status required",AS44)))))</x:f>
      </x:c>
    </x:row>
    <x:row r="45" ht="30" customHeight="1">
      <x:c r="A45" s="33" t="str"/>
      <x:c r="B45" s="33" t="str"/>
      <x:c r="C45" s="33" t="str"/>
      <x:c r="D45" s="33" t="str"/>
      <x:c r="E45" s="33" t="str"/>
      <x:c r="F45" s="33" t="str"/>
      <x:c r="G45" s="33" t="str"/>
      <x:c r="H45" s="33" t="str"/>
      <x:c r="I45" s="33" t="str"/>
      <x:c r="J45" s="33" t="str"/>
      <x:c r="K45" s="33" t="str"/>
      <x:c r="L45" s="33" t="str"/>
      <x:c r="M45" s="33" t="str"/>
      <x:c r="N45" s="33" t="str"/>
      <x:c r="O45" s="33" t="str"/>
      <x:c r="P45" s="33" t="str"/>
      <x:c r="Q45" s="33" t="str"/>
      <x:c r="R45" s="33" t="str"/>
      <x:c r="S45" s="33" t="str"/>
      <x:c r="T45" s="33" t="str"/>
      <x:c r="U45" s="33" t="str">
        <x:f>IF(OR(A45="",G45="",H45=""),"",IF(G45="Yes",5,IF(H45="&gt;10 years",5,IF(H45="5-10 years",4,IF(H45="1-5 years",3,IF(H45="&lt;1 year",1,4))))))</x:f>
      </x:c>
      <x:c r="V45" s="33" t="str">
        <x:f>IF(OR(A45="",I45=""),"",IF(I45="Internet-facing",5,IF(I45="Partner-accessible",4,IF(I45="Internal",2,IF(I45="Isolated",1,4)))))</x:f>
      </x:c>
      <x:c r="W45" s="33" t="str">
        <x:f>IF(OR(A45="",J45=""),"",IF(J45="Critical",5,IF(J45="High",4,IF(J45="Medium",3,IF(J45="Low",2,4)))))</x:f>
      </x:c>
      <x:c r="X45" s="33" t="str">
        <x:f>IF(OR(A45="",AH45=""),"",IF(AH45="Classical public-key",5,IF(AH45="Standardized PQC",1,IF(AH45="Symmetric/hash",2,IF(AH45="Hybrid",3,4)))))</x:f>
      </x:c>
      <x:c r="Y45" s="33" t="str">
        <x:f>IF(OR(A45="",S45=""),"",IF(S45="Supported",1,IF(S45="Roadmap",3,IF(S45="No",5,IF(S45="N/A",2,4)))))</x:f>
      </x:c>
      <x:c r="Z45" s="33" t="str">
        <x:f>IF(OR(A45="",T45=""),"",IF(T45="Configurable",1,IF(T45="Library upgrade",2,IF(T45="Requires refactor",4,IF(T45="Embedded/firmware",5,4)))))</x:f>
      </x:c>
      <x:c r="AA45" s="33" t="str">
        <x:f>IF(A45="","",IF(BA45&lt;&gt;"Ready","",IF(Scoring_Model!$B$15&lt;&gt;"Valid weights","",ROUND((U45*Scoring_Model!$B$8+V45*Scoring_Model!$B$9+W45*Scoring_Model!$B$10+X45*Scoring_Model!$B$11+Y45*Scoring_Model!$B$12+Z45*Scoring_Model!$B$13)*20,0))))</x:f>
      </x:c>
      <x:c r="AB45" s="33" t="str">
        <x:f>IF(A45="","",IF(BA45&lt;&gt;"Ready","Needs data",IF(Scoring_Model!$B$15&lt;&gt;"Valid weights","Check weights",IF(AA45&gt;=Scoring_Model!$B$17,"P1",IF(AA45&gt;=Scoring_Model!$B$18,"P2","P3")))))</x:f>
      </x:c>
      <x:c r="AC45" s="33" t="str">
        <x:f>IF(A45="","",IF(AB45="Needs data","Complete scoring inputs and resolve duplicate ID",IF(AB45="Check weights","Check Scoring_Model weights",IF(AB45="P1","Local target: executive review, pilot and vendor plan in 90 days",IF(AB45="P2","Local target: roadmap and dependencies in 180 days","Recurring review; assess threats and exceptions")))))</x:f>
      </x:c>
      <x:c r="AD45" s="33" t="str"/>
      <x:c r="AE45" s="33" t="str"/>
      <x:c r="AF45" s="33" t="str"/>
      <x:c r="AG45" s="52"/>
      <x:c r="AH45" s="52"/>
      <x:c r="AI45" s="52"/>
      <x:c r="AJ45" s="52"/>
      <x:c r="AK45" s="52"/>
      <x:c r="AL45" s="52"/>
      <x:c r="AM45" s="52"/>
      <x:c r="AN45" s="53"/>
      <x:c r="AO45" s="52"/>
      <x:c r="AP45" s="52"/>
      <x:c r="AQ45" s="52"/>
      <x:c r="AR45" s="52"/>
      <x:c r="AS45" s="52"/>
      <x:c r="AT45" s="52"/>
      <x:c r="AU45" s="52"/>
      <x:c r="AV45" s="53"/>
      <x:c r="AW45" s="53"/>
      <x:c r="AX45" s="53"/>
      <x:c r="AY45" s="52"/>
      <x:c r="AZ45" s="52"/>
      <x:c r="BA45" s="54" t="str">
        <x:f>IF(A45="","",IF(COUNTIFS($A$2:$A$51,A45)&gt;1,"Duplicate asset ID",IF(OR(B45="",E45="",G45="",H45="",I45="",J45="",M45="",S45="",T45="",AH45=""),"Missing required scoring input","Ready")))</x:f>
      </x:c>
      <x:c r="BB45" s="54" t="str">
        <x:f>IF(A45="","",IF(AG45&lt;&gt;"Live","Example or record type missing",IF(AS45="Complete",IF(AND(BA45="Ready",AI45="Approved supported profile",AQ45&lt;&gt;"",AE45&lt;&gt;"",AR45&lt;&gt;"",AT45&lt;&gt;"",AU45&lt;&gt;"",ISNUMBER(AV45),AV45&gt;0,AV45&lt;=Start_Here!$B$4),"Complete with evidence","Missing approval, profile or test evidence"),IF(AS45="Accepted Risk",IF(AND(AT45&lt;&gt;"",AE45&lt;&gt;"",ISNUMBER(AX45),AX45&gt;=Start_Here!$B$4),"Accepted risk; migration open","Missing or expired risk acceptance"),IF(AS45="","Status required",AS45)))))</x:f>
      </x:c>
    </x:row>
    <x:row r="46" ht="30" customHeight="1">
      <x:c r="A46" s="33" t="str"/>
      <x:c r="B46" s="33" t="str"/>
      <x:c r="C46" s="33" t="str"/>
      <x:c r="D46" s="33" t="str"/>
      <x:c r="E46" s="33" t="str"/>
      <x:c r="F46" s="33" t="str"/>
      <x:c r="G46" s="33" t="str"/>
      <x:c r="H46" s="33" t="str"/>
      <x:c r="I46" s="33" t="str"/>
      <x:c r="J46" s="33" t="str"/>
      <x:c r="K46" s="33" t="str"/>
      <x:c r="L46" s="33" t="str"/>
      <x:c r="M46" s="33" t="str"/>
      <x:c r="N46" s="33" t="str"/>
      <x:c r="O46" s="33" t="str"/>
      <x:c r="P46" s="33" t="str"/>
      <x:c r="Q46" s="33" t="str"/>
      <x:c r="R46" s="33" t="str"/>
      <x:c r="S46" s="33" t="str"/>
      <x:c r="T46" s="33" t="str"/>
      <x:c r="U46" s="33" t="str">
        <x:f>IF(OR(A46="",G46="",H46=""),"",IF(G46="Yes",5,IF(H46="&gt;10 years",5,IF(H46="5-10 years",4,IF(H46="1-5 years",3,IF(H46="&lt;1 year",1,4))))))</x:f>
      </x:c>
      <x:c r="V46" s="33" t="str">
        <x:f>IF(OR(A46="",I46=""),"",IF(I46="Internet-facing",5,IF(I46="Partner-accessible",4,IF(I46="Internal",2,IF(I46="Isolated",1,4)))))</x:f>
      </x:c>
      <x:c r="W46" s="33" t="str">
        <x:f>IF(OR(A46="",J46=""),"",IF(J46="Critical",5,IF(J46="High",4,IF(J46="Medium",3,IF(J46="Low",2,4)))))</x:f>
      </x:c>
      <x:c r="X46" s="33" t="str">
        <x:f>IF(OR(A46="",AH46=""),"",IF(AH46="Classical public-key",5,IF(AH46="Standardized PQC",1,IF(AH46="Symmetric/hash",2,IF(AH46="Hybrid",3,4)))))</x:f>
      </x:c>
      <x:c r="Y46" s="33" t="str">
        <x:f>IF(OR(A46="",S46=""),"",IF(S46="Supported",1,IF(S46="Roadmap",3,IF(S46="No",5,IF(S46="N/A",2,4)))))</x:f>
      </x:c>
      <x:c r="Z46" s="33" t="str">
        <x:f>IF(OR(A46="",T46=""),"",IF(T46="Configurable",1,IF(T46="Library upgrade",2,IF(T46="Requires refactor",4,IF(T46="Embedded/firmware",5,4)))))</x:f>
      </x:c>
      <x:c r="AA46" s="33" t="str">
        <x:f>IF(A46="","",IF(BA46&lt;&gt;"Ready","",IF(Scoring_Model!$B$15&lt;&gt;"Valid weights","",ROUND((U46*Scoring_Model!$B$8+V46*Scoring_Model!$B$9+W46*Scoring_Model!$B$10+X46*Scoring_Model!$B$11+Y46*Scoring_Model!$B$12+Z46*Scoring_Model!$B$13)*20,0))))</x:f>
      </x:c>
      <x:c r="AB46" s="33" t="str">
        <x:f>IF(A46="","",IF(BA46&lt;&gt;"Ready","Needs data",IF(Scoring_Model!$B$15&lt;&gt;"Valid weights","Check weights",IF(AA46&gt;=Scoring_Model!$B$17,"P1",IF(AA46&gt;=Scoring_Model!$B$18,"P2","P3")))))</x:f>
      </x:c>
      <x:c r="AC46" s="33" t="str">
        <x:f>IF(A46="","",IF(AB46="Needs data","Complete scoring inputs and resolve duplicate ID",IF(AB46="Check weights","Check Scoring_Model weights",IF(AB46="P1","Local target: executive review, pilot and vendor plan in 90 days",IF(AB46="P2","Local target: roadmap and dependencies in 180 days","Recurring review; assess threats and exceptions")))))</x:f>
      </x:c>
      <x:c r="AD46" s="33" t="str"/>
      <x:c r="AE46" s="33" t="str"/>
      <x:c r="AF46" s="33" t="str"/>
      <x:c r="AG46" s="52"/>
      <x:c r="AH46" s="52"/>
      <x:c r="AI46" s="52"/>
      <x:c r="AJ46" s="52"/>
      <x:c r="AK46" s="52"/>
      <x:c r="AL46" s="52"/>
      <x:c r="AM46" s="52"/>
      <x:c r="AN46" s="53"/>
      <x:c r="AO46" s="52"/>
      <x:c r="AP46" s="52"/>
      <x:c r="AQ46" s="52"/>
      <x:c r="AR46" s="52"/>
      <x:c r="AS46" s="52"/>
      <x:c r="AT46" s="52"/>
      <x:c r="AU46" s="52"/>
      <x:c r="AV46" s="53"/>
      <x:c r="AW46" s="53"/>
      <x:c r="AX46" s="53"/>
      <x:c r="AY46" s="52"/>
      <x:c r="AZ46" s="52"/>
      <x:c r="BA46" s="54" t="str">
        <x:f>IF(A46="","",IF(COUNTIFS($A$2:$A$51,A46)&gt;1,"Duplicate asset ID",IF(OR(B46="",E46="",G46="",H46="",I46="",J46="",M46="",S46="",T46="",AH46=""),"Missing required scoring input","Ready")))</x:f>
      </x:c>
      <x:c r="BB46" s="54" t="str">
        <x:f>IF(A46="","",IF(AG46&lt;&gt;"Live","Example or record type missing",IF(AS46="Complete",IF(AND(BA46="Ready",AI46="Approved supported profile",AQ46&lt;&gt;"",AE46&lt;&gt;"",AR46&lt;&gt;"",AT46&lt;&gt;"",AU46&lt;&gt;"",ISNUMBER(AV46),AV46&gt;0,AV46&lt;=Start_Here!$B$4),"Complete with evidence","Missing approval, profile or test evidence"),IF(AS46="Accepted Risk",IF(AND(AT46&lt;&gt;"",AE46&lt;&gt;"",ISNUMBER(AX46),AX46&gt;=Start_Here!$B$4),"Accepted risk; migration open","Missing or expired risk acceptance"),IF(AS46="","Status required",AS46)))))</x:f>
      </x:c>
    </x:row>
    <x:row r="47" ht="30" customHeight="1">
      <x:c r="A47" s="33" t="str"/>
      <x:c r="B47" s="33" t="str"/>
      <x:c r="C47" s="33" t="str"/>
      <x:c r="D47" s="33" t="str"/>
      <x:c r="E47" s="33" t="str"/>
      <x:c r="F47" s="33" t="str"/>
      <x:c r="G47" s="33" t="str"/>
      <x:c r="H47" s="33" t="str"/>
      <x:c r="I47" s="33" t="str"/>
      <x:c r="J47" s="33" t="str"/>
      <x:c r="K47" s="33" t="str"/>
      <x:c r="L47" s="33" t="str"/>
      <x:c r="M47" s="33" t="str"/>
      <x:c r="N47" s="33" t="str"/>
      <x:c r="O47" s="33" t="str"/>
      <x:c r="P47" s="33" t="str"/>
      <x:c r="Q47" s="33" t="str"/>
      <x:c r="R47" s="33" t="str"/>
      <x:c r="S47" s="33" t="str"/>
      <x:c r="T47" s="33" t="str"/>
      <x:c r="U47" s="33" t="str">
        <x:f>IF(OR(A47="",G47="",H47=""),"",IF(G47="Yes",5,IF(H47="&gt;10 years",5,IF(H47="5-10 years",4,IF(H47="1-5 years",3,IF(H47="&lt;1 year",1,4))))))</x:f>
      </x:c>
      <x:c r="V47" s="33" t="str">
        <x:f>IF(OR(A47="",I47=""),"",IF(I47="Internet-facing",5,IF(I47="Partner-accessible",4,IF(I47="Internal",2,IF(I47="Isolated",1,4)))))</x:f>
      </x:c>
      <x:c r="W47" s="33" t="str">
        <x:f>IF(OR(A47="",J47=""),"",IF(J47="Critical",5,IF(J47="High",4,IF(J47="Medium",3,IF(J47="Low",2,4)))))</x:f>
      </x:c>
      <x:c r="X47" s="33" t="str">
        <x:f>IF(OR(A47="",AH47=""),"",IF(AH47="Classical public-key",5,IF(AH47="Standardized PQC",1,IF(AH47="Symmetric/hash",2,IF(AH47="Hybrid",3,4)))))</x:f>
      </x:c>
      <x:c r="Y47" s="33" t="str">
        <x:f>IF(OR(A47="",S47=""),"",IF(S47="Supported",1,IF(S47="Roadmap",3,IF(S47="No",5,IF(S47="N/A",2,4)))))</x:f>
      </x:c>
      <x:c r="Z47" s="33" t="str">
        <x:f>IF(OR(A47="",T47=""),"",IF(T47="Configurable",1,IF(T47="Library upgrade",2,IF(T47="Requires refactor",4,IF(T47="Embedded/firmware",5,4)))))</x:f>
      </x:c>
      <x:c r="AA47" s="33" t="str">
        <x:f>IF(A47="","",IF(BA47&lt;&gt;"Ready","",IF(Scoring_Model!$B$15&lt;&gt;"Valid weights","",ROUND((U47*Scoring_Model!$B$8+V47*Scoring_Model!$B$9+W47*Scoring_Model!$B$10+X47*Scoring_Model!$B$11+Y47*Scoring_Model!$B$12+Z47*Scoring_Model!$B$13)*20,0))))</x:f>
      </x:c>
      <x:c r="AB47" s="33" t="str">
        <x:f>IF(A47="","",IF(BA47&lt;&gt;"Ready","Needs data",IF(Scoring_Model!$B$15&lt;&gt;"Valid weights","Check weights",IF(AA47&gt;=Scoring_Model!$B$17,"P1",IF(AA47&gt;=Scoring_Model!$B$18,"P2","P3")))))</x:f>
      </x:c>
      <x:c r="AC47" s="33" t="str">
        <x:f>IF(A47="","",IF(AB47="Needs data","Complete scoring inputs and resolve duplicate ID",IF(AB47="Check weights","Check Scoring_Model weights",IF(AB47="P1","Local target: executive review, pilot and vendor plan in 90 days",IF(AB47="P2","Local target: roadmap and dependencies in 180 days","Recurring review; assess threats and exceptions")))))</x:f>
      </x:c>
      <x:c r="AD47" s="33" t="str"/>
      <x:c r="AE47" s="33" t="str"/>
      <x:c r="AF47" s="33" t="str"/>
      <x:c r="AG47" s="52"/>
      <x:c r="AH47" s="52"/>
      <x:c r="AI47" s="52"/>
      <x:c r="AJ47" s="52"/>
      <x:c r="AK47" s="52"/>
      <x:c r="AL47" s="52"/>
      <x:c r="AM47" s="52"/>
      <x:c r="AN47" s="53"/>
      <x:c r="AO47" s="52"/>
      <x:c r="AP47" s="52"/>
      <x:c r="AQ47" s="52"/>
      <x:c r="AR47" s="52"/>
      <x:c r="AS47" s="52"/>
      <x:c r="AT47" s="52"/>
      <x:c r="AU47" s="52"/>
      <x:c r="AV47" s="53"/>
      <x:c r="AW47" s="53"/>
      <x:c r="AX47" s="53"/>
      <x:c r="AY47" s="52"/>
      <x:c r="AZ47" s="52"/>
      <x:c r="BA47" s="54" t="str">
        <x:f>IF(A47="","",IF(COUNTIFS($A$2:$A$51,A47)&gt;1,"Duplicate asset ID",IF(OR(B47="",E47="",G47="",H47="",I47="",J47="",M47="",S47="",T47="",AH47=""),"Missing required scoring input","Ready")))</x:f>
      </x:c>
      <x:c r="BB47" s="54" t="str">
        <x:f>IF(A47="","",IF(AG47&lt;&gt;"Live","Example or record type missing",IF(AS47="Complete",IF(AND(BA47="Ready",AI47="Approved supported profile",AQ47&lt;&gt;"",AE47&lt;&gt;"",AR47&lt;&gt;"",AT47&lt;&gt;"",AU47&lt;&gt;"",ISNUMBER(AV47),AV47&gt;0,AV47&lt;=Start_Here!$B$4),"Complete with evidence","Missing approval, profile or test evidence"),IF(AS47="Accepted Risk",IF(AND(AT47&lt;&gt;"",AE47&lt;&gt;"",ISNUMBER(AX47),AX47&gt;=Start_Here!$B$4),"Accepted risk; migration open","Missing or expired risk acceptance"),IF(AS47="","Status required",AS47)))))</x:f>
      </x:c>
    </x:row>
    <x:row r="48" ht="30" customHeight="1">
      <x:c r="A48" s="33" t="str"/>
      <x:c r="B48" s="33" t="str"/>
      <x:c r="C48" s="33" t="str"/>
      <x:c r="D48" s="33" t="str"/>
      <x:c r="E48" s="33" t="str"/>
      <x:c r="F48" s="33" t="str"/>
      <x:c r="G48" s="33" t="str"/>
      <x:c r="H48" s="33" t="str"/>
      <x:c r="I48" s="33" t="str"/>
      <x:c r="J48" s="33" t="str"/>
      <x:c r="K48" s="33" t="str"/>
      <x:c r="L48" s="33" t="str"/>
      <x:c r="M48" s="33" t="str"/>
      <x:c r="N48" s="33" t="str"/>
      <x:c r="O48" s="33" t="str"/>
      <x:c r="P48" s="33" t="str"/>
      <x:c r="Q48" s="33" t="str"/>
      <x:c r="R48" s="33" t="str"/>
      <x:c r="S48" s="33" t="str"/>
      <x:c r="T48" s="33" t="str"/>
      <x:c r="U48" s="33" t="str">
        <x:f>IF(OR(A48="",G48="",H48=""),"",IF(G48="Yes",5,IF(H48="&gt;10 years",5,IF(H48="5-10 years",4,IF(H48="1-5 years",3,IF(H48="&lt;1 year",1,4))))))</x:f>
      </x:c>
      <x:c r="V48" s="33" t="str">
        <x:f>IF(OR(A48="",I48=""),"",IF(I48="Internet-facing",5,IF(I48="Partner-accessible",4,IF(I48="Internal",2,IF(I48="Isolated",1,4)))))</x:f>
      </x:c>
      <x:c r="W48" s="33" t="str">
        <x:f>IF(OR(A48="",J48=""),"",IF(J48="Critical",5,IF(J48="High",4,IF(J48="Medium",3,IF(J48="Low",2,4)))))</x:f>
      </x:c>
      <x:c r="X48" s="33" t="str">
        <x:f>IF(OR(A48="",AH48=""),"",IF(AH48="Classical public-key",5,IF(AH48="Standardized PQC",1,IF(AH48="Symmetric/hash",2,IF(AH48="Hybrid",3,4)))))</x:f>
      </x:c>
      <x:c r="Y48" s="33" t="str">
        <x:f>IF(OR(A48="",S48=""),"",IF(S48="Supported",1,IF(S48="Roadmap",3,IF(S48="No",5,IF(S48="N/A",2,4)))))</x:f>
      </x:c>
      <x:c r="Z48" s="33" t="str">
        <x:f>IF(OR(A48="",T48=""),"",IF(T48="Configurable",1,IF(T48="Library upgrade",2,IF(T48="Requires refactor",4,IF(T48="Embedded/firmware",5,4)))))</x:f>
      </x:c>
      <x:c r="AA48" s="33" t="str">
        <x:f>IF(A48="","",IF(BA48&lt;&gt;"Ready","",IF(Scoring_Model!$B$15&lt;&gt;"Valid weights","",ROUND((U48*Scoring_Model!$B$8+V48*Scoring_Model!$B$9+W48*Scoring_Model!$B$10+X48*Scoring_Model!$B$11+Y48*Scoring_Model!$B$12+Z48*Scoring_Model!$B$13)*20,0))))</x:f>
      </x:c>
      <x:c r="AB48" s="33" t="str">
        <x:f>IF(A48="","",IF(BA48&lt;&gt;"Ready","Needs data",IF(Scoring_Model!$B$15&lt;&gt;"Valid weights","Check weights",IF(AA48&gt;=Scoring_Model!$B$17,"P1",IF(AA48&gt;=Scoring_Model!$B$18,"P2","P3")))))</x:f>
      </x:c>
      <x:c r="AC48" s="33" t="str">
        <x:f>IF(A48="","",IF(AB48="Needs data","Complete scoring inputs and resolve duplicate ID",IF(AB48="Check weights","Check Scoring_Model weights",IF(AB48="P1","Local target: executive review, pilot and vendor plan in 90 days",IF(AB48="P2","Local target: roadmap and dependencies in 180 days","Recurring review; assess threats and exceptions")))))</x:f>
      </x:c>
      <x:c r="AD48" s="33" t="str"/>
      <x:c r="AE48" s="33" t="str"/>
      <x:c r="AF48" s="33" t="str"/>
      <x:c r="AG48" s="52"/>
      <x:c r="AH48" s="52"/>
      <x:c r="AI48" s="52"/>
      <x:c r="AJ48" s="52"/>
      <x:c r="AK48" s="52"/>
      <x:c r="AL48" s="52"/>
      <x:c r="AM48" s="52"/>
      <x:c r="AN48" s="53"/>
      <x:c r="AO48" s="52"/>
      <x:c r="AP48" s="52"/>
      <x:c r="AQ48" s="52"/>
      <x:c r="AR48" s="52"/>
      <x:c r="AS48" s="52"/>
      <x:c r="AT48" s="52"/>
      <x:c r="AU48" s="52"/>
      <x:c r="AV48" s="53"/>
      <x:c r="AW48" s="53"/>
      <x:c r="AX48" s="53"/>
      <x:c r="AY48" s="52"/>
      <x:c r="AZ48" s="52"/>
      <x:c r="BA48" s="54" t="str">
        <x:f>IF(A48="","",IF(COUNTIFS($A$2:$A$51,A48)&gt;1,"Duplicate asset ID",IF(OR(B48="",E48="",G48="",H48="",I48="",J48="",M48="",S48="",T48="",AH48=""),"Missing required scoring input","Ready")))</x:f>
      </x:c>
      <x:c r="BB48" s="54" t="str">
        <x:f>IF(A48="","",IF(AG48&lt;&gt;"Live","Example or record type missing",IF(AS48="Complete",IF(AND(BA48="Ready",AI48="Approved supported profile",AQ48&lt;&gt;"",AE48&lt;&gt;"",AR48&lt;&gt;"",AT48&lt;&gt;"",AU48&lt;&gt;"",ISNUMBER(AV48),AV48&gt;0,AV48&lt;=Start_Here!$B$4),"Complete with evidence","Missing approval, profile or test evidence"),IF(AS48="Accepted Risk",IF(AND(AT48&lt;&gt;"",AE48&lt;&gt;"",ISNUMBER(AX48),AX48&gt;=Start_Here!$B$4),"Accepted risk; migration open","Missing or expired risk acceptance"),IF(AS48="","Status required",AS48)))))</x:f>
      </x:c>
    </x:row>
    <x:row r="49" ht="30" customHeight="1">
      <x:c r="A49" s="33" t="str"/>
      <x:c r="B49" s="33" t="str"/>
      <x:c r="C49" s="33" t="str"/>
      <x:c r="D49" s="33" t="str"/>
      <x:c r="E49" s="33" t="str"/>
      <x:c r="F49" s="33" t="str"/>
      <x:c r="G49" s="33" t="str"/>
      <x:c r="H49" s="33" t="str"/>
      <x:c r="I49" s="33" t="str"/>
      <x:c r="J49" s="33" t="str"/>
      <x:c r="K49" s="33" t="str"/>
      <x:c r="L49" s="33" t="str"/>
      <x:c r="M49" s="33" t="str"/>
      <x:c r="N49" s="33" t="str"/>
      <x:c r="O49" s="33" t="str"/>
      <x:c r="P49" s="33" t="str"/>
      <x:c r="Q49" s="33" t="str"/>
      <x:c r="R49" s="33" t="str"/>
      <x:c r="S49" s="33" t="str"/>
      <x:c r="T49" s="33" t="str"/>
      <x:c r="U49" s="33" t="str">
        <x:f>IF(OR(A49="",G49="",H49=""),"",IF(G49="Yes",5,IF(H49="&gt;10 years",5,IF(H49="5-10 years",4,IF(H49="1-5 years",3,IF(H49="&lt;1 year",1,4))))))</x:f>
      </x:c>
      <x:c r="V49" s="33" t="str">
        <x:f>IF(OR(A49="",I49=""),"",IF(I49="Internet-facing",5,IF(I49="Partner-accessible",4,IF(I49="Internal",2,IF(I49="Isolated",1,4)))))</x:f>
      </x:c>
      <x:c r="W49" s="33" t="str">
        <x:f>IF(OR(A49="",J49=""),"",IF(J49="Critical",5,IF(J49="High",4,IF(J49="Medium",3,IF(J49="Low",2,4)))))</x:f>
      </x:c>
      <x:c r="X49" s="33" t="str">
        <x:f>IF(OR(A49="",AH49=""),"",IF(AH49="Classical public-key",5,IF(AH49="Standardized PQC",1,IF(AH49="Symmetric/hash",2,IF(AH49="Hybrid",3,4)))))</x:f>
      </x:c>
      <x:c r="Y49" s="33" t="str">
        <x:f>IF(OR(A49="",S49=""),"",IF(S49="Supported",1,IF(S49="Roadmap",3,IF(S49="No",5,IF(S49="N/A",2,4)))))</x:f>
      </x:c>
      <x:c r="Z49" s="33" t="str">
        <x:f>IF(OR(A49="",T49=""),"",IF(T49="Configurable",1,IF(T49="Library upgrade",2,IF(T49="Requires refactor",4,IF(T49="Embedded/firmware",5,4)))))</x:f>
      </x:c>
      <x:c r="AA49" s="33" t="str">
        <x:f>IF(A49="","",IF(BA49&lt;&gt;"Ready","",IF(Scoring_Model!$B$15&lt;&gt;"Valid weights","",ROUND((U49*Scoring_Model!$B$8+V49*Scoring_Model!$B$9+W49*Scoring_Model!$B$10+X49*Scoring_Model!$B$11+Y49*Scoring_Model!$B$12+Z49*Scoring_Model!$B$13)*20,0))))</x:f>
      </x:c>
      <x:c r="AB49" s="33" t="str">
        <x:f>IF(A49="","",IF(BA49&lt;&gt;"Ready","Needs data",IF(Scoring_Model!$B$15&lt;&gt;"Valid weights","Check weights",IF(AA49&gt;=Scoring_Model!$B$17,"P1",IF(AA49&gt;=Scoring_Model!$B$18,"P2","P3")))))</x:f>
      </x:c>
      <x:c r="AC49" s="33" t="str">
        <x:f>IF(A49="","",IF(AB49="Needs data","Complete scoring inputs and resolve duplicate ID",IF(AB49="Check weights","Check Scoring_Model weights",IF(AB49="P1","Local target: executive review, pilot and vendor plan in 90 days",IF(AB49="P2","Local target: roadmap and dependencies in 180 days","Recurring review; assess threats and exceptions")))))</x:f>
      </x:c>
      <x:c r="AD49" s="33" t="str"/>
      <x:c r="AE49" s="33" t="str"/>
      <x:c r="AF49" s="33" t="str"/>
      <x:c r="AG49" s="52"/>
      <x:c r="AH49" s="52"/>
      <x:c r="AI49" s="52"/>
      <x:c r="AJ49" s="52"/>
      <x:c r="AK49" s="52"/>
      <x:c r="AL49" s="52"/>
      <x:c r="AM49" s="52"/>
      <x:c r="AN49" s="53"/>
      <x:c r="AO49" s="52"/>
      <x:c r="AP49" s="52"/>
      <x:c r="AQ49" s="52"/>
      <x:c r="AR49" s="52"/>
      <x:c r="AS49" s="52"/>
      <x:c r="AT49" s="52"/>
      <x:c r="AU49" s="52"/>
      <x:c r="AV49" s="53"/>
      <x:c r="AW49" s="53"/>
      <x:c r="AX49" s="53"/>
      <x:c r="AY49" s="52"/>
      <x:c r="AZ49" s="52"/>
      <x:c r="BA49" s="54" t="str">
        <x:f>IF(A49="","",IF(COUNTIFS($A$2:$A$51,A49)&gt;1,"Duplicate asset ID",IF(OR(B49="",E49="",G49="",H49="",I49="",J49="",M49="",S49="",T49="",AH49=""),"Missing required scoring input","Ready")))</x:f>
      </x:c>
      <x:c r="BB49" s="54" t="str">
        <x:f>IF(A49="","",IF(AG49&lt;&gt;"Live","Example or record type missing",IF(AS49="Complete",IF(AND(BA49="Ready",AI49="Approved supported profile",AQ49&lt;&gt;"",AE49&lt;&gt;"",AR49&lt;&gt;"",AT49&lt;&gt;"",AU49&lt;&gt;"",ISNUMBER(AV49),AV49&gt;0,AV49&lt;=Start_Here!$B$4),"Complete with evidence","Missing approval, profile or test evidence"),IF(AS49="Accepted Risk",IF(AND(AT49&lt;&gt;"",AE49&lt;&gt;"",ISNUMBER(AX49),AX49&gt;=Start_Here!$B$4),"Accepted risk; migration open","Missing or expired risk acceptance"),IF(AS49="","Status required",AS49)))))</x:f>
      </x:c>
    </x:row>
    <x:row r="50" ht="30" customHeight="1">
      <x:c r="A50" s="33" t="str"/>
      <x:c r="B50" s="33" t="str"/>
      <x:c r="C50" s="33" t="str"/>
      <x:c r="D50" s="33" t="str"/>
      <x:c r="E50" s="33" t="str"/>
      <x:c r="F50" s="33" t="str"/>
      <x:c r="G50" s="33" t="str"/>
      <x:c r="H50" s="33" t="str"/>
      <x:c r="I50" s="33" t="str"/>
      <x:c r="J50" s="33" t="str"/>
      <x:c r="K50" s="33" t="str"/>
      <x:c r="L50" s="33" t="str"/>
      <x:c r="M50" s="33" t="str"/>
      <x:c r="N50" s="33" t="str"/>
      <x:c r="O50" s="33" t="str"/>
      <x:c r="P50" s="33" t="str"/>
      <x:c r="Q50" s="33" t="str"/>
      <x:c r="R50" s="33" t="str"/>
      <x:c r="S50" s="33" t="str"/>
      <x:c r="T50" s="33" t="str"/>
      <x:c r="U50" s="33" t="str">
        <x:f>IF(OR(A50="",G50="",H50=""),"",IF(G50="Yes",5,IF(H50="&gt;10 years",5,IF(H50="5-10 years",4,IF(H50="1-5 years",3,IF(H50="&lt;1 year",1,4))))))</x:f>
      </x:c>
      <x:c r="V50" s="33" t="str">
        <x:f>IF(OR(A50="",I50=""),"",IF(I50="Internet-facing",5,IF(I50="Partner-accessible",4,IF(I50="Internal",2,IF(I50="Isolated",1,4)))))</x:f>
      </x:c>
      <x:c r="W50" s="33" t="str">
        <x:f>IF(OR(A50="",J50=""),"",IF(J50="Critical",5,IF(J50="High",4,IF(J50="Medium",3,IF(J50="Low",2,4)))))</x:f>
      </x:c>
      <x:c r="X50" s="33" t="str">
        <x:f>IF(OR(A50="",AH50=""),"",IF(AH50="Classical public-key",5,IF(AH50="Standardized PQC",1,IF(AH50="Symmetric/hash",2,IF(AH50="Hybrid",3,4)))))</x:f>
      </x:c>
      <x:c r="Y50" s="33" t="str">
        <x:f>IF(OR(A50="",S50=""),"",IF(S50="Supported",1,IF(S50="Roadmap",3,IF(S50="No",5,IF(S50="N/A",2,4)))))</x:f>
      </x:c>
      <x:c r="Z50" s="33" t="str">
        <x:f>IF(OR(A50="",T50=""),"",IF(T50="Configurable",1,IF(T50="Library upgrade",2,IF(T50="Requires refactor",4,IF(T50="Embedded/firmware",5,4)))))</x:f>
      </x:c>
      <x:c r="AA50" s="33" t="str">
        <x:f>IF(A50="","",IF(BA50&lt;&gt;"Ready","",IF(Scoring_Model!$B$15&lt;&gt;"Valid weights","",ROUND((U50*Scoring_Model!$B$8+V50*Scoring_Model!$B$9+W50*Scoring_Model!$B$10+X50*Scoring_Model!$B$11+Y50*Scoring_Model!$B$12+Z50*Scoring_Model!$B$13)*20,0))))</x:f>
      </x:c>
      <x:c r="AB50" s="33" t="str">
        <x:f>IF(A50="","",IF(BA50&lt;&gt;"Ready","Needs data",IF(Scoring_Model!$B$15&lt;&gt;"Valid weights","Check weights",IF(AA50&gt;=Scoring_Model!$B$17,"P1",IF(AA50&gt;=Scoring_Model!$B$18,"P2","P3")))))</x:f>
      </x:c>
      <x:c r="AC50" s="33" t="str">
        <x:f>IF(A50="","",IF(AB50="Needs data","Complete scoring inputs and resolve duplicate ID",IF(AB50="Check weights","Check Scoring_Model weights",IF(AB50="P1","Local target: executive review, pilot and vendor plan in 90 days",IF(AB50="P2","Local target: roadmap and dependencies in 180 days","Recurring review; assess threats and exceptions")))))</x:f>
      </x:c>
      <x:c r="AD50" s="33" t="str"/>
      <x:c r="AE50" s="33" t="str"/>
      <x:c r="AF50" s="33" t="str"/>
      <x:c r="AG50" s="52"/>
      <x:c r="AH50" s="52"/>
      <x:c r="AI50" s="52"/>
      <x:c r="AJ50" s="52"/>
      <x:c r="AK50" s="52"/>
      <x:c r="AL50" s="52"/>
      <x:c r="AM50" s="52"/>
      <x:c r="AN50" s="53"/>
      <x:c r="AO50" s="52"/>
      <x:c r="AP50" s="52"/>
      <x:c r="AQ50" s="52"/>
      <x:c r="AR50" s="52"/>
      <x:c r="AS50" s="52"/>
      <x:c r="AT50" s="52"/>
      <x:c r="AU50" s="52"/>
      <x:c r="AV50" s="53"/>
      <x:c r="AW50" s="53"/>
      <x:c r="AX50" s="53"/>
      <x:c r="AY50" s="52"/>
      <x:c r="AZ50" s="52"/>
      <x:c r="BA50" s="54" t="str">
        <x:f>IF(A50="","",IF(COUNTIFS($A$2:$A$51,A50)&gt;1,"Duplicate asset ID",IF(OR(B50="",E50="",G50="",H50="",I50="",J50="",M50="",S50="",T50="",AH50=""),"Missing required scoring input","Ready")))</x:f>
      </x:c>
      <x:c r="BB50" s="54" t="str">
        <x:f>IF(A50="","",IF(AG50&lt;&gt;"Live","Example or record type missing",IF(AS50="Complete",IF(AND(BA50="Ready",AI50="Approved supported profile",AQ50&lt;&gt;"",AE50&lt;&gt;"",AR50&lt;&gt;"",AT50&lt;&gt;"",AU50&lt;&gt;"",ISNUMBER(AV50),AV50&gt;0,AV50&lt;=Start_Here!$B$4),"Complete with evidence","Missing approval, profile or test evidence"),IF(AS50="Accepted Risk",IF(AND(AT50&lt;&gt;"",AE50&lt;&gt;"",ISNUMBER(AX50),AX50&gt;=Start_Here!$B$4),"Accepted risk; migration open","Missing or expired risk acceptance"),IF(AS50="","Status required",AS50)))))</x:f>
      </x:c>
    </x:row>
    <x:row r="51" ht="30" customHeight="1">
      <x:c r="A51" s="33" t="str"/>
      <x:c r="B51" s="33" t="str"/>
      <x:c r="C51" s="33" t="str"/>
      <x:c r="D51" s="33" t="str"/>
      <x:c r="E51" s="33" t="str"/>
      <x:c r="F51" s="33" t="str"/>
      <x:c r="G51" s="33" t="str"/>
      <x:c r="H51" s="33" t="str"/>
      <x:c r="I51" s="33" t="str"/>
      <x:c r="J51" s="33" t="str"/>
      <x:c r="K51" s="33" t="str"/>
      <x:c r="L51" s="33" t="str"/>
      <x:c r="M51" s="33" t="str"/>
      <x:c r="N51" s="33" t="str"/>
      <x:c r="O51" s="33" t="str"/>
      <x:c r="P51" s="33" t="str"/>
      <x:c r="Q51" s="33" t="str"/>
      <x:c r="R51" s="33" t="str"/>
      <x:c r="S51" s="33" t="str"/>
      <x:c r="T51" s="33" t="str"/>
      <x:c r="U51" s="33" t="str">
        <x:f>IF(OR(A51="",G51="",H51=""),"",IF(G51="Yes",5,IF(H51="&gt;10 years",5,IF(H51="5-10 years",4,IF(H51="1-5 years",3,IF(H51="&lt;1 year",1,4))))))</x:f>
      </x:c>
      <x:c r="V51" s="33" t="str">
        <x:f>IF(OR(A51="",I51=""),"",IF(I51="Internet-facing",5,IF(I51="Partner-accessible",4,IF(I51="Internal",2,IF(I51="Isolated",1,4)))))</x:f>
      </x:c>
      <x:c r="W51" s="33" t="str">
        <x:f>IF(OR(A51="",J51=""),"",IF(J51="Critical",5,IF(J51="High",4,IF(J51="Medium",3,IF(J51="Low",2,4)))))</x:f>
      </x:c>
      <x:c r="X51" s="33" t="str">
        <x:f>IF(OR(A51="",AH51=""),"",IF(AH51="Classical public-key",5,IF(AH51="Standardized PQC",1,IF(AH51="Symmetric/hash",2,IF(AH51="Hybrid",3,4)))))</x:f>
      </x:c>
      <x:c r="Y51" s="33" t="str">
        <x:f>IF(OR(A51="",S51=""),"",IF(S51="Supported",1,IF(S51="Roadmap",3,IF(S51="No",5,IF(S51="N/A",2,4)))))</x:f>
      </x:c>
      <x:c r="Z51" s="33" t="str">
        <x:f>IF(OR(A51="",T51=""),"",IF(T51="Configurable",1,IF(T51="Library upgrade",2,IF(T51="Requires refactor",4,IF(T51="Embedded/firmware",5,4)))))</x:f>
      </x:c>
      <x:c r="AA51" s="33" t="str">
        <x:f>IF(A51="","",IF(BA51&lt;&gt;"Ready","",IF(Scoring_Model!$B$15&lt;&gt;"Valid weights","",ROUND((U51*Scoring_Model!$B$8+V51*Scoring_Model!$B$9+W51*Scoring_Model!$B$10+X51*Scoring_Model!$B$11+Y51*Scoring_Model!$B$12+Z51*Scoring_Model!$B$13)*20,0))))</x:f>
      </x:c>
      <x:c r="AB51" s="33" t="str">
        <x:f>IF(A51="","",IF(BA51&lt;&gt;"Ready","Needs data",IF(Scoring_Model!$B$15&lt;&gt;"Valid weights","Check weights",IF(AA51&gt;=Scoring_Model!$B$17,"P1",IF(AA51&gt;=Scoring_Model!$B$18,"P2","P3")))))</x:f>
      </x:c>
      <x:c r="AC51" s="33" t="str">
        <x:f>IF(A51="","",IF(AB51="Needs data","Complete scoring inputs and resolve duplicate ID",IF(AB51="Check weights","Check Scoring_Model weights",IF(AB51="P1","Local target: executive review, pilot and vendor plan in 90 days",IF(AB51="P2","Local target: roadmap and dependencies in 180 days","Recurring review; assess threats and exceptions")))))</x:f>
      </x:c>
      <x:c r="AD51" s="33" t="str"/>
      <x:c r="AE51" s="33" t="str"/>
      <x:c r="AF51" s="33" t="str"/>
      <x:c r="AG51" s="52"/>
      <x:c r="AH51" s="52"/>
      <x:c r="AI51" s="52"/>
      <x:c r="AJ51" s="52"/>
      <x:c r="AK51" s="52"/>
      <x:c r="AL51" s="52"/>
      <x:c r="AM51" s="52"/>
      <x:c r="AN51" s="53"/>
      <x:c r="AO51" s="52"/>
      <x:c r="AP51" s="52"/>
      <x:c r="AQ51" s="52"/>
      <x:c r="AR51" s="52"/>
      <x:c r="AS51" s="52"/>
      <x:c r="AT51" s="52"/>
      <x:c r="AU51" s="52"/>
      <x:c r="AV51" s="53"/>
      <x:c r="AW51" s="53"/>
      <x:c r="AX51" s="53"/>
      <x:c r="AY51" s="52"/>
      <x:c r="AZ51" s="52"/>
      <x:c r="BA51" s="54" t="str">
        <x:f>IF(A51="","",IF(COUNTIFS($A$2:$A$51,A51)&gt;1,"Duplicate asset ID",IF(OR(B51="",E51="",G51="",H51="",I51="",J51="",M51="",S51="",T51="",AH51=""),"Missing required scoring input","Ready")))</x:f>
      </x:c>
      <x:c r="BB51" s="54" t="str">
        <x:f>IF(A51="","",IF(AG51&lt;&gt;"Live","Example or record type missing",IF(AS51="Complete",IF(AND(BA51="Ready",AI51="Approved supported profile",AQ51&lt;&gt;"",AE51&lt;&gt;"",AR51&lt;&gt;"",AT51&lt;&gt;"",AU51&lt;&gt;"",ISNUMBER(AV51),AV51&gt;0,AV51&lt;=Start_Here!$B$4),"Complete with evidence","Missing approval, profile or test evidence"),IF(AS51="Accepted Risk",IF(AND(AT51&lt;&gt;"",AE51&lt;&gt;"",ISNUMBER(AX51),AX51&gt;=Start_Here!$B$4),"Accepted risk; migration open","Missing or expired risk acceptance"),IF(AS51="","Status required",AS51)))))</x:f>
      </x:c>
    </x:row>
  </x:sheetData>
  <x:conditionalFormatting sqref="BA2:BB51">
    <x:cfRule type="containsText" dxfId="0" priority="1" operator="containsText" text="Missing"/>
  </x:conditionalFormatting>
  <x:conditionalFormatting sqref="BA2:BA51">
    <x:cfRule type="containsText" dxfId="1" priority="2" operator="containsText" text="Duplicate"/>
  </x:conditionalFormatting>
  <x:dataValidations count="16">
    <x:dataValidation type="list" sqref="C2:C51">
      <x:formula1>"Production,Pre-production,Development,Cloud,OT/ICS,SaaS,Third-party,Unknown"</x:formula1>
    </x:dataValidation>
    <x:dataValidation type="list" sqref="F2:F51">
      <x:formula1>"Public,Internal,Sensitive,Restricted,Operational,Regulated,Unknown"</x:formula1>
    </x:dataValidation>
    <x:dataValidation type="list" sqref="G2:G51">
      <x:formula1>"Yes,No,Unknown"</x:formula1>
    </x:dataValidation>
    <x:dataValidation type="list" sqref="H2:H51">
      <x:formula1>"&lt;1 year,1-5 years,5-10 years,&gt;10 years,Unknown"</x:formula1>
    </x:dataValidation>
    <x:dataValidation type="list" sqref="I2:I51">
      <x:formula1>"Internet-facing,Partner-accessible,Internal,Isolated,Unknown"</x:formula1>
    </x:dataValidation>
    <x:dataValidation type="list" sqref="J2:J51">
      <x:formula1>"Critical,High,Medium,Low,Unknown"</x:formula1>
    </x:dataValidation>
    <x:dataValidation type="list" sqref="K2:K51">
      <x:formula1>"Key establishment,Digital signature,Encryption at rest,Token signing,Code signing,PKI certificate,Remote access,Device authentication,Unknown"</x:formula1>
    </x:dataValidation>
    <x:dataValidation type="list" sqref="R2:R51">
      <x:formula1>"Yes,No,Unknown"</x:formula1>
    </x:dataValidation>
    <x:dataValidation type="list" sqref="S2:S51">
      <x:formula1>"Supported,Roadmap,Unknown,No,N/A"</x:formula1>
    </x:dataValidation>
    <x:dataValidation type="list" sqref="T2:T51">
      <x:formula1>"Configurable,Library upgrade,Requires refactor,Embedded/firmware,Unknown"</x:formula1>
    </x:dataValidation>
    <x:dataValidation type="list" sqref="AD2:AD51">
      <x:formula1>"2026-Q4,2027-Q1,2027-Q2,2027-Q3,2027-Q4,2028,2029,2030,2031-2035,Post-2035 review,Backlog,TBD"</x:formula1>
    </x:dataValidation>
    <x:dataValidation type="list" sqref="AG2:AG51">
      <x:formula1>"Example,Live"</x:formula1>
    </x:dataValidation>
    <x:dataValidation type="list" sqref="AH2:AH51">
      <x:formula1>"Classical public-key,Standardized PQC,Symmetric/hash,Hybrid,Unknown"</x:formula1>
    </x:dataValidation>
    <x:dataValidation type="list" sqref="AI2:AI51">
      <x:formula1>"Approved supported profile,Profile review required,Experimental/draft,Vendor roadmap only,Unknown"</x:formula1>
    </x:dataValidation>
    <x:dataValidation type="list" sqref="AS2:AS51">
      <x:formula1>"Not Started,In Progress,Pilot,Complete,Accepted Risk,Blocked"</x:formula1>
    </x:dataValidation>
    <x:dataValidation type="decimal" operator="between" sqref="AO2:AP51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55" hidden="0" customWidth="1"/>
    <x:col min="3" max="3" width="42" hidden="0" customWidth="1"/>
    <x:col min="4" max="4" width="16" hidden="0" customWidth="1"/>
    <x:col min="5" max="5" width="16" hidden="0" customWidth="1"/>
    <x:col min="6" max="6" width="24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42" customHeight="1">
      <x:c r="A1" s="44" t="str">
        <x:v>Domain</x:v>
      </x:c>
      <x:c r="B1" s="44" t="str">
        <x:v>Assessment Item</x:v>
      </x:c>
      <x:c r="C1" s="44" t="str">
        <x:v>Expected Evidence</x:v>
      </x:c>
      <x:c r="D1" s="44" t="str">
        <x:v>Status</x:v>
      </x:c>
      <x:c r="E1" s="44" t="str">
        <x:v>Priority</x:v>
      </x:c>
      <x:c r="F1" s="44" t="str">
        <x:v>Owner</x:v>
      </x:c>
      <x:c r="G1" s="44" t="str">
        <x:v>Target Date</x:v>
      </x:c>
      <x:c r="H1" s="44" t="str">
        <x:v>Notes</x:v>
      </x:c>
      <x:c r="I1" s="44" t="str">
        <x:v>Evidence Link</x:v>
      </x:c>
      <x:c r="J1" s="44" t="str">
        <x:v>Reviewed By</x:v>
      </x:c>
      <x:c r="K1" s="44" t="str">
        <x:v>Review Date</x:v>
      </x:c>
      <x:c r="L1" s="44" t="str">
        <x:v>Risk Acceptance Expiry</x:v>
      </x:c>
      <x:c r="M1" s="44" t="str">
        <x:v>Completion Gate</x:v>
      </x:c>
      <x:c r="N1" s="44" t="str">
        <x:v>Source References</x:v>
      </x:c>
    </x:row>
    <x:row r="2" ht="66" customHeight="1">
      <x:c r="A2" s="49" t="str">
        <x:v>Governance</x:v>
      </x:c>
      <x:c r="B2" s="49" t="str">
        <x:v>Define PQC migration scope and executive sponsor.</x:v>
      </x:c>
      <x:c r="C2" s="49" t="str">
        <x:v>Approved charter, roles, decision rights.</x:v>
      </x:c>
      <x:c r="D2" s="49" t="str">
        <x:v>Not Started</x:v>
      </x:c>
      <x:c r="E2" s="49" t="str">
        <x:v>P1</x:v>
      </x:c>
      <x:c r="F2" s="49"/>
      <x:c r="G2" s="51" t="str"/>
      <x:c r="H2" s="49" t="str"/>
      <x:c r="I2" s="49"/>
      <x:c r="J2" s="49"/>
      <x:c r="K2" s="51"/>
      <x:c r="L2" s="51"/>
      <x:c r="M2" s="49" t="str">
        <x:f>IF(D2="Complete",IF(AND(F2&lt;&gt;"",I2&lt;&gt;"",J2&lt;&gt;"",ISNUMBER(K2),K2&gt;0,K2&lt;=Start_Here!$B$4),"Complete with evidence","Missing owner, evidence or review"),IF(D2="Accepted Risk",IF(AND(F2&lt;&gt;"",I2&lt;&gt;"",J2&lt;&gt;"",ISNUMBER(K2),K2&gt;0,K2&lt;=Start_Here!$B$4,ISNUMBER(L2),L2&gt;=Start_Here!$B$4),"Accepted risk; item open","Missing or expired risk acceptance"),D2))</x:f>
        <x:v>Not Started</x:v>
      </x:c>
      <x:c r="N2" s="49" t="str">
        <x:v>CSWP39; CSF2</x:v>
      </x:c>
    </x:row>
    <x:row r="3" ht="66" customHeight="1">
      <x:c r="A3" s="49" t="str">
        <x:v>Governance</x:v>
      </x:c>
      <x:c r="B3" s="49" t="str">
        <x:v>Define crypto-agility policy: approved libraries, protocols, algorithms, and exception process.</x:v>
      </x:c>
      <x:c r="C3" s="49" t="str">
        <x:v>Policy or standard with approval workflow.</x:v>
      </x:c>
      <x:c r="D3" s="49" t="str">
        <x:v>Not Started</x:v>
      </x:c>
      <x:c r="E3" s="49" t="str">
        <x:v>P1</x:v>
      </x:c>
      <x:c r="F3" s="49" t="str"/>
      <x:c r="G3" s="51" t="str"/>
      <x:c r="H3" s="49" t="str"/>
      <x:c r="I3" s="49"/>
      <x:c r="J3" s="49"/>
      <x:c r="K3" s="51"/>
      <x:c r="L3" s="51"/>
      <x:c r="M3" s="49" t="str">
        <x:f>IF(D3="Complete",IF(AND(F3&lt;&gt;"",I3&lt;&gt;"",J3&lt;&gt;"",ISNUMBER(K3),K3&gt;0,K3&lt;=Start_Here!$B$4),"Complete with evidence","Missing owner, evidence or review"),IF(D3="Accepted Risk",IF(AND(F3&lt;&gt;"",I3&lt;&gt;"",J3&lt;&gt;"",ISNUMBER(K3),K3&gt;0,K3&lt;=Start_Here!$B$4,ISNUMBER(L3),L3&gt;=Start_Here!$B$4),"Accepted risk; item open","Missing or expired risk acceptance"),D3))</x:f>
        <x:v>Not Started</x:v>
      </x:c>
      <x:c r="N3" s="49" t="str">
        <x:v>CSWP39; CSF2</x:v>
      </x:c>
    </x:row>
    <x:row r="4" ht="66" customHeight="1">
      <x:c r="A4" s="49" t="str">
        <x:v>Inventory</x:v>
      </x:c>
      <x:c r="B4" s="49" t="str">
        <x:v>Inventory public-key cryptography across TLS, SSH, VPN, PKI, code signing, token signing, S/MIME, API gateways, and device auth.</x:v>
      </x:c>
      <x:c r="C4" s="49" t="str">
        <x:v>Inventory export and evidence links.</x:v>
      </x:c>
      <x:c r="D4" s="49" t="str">
        <x:v>Not Started</x:v>
      </x:c>
      <x:c r="E4" s="49" t="str">
        <x:v>P1</x:v>
      </x:c>
      <x:c r="F4" s="49" t="str"/>
      <x:c r="G4" s="51" t="str"/>
      <x:c r="H4" s="49" t="str"/>
      <x:c r="I4" s="49"/>
      <x:c r="J4" s="49"/>
      <x:c r="K4" s="51"/>
      <x:c r="L4" s="51"/>
      <x:c r="M4" s="49" t="str">
        <x:f>IF(D4="Complete",IF(AND(F4&lt;&gt;"",I4&lt;&gt;"",J4&lt;&gt;"",ISNUMBER(K4),K4&gt;0,K4&lt;=Start_Here!$B$4),"Complete with evidence","Missing owner, evidence or review"),IF(D4="Accepted Risk",IF(AND(F4&lt;&gt;"",I4&lt;&gt;"",J4&lt;&gt;"",ISNUMBER(K4),K4&gt;0,K4&lt;=Start_Here!$B$4,ISNUMBER(L4),L4&gt;=Start_Here!$B$4),"Accepted risk; item open","Missing or expired risk acceptance"),D4))</x:f>
        <x:v>Not Started</x:v>
      </x:c>
      <x:c r="N4" s="49" t="str">
        <x:v>CSWP39; CSF2</x:v>
      </x:c>
    </x:row>
    <x:row r="5" ht="66" customHeight="1">
      <x:c r="A5" s="49" t="str">
        <x:v>Inventory</x:v>
      </x:c>
      <x:c r="B5" s="49" t="str">
        <x:v>Flag long-lived data and harvest-now-decrypt-later exposure.</x:v>
      </x:c>
      <x:c r="C5" s="49" t="str">
        <x:v>Data classification, retention, and confidentiality horizon.</x:v>
      </x:c>
      <x:c r="D5" s="49" t="str">
        <x:v>Not Started</x:v>
      </x:c>
      <x:c r="E5" s="49" t="str">
        <x:v>P1</x:v>
      </x:c>
      <x:c r="F5" s="49" t="str"/>
      <x:c r="G5" s="51" t="str"/>
      <x:c r="H5" s="49" t="str"/>
      <x:c r="I5" s="49"/>
      <x:c r="J5" s="49"/>
      <x:c r="K5" s="51"/>
      <x:c r="L5" s="51"/>
      <x:c r="M5" s="49" t="str">
        <x:f>IF(D5="Complete",IF(AND(F5&lt;&gt;"",I5&lt;&gt;"",J5&lt;&gt;"",ISNUMBER(K5),K5&gt;0,K5&lt;=Start_Here!$B$4),"Complete with evidence","Missing owner, evidence or review"),IF(D5="Accepted Risk",IF(AND(F5&lt;&gt;"",I5&lt;&gt;"",J5&lt;&gt;"",ISNUMBER(K5),K5&gt;0,K5&lt;=Start_Here!$B$4,ISNUMBER(L5),L5&gt;=Start_Here!$B$4),"Accepted risk; item open","Missing or expired risk acceptance"),D5))</x:f>
        <x:v>Not Started</x:v>
      </x:c>
      <x:c r="N5" s="49" t="str">
        <x:v>CSWP39; CSF2</x:v>
      </x:c>
    </x:row>
    <x:row r="6" ht="66" customHeight="1">
      <x:c r="A6" s="49" t="str">
        <x:v>Architecture</x:v>
      </x:c>
      <x:c r="B6" s="49" t="str">
        <x:v>Identify crypto logic embedded in applications, firmware, appliances, and third-party services.</x:v>
      </x:c>
      <x:c r="C6" s="49" t="str">
        <x:v>Dependency map and architecture notes.</x:v>
      </x:c>
      <x:c r="D6" s="49" t="str">
        <x:v>Not Started</x:v>
      </x:c>
      <x:c r="E6" s="49" t="str">
        <x:v>P1</x:v>
      </x:c>
      <x:c r="F6" s="49" t="str"/>
      <x:c r="G6" s="51" t="str"/>
      <x:c r="H6" s="49" t="str"/>
      <x:c r="I6" s="49"/>
      <x:c r="J6" s="49"/>
      <x:c r="K6" s="51"/>
      <x:c r="L6" s="51"/>
      <x:c r="M6" s="49" t="str">
        <x:f>IF(D6="Complete",IF(AND(F6&lt;&gt;"",I6&lt;&gt;"",J6&lt;&gt;"",ISNUMBER(K6),K6&gt;0,K6&lt;=Start_Here!$B$4),"Complete with evidence","Missing owner, evidence or review"),IF(D6="Accepted Risk",IF(AND(F6&lt;&gt;"",I6&lt;&gt;"",J6&lt;&gt;"",ISNUMBER(K6),K6&gt;0,K6&lt;=Start_Here!$B$4,ISNUMBER(L6),L6&gt;=Start_Here!$B$4),"Accepted risk; item open","Missing or expired risk acceptance"),D6))</x:f>
        <x:v>Not Started</x:v>
      </x:c>
      <x:c r="N6" s="49" t="str">
        <x:v>CSWP39; CSF2</x:v>
      </x:c>
    </x:row>
    <x:row r="7" ht="66" customHeight="1">
      <x:c r="A7" s="49" t="str">
        <x:v>Architecture</x:v>
      </x:c>
      <x:c r="B7" s="49" t="str">
        <x:v>Document abstraction points for crypto providers and protocol stacks.</x:v>
      </x:c>
      <x:c r="C7" s="49" t="str">
        <x:v>Architecture diagram or design record.</x:v>
      </x:c>
      <x:c r="D7" s="49" t="str">
        <x:v>Not Started</x:v>
      </x:c>
      <x:c r="E7" s="49" t="str">
        <x:v>P2</x:v>
      </x:c>
      <x:c r="F7" s="49" t="str"/>
      <x:c r="G7" s="51" t="str"/>
      <x:c r="H7" s="49" t="str"/>
      <x:c r="I7" s="49"/>
      <x:c r="J7" s="49"/>
      <x:c r="K7" s="51"/>
      <x:c r="L7" s="51"/>
      <x:c r="M7" s="49" t="str">
        <x:f>IF(D7="Complete",IF(AND(F7&lt;&gt;"",I7&lt;&gt;"",J7&lt;&gt;"",ISNUMBER(K7),K7&gt;0,K7&lt;=Start_Here!$B$4),"Complete with evidence","Missing owner, evidence or review"),IF(D7="Accepted Risk",IF(AND(F7&lt;&gt;"",I7&lt;&gt;"",J7&lt;&gt;"",ISNUMBER(K7),K7&gt;0,K7&lt;=Start_Here!$B$4,ISNUMBER(L7),L7&gt;=Start_Here!$B$4),"Accepted risk; item open","Missing or expired risk acceptance"),D7))</x:f>
        <x:v>Not Started</x:v>
      </x:c>
      <x:c r="N7" s="49" t="str">
        <x:v>CSWP39; CSF2</x:v>
      </x:c>
    </x:row>
    <x:row r="8" ht="66" customHeight="1">
      <x:c r="A8" s="49" t="str">
        <x:v>PKI</x:v>
      </x:c>
      <x:c r="B8" s="49" t="str">
        <x:v>Inventory CAs, certificate profiles, key algorithms, validity periods, and relying-party constraints.</x:v>
      </x:c>
      <x:c r="C8" s="49" t="str">
        <x:v>CA export, CT logs, certificate scan.</x:v>
      </x:c>
      <x:c r="D8" s="49" t="str">
        <x:v>Not Started</x:v>
      </x:c>
      <x:c r="E8" s="49" t="str">
        <x:v>P1</x:v>
      </x:c>
      <x:c r="F8" s="49" t="str"/>
      <x:c r="G8" s="51" t="str"/>
      <x:c r="H8" s="49" t="str"/>
      <x:c r="I8" s="49"/>
      <x:c r="J8" s="49"/>
      <x:c r="K8" s="51"/>
      <x:c r="L8" s="51"/>
      <x:c r="M8" s="49" t="str">
        <x:f>IF(D8="Complete",IF(AND(F8&lt;&gt;"",I8&lt;&gt;"",J8&lt;&gt;"",ISNUMBER(K8),K8&gt;0,K8&lt;=Start_Here!$B$4),"Complete with evidence","Missing owner, evidence or review"),IF(D8="Accepted Risk",IF(AND(F8&lt;&gt;"",I8&lt;&gt;"",J8&lt;&gt;"",ISNUMBER(K8),K8&gt;0,K8&lt;=Start_Here!$B$4,ISNUMBER(L8),L8&gt;=Start_Here!$B$4),"Accepted risk; item open","Missing or expired risk acceptance"),D8))</x:f>
        <x:v>Not Started</x:v>
      </x:c>
      <x:c r="N8" s="49" t="str">
        <x:v>CSWP39; CSF2</x:v>
      </x:c>
    </x:row>
    <x:row r="9" ht="66" customHeight="1">
      <x:c r="A9" s="49" t="str">
        <x:v>Cloud/IAM</x:v>
      </x:c>
      <x:c r="B9" s="49" t="str">
        <x:v>Assess workload identity, token signing, service principals, federation, and managed certificate dependencies.</x:v>
      </x:c>
      <x:c r="C9" s="49" t="str">
        <x:v>IAM inventory and certificate map.</x:v>
      </x:c>
      <x:c r="D9" s="49" t="str">
        <x:v>Not Started</x:v>
      </x:c>
      <x:c r="E9" s="49" t="str">
        <x:v>P1</x:v>
      </x:c>
      <x:c r="F9" s="49" t="str"/>
      <x:c r="G9" s="51" t="str"/>
      <x:c r="H9" s="49" t="str"/>
      <x:c r="I9" s="49"/>
      <x:c r="J9" s="49"/>
      <x:c r="K9" s="51"/>
      <x:c r="L9" s="51"/>
      <x:c r="M9" s="49" t="str">
        <x:f>IF(D9="Complete",IF(AND(F9&lt;&gt;"",I9&lt;&gt;"",J9&lt;&gt;"",ISNUMBER(K9),K9&gt;0,K9&lt;=Start_Here!$B$4),"Complete with evidence","Missing owner, evidence or review"),IF(D9="Accepted Risk",IF(AND(F9&lt;&gt;"",I9&lt;&gt;"",J9&lt;&gt;"",ISNUMBER(K9),K9&gt;0,K9&lt;=Start_Here!$B$4,ISNUMBER(L9),L9&gt;=Start_Here!$B$4),"Accepted risk; item open","Missing or expired risk acceptance"),D9))</x:f>
        <x:v>Not Started</x:v>
      </x:c>
      <x:c r="N9" s="49" t="str">
        <x:v>CSWP39; CSF2</x:v>
      </x:c>
    </x:row>
    <x:row r="10" ht="66" customHeight="1">
      <x:c r="A10" s="49" t="str">
        <x:v>Supplier</x:v>
      </x:c>
      <x:c r="B10" s="49" t="str">
        <x:v>Request vendor PQC roadmap, standards support, interoperability test evidence, and support-window commitments.</x:v>
      </x:c>
      <x:c r="C10" s="49" t="str">
        <x:v>Vendor response and procurement language.</x:v>
      </x:c>
      <x:c r="D10" s="49" t="str">
        <x:v>Not Started</x:v>
      </x:c>
      <x:c r="E10" s="49" t="str">
        <x:v>P1</x:v>
      </x:c>
      <x:c r="F10" s="49" t="str"/>
      <x:c r="G10" s="51" t="str"/>
      <x:c r="H10" s="49" t="str"/>
      <x:c r="I10" s="49"/>
      <x:c r="J10" s="49"/>
      <x:c r="K10" s="51"/>
      <x:c r="L10" s="51"/>
      <x:c r="M10" s="49" t="str">
        <x:f>IF(D10="Complete",IF(AND(F10&lt;&gt;"",I10&lt;&gt;"",J10&lt;&gt;"",ISNUMBER(K10),K10&gt;0,K10&lt;=Start_Here!$B$4),"Complete with evidence","Missing owner, evidence or review"),IF(D10="Accepted Risk",IF(AND(F10&lt;&gt;"",I10&lt;&gt;"",J10&lt;&gt;"",ISNUMBER(K10),K10&gt;0,K10&lt;=Start_Here!$B$4,ISNUMBER(L10),L10&gt;=Start_Here!$B$4),"Accepted risk; item open","Missing or expired risk acceptance"),D10))</x:f>
        <x:v>Not Started</x:v>
      </x:c>
      <x:c r="N10" s="49" t="str">
        <x:v>CSWP39; CSF2</x:v>
      </x:c>
    </x:row>
    <x:row r="11" ht="66" customHeight="1">
      <x:c r="A11" s="49" t="str">
        <x:v>Testing</x:v>
      </x:c>
      <x:c r="B11" s="49" t="str">
        <x:v>Build non-production test plan for TLS handshake size, certificate chain size, performance, logging, and rollback.</x:v>
      </x:c>
      <x:c r="C11" s="49" t="str">
        <x:v>Test plan and acceptance criteria.</x:v>
      </x:c>
      <x:c r="D11" s="49" t="str">
        <x:v>Not Started</x:v>
      </x:c>
      <x:c r="E11" s="49" t="str">
        <x:v>P1</x:v>
      </x:c>
      <x:c r="F11" s="49" t="str"/>
      <x:c r="G11" s="51" t="str"/>
      <x:c r="H11" s="49" t="str"/>
      <x:c r="I11" s="49"/>
      <x:c r="J11" s="49"/>
      <x:c r="K11" s="51"/>
      <x:c r="L11" s="51"/>
      <x:c r="M11" s="49" t="str">
        <x:f>IF(D11="Complete",IF(AND(F11&lt;&gt;"",I11&lt;&gt;"",J11&lt;&gt;"",ISNUMBER(K11),K11&gt;0,K11&lt;=Start_Here!$B$4),"Complete with evidence","Missing owner, evidence or review"),IF(D11="Accepted Risk",IF(AND(F11&lt;&gt;"",I11&lt;&gt;"",J11&lt;&gt;"",ISNUMBER(K11),K11&gt;0,K11&lt;=Start_Here!$B$4,ISNUMBER(L11),L11&gt;=Start_Here!$B$4),"Accepted risk; item open","Missing or expired risk acceptance"),D11))</x:f>
        <x:v>Not Started</x:v>
      </x:c>
      <x:c r="N11" s="49" t="str">
        <x:v>CSWP39; CSF2</x:v>
      </x:c>
    </x:row>
    <x:row r="12" ht="66" customHeight="1">
      <x:c r="A12" s="49" t="str">
        <x:v>Operations</x:v>
      </x:c>
      <x:c r="B12" s="49" t="str">
        <x:v>Update change windows, rollback procedures, incident response, monitoring, and exception register.</x:v>
      </x:c>
      <x:c r="C12" s="49" t="str">
        <x:v>Runbook and change record.</x:v>
      </x:c>
      <x:c r="D12" s="49" t="str">
        <x:v>Not Started</x:v>
      </x:c>
      <x:c r="E12" s="49" t="str">
        <x:v>P2</x:v>
      </x:c>
      <x:c r="F12" s="49" t="str"/>
      <x:c r="G12" s="51" t="str"/>
      <x:c r="H12" s="49" t="str"/>
      <x:c r="I12" s="49"/>
      <x:c r="J12" s="49"/>
      <x:c r="K12" s="51"/>
      <x:c r="L12" s="51"/>
      <x:c r="M12" s="49" t="str">
        <x:f>IF(D12="Complete",IF(AND(F12&lt;&gt;"",I12&lt;&gt;"",J12&lt;&gt;"",ISNUMBER(K12),K12&gt;0,K12&lt;=Start_Here!$B$4),"Complete with evidence","Missing owner, evidence or review"),IF(D12="Accepted Risk",IF(AND(F12&lt;&gt;"",I12&lt;&gt;"",J12&lt;&gt;"",ISNUMBER(K12),K12&gt;0,K12&lt;=Start_Here!$B$4,ISNUMBER(L12),L12&gt;=Start_Here!$B$4),"Accepted risk; item open","Missing or expired risk acceptance"),D12))</x:f>
        <x:v>Not Started</x:v>
      </x:c>
      <x:c r="N12" s="49" t="str">
        <x:v>CSWP39; CSF2</x:v>
      </x:c>
    </x:row>
    <x:row r="13" ht="66" customHeight="1">
      <x:c r="A13" s="49" t="str">
        <x:v>Training</x:v>
      </x:c>
      <x:c r="B13" s="49" t="str">
        <x:v>Train application, cloud, IAM, PKI, OT, and procurement teams on PQC transition roles.</x:v>
      </x:c>
      <x:c r="C13" s="49" t="str">
        <x:v>Training record and communications.</x:v>
      </x:c>
      <x:c r="D13" s="49" t="str">
        <x:v>Not Started</x:v>
      </x:c>
      <x:c r="E13" s="49" t="str">
        <x:v>P2</x:v>
      </x:c>
      <x:c r="F13" s="49" t="str"/>
      <x:c r="G13" s="51" t="str"/>
      <x:c r="H13" s="49" t="str"/>
      <x:c r="I13" s="49"/>
      <x:c r="J13" s="49"/>
      <x:c r="K13" s="51"/>
      <x:c r="L13" s="51"/>
      <x:c r="M13" s="49" t="str">
        <x:f>IF(D13="Complete",IF(AND(F13&lt;&gt;"",I13&lt;&gt;"",J13&lt;&gt;"",ISNUMBER(K13),K13&gt;0,K13&lt;=Start_Here!$B$4),"Complete with evidence","Missing owner, evidence or review"),IF(D13="Accepted Risk",IF(AND(F13&lt;&gt;"",I13&lt;&gt;"",J13&lt;&gt;"",ISNUMBER(K13),K13&gt;0,K13&lt;=Start_Here!$B$4,ISNUMBER(L13),L13&gt;=Start_Here!$B$4),"Accepted risk; item open","Missing or expired risk acceptance"),D13))</x:f>
        <x:v>Not Started</x:v>
      </x:c>
      <x:c r="N13" s="49" t="str">
        <x:v>CSWP39; CSF2</x:v>
      </x:c>
    </x:row>
    <x:row r="14" ht="66" customHeight="1">
      <x:c r="A14" s="49" t="str">
        <x:v>Governance</x:v>
      </x:c>
      <x:c r="B14" s="49" t="str">
        <x:v>Separate final standards, draft guidance and local deadlines.</x:v>
      </x:c>
      <x:c r="C14" s="49" t="str">
        <x:v>Approved standards register with review owner.</x:v>
      </x:c>
      <x:c r="D14" s="49" t="str">
        <x:v>Not Started</x:v>
      </x:c>
      <x:c r="E14" s="49" t="str">
        <x:v>P1</x:v>
      </x:c>
      <x:c r="F14" s="49"/>
      <x:c r="G14" s="51"/>
      <x:c r="H14" s="49"/>
      <x:c r="I14" s="49"/>
      <x:c r="J14" s="49"/>
      <x:c r="K14" s="51"/>
      <x:c r="L14" s="51"/>
      <x:c r="M14" s="49" t="str">
        <x:f>IF(D14="Complete",IF(AND(F14&lt;&gt;"",I14&lt;&gt;"",J14&lt;&gt;"",ISNUMBER(K14),K14&gt;0,K14&lt;=Start_Here!$B$4),"Complete with evidence","Missing owner, evidence or review"),IF(D14="Accepted Risk",IF(AND(F14&lt;&gt;"",I14&lt;&gt;"",J14&lt;&gt;"",ISNUMBER(K14),K14&gt;0,K14&lt;=Start_Here!$B$4,ISNUMBER(L14),L14&gt;=Start_Here!$B$4),"Accepted risk; item open","Missing or expired risk acceptance"),D14))</x:f>
        <x:v>Not Started</x:v>
      </x:c>
      <x:c r="N14" s="49" t="str">
        <x:v>IR8547 draft; CSWP39</x:v>
      </x:c>
    </x:row>
    <x:row r="15" ht="66" customHeight="1">
      <x:c r="A15" s="49" t="str">
        <x:v>Inventory</x:v>
      </x:c>
      <x:c r="B15" s="49" t="str">
        <x:v>Record dependency edges, deployed versions and discovery dates.</x:v>
      </x:c>
      <x:c r="C15" s="49" t="str">
        <x:v>Network, source, configuration and vendor evidence reconciled.</x:v>
      </x:c>
      <x:c r="D15" s="49" t="str">
        <x:v>Not Started</x:v>
      </x:c>
      <x:c r="E15" s="49" t="str">
        <x:v>P1</x:v>
      </x:c>
      <x:c r="F15" s="49"/>
      <x:c r="G15" s="51"/>
      <x:c r="H15" s="49"/>
      <x:c r="I15" s="49"/>
      <x:c r="J15" s="49"/>
      <x:c r="K15" s="51"/>
      <x:c r="L15" s="51"/>
      <x:c r="M15" s="49" t="str">
        <x:f>IF(D15="Complete",IF(AND(F15&lt;&gt;"",I15&lt;&gt;"",J15&lt;&gt;"",ISNUMBER(K15),K15&gt;0,K15&lt;=Start_Here!$B$4),"Complete with evidence","Missing owner, evidence or review"),IF(D15="Accepted Risk",IF(AND(F15&lt;&gt;"",I15&lt;&gt;"",J15&lt;&gt;"",ISNUMBER(K15),K15&gt;0,K15&lt;=Start_Here!$B$4,ISNUMBER(L15),L15&gt;=Start_Here!$B$4),"Accepted risk; item open","Missing or expired risk acceptance"),D15))</x:f>
        <x:v>Not Started</x:v>
      </x:c>
      <x:c r="N15" s="49" t="str">
        <x:v>SP180038B draft; CSWP39</x:v>
      </x:c>
    </x:row>
    <x:row r="16" ht="66" customHeight="1">
      <x:c r="A16" s="49" t="str">
        <x:v>Inventory</x:v>
      </x:c>
      <x:c r="B16" s="49" t="str">
        <x:v>Measure completeness against an independently defined asset population.</x:v>
      </x:c>
      <x:c r="C16" s="49" t="str">
        <x:v>CMDB/cloud/identity scope reconciliation, unknowns and exclusions.</x:v>
      </x:c>
      <x:c r="D16" s="49" t="str">
        <x:v>Not Started</x:v>
      </x:c>
      <x:c r="E16" s="49" t="str">
        <x:v>P1</x:v>
      </x:c>
      <x:c r="F16" s="49"/>
      <x:c r="G16" s="51"/>
      <x:c r="H16" s="49"/>
      <x:c r="I16" s="49"/>
      <x:c r="J16" s="49"/>
      <x:c r="K16" s="51"/>
      <x:c r="L16" s="51"/>
      <x:c r="M16" s="49" t="str">
        <x:f>IF(D16="Complete",IF(AND(F16&lt;&gt;"",I16&lt;&gt;"",J16&lt;&gt;"",ISNUMBER(K16),K16&gt;0,K16&lt;=Start_Here!$B$4),"Complete with evidence","Missing owner, evidence or review"),IF(D16="Accepted Risk",IF(AND(F16&lt;&gt;"",I16&lt;&gt;"",J16&lt;&gt;"",ISNUMBER(K16),K16&gt;0,K16&lt;=Start_Here!$B$4,ISNUMBER(L16),L16&gt;=Start_Here!$B$4),"Accepted risk; item open","Missing or expired risk acceptance"),D16))</x:f>
        <x:v>Not Started</x:v>
      </x:c>
      <x:c r="N16" s="49" t="str">
        <x:v>CSWP39; CSF2</x:v>
      </x:c>
    </x:row>
    <x:row r="17" ht="66" customHeight="1">
      <x:c r="A17" s="49" t="str">
        <x:v>Risk</x:v>
      </x:c>
      <x:c r="B17" s="49" t="str">
        <x:v>Record confidentiality lifetime, signature verification lifetime and migration lead time.</x:v>
      </x:c>
      <x:c r="C17" s="49" t="str">
        <x:v>Data-owner retention and long-lived firmware/archive requirements.</x:v>
      </x:c>
      <x:c r="D17" s="49" t="str">
        <x:v>Not Started</x:v>
      </x:c>
      <x:c r="E17" s="49" t="str">
        <x:v>P1</x:v>
      </x:c>
      <x:c r="F17" s="49"/>
      <x:c r="G17" s="51"/>
      <x:c r="H17" s="49"/>
      <x:c r="I17" s="49"/>
      <x:c r="J17" s="49"/>
      <x:c r="K17" s="51"/>
      <x:c r="L17" s="51"/>
      <x:c r="M17" s="49" t="str">
        <x:f>IF(D17="Complete",IF(AND(F17&lt;&gt;"",I17&lt;&gt;"",J17&lt;&gt;"",ISNUMBER(K17),K17&gt;0,K17&lt;=Start_Here!$B$4),"Complete with evidence","Missing owner, evidence or review"),IF(D17="Accepted Risk",IF(AND(F17&lt;&gt;"",I17&lt;&gt;"",J17&lt;&gt;"",ISNUMBER(K17),K17&gt;0,K17&lt;=Start_Here!$B$4,ISNUMBER(L17),L17&gt;=Start_Here!$B$4),"Accepted risk; item open","Missing or expired risk acceptance"),D17))</x:f>
        <x:v>Not Started</x:v>
      </x:c>
      <x:c r="N17" s="49" t="str">
        <x:v>IR8547 draft; CSWP39</x:v>
      </x:c>
    </x:row>
    <x:row r="18" ht="66" customHeight="1">
      <x:c r="A18" s="49" t="str">
        <x:v>Algorithms</x:v>
      </x:c>
      <x:c r="B18" s="49" t="str">
        <x:v>Use ML-KEM for shared-secret establishment and ML-DSA/SLH-DSA for signatures.</x:v>
      </x:c>
      <x:c r="C18" s="49" t="str">
        <x:v>Selected parameters and current FIPS errata recorded.</x:v>
      </x:c>
      <x:c r="D18" s="49" t="str">
        <x:v>Not Started</x:v>
      </x:c>
      <x:c r="E18" s="49" t="str">
        <x:v>P1</x:v>
      </x:c>
      <x:c r="F18" s="49"/>
      <x:c r="G18" s="51"/>
      <x:c r="H18" s="49"/>
      <x:c r="I18" s="49"/>
      <x:c r="J18" s="49"/>
      <x:c r="K18" s="51"/>
      <x:c r="L18" s="51"/>
      <x:c r="M18" s="49" t="str">
        <x:f>IF(D18="Complete",IF(AND(F18&lt;&gt;"",I18&lt;&gt;"",J18&lt;&gt;"",ISNUMBER(K18),K18&gt;0,K18&lt;=Start_Here!$B$4),"Complete with evidence","Missing owner, evidence or review"),IF(D18="Accepted Risk",IF(AND(F18&lt;&gt;"",I18&lt;&gt;"",J18&lt;&gt;"",ISNUMBER(K18),K18&gt;0,K18&lt;=Start_Here!$B$4,ISNUMBER(L18),L18&gt;=Start_Here!$B$4),"Accepted risk; item open","Missing or expired risk acceptance"),D18))</x:f>
        <x:v>Not Started</x:v>
      </x:c>
      <x:c r="N18" s="49" t="str">
        <x:v>FIPS203; FIPS204; FIPS205</x:v>
      </x:c>
    </x:row>
    <x:row r="19" ht="66" customHeight="1">
      <x:c r="A19" s="49" t="str">
        <x:v>KEM design</x:v>
      </x:c>
      <x:c r="B19" s="49" t="str">
        <x:v>Review KEM key generation, encapsulation/decapsulation, randomness, KDF and protocol authentication.</x:v>
      </x:c>
      <x:c r="C19" s="49" t="str">
        <x:v>SP 800-227 design review and implementation evidence.</x:v>
      </x:c>
      <x:c r="D19" s="49" t="str">
        <x:v>Not Started</x:v>
      </x:c>
      <x:c r="E19" s="49" t="str">
        <x:v>P1</x:v>
      </x:c>
      <x:c r="F19" s="49"/>
      <x:c r="G19" s="51"/>
      <x:c r="H19" s="49"/>
      <x:c r="I19" s="49"/>
      <x:c r="J19" s="49"/>
      <x:c r="K19" s="51"/>
      <x:c r="L19" s="51"/>
      <x:c r="M19" s="49" t="str">
        <x:f>IF(D19="Complete",IF(AND(F19&lt;&gt;"",I19&lt;&gt;"",J19&lt;&gt;"",ISNUMBER(K19),K19&gt;0,K19&lt;=Start_Here!$B$4),"Complete with evidence","Missing owner, evidence or review"),IF(D19="Accepted Risk",IF(AND(F19&lt;&gt;"",I19&lt;&gt;"",J19&lt;&gt;"",ISNUMBER(K19),K19&gt;0,K19&lt;=Start_Here!$B$4,ISNUMBER(L19),L19&gt;=Start_Here!$B$4),"Accepted risk; item open","Missing or expired risk acceptance"),D19))</x:f>
        <x:v>Not Started</x:v>
      </x:c>
      <x:c r="N19" s="49" t="str">
        <x:v>SP800227</x:v>
      </x:c>
    </x:row>
    <x:row r="20" ht="66" customHeight="1">
      <x:c r="A20" s="49" t="str">
        <x:v>Implementation</x:v>
      </x:c>
      <x:c r="B20" s="49" t="str">
        <x:v>Check side-channel/fault handling, decapsulation failure behavior, key handling and secret zeroization.</x:v>
      </x:c>
      <x:c r="C20" s="49" t="str">
        <x:v>Supplier assurance, test results and applicable module validation.</x:v>
      </x:c>
      <x:c r="D20" s="49" t="str">
        <x:v>Not Started</x:v>
      </x:c>
      <x:c r="E20" s="49" t="str">
        <x:v>P1</x:v>
      </x:c>
      <x:c r="F20" s="49"/>
      <x:c r="G20" s="51"/>
      <x:c r="H20" s="49"/>
      <x:c r="I20" s="49"/>
      <x:c r="J20" s="49"/>
      <x:c r="K20" s="51"/>
      <x:c r="L20" s="51"/>
      <x:c r="M20" s="49" t="str">
        <x:f>IF(D20="Complete",IF(AND(F20&lt;&gt;"",I20&lt;&gt;"",J20&lt;&gt;"",ISNUMBER(K20),K20&gt;0,K20&lt;=Start_Here!$B$4),"Complete with evidence","Missing owner, evidence or review"),IF(D20="Accepted Risk",IF(AND(F20&lt;&gt;"",I20&lt;&gt;"",J20&lt;&gt;"",ISNUMBER(K20),K20&gt;0,K20&lt;=Start_Here!$B$4,ISNUMBER(L20),L20&gt;=Start_Here!$B$4),"Accepted risk; item open","Missing or expired risk acceptance"),D20))</x:f>
        <x:v>Not Started</x:v>
      </x:c>
      <x:c r="N20" s="49" t="str">
        <x:v>SP800227; FIPS203</x:v>
      </x:c>
    </x:row>
    <x:row r="21" ht="66" customHeight="1">
      <x:c r="A21" s="49" t="str">
        <x:v>Protocol</x:v>
      </x:c>
      <x:c r="B21" s="49" t="str">
        <x:v>Approve protocol profile and both peer implementations before deployment.</x:v>
      </x:c>
      <x:c r="C21" s="49" t="str">
        <x:v>Profile maturity, interoperability matrix and negotiated algorithm evidence.</x:v>
      </x:c>
      <x:c r="D21" s="49" t="str">
        <x:v>Not Started</x:v>
      </x:c>
      <x:c r="E21" s="49" t="str">
        <x:v>P1</x:v>
      </x:c>
      <x:c r="F21" s="49"/>
      <x:c r="G21" s="51"/>
      <x:c r="H21" s="49"/>
      <x:c r="I21" s="49"/>
      <x:c r="J21" s="49"/>
      <x:c r="K21" s="51"/>
      <x:c r="L21" s="51"/>
      <x:c r="M21" s="49" t="str">
        <x:f>IF(D21="Complete",IF(AND(F21&lt;&gt;"",I21&lt;&gt;"",J21&lt;&gt;"",ISNUMBER(K21),K21&gt;0,K21&lt;=Start_Here!$B$4),"Complete with evidence","Missing owner, evidence or review"),IF(D21="Accepted Risk",IF(AND(F21&lt;&gt;"",I21&lt;&gt;"",J21&lt;&gt;"",ISNUMBER(K21),K21&gt;0,K21&lt;=Start_Here!$B$4,ISNUMBER(L21),L21&gt;=Start_Here!$B$4),"Accepted risk; item open","Missing or expired risk acceptance"),D21))</x:f>
        <x:v>Not Started</x:v>
      </x:c>
      <x:c r="N21" s="49" t="str">
        <x:v>SP180038C draft; CSWP39</x:v>
      </x:c>
    </x:row>
    <x:row r="22" ht="66" customHeight="1">
      <x:c r="A22" s="49" t="str">
        <x:v>Protocol</x:v>
      </x:c>
      <x:c r="B22" s="49" t="str">
        <x:v>Prevent silent fallback and exercise downgrade/algorithm-confusion handling.</x:v>
      </x:c>
      <x:c r="C22" s="49" t="str">
        <x:v>Negative tests and negotiated-suite alerts.</x:v>
      </x:c>
      <x:c r="D22" s="49" t="str">
        <x:v>Not Started</x:v>
      </x:c>
      <x:c r="E22" s="49" t="str">
        <x:v>P1</x:v>
      </x:c>
      <x:c r="F22" s="49"/>
      <x:c r="G22" s="51"/>
      <x:c r="H22" s="49"/>
      <x:c r="I22" s="49"/>
      <x:c r="J22" s="49"/>
      <x:c r="K22" s="51"/>
      <x:c r="L22" s="51"/>
      <x:c r="M22" s="49" t="str">
        <x:f>IF(D22="Complete",IF(AND(F22&lt;&gt;"",I22&lt;&gt;"",J22&lt;&gt;"",ISNUMBER(K22),K22&gt;0,K22&lt;=Start_Here!$B$4),"Complete with evidence","Missing owner, evidence or review"),IF(D22="Accepted Risk",IF(AND(F22&lt;&gt;"",I22&lt;&gt;"",J22&lt;&gt;"",ISNUMBER(K22),K22&gt;0,K22&lt;=Start_Here!$B$4,ISNUMBER(L22),L22&gt;=Start_Here!$B$4),"Accepted risk; item open","Missing or expired risk acceptance"),D22))</x:f>
        <x:v>Not Started</x:v>
      </x:c>
      <x:c r="N22" s="49" t="str">
        <x:v>CSWP39; SP800227</x:v>
      </x:c>
    </x:row>
    <x:row r="23" ht="66" customHeight="1">
      <x:c r="A23" s="49" t="str">
        <x:v>Validation</x:v>
      </x:c>
      <x:c r="B23" s="49" t="str">
        <x:v>Distinguish algorithm standard, algorithm testing and module validation.</x:v>
      </x:c>
      <x:c r="C23" s="49" t="str">
        <x:v>CAVP/ACVP evidence and CMVP certificate, version and operating environment where required.</x:v>
      </x:c>
      <x:c r="D23" s="49" t="str">
        <x:v>Not Started</x:v>
      </x:c>
      <x:c r="E23" s="49" t="str">
        <x:v>P1</x:v>
      </x:c>
      <x:c r="F23" s="49"/>
      <x:c r="G23" s="51"/>
      <x:c r="H23" s="49"/>
      <x:c r="I23" s="49"/>
      <x:c r="J23" s="49"/>
      <x:c r="K23" s="51"/>
      <x:c r="L23" s="51"/>
      <x:c r="M23" s="49" t="str">
        <x:f>IF(D23="Complete",IF(AND(F23&lt;&gt;"",I23&lt;&gt;"",J23&lt;&gt;"",ISNUMBER(K23),K23&gt;0,K23&lt;=Start_Here!$B$4),"Complete with evidence","Missing owner, evidence or review"),IF(D23="Accepted Risk",IF(AND(F23&lt;&gt;"",I23&lt;&gt;"",J23&lt;&gt;"",ISNUMBER(K23),K23&gt;0,K23&lt;=Start_Here!$B$4,ISNUMBER(L23),L23&gt;=Start_Here!$B$4),"Accepted risk; item open","Missing or expired risk acceptance"),D23))</x:f>
        <x:v>Not Started</x:v>
      </x:c>
      <x:c r="N23" s="49" t="str">
        <x:v>CMVP; FIPS203</x:v>
      </x:c>
    </x:row>
    <x:row r="24" ht="66" customHeight="1">
      <x:c r="A24" s="49" t="str">
        <x:v>Testing</x:v>
      </x:c>
      <x:c r="B24" s="49" t="str">
        <x:v>Test packet fragmentation, MTU, CPU, memory, load and denial-of-service limits.</x:v>
      </x:c>
      <x:c r="C24" s="49" t="str">
        <x:v>Baseline-versus-PQC measurements and documented acceptance limits.</x:v>
      </x:c>
      <x:c r="D24" s="49" t="str">
        <x:v>Not Started</x:v>
      </x:c>
      <x:c r="E24" s="49" t="str">
        <x:v>P1</x:v>
      </x:c>
      <x:c r="F24" s="49"/>
      <x:c r="G24" s="51"/>
      <x:c r="H24" s="49"/>
      <x:c r="I24" s="49"/>
      <x:c r="J24" s="49"/>
      <x:c r="K24" s="51"/>
      <x:c r="L24" s="51"/>
      <x:c r="M24" s="49" t="str">
        <x:f>IF(D24="Complete",IF(AND(F24&lt;&gt;"",I24&lt;&gt;"",J24&lt;&gt;"",ISNUMBER(K24),K24&gt;0,K24&lt;=Start_Here!$B$4),"Complete with evidence","Missing owner, evidence or review"),IF(D24="Accepted Risk",IF(AND(F24&lt;&gt;"",I24&lt;&gt;"",J24&lt;&gt;"",ISNUMBER(K24),K24&gt;0,K24&lt;=Start_Here!$B$4,ISNUMBER(L24),L24&gt;=Start_Here!$B$4),"Accepted risk; item open","Missing or expired risk acceptance"),D24))</x:f>
        <x:v>Not Started</x:v>
      </x:c>
      <x:c r="N24" s="49" t="str">
        <x:v>SP180038C draft; CSWP39</x:v>
      </x:c>
    </x:row>
    <x:row r="25" ht="66" customHeight="1">
      <x:c r="A25" s="49" t="str">
        <x:v>PKI/signatures</x:v>
      </x:c>
      <x:c r="B25" s="49" t="str">
        <x:v>Test enrollment, chain validation, revocation, trust-store changes and legacy verifiers.</x:v>
      </x:c>
      <x:c r="C25" s="49" t="str">
        <x:v>CA/RA and relying-party test matrix, archived signature handling.</x:v>
      </x:c>
      <x:c r="D25" s="49" t="str">
        <x:v>Not Started</x:v>
      </x:c>
      <x:c r="E25" s="49" t="str">
        <x:v>P1</x:v>
      </x:c>
      <x:c r="F25" s="49"/>
      <x:c r="G25" s="51"/>
      <x:c r="H25" s="49"/>
      <x:c r="I25" s="49"/>
      <x:c r="J25" s="49"/>
      <x:c r="K25" s="51"/>
      <x:c r="L25" s="51"/>
      <x:c r="M25" s="49" t="str">
        <x:f>IF(D25="Complete",IF(AND(F25&lt;&gt;"",I25&lt;&gt;"",J25&lt;&gt;"",ISNUMBER(K25),K25&gt;0,K25&lt;=Start_Here!$B$4),"Complete with evidence","Missing owner, evidence or review"),IF(D25="Accepted Risk",IF(AND(F25&lt;&gt;"",I25&lt;&gt;"",J25&lt;&gt;"",ISNUMBER(K25),K25&gt;0,K25&lt;=Start_Here!$B$4,ISNUMBER(L25),L25&gt;=Start_Here!$B$4),"Accepted risk; item open","Missing or expired risk acceptance"),D25))</x:f>
        <x:v>Not Started</x:v>
      </x:c>
      <x:c r="N25" s="49" t="str">
        <x:v>FIPS204; FIPS205; CSWP39</x:v>
      </x:c>
    </x:row>
    <x:row r="26" ht="66" customHeight="1">
      <x:c r="A26" s="49" t="str">
        <x:v>Recovery</x:v>
      </x:c>
      <x:c r="B26" s="49" t="str">
        <x:v>Test backup restore, rewrapping, key recovery and rollback without uncontrolled downgrade.</x:v>
      </x:c>
      <x:c r="C26" s="49" t="str">
        <x:v>Dated recovery exercise and owner-approved rollback thresholds.</x:v>
      </x:c>
      <x:c r="D26" s="49" t="str">
        <x:v>Not Started</x:v>
      </x:c>
      <x:c r="E26" s="49" t="str">
        <x:v>P1</x:v>
      </x:c>
      <x:c r="F26" s="49"/>
      <x:c r="G26" s="51"/>
      <x:c r="H26" s="49"/>
      <x:c r="I26" s="49"/>
      <x:c r="J26" s="49"/>
      <x:c r="K26" s="51"/>
      <x:c r="L26" s="51"/>
      <x:c r="M26" s="49" t="str">
        <x:f>IF(D26="Complete",IF(AND(F26&lt;&gt;"",I26&lt;&gt;"",J26&lt;&gt;"",ISNUMBER(K26),K26&gt;0,K26&lt;=Start_Here!$B$4),"Complete with evidence","Missing owner, evidence or review"),IF(D26="Accepted Risk",IF(AND(F26&lt;&gt;"",I26&lt;&gt;"",J26&lt;&gt;"",ISNUMBER(K26),K26&gt;0,K26&lt;=Start_Here!$B$4,ISNUMBER(L26),L26&gt;=Start_Here!$B$4),"Accepted risk; item open","Missing or expired risk acceptance"),D26))</x:f>
        <x:v>Not Started</x:v>
      </x:c>
      <x:c r="N26" s="49" t="str">
        <x:v>SP80057; CSWP39</x:v>
      </x:c>
    </x:row>
    <x:row r="27" ht="66" customHeight="1">
      <x:c r="A27" s="49" t="str">
        <x:v>Supplier</x:v>
      </x:c>
      <x:c r="B27" s="49" t="str">
        <x:v>Track signed release plans, support end dates, algorithm retirement and replacement lead time.</x:v>
      </x:c>
      <x:c r="C27" s="49" t="str">
        <x:v>Contract or release evidence tied to actual component version.</x:v>
      </x:c>
      <x:c r="D27" s="49" t="str">
        <x:v>Not Started</x:v>
      </x:c>
      <x:c r="E27" s="49" t="str">
        <x:v>P1</x:v>
      </x:c>
      <x:c r="F27" s="49"/>
      <x:c r="G27" s="51"/>
      <x:c r="H27" s="49"/>
      <x:c r="I27" s="49"/>
      <x:c r="J27" s="49"/>
      <x:c r="K27" s="51"/>
      <x:c r="L27" s="51"/>
      <x:c r="M27" s="49" t="str">
        <x:f>IF(D27="Complete",IF(AND(F27&lt;&gt;"",I27&lt;&gt;"",J27&lt;&gt;"",ISNUMBER(K27),K27&gt;0,K27&lt;=Start_Here!$B$4),"Complete with evidence","Missing owner, evidence or review"),IF(D27="Accepted Risk",IF(AND(F27&lt;&gt;"",I27&lt;&gt;"",J27&lt;&gt;"",ISNUMBER(K27),K27&gt;0,K27&lt;=Start_Here!$B$4,ISNUMBER(L27),L27&gt;=Start_Here!$B$4),"Accepted risk; item open","Missing or expired risk acceptance"),D27))</x:f>
        <x:v>Not Started</x:v>
      </x:c>
      <x:c r="N27" s="49" t="str">
        <x:v>SP800161; CSWP39</x:v>
      </x:c>
    </x:row>
    <x:row r="28" ht="66" customHeight="1">
      <x:c r="A28" s="49" t="str">
        <x:v>Operations</x:v>
      </x:c>
      <x:c r="B28" s="49" t="str">
        <x:v>Detect crypto drift, newly introduced dependencies, expiring exceptions and changed vendor status.</x:v>
      </x:c>
      <x:c r="C28" s="49" t="str">
        <x:v>Scheduled inventory refresh, release gate and alert/runbook evidence.</x:v>
      </x:c>
      <x:c r="D28" s="49" t="str">
        <x:v>Not Started</x:v>
      </x:c>
      <x:c r="E28" s="49" t="str">
        <x:v>P2</x:v>
      </x:c>
      <x:c r="F28" s="49"/>
      <x:c r="G28" s="51"/>
      <x:c r="H28" s="49"/>
      <x:c r="I28" s="49"/>
      <x:c r="J28" s="49"/>
      <x:c r="K28" s="51"/>
      <x:c r="L28" s="51"/>
      <x:c r="M28" s="49" t="str">
        <x:f>IF(D28="Complete",IF(AND(F28&lt;&gt;"",I28&lt;&gt;"",J28&lt;&gt;"",ISNUMBER(K28),K28&gt;0,K28&lt;=Start_Here!$B$4),"Complete with evidence","Missing owner, evidence or review"),IF(D28="Accepted Risk",IF(AND(F28&lt;&gt;"",I28&lt;&gt;"",J28&lt;&gt;"",ISNUMBER(K28),K28&gt;0,K28&lt;=Start_Here!$B$4,ISNUMBER(L28),L28&gt;=Start_Here!$B$4),"Accepted risk; item open","Missing or expired risk acceptance"),D28))</x:f>
        <x:v>Not Started</x:v>
      </x:c>
      <x:c r="N28" s="49" t="str">
        <x:v>CSWP39; CSF2</x:v>
      </x:c>
    </x:row>
    <x:row r="29" ht="66" customHeight="1">
      <x:c r="A29" s="49" t="str">
        <x:v>Migration</x:v>
      </x:c>
      <x:c r="B29" s="49" t="str">
        <x:v>Retire vulnerable production use and block reintroduction after migration.</x:v>
      </x:c>
      <x:c r="C29" s="49" t="str">
        <x:v>Configuration inventory, negative tests and exception disposition.</x:v>
      </x:c>
      <x:c r="D29" s="49" t="str">
        <x:v>Not Started</x:v>
      </x:c>
      <x:c r="E29" s="49" t="str">
        <x:v>P1</x:v>
      </x:c>
      <x:c r="F29" s="49"/>
      <x:c r="G29" s="51"/>
      <x:c r="H29" s="49"/>
      <x:c r="I29" s="49"/>
      <x:c r="J29" s="49"/>
      <x:c r="K29" s="51"/>
      <x:c r="L29" s="51"/>
      <x:c r="M29" s="49" t="str">
        <x:f>IF(D29="Complete",IF(AND(F29&lt;&gt;"",I29&lt;&gt;"",J29&lt;&gt;"",ISNUMBER(K29),K29&gt;0,K29&lt;=Start_Here!$B$4),"Complete with evidence","Missing owner, evidence or review"),IF(D29="Accepted Risk",IF(AND(F29&lt;&gt;"",I29&lt;&gt;"",J29&lt;&gt;"",ISNUMBER(K29),K29&gt;0,K29&lt;=Start_Here!$B$4,ISNUMBER(L29),L29&gt;=Start_Here!$B$4),"Accepted risk; item open","Missing or expired risk acceptance"),D29))</x:f>
        <x:v>Not Started</x:v>
      </x:c>
      <x:c r="N29" s="49" t="str">
        <x:v>IR8547 draft; CSWP39</x:v>
      </x:c>
    </x:row>
    <x:row r="30" ht="66" customHeight="1">
      <x:c r="A30" s="49" t="str">
        <x:v>Standards watch</x:v>
      </x:c>
      <x:c r="B30" s="49" t="str">
        <x:v>Track FN-DSA, HQC and additional signature work without treating pending standards as final.</x:v>
      </x:c>
      <x:c r="C30" s="49" t="str">
        <x:v>Quarterly standards review with as-of date.</x:v>
      </x:c>
      <x:c r="D30" s="49" t="str">
        <x:v>Not Started</x:v>
      </x:c>
      <x:c r="E30" s="49" t="str">
        <x:v>P2</x:v>
      </x:c>
      <x:c r="F30" s="49"/>
      <x:c r="G30" s="51"/>
      <x:c r="H30" s="49"/>
      <x:c r="I30" s="49"/>
      <x:c r="J30" s="49"/>
      <x:c r="K30" s="51"/>
      <x:c r="L30" s="51"/>
      <x:c r="M30" s="49" t="str">
        <x:f>IF(D30="Complete",IF(AND(F30&lt;&gt;"",I30&lt;&gt;"",J30&lt;&gt;"",ISNUMBER(K30),K30&gt;0,K30&lt;=Start_Here!$B$4),"Complete with evidence","Missing owner, evidence or review"),IF(D30="Accepted Risk",IF(AND(F30&lt;&gt;"",I30&lt;&gt;"",J30&lt;&gt;"",ISNUMBER(K30),K30&gt;0,K30&lt;=Start_Here!$B$4,ISNUMBER(L30),L30&gt;=Start_Here!$B$4),"Accepted risk; item open","Missing or expired risk acceptance"),D30))</x:f>
        <x:v>Not Started</x:v>
      </x:c>
      <x:c r="N30" s="49" t="str">
        <x:v>NIST status</x:v>
      </x:c>
    </x:row>
    <x:row r="31" ht="66" customHeight="1">
      <x:c r="A31" s="49" t="str">
        <x:v>Governance</x:v>
      </x:c>
      <x:c r="B31" s="49" t="str">
        <x:v>Review 2027 and later roadmap annually and after standards or threat changes.</x:v>
      </x:c>
      <x:c r="C31" s="49" t="str">
        <x:v>Risk-approved budget, milestones and updated source-status register.</x:v>
      </x:c>
      <x:c r="D31" s="49" t="str">
        <x:v>Not Started</x:v>
      </x:c>
      <x:c r="E31" s="49" t="str">
        <x:v>P2</x:v>
      </x:c>
      <x:c r="F31" s="49"/>
      <x:c r="G31" s="51"/>
      <x:c r="H31" s="49"/>
      <x:c r="I31" s="49"/>
      <x:c r="J31" s="49"/>
      <x:c r="K31" s="51"/>
      <x:c r="L31" s="51"/>
      <x:c r="M31" s="49" t="str">
        <x:f>IF(D31="Complete",IF(AND(F31&lt;&gt;"",I31&lt;&gt;"",J31&lt;&gt;"",ISNUMBER(K31),K31&gt;0,K31&lt;=Start_Here!$B$4),"Complete with evidence","Missing owner, evidence or review"),IF(D31="Accepted Risk",IF(AND(F31&lt;&gt;"",I31&lt;&gt;"",J31&lt;&gt;"",ISNUMBER(K31),K31&gt;0,K31&lt;=Start_Here!$B$4,ISNUMBER(L31),L31&gt;=Start_Here!$B$4),"Accepted risk; item open","Missing or expired risk acceptance"),D31))</x:f>
        <x:v>Not Started</x:v>
      </x:c>
      <x:c r="N31" s="49" t="str">
        <x:v>CSWP39; CSF2</x:v>
      </x:c>
    </x:row>
    <x:row r="32" ht="66" customHeight="1">
      <x:c r="A32" s="49" t="str">
        <x:v>Threat review</x:v>
      </x:c>
      <x:c r="B32" s="49" t="str">
        <x:v>Assess all Threat_Register scenarios relevant to each asset.</x:v>
      </x:c>
      <x:c r="C32" s="49" t="str">
        <x:v>Threat IDs, control evidence and residual risk decisions.</x:v>
      </x:c>
      <x:c r="D32" s="49" t="str">
        <x:v>Not Started</x:v>
      </x:c>
      <x:c r="E32" s="49" t="str">
        <x:v>P1</x:v>
      </x:c>
      <x:c r="F32" s="49"/>
      <x:c r="G32" s="51"/>
      <x:c r="H32" s="49"/>
      <x:c r="I32" s="49"/>
      <x:c r="J32" s="49"/>
      <x:c r="K32" s="51"/>
      <x:c r="L32" s="51"/>
      <x:c r="M32" s="49" t="str">
        <x:f>IF(D32="Complete",IF(AND(F32&lt;&gt;"",I32&lt;&gt;"",J32&lt;&gt;"",ISNUMBER(K32),K32&gt;0,K32&lt;=Start_Here!$B$4),"Complete with evidence","Missing owner, evidence or review"),IF(D32="Accepted Risk",IF(AND(F32&lt;&gt;"",I32&lt;&gt;"",J32&lt;&gt;"",ISNUMBER(K32),K32&gt;0,K32&lt;=Start_Here!$B$4,ISNUMBER(L32),L32&gt;=Start_Here!$B$4),"Accepted risk; item open","Missing or expired risk acceptance"),D32))</x:f>
        <x:v>Not Started</x:v>
      </x:c>
      <x:c r="N32" s="49" t="str">
        <x:v>CSWP39; IR8547 draft</x:v>
      </x:c>
    </x:row>
    <x:row r="33" ht="66" customHeight="1">
      <x:c r="A33" s="49" t="str">
        <x:v>Architecture</x:v>
      </x:c>
      <x:c r="B33" s="49" t="str">
        <x:v>Keep approved algorithms and profiles small and policy-controlled.</x:v>
      </x:c>
      <x:c r="C33" s="49" t="str">
        <x:v>Versioned allowlist, disabled obsolete algorithms and change approval.</x:v>
      </x:c>
      <x:c r="D33" s="49" t="str">
        <x:v>Not Started</x:v>
      </x:c>
      <x:c r="E33" s="49" t="str">
        <x:v>P1</x:v>
      </x:c>
      <x:c r="F33" s="49"/>
      <x:c r="G33" s="51"/>
      <x:c r="H33" s="49"/>
      <x:c r="I33" s="49"/>
      <x:c r="J33" s="49"/>
      <x:c r="K33" s="51"/>
      <x:c r="L33" s="51"/>
      <x:c r="M33" s="49" t="str">
        <x:f>IF(D33="Complete",IF(AND(F33&lt;&gt;"",I33&lt;&gt;"",J33&lt;&gt;"",ISNUMBER(K33),K33&gt;0,K33&lt;=Start_Here!$B$4),"Complete with evidence","Missing owner, evidence or review"),IF(D33="Accepted Risk",IF(AND(F33&lt;&gt;"",I33&lt;&gt;"",J33&lt;&gt;"",ISNUMBER(K33),K33&gt;0,K33&lt;=Start_Here!$B$4,ISNUMBER(L33),L33&gt;=Start_Here!$B$4),"Accepted risk; item open","Missing or expired risk acceptance"),D33))</x:f>
        <x:v>Not Started</x:v>
      </x:c>
      <x:c r="N33" s="49" t="str">
        <x:v>CSWP39</x:v>
      </x:c>
    </x:row>
    <x:row r="34" ht="66" customHeight="1">
      <x:c r="A34" s="49" t="str">
        <x:v>Architecture</x:v>
      </x:c>
      <x:c r="B34" s="49" t="str">
        <x:v>Version cryptographic message and storage formats so algorithms and parameters can change safely.</x:v>
      </x:c>
      <x:c r="C34" s="49" t="str">
        <x:v>Schema/version negotiation and backward-compatibility tests.</x:v>
      </x:c>
      <x:c r="D34" s="49" t="str">
        <x:v>Not Started</x:v>
      </x:c>
      <x:c r="E34" s="49" t="str">
        <x:v>P2</x:v>
      </x:c>
      <x:c r="F34" s="49"/>
      <x:c r="G34" s="51"/>
      <x:c r="H34" s="49"/>
      <x:c r="I34" s="49"/>
      <x:c r="J34" s="49"/>
      <x:c r="K34" s="51"/>
      <x:c r="L34" s="51"/>
      <x:c r="M34" s="49" t="str">
        <x:f>IF(D34="Complete",IF(AND(F34&lt;&gt;"",I34&lt;&gt;"",J34&lt;&gt;"",ISNUMBER(K34),K34&gt;0,K34&lt;=Start_Here!$B$4),"Complete with evidence","Missing owner, evidence or review"),IF(D34="Accepted Risk",IF(AND(F34&lt;&gt;"",I34&lt;&gt;"",J34&lt;&gt;"",ISNUMBER(K34),K34&gt;0,K34&lt;=Start_Here!$B$4,ISNUMBER(L34),L34&gt;=Start_Here!$B$4),"Accepted risk; item open","Missing or expired risk acceptance"),D34))</x:f>
        <x:v>Not Started</x:v>
      </x:c>
      <x:c r="N34" s="49" t="str">
        <x:v>CSWP39</x:v>
      </x:c>
    </x:row>
    <x:row r="35" ht="66" customHeight="1">
      <x:c r="A35" s="49" t="str">
        <x:v>Response</x:v>
      </x:c>
      <x:c r="B35" s="49" t="str">
        <x:v>Exercise emergency algorithm or provider replacement after compromise or cryptanalytic change.</x:v>
      </x:c>
      <x:c r="C35" s="49" t="str">
        <x:v>Measured transition time, communication, fallback boundaries and recovery drill.</x:v>
      </x:c>
      <x:c r="D35" s="49" t="str">
        <x:v>Not Started</x:v>
      </x:c>
      <x:c r="E35" s="49" t="str">
        <x:v>P1</x:v>
      </x:c>
      <x:c r="F35" s="49"/>
      <x:c r="G35" s="51"/>
      <x:c r="H35" s="49"/>
      <x:c r="I35" s="49"/>
      <x:c r="J35" s="49"/>
      <x:c r="K35" s="51"/>
      <x:c r="L35" s="51"/>
      <x:c r="M35" s="49" t="str">
        <x:f>IF(D35="Complete",IF(AND(F35&lt;&gt;"",I35&lt;&gt;"",J35&lt;&gt;"",ISNUMBER(K35),K35&gt;0,K35&lt;=Start_Here!$B$4),"Complete with evidence","Missing owner, evidence or review"),IF(D35="Accepted Risk",IF(AND(F35&lt;&gt;"",I35&lt;&gt;"",J35&lt;&gt;"",ISNUMBER(K35),K35&gt;0,K35&lt;=Start_Here!$B$4,ISNUMBER(L35),L35&gt;=Start_Here!$B$4),"Accepted risk; item open","Missing or expired risk acceptance"),D35))</x:f>
        <x:v>Not Started</x:v>
      </x:c>
      <x:c r="N35" s="49" t="str">
        <x:v>CSWP39</x:v>
      </x:c>
    </x:row>
    <x:row r="36" ht="66" customHeight="1">
      <x:c r="A36" s="49" t="str">
        <x:v>Standards watch</x:v>
      </x:c>
      <x:c r="B36" s="49" t="str">
        <x:v>Monitor 2026 key-generation, limited-use signature and lifecycle drafts separately from final baselines.</x:v>
      </x:c>
      <x:c r="C36" s="49" t="str">
        <x:v>SP 800-133r3, SP 800-230, SP 800-57r6 and SP 800-131Ar3 status review.</x:v>
      </x:c>
      <x:c r="D36" s="49" t="str">
        <x:v>Not Started</x:v>
      </x:c>
      <x:c r="E36" s="49" t="str">
        <x:v>P2</x:v>
      </x:c>
      <x:c r="F36" s="49"/>
      <x:c r="G36" s="51"/>
      <x:c r="H36" s="49"/>
      <x:c r="I36" s="49"/>
      <x:c r="J36" s="49"/>
      <x:c r="K36" s="51"/>
      <x:c r="L36" s="51"/>
      <x:c r="M36" s="49" t="str">
        <x:f>IF(D36="Complete",IF(AND(F36&lt;&gt;"",I36&lt;&gt;"",J36&lt;&gt;"",ISNUMBER(K36),K36&gt;0,K36&lt;=Start_Here!$B$4),"Complete with evidence","Missing owner, evidence or review"),IF(D36="Accepted Risk",IF(AND(F36&lt;&gt;"",I36&lt;&gt;"",J36&lt;&gt;"",ISNUMBER(K36),K36&gt;0,K36&lt;=Start_Here!$B$4,ISNUMBER(L36),L36&gt;=Start_Here!$B$4),"Accepted risk; item open","Missing or expired risk acceptance"),D36))</x:f>
        <x:v>Not Started</x:v>
      </x:c>
      <x:c r="N36" s="49" t="str">
        <x:v>Draft watch</x:v>
      </x:c>
    </x:row>
    <x:row r="37" ht="66" customHeight="1">
      <x:c r="A37" s="49" t="str">
        <x:v>Identity</x:v>
      </x:c>
      <x:c r="B37" s="49" t="str">
        <x:v>Assess signed tokens and all assertion validators before algorithm migration.</x:v>
      </x:c>
      <x:c r="C37" s="49" t="str">
        <x:v>Issuer/JWKS/trust distribution, rotation, cache and size-limit tests.</x:v>
      </x:c>
      <x:c r="D37" s="49" t="str">
        <x:v>Not Started</x:v>
      </x:c>
      <x:c r="E37" s="49" t="str">
        <x:v>P1</x:v>
      </x:c>
      <x:c r="F37" s="49"/>
      <x:c r="G37" s="51"/>
      <x:c r="H37" s="49"/>
      <x:c r="I37" s="49"/>
      <x:c r="J37" s="49"/>
      <x:c r="K37" s="51"/>
      <x:c r="L37" s="51"/>
      <x:c r="M37" s="49" t="str">
        <x:f>IF(D37="Complete",IF(AND(F37&lt;&gt;"",I37&lt;&gt;"",J37&lt;&gt;"",ISNUMBER(K37),K37&gt;0,K37&lt;=Start_Here!$B$4),"Complete with evidence","Missing owner, evidence or review"),IF(D37="Accepted Risk",IF(AND(F37&lt;&gt;"",I37&lt;&gt;"",J37&lt;&gt;"",ISNUMBER(K37),K37&gt;0,K37&lt;=Start_Here!$B$4,ISNUMBER(L37),L37&gt;=Start_Here!$B$4),"Accepted risk; item open","Missing or expired risk acceptance"),D37))</x:f>
        <x:v>Not Started</x:v>
      </x:c>
      <x:c r="N37" s="49" t="str">
        <x:v>IR8587; SP800228</x:v>
      </x:c>
    </x:row>
    <x:row r="38" ht="66" customHeight="1">
      <x:c r="A38" s="49" t="str">
        <x:v>Validation</x:v>
      </x:c>
      <x:c r="B38" s="49" t="str">
        <x:v>Recheck module certificate status after the September 2026 active-list transition.</x:v>
      </x:c>
      <x:c r="C38" s="49" t="str">
        <x:v>CMVP certificate status/date, module/version/environment, approved mode and PQC services. Historical is not revoked.</x:v>
      </x:c>
      <x:c r="D38" s="49" t="str">
        <x:v>Not Started</x:v>
      </x:c>
      <x:c r="E38" s="49" t="str">
        <x:v>P1</x:v>
      </x:c>
      <x:c r="F38" s="49"/>
      <x:c r="G38" s="51"/>
      <x:c r="H38" s="49"/>
      <x:c r="I38" s="49"/>
      <x:c r="J38" s="49"/>
      <x:c r="K38" s="51"/>
      <x:c r="L38" s="51"/>
      <x:c r="M38" s="49" t="str">
        <x:f>IF(D38="Complete",IF(AND(F38&lt;&gt;"",I38&lt;&gt;"",J38&lt;&gt;"",ISNUMBER(K38),K38&gt;0,K38&lt;=Start_Here!$B$4),"Complete with evidence","Missing owner, evidence or review"),IF(D38="Accepted Risk",IF(AND(F38&lt;&gt;"",I38&lt;&gt;"",J38&lt;&gt;"",ISNUMBER(K38),K38&gt;0,K38&lt;=Start_Here!$B$4,ISNUMBER(L38),L38&gt;=Start_Here!$B$4),"Accepted risk; item open","Missing or expired risk acceptance"),D38))</x:f>
        <x:v>Not Started</x:v>
      </x:c>
      <x:c r="N38" s="49" t="str">
        <x:v>CMVP; CAVP</x:v>
      </x:c>
    </x:row>
  </x:sheetData>
  <x:dataValidations count="4">
    <x:dataValidation type="list" sqref="D2:D13">
      <x:formula1>"Not Started,In Progress,Blocked,Complete,Accepted Risk"</x:formula1>
    </x:dataValidation>
    <x:dataValidation type="list" sqref="E2:E13">
      <x:formula1>"P1,P2,P3"</x:formula1>
    </x:dataValidation>
    <x:dataValidation type="list" sqref="D2:D38">
      <x:formula1>"Not Started,In Progress,Blocked,Complete,Accepted Risk"</x:formula1>
    </x:dataValidation>
    <x:dataValidation type="list" sqref="E2:E38">
      <x:formula1>"P1,P2,P3"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60" hidden="0" customWidth="1"/>
    <x:col min="4" max="4" width="60" hidden="0" customWidth="1"/>
  </x:cols>
  <x:sheetData>
    <x:row r="1" ht="40" hidden="0" customHeight="1">
      <x:c r="A1" s="28" t="str">
        <x:v>Scoring Model</x:v>
      </x:c>
      <x:c r="B1" s="29"/>
      <x:c r="C1" s="29"/>
      <x:c r="D1" s="29"/>
      <x:c r="E1" s="29"/>
      <x:c r="F1" s="29"/>
      <x:c r="G1" s="29"/>
      <x:c r="H1" s="29"/>
    </x:row>
    <x:row r="2" ht="44" hidden="0" customHeight="1">
      <x:c r="A2" s="13" t="str">
        <x:v>Local risk-priority heuristic, not a NIST scoring scheme or compliance result. Higher supplier and effort scores mean a larger migration gap.</x:v>
      </x:c>
      <x:c r="B2" s="29"/>
      <x:c r="C2" s="29"/>
      <x:c r="D2" s="29"/>
      <x:c r="E2" s="29"/>
      <x:c r="F2" s="29"/>
      <x:c r="G2" s="29"/>
      <x:c r="H2" s="29"/>
    </x:row>
    <x:row r="3" ht="23" hidden="0" customHeight="1">
      <x:c r="A3" s="22" t="str">
        <x:v>Version</x:v>
      </x:c>
      <x:c r="B3" s="13" t="str">
        <x:v>v2.0</x:v>
      </x:c>
      <x:c r="C3" s="29"/>
      <x:c r="D3" s="29"/>
      <x:c r="E3" s="29"/>
      <x:c r="F3" s="29"/>
      <x:c r="G3" s="29"/>
      <x:c r="H3" s="29"/>
    </x:row>
    <x:row r="4" ht="23" hidden="0" customHeight="1">
      <x:c r="A4" s="22" t="str">
        <x:v>Updated</x:v>
      </x:c>
      <x:c r="B4" s="39" t="n">
        <x:v>46294</x:v>
      </x:c>
      <x:c r="C4" s="29"/>
      <x:c r="D4" s="29"/>
      <x:c r="E4" s="29"/>
      <x:c r="F4" s="29"/>
      <x:c r="G4" s="29"/>
      <x:c r="H4" s="29"/>
    </x:row>
    <x:row r="5" ht="23" hidden="0" customHeight="1">
      <x:c r="A5" s="22" t="str">
        <x:v>Author / Maintainer</x:v>
      </x:c>
      <x:c r="B5" s="13" t="str">
        <x:v>Ankit Gupta</x:v>
      </x:c>
      <x:c r="C5" s="29"/>
      <x:c r="D5" s="29"/>
      <x:c r="E5" s="29"/>
      <x:c r="F5" s="29"/>
      <x:c r="G5" s="29"/>
      <x:c r="H5" s="29"/>
    </x:row>
    <x:row r="7">
      <x:c r="A7" s="44" t="str">
        <x:v>Factor</x:v>
      </x:c>
      <x:c r="B7" s="44" t="str">
        <x:v>Weight</x:v>
      </x:c>
      <x:c r="C7" s="44" t="str">
        <x:v>High Score Means</x:v>
      </x:c>
      <x:c r="D7" s="44" t="str">
        <x:v>Example evidence</x:v>
      </x:c>
    </x:row>
    <x:row r="8" ht="58" customHeight="1">
      <x:c r="A8" s="48" t="str">
        <x:v>Data Life Score</x:v>
      </x:c>
      <x:c r="B8" s="62" t="n">
        <x:v>0.25</x:v>
      </x:c>
      <x:c r="C8" s="48" t="str">
        <x:v>Long-lived or sensitive data could remain valuable after future quantum capability.</x:v>
      </x:c>
      <x:c r="D8" s="48" t="str">
        <x:v>Retention schedule, data classification, legal/regulatory horizon.</x:v>
      </x:c>
    </x:row>
    <x:row r="9" ht="58" customHeight="1">
      <x:c r="A9" s="48" t="str">
        <x:v>External Exposure Score</x:v>
      </x:c>
      <x:c r="B9" s="62" t="n">
        <x:v>0.15</x:v>
      </x:c>
      <x:c r="C9" s="48" t="str">
        <x:v>Asset is internet-facing or reachable by partners/suppliers.</x:v>
      </x:c>
      <x:c r="D9" s="48" t="str">
        <x:v>Attack surface scan, network zone, access path.</x:v>
      </x:c>
    </x:row>
    <x:row r="10" ht="58" customHeight="1">
      <x:c r="A10" s="48" t="str">
        <x:v>Criticality Score</x:v>
      </x:c>
      <x:c r="B10" s="62" t="n">
        <x:v>0.2</x:v>
      </x:c>
      <x:c r="C10" s="48" t="str">
        <x:v>Asset supports critical business, safety, regulatory, or customer trust functions.</x:v>
      </x:c>
      <x:c r="D10" s="48" t="str">
        <x:v>BIA, critical service mapping, RTO/RPO.</x:v>
      </x:c>
    </x:row>
    <x:row r="11" ht="58" customHeight="1">
      <x:c r="A11" s="48" t="str">
        <x:v>Quantum Vulnerability Score</x:v>
      </x:c>
      <x:c r="B11" s="62" t="n">
        <x:v>0.25</x:v>
      </x:c>
      <x:c r="C11" s="48" t="str">
        <x:v>Classical public-key 5; unknown 4; hybrid 3; symmetric/hash 2; standardized PQC 1. Classify complete use case, not algorithm substring.</x:v>
      </x:c>
      <x:c r="D11" s="48" t="str">
        <x:v>Certificate scan, library report, protocol scan.</x:v>
      </x:c>
    </x:row>
    <x:row r="12" ht="58" customHeight="1">
      <x:c r="A12" s="48" t="str">
        <x:v>Supplier Readiness Score</x:v>
      </x:c>
      <x:c r="B12" s="62" t="n">
        <x:v>0.1</x:v>
      </x:c>
      <x:c r="C12" s="48" t="str">
        <x:v>Vendor roadmap is unknown, unsupported, or lacks tested PQC migration path.</x:v>
      </x:c>
      <x:c r="D12" s="48" t="str">
        <x:v>Vendor response, product roadmap, support contract.</x:v>
      </x:c>
    </x:row>
    <x:row r="13" ht="58" customHeight="1">
      <x:c r="A13" s="48" t="str">
        <x:v>Migration Effort Score</x:v>
      </x:c>
      <x:c r="B13" s="62" t="n">
        <x:v>0.05</x:v>
      </x:c>
      <x:c r="C13" s="48" t="str">
        <x:v>Crypto is embedded, firmware-bound, or requires significant refactoring.</x:v>
      </x:c>
      <x:c r="D13" s="48" t="str">
        <x:v>Architecture record, firmware inventory, change impact analysis.</x:v>
      </x:c>
    </x:row>
    <x:row r="14" ht="58" customHeight="1">
      <x:c r="A14" s="49" t="str">
        <x:v>Total weight</x:v>
      </x:c>
      <x:c r="B14" s="63" t="n">
        <x:f>SUM(B8:B13)</x:f>
        <x:v>1</x:v>
      </x:c>
      <x:c r="C14" s="49" t="str">
        <x:v>Must equal 100%; blank weights are incomplete. Zero is a valid approved weight.</x:v>
      </x:c>
      <x:c r="D14" s="49"/>
    </x:row>
    <x:row r="15" ht="58" customHeight="1">
      <x:c r="A15" s="49" t="str">
        <x:v>Weight validity</x:v>
      </x:c>
      <x:c r="B15" s="49" t="str">
        <x:f>IF(AND(COUNT(B8:B13)=6,MIN(B8:B13)&gt;=0,MAX(B8:B13)&lt;=1,ABS(SUM(B8:B13)-1)&lt;0.000001,ISNUMBER(B17),ISNUMBER(B18),B17&gt;B18,B17&lt;=100,B18&gt;=20),"Valid weights","Review weights or thresholds")</x:f>
        <x:v>Valid weights</x:v>
      </x:c>
      <x:c r="C15" s="49" t="str">
        <x:v>Each weight is 0–100%; six numeric weights are required.</x:v>
      </x:c>
      <x:c r="D15" s="49"/>
    </x:row>
    <x:row r="16" ht="58" customHeight="1">
      <x:c r="A16" s="49" t="str">
        <x:v>Priority thresholds</x:v>
      </x:c>
      <x:c r="B16" s="49"/>
      <x:c r="C16" s="49" t="str">
        <x:v>Local thresholds; P1 must exceed P2.</x:v>
      </x:c>
      <x:c r="D16" s="49"/>
    </x:row>
    <x:row r="17" ht="58" customHeight="1">
      <x:c r="A17" s="49" t="str">
        <x:v>P1 minimum</x:v>
      </x:c>
      <x:c r="B17" s="65" t="n">
        <x:v>80</x:v>
      </x:c>
      <x:c r="C17" s="49" t="str">
        <x:v>Risk score at or above this cutoff.</x:v>
      </x:c>
      <x:c r="D17" s="49"/>
    </x:row>
    <x:row r="18" ht="58" customHeight="1">
      <x:c r="A18" s="49" t="str">
        <x:v>P2 minimum</x:v>
      </x:c>
      <x:c r="B18" s="65" t="n">
        <x:v>55</x:v>
      </x:c>
      <x:c r="C18" s="49" t="str">
        <x:v>Risk score at or above this cutoff and below P1.</x:v>
      </x:c>
      <x:c r="D18" s="49"/>
    </x:row>
    <x:row r="19" ht="58" customHeight="1">
      <x:c r="A19" s="49" t="str">
        <x:v>Score range</x:v>
      </x:c>
      <x:c r="B19" s="49" t="str">
        <x:v>20–100</x:v>
      </x:c>
      <x:c r="C19" s="49" t="str">
        <x:v>Weighted 1–5 inputs scaled by 20. Higher means earlier migration review.</x:v>
      </x:c>
      <x:c r="D19" s="49"/>
    </x:row>
    <x:row r="20" ht="58" customHeight="1">
      <x:c r="A20" s="49" t="str">
        <x:v>Unknown inputs</x:v>
      </x:c>
      <x:c r="B20" s="49" t="str">
        <x:v>Investigate</x:v>
      </x:c>
      <x:c r="C20" s="49" t="str">
        <x:v>Unknowns use conservative local values. They are not evidence of safety.</x:v>
      </x:c>
      <x:c r="D20" s="49"/>
    </x:row>
    <x:row r="21" ht="58" customHeight="1">
      <x:c r="A21" s="49" t="str">
        <x:v>Missing inputs</x:v>
      </x:c>
      <x:c r="B21" s="49" t="str">
        <x:v>Needs data</x:v>
      </x:c>
      <x:c r="C21" s="49" t="str">
        <x:v>Blank source fields are not assigned default scores. Duplicate IDs block scoring.</x:v>
      </x:c>
      <x:c r="D21" s="49"/>
    </x:row>
    <x:row r="22" ht="58" customHeight="1">
      <x:c r="A22" s="49" t="str">
        <x:v>Algorithm caveat</x:v>
      </x:c>
      <x:c r="B22" s="49" t="str">
        <x:v>Whole use case</x:v>
      </x:c>
      <x:c r="C22" s="49" t="str">
        <x:v>A PQ KEM with classical authentication is still partly quantum-vulnerable. Hybrid receives a provisional score until its profile and endpoints are verified.</x:v>
      </x:c>
      <x:c r="D22" s="49"/>
    </x:row>
    <x:row r="23" ht="58" customHeight="1">
      <x:c r="A23" s="49" t="str">
        <x:v>Protection lifetime</x:v>
      </x:c>
      <x:c r="B23" s="49" t="str">
        <x:v>Confidentiality and integrity</x:v>
      </x:c>
      <x:c r="C23" s="49" t="str">
        <x:v>Inventory lifetime covers both confidentiality retention and signature/firmware verification lifetime. Consider migration lead time without predicting quantum arrival.</x:v>
      </x:c>
      <x:c r="D23" s="49"/>
    </x:row>
    <x:row r="24" ht="58" customHeight="1">
      <x:c r="A24" s="49" t="str">
        <x:v>Scope caveat</x:v>
      </x:c>
      <x:c r="B24" s="49" t="str">
        <x:v>Risk review required</x:v>
      </x:c>
      <x:c r="C24" s="49" t="str">
        <x:v>Priority does not imply production readiness or mandatory NIST deadlines. Assess key management, implementation, protocol and dependency risks separately.</x:v>
      </x:c>
      <x:c r="D24" s="49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</x:cols>
  <x:sheetData>
    <x:row r="1" ht="40" customHeight="1">
      <x:c r="A1" s="32" t="str">
        <x:v>Phase</x:v>
      </x:c>
      <x:c r="B1" s="32" t="str">
        <x:v>Objective</x:v>
      </x:c>
      <x:c r="C1" s="32" t="str">
        <x:v>Entry Criteria</x:v>
      </x:c>
      <x:c r="D1" s="32" t="str">
        <x:v>Key Activities</x:v>
      </x:c>
      <x:c r="E1" s="32" t="str">
        <x:v>Exit Criteria</x:v>
      </x:c>
      <x:c r="F1" s="32" t="str">
        <x:v>Evidence Output</x:v>
      </x:c>
    </x:row>
    <x:row r="2" ht="80" customHeight="1">
      <x:c r="A2" s="49" t="str">
        <x:v>1. Discover</x:v>
      </x:c>
      <x:c r="B2" s="49" t="str">
        <x:v>Create a complete cryptographic dependency baseline.</x:v>
      </x:c>
      <x:c r="C2" s="49" t="str">
        <x:v>Defined scope and asset owners.</x:v>
      </x:c>
      <x:c r="D2" s="49" t="str">
        <x:v>Scan certificates, code repos, PKI, cloud, IAM, TLS, VPN, OT, vendors.</x:v>
      </x:c>
      <x:c r="E2" s="49" t="str">
        <x:v>Inventory populated and evidence links captured.</x:v>
      </x:c>
      <x:c r="F2" s="49" t="str">
        <x:v>Crypto inventory and discovery report.</x:v>
      </x:c>
    </x:row>
    <x:row r="3" ht="80" customHeight="1">
      <x:c r="A3" s="49" t="str">
        <x:v>2. Prioritize</x:v>
      </x:c>
      <x:c r="B3" s="49" t="str">
        <x:v>Convert inventory into P1/P2/P3 migration backlog.</x:v>
      </x:c>
      <x:c r="C3" s="49" t="str">
        <x:v>Inventory has risk-scoring fields.</x:v>
      </x:c>
      <x:c r="D3" s="49" t="str">
        <x:v>Score long-lived data, exposure, criticality, quantum vulnerability, supplier readiness, and effort.</x:v>
      </x:c>
      <x:c r="E3" s="49" t="str">
        <x:v>Risk-score review completed.</x:v>
      </x:c>
      <x:c r="F3" s="49" t="str">
        <x:v>Priority backlog and exception register.</x:v>
      </x:c>
    </x:row>
    <x:row r="4" ht="80" customHeight="1">
      <x:c r="A4" s="49" t="str">
        <x:v>3. Design</x:v>
      </x:c>
      <x:c r="B4" s="49" t="str">
        <x:v>Define migration target-state and crypto-agility architecture.</x:v>
      </x:c>
      <x:c r="C4" s="49" t="str">
        <x:v>Priority backlog approved.</x:v>
      </x:c>
      <x:c r="D4" s="49" t="str">
        <x:v>Select supported standards, protocol paths, libraries, certificate profiles, and rollback strategy.</x:v>
      </x:c>
      <x:c r="E4" s="49" t="str">
        <x:v>Target-state design approved.</x:v>
      </x:c>
      <x:c r="F4" s="49" t="str">
        <x:v>Architecture decision record and supplier roadmap.</x:v>
      </x:c>
    </x:row>
    <x:row r="5" ht="80" customHeight="1">
      <x:c r="A5" s="49" t="str">
        <x:v>4. Pilot</x:v>
      </x:c>
      <x:c r="B5" s="49" t="str">
        <x:v>Validate in non-production with measurable acceptance criteria.</x:v>
      </x:c>
      <x:c r="C5" s="49" t="str">
        <x:v>Design and test environment ready.</x:v>
      </x:c>
      <x:c r="D5" s="49" t="str">
        <x:v>Test interoperability, performance, handshake/certificate size, observability, failure, and rollback.</x:v>
      </x:c>
      <x:c r="E5" s="49" t="str">
        <x:v>Pilot acceptance criteria passed; unresolved risks reviewed before production authorization. Risk acceptance does not mark tests passed.</x:v>
      </x:c>
      <x:c r="F5" s="49" t="str">
        <x:v>Pilot report and change plan.</x:v>
      </x:c>
    </x:row>
    <x:row r="6" ht="80" customHeight="1">
      <x:c r="A6" s="49" t="str">
        <x:v>5. Operationalize</x:v>
      </x:c>
      <x:c r="B6" s="49" t="str">
        <x:v>Embed crypto-agility into operations and procurement.</x:v>
      </x:c>
      <x:c r="C6" s="49" t="str">
        <x:v>Pilot evidence reviewed.</x:v>
      </x:c>
      <x:c r="D6" s="49" t="str">
        <x:v>Update policies, procurement language, monitoring, runbooks, training, and periodic inventory process.</x:v>
      </x:c>
      <x:c r="E6" s="49" t="str">
        <x:v>Recurring governance cycle active.</x:v>
      </x:c>
      <x:c r="F6" s="49" t="str">
        <x:v>Runbook, dashboard, release notes, training evidence.</x:v>
      </x:c>
    </x:row>
    <x:row r="7">
      <x:c r="A7" s="49"/>
      <x:c r="B7" s="49"/>
      <x:c r="C7" s="49"/>
      <x:c r="D7" s="49"/>
      <x:c r="E7" s="49"/>
      <x:c r="F7" s="49"/>
    </x:row>
    <x:row r="8">
      <x:c r="A8" s="44" t="str">
        <x:v>Calendar plan</x:v>
      </x:c>
      <x:c r="B8" s="44" t="str">
        <x:v>Local recommended actions</x:v>
      </x:c>
      <x:c r="C8" s="44" t="str">
        <x:v>Entry / priority basis</x:v>
      </x:c>
      <x:c r="D8" s="44" t="str">
        <x:v>Key actions</x:v>
      </x:c>
      <x:c r="E8" s="44" t="str">
        <x:v>Evidence required</x:v>
      </x:c>
      <x:c r="F8" s="44" t="str">
        <x:v>Status / review</x:v>
      </x:c>
    </x:row>
    <x:row r="9" ht="100" customHeight="1">
      <x:c r="A9" s="49" t="str">
        <x:v>2026</x:v>
      </x:c>
      <x:c r="B9" s="49" t="str">
        <x:v>Establish baseline and govern first pilots.</x:v>
      </x:c>
      <x:c r="C9" s="49" t="str">
        <x:v>Long-lived secrets and critical assets first.</x:v>
      </x:c>
      <x:c r="D9" s="49" t="str">
        <x:v>Assign sponsor/owners; reconcile discovery; request supplier versions; test standardized algorithms in supported profiles.</x:v>
      </x:c>
      <x:c r="E9" s="49" t="str">
        <x:v>Versioned inventory, risk backlog and pilot acceptance plan.</x:v>
      </x:c>
      <x:c r="F9" s="49" t="str">
        <x:v>Local target. Recheck current NIST status and applicable obligations.</x:v>
      </x:c>
    </x:row>
    <x:row r="10" ht="100" customHeight="1">
      <x:c r="A10" s="49" t="str">
        <x:v>2027</x:v>
      </x:c>
      <x:c r="B10" s="49" t="str">
        <x:v>Execute prioritized controlled deployments.</x:v>
      </x:c>
      <x:c r="C10" s="49" t="str">
        <x:v>Approved profiles, supported products, test capacity.</x:v>
      </x:c>
      <x:c r="D10" s="49" t="str">
        <x:v>Address high HNDL exposure; validate authentication separately; migrate PKI/signing pilots; expand vendor commitments.</x:v>
      </x:c>
      <x:c r="E10" s="49" t="str">
        <x:v>Measured interoperability/performance results, approval and rollback tests.</x:v>
      </x:c>
      <x:c r="F10" s="49" t="str">
        <x:v>Local target. Monitor procurement and replacement lead times.</x:v>
      </x:c>
    </x:row>
    <x:row r="11" ht="100" customHeight="1">
      <x:c r="A11" s="49" t="str">
        <x:v>2028–2030</x:v>
      </x:c>
      <x:c r="B11" s="49" t="str">
        <x:v>Scale migration and eliminate weaker legacy configurations.</x:v>
      </x:c>
      <x:c r="C11" s="49" t="str">
        <x:v>Validated deployment waves and refreshed risk priorities.</x:v>
      </x:c>
      <x:c r="D11" s="49" t="str">
        <x:v>Retire vulnerable public-key uses by risk. IR 8547 proposes deprecation after 2030 for 112-bit RSA/ECDSA/DH/MQV uses.</x:v>
      </x:c>
      <x:c r="E11" s="49" t="str">
        <x:v>Production discovery, negative fallback tests, exception owners and expiry.</x:v>
      </x:c>
      <x:c r="F11" s="49" t="str">
        <x:v>Draft ≥128-bit rows have no 2030 deprecation entry. 2030 is not a universal production ban.</x:v>
      </x:c>
    </x:row>
    <x:row r="12" ht="100" customHeight="1">
      <x:c r="A12" s="49" t="str">
        <x:v>2031–2035</x:v>
      </x:c>
      <x:c r="B12" s="49" t="str">
        <x:v>Close remaining quantum-vulnerable dependencies.</x:v>
      </x:c>
      <x:c r="C12" s="49" t="str">
        <x:v>Applicable final guidance and obligations reconfirmed.</x:v>
      </x:c>
      <x:c r="D12" s="49" t="str">
        <x:v>Resolve long-lived systems, signing/verification chains, suppliers and approved exceptions. Do not defer high-risk cases until 2035.</x:v>
      </x:c>
      <x:c r="E12" s="49" t="str">
        <x:v>Retirement records, live crypto telemetry, archival verification and recovery tests.</x:v>
      </x:c>
      <x:c r="F12" s="49" t="str">
        <x:v>IR 8547 draft plans disallowance after 2035 for quantum-vulnerable public-key schemes.</x:v>
      </x:c>
    </x:row>
    <x:row r="13" ht="100" customHeight="1">
      <x:c r="A13" s="49" t="str">
        <x:v>Post-2035</x:v>
      </x:c>
      <x:c r="B13" s="49" t="str">
        <x:v>Maintain agility and prevent reintroduction.</x:v>
      </x:c>
      <x:c r="C13" s="49" t="str">
        <x:v>Migrated estate with continuing assurance ownership.</x:v>
      </x:c>
      <x:c r="D13" s="49" t="str">
        <x:v>Continuously discover; rotate/retire algorithms as evidence changes; refresh supported libraries, protocols and recovery plans.</x:v>
      </x:c>
      <x:c r="E13" s="49" t="str">
        <x:v>Recurring crypto inventory, standards/errata watch and incident exercises.</x:v>
      </x:c>
      <x:c r="F13" s="49" t="str">
        <x:v>Continuing local operating model; future standards are not pre-certified.</x:v>
      </x:c>
    </x:row>
    <x:row r="14" ht="100" customHeight="1">
      <x:c r="A14" s="49" t="str">
        <x:v>Planning note</x:v>
      </x:c>
      <x:c r="B14" s="49" t="str">
        <x:v>These are SecureAzCloud milestones.</x:v>
      </x:c>
      <x:c r="C14" s="49" t="str">
        <x:v>NIST does not prescribe this workbook schedule.</x:v>
      </x:c>
      <x:c r="D14" s="49" t="str">
        <x:v>IR 8547 distinguishes algorithms, parameters and uses. Apply the final effective policy for your system.</x:v>
      </x:c>
      <x:c r="E14" s="49" t="str">
        <x:v>Sources tab identifies final/draft status and check date.</x:v>
      </x:c>
      <x:c r="F14" s="49" t="str">
        <x:v>Review at least quarterly and on material change.</x:v>
      </x:c>
    </x:row>
    <x:row r="15" ht="100" customHeight="1">
      <x:c r="A15" s="49" t="str">
        <x:v>Record work</x:v>
      </x:c>
      <x:c r="B15" s="49" t="str">
        <x:v>Assign individual migration actions to asset IDs.</x:v>
      </x:c>
      <x:c r="C15" s="49" t="str">
        <x:v>Use Crypto_Inventory target quarter and owner.</x:v>
      </x:c>
      <x:c r="D15" s="49" t="str">
        <x:v>Record dependency order, maintenance window, test evidence, approval and rollback in your change system.</x:v>
      </x:c>
      <x:c r="E15" s="49" t="str">
        <x:v>Link the change/evidence record in Crypto_Inventory.</x:v>
      </x:c>
      <x:c r="F15" s="49" t="str">
        <x:v>Completion is calculated from actual evidence fields.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66" hidden="0" customWidth="1"/>
    <x:col min="3" max="3" width="52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40" customHeight="1">
      <x:c r="A1" s="44" t="str">
        <x:v>Category</x:v>
      </x:c>
      <x:c r="B1" s="44" t="str">
        <x:v>Supplier Question</x:v>
      </x:c>
      <x:c r="C1" s="44" t="str">
        <x:v>Required Evidence</x:v>
      </x:c>
      <x:c r="D1" s="44" t="str">
        <x:v>Response Status</x:v>
      </x:c>
      <x:c r="E1" s="44" t="str">
        <x:v>Priority</x:v>
      </x:c>
      <x:c r="F1" s="44" t="str">
        <x:v>Owner</x:v>
      </x:c>
      <x:c r="G1" s="44" t="str">
        <x:v>Notes</x:v>
      </x:c>
      <x:c r="H1" s="44" t="str">
        <x:v>Evidence Link</x:v>
      </x:c>
      <x:c r="I1" s="44" t="str">
        <x:v>Reviewed By</x:v>
      </x:c>
      <x:c r="J1" s="44" t="str">
        <x:v>Review Date</x:v>
      </x:c>
      <x:c r="K1" s="44" t="str">
        <x:v>Acceptance Gate</x:v>
      </x:c>
      <x:c r="L1" s="44" t="str">
        <x:v>Source References</x:v>
      </x:c>
    </x:row>
    <x:row r="2" ht="88" customHeight="1">
      <x:c r="A2" s="49" t="str">
        <x:v>Cloud services</x:v>
      </x:c>
      <x:c r="B2" s="49" t="str">
        <x:v>Does the service support NIST-standardized PQC algorithms or documented hybrid transition paths for managed TLS, KMS, HSM, service endpoints, and APIs?</x:v>
      </x:c>
      <x:c r="C2" s="49" t="str">
        <x:v>Product roadmap, version details, test results, support timelines.</x:v>
      </x:c>
      <x:c r="D2" s="49" t="str">
        <x:v>Not Requested</x:v>
      </x:c>
      <x:c r="E2" s="49" t="str">
        <x:v>P1</x:v>
      </x:c>
      <x:c r="F2" s="49" t="str"/>
      <x:c r="G2" s="49" t="str"/>
      <x:c r="H2" s="49"/>
      <x:c r="I2" s="49"/>
      <x:c r="J2" s="51"/>
      <x:c r="K2" s="49" t="str">
        <x:f>IF(D2="Accepted",IF(AND(F2&lt;&gt;"",H2&lt;&gt;"",I2&lt;&gt;"",ISNUMBER(J2),J2&gt;0,J2&lt;=Start_Here!$B$4),"Accepted with evidence","Missing owner, evidence or review"),D2)</x:f>
        <x:v>Not Requested</x:v>
      </x:c>
      <x:c r="L2" s="49" t="str">
        <x:v>CSWP39; SP800161</x:v>
      </x:c>
    </x:row>
    <x:row r="3" ht="88" customHeight="1">
      <x:c r="A3" s="49" t="str">
        <x:v>Web software</x:v>
      </x:c>
      <x:c r="B3" s="49" t="str">
        <x:v>What PQC or hybrid TLS support is available for browsers, web servers, proxies, gateways, and load balancers?</x:v>
      </x:c>
      <x:c r="C3" s="49" t="str">
        <x:v>Supported protocol versions, configuration guide, interoperability notes.</x:v>
      </x:c>
      <x:c r="D3" s="49" t="str">
        <x:v>Not Requested</x:v>
      </x:c>
      <x:c r="E3" s="49" t="str">
        <x:v>P1</x:v>
      </x:c>
      <x:c r="F3" s="49" t="str"/>
      <x:c r="G3" s="49" t="str"/>
      <x:c r="H3" s="49"/>
      <x:c r="I3" s="49"/>
      <x:c r="J3" s="51"/>
      <x:c r="K3" s="49" t="str">
        <x:f>IF(D3="Accepted",IF(AND(F3&lt;&gt;"",H3&lt;&gt;"",I3&lt;&gt;"",ISNUMBER(J3),J3&gt;0,J3&lt;=Start_Here!$B$4),"Accepted with evidence","Missing owner, evidence or review"),D3)</x:f>
        <x:v>Not Requested</x:v>
      </x:c>
      <x:c r="L3" s="49" t="str">
        <x:v>CSWP39; SP800161</x:v>
      </x:c>
    </x:row>
    <x:row r="4" ht="88" customHeight="1">
      <x:c r="A4" s="49" t="str">
        <x:v>Endpoint/data-at-rest</x:v>
      </x:c>
      <x:c r="B4" s="49" t="str">
        <x:v>How are long-lived encrypted data, full disk encryption, and key wrapping dependencies affected by PQC transition planning?</x:v>
      </x:c>
      <x:c r="C4" s="49" t="str">
        <x:v>Algorithm inventory, KMS/HSM roadmap, lifecycle documentation.</x:v>
      </x:c>
      <x:c r="D4" s="49" t="str">
        <x:v>Not Requested</x:v>
      </x:c>
      <x:c r="E4" s="49" t="str">
        <x:v>P2</x:v>
      </x:c>
      <x:c r="F4" s="49" t="str"/>
      <x:c r="G4" s="49" t="str"/>
      <x:c r="H4" s="49"/>
      <x:c r="I4" s="49"/>
      <x:c r="J4" s="51"/>
      <x:c r="K4" s="49" t="str">
        <x:f>IF(D4="Accepted",IF(AND(F4&lt;&gt;"",H4&lt;&gt;"",I4&lt;&gt;"",ISNUMBER(J4),J4&gt;0,J4&lt;=Start_Here!$B$4),"Accepted with evidence","Missing owner, evidence or review"),D4)</x:f>
        <x:v>Not Requested</x:v>
      </x:c>
      <x:c r="L4" s="49" t="str">
        <x:v>CSWP39; SP800161</x:v>
      </x:c>
    </x:row>
    <x:row r="5" ht="88" customHeight="1">
      <x:c r="A5" s="49" t="str">
        <x:v>PKI/certificates</x:v>
      </x:c>
      <x:c r="B5" s="49" t="str">
        <x:v>What certificate profiles, chain-size limits, key algorithms, and relying-party constraints apply to ML-DSA/SLH-DSA or hybrid trials?</x:v>
      </x:c>
      <x:c r="C5" s="49" t="str">
        <x:v>CA roadmap, certificate profile, interoperability test result.</x:v>
      </x:c>
      <x:c r="D5" s="49" t="str">
        <x:v>Not Requested</x:v>
      </x:c>
      <x:c r="E5" s="49" t="str">
        <x:v>P1</x:v>
      </x:c>
      <x:c r="F5" s="49" t="str"/>
      <x:c r="G5" s="49" t="str"/>
      <x:c r="H5" s="49"/>
      <x:c r="I5" s="49"/>
      <x:c r="J5" s="51"/>
      <x:c r="K5" s="49" t="str">
        <x:f>IF(D5="Accepted",IF(AND(F5&lt;&gt;"",H5&lt;&gt;"",I5&lt;&gt;"",ISNUMBER(J5),J5&gt;0,J5&lt;=Start_Here!$B$4),"Accepted with evidence","Missing owner, evidence or review"),D5)</x:f>
        <x:v>Not Requested</x:v>
      </x:c>
      <x:c r="L5" s="49" t="str">
        <x:v>CSWP39; SP800161</x:v>
      </x:c>
    </x:row>
    <x:row r="6" ht="88" customHeight="1">
      <x:c r="A6" s="49" t="str">
        <x:v>Identity/IAM</x:v>
      </x:c>
      <x:c r="B6" s="49" t="str">
        <x:v>How will token signing, federation metadata, workload identity, and service credential verification migrate?</x:v>
      </x:c>
      <x:c r="C6" s="49" t="str">
        <x:v>IdP roadmap, signing algorithm support, relying-party guidance.</x:v>
      </x:c>
      <x:c r="D6" s="49" t="str">
        <x:v>Not Requested</x:v>
      </x:c>
      <x:c r="E6" s="49" t="str">
        <x:v>P1</x:v>
      </x:c>
      <x:c r="F6" s="49" t="str"/>
      <x:c r="G6" s="49" t="str"/>
      <x:c r="H6" s="49"/>
      <x:c r="I6" s="49"/>
      <x:c r="J6" s="51"/>
      <x:c r="K6" s="49" t="str">
        <x:f>IF(D6="Accepted",IF(AND(F6&lt;&gt;"",H6&lt;&gt;"",I6&lt;&gt;"",ISNUMBER(J6),J6&gt;0,J6&lt;=Start_Here!$B$4),"Accepted with evidence","Missing owner, evidence or review"),D6)</x:f>
        <x:v>Not Requested</x:v>
      </x:c>
      <x:c r="L6" s="49" t="str">
        <x:v>CSWP39; SP800161</x:v>
      </x:c>
    </x:row>
    <x:row r="7" ht="88" customHeight="1">
      <x:c r="A7" s="49" t="str">
        <x:v>OT/ICS</x:v>
      </x:c>
      <x:c r="B7" s="49" t="str">
        <x:v>What firmware, gateway, protocol, and maintenance-window constraints affect PQC or hybrid deployment?</x:v>
      </x:c>
      <x:c r="C7" s="49" t="str">
        <x:v>Support lifecycle, test procedure, rollback guidance.</x:v>
      </x:c>
      <x:c r="D7" s="49" t="str">
        <x:v>Not Requested</x:v>
      </x:c>
      <x:c r="E7" s="49" t="str">
        <x:v>P1</x:v>
      </x:c>
      <x:c r="F7" s="49" t="str"/>
      <x:c r="G7" s="49" t="str"/>
      <x:c r="H7" s="49"/>
      <x:c r="I7" s="49"/>
      <x:c r="J7" s="51"/>
      <x:c r="K7" s="49" t="str">
        <x:f>IF(D7="Accepted",IF(AND(F7&lt;&gt;"",H7&lt;&gt;"",I7&lt;&gt;"",ISNUMBER(J7),J7&gt;0,J7&lt;=Start_Here!$B$4),"Accepted with evidence","Missing owner, evidence or review"),D7)</x:f>
        <x:v>Not Requested</x:v>
      </x:c>
      <x:c r="L7" s="49" t="str">
        <x:v>CSWP39; SP800161</x:v>
      </x:c>
    </x:row>
    <x:row r="8" ht="88" customHeight="1">
      <x:c r="A8" s="49" t="str">
        <x:v>Supply chain</x:v>
      </x:c>
      <x:c r="B8" s="49" t="str">
        <x:v>Can supplier provide SBOM/CBOM or equivalent cryptographic disclosure with algorithm, key size, protocol, library, and dependency details?</x:v>
      </x:c>
      <x:c r="C8" s="49" t="str">
        <x:v>CBOM/SBOM, architecture evidence, cryptographic bill of materials.</x:v>
      </x:c>
      <x:c r="D8" s="49" t="str">
        <x:v>Not Requested</x:v>
      </x:c>
      <x:c r="E8" s="49" t="str">
        <x:v>P1</x:v>
      </x:c>
      <x:c r="F8" s="49" t="str"/>
      <x:c r="G8" s="49" t="str"/>
      <x:c r="H8" s="49"/>
      <x:c r="I8" s="49"/>
      <x:c r="J8" s="51"/>
      <x:c r="K8" s="49" t="str">
        <x:f>IF(D8="Accepted",IF(AND(F8&lt;&gt;"",H8&lt;&gt;"",I8&lt;&gt;"",ISNUMBER(J8),J8&gt;0,J8&lt;=Start_Here!$B$4),"Accepted with evidence","Missing owner, evidence or review"),D8)</x:f>
        <x:v>Not Requested</x:v>
      </x:c>
      <x:c r="L8" s="49" t="str">
        <x:v>CSWP39; SP800161</x:v>
      </x:c>
    </x:row>
    <x:row r="9" ht="88" customHeight="1">
      <x:c r="A9" s="49" t="str">
        <x:v>Standards status</x:v>
      </x:c>
      <x:c r="B9" s="49" t="str">
        <x:v>Which exact FIPS algorithms, parameter sets and current errata apply to the offered version?</x:v>
      </x:c>
      <x:c r="C9" s="49" t="str">
        <x:v>Algorithm identifiers, versioned documentation and errata disposition.</x:v>
      </x:c>
      <x:c r="D9" s="49" t="str">
        <x:v>Not Requested</x:v>
      </x:c>
      <x:c r="E9" s="49" t="str">
        <x:v>P1</x:v>
      </x:c>
      <x:c r="F9" s="49"/>
      <x:c r="G9" s="49"/>
      <x:c r="H9" s="49"/>
      <x:c r="I9" s="49"/>
      <x:c r="J9" s="51"/>
      <x:c r="K9" s="49" t="str">
        <x:f>IF(D9="Accepted",IF(AND(F9&lt;&gt;"",H9&lt;&gt;"",I9&lt;&gt;"",ISNUMBER(J9),J9&gt;0,J9&lt;=Start_Here!$B$4),"Accepted with evidence","Missing owner, evidence or review"),D9)</x:f>
        <x:v>Not Requested</x:v>
      </x:c>
      <x:c r="L9" s="49" t="str">
        <x:v>FIPS203; FIPS204; FIPS205</x:v>
      </x:c>
    </x:row>
    <x:row r="10" ht="88" customHeight="1">
      <x:c r="A10" s="49" t="str">
        <x:v>Validation</x:v>
      </x:c>
      <x:c r="B10" s="49" t="str">
        <x:v>Is algorithm testing or FIPS 140 module validation claimed? What is the exact certificate and operating environment?</x:v>
      </x:c>
      <x:c r="C10" s="49" t="str">
        <x:v>Certificate/status/check date, module version/OE, approved mode and covered PQC services. Roadmap is not validation.</x:v>
      </x:c>
      <x:c r="D10" s="49" t="str">
        <x:v>Not Requested</x:v>
      </x:c>
      <x:c r="E10" s="49" t="str">
        <x:v>P1</x:v>
      </x:c>
      <x:c r="F10" s="49"/>
      <x:c r="G10" s="49"/>
      <x:c r="H10" s="49"/>
      <x:c r="I10" s="49"/>
      <x:c r="J10" s="51"/>
      <x:c r="K10" s="49" t="str">
        <x:f>IF(D10="Accepted",IF(AND(F10&lt;&gt;"",H10&lt;&gt;"",I10&lt;&gt;"",ISNUMBER(J10),J10&gt;0,J10&lt;=Start_Here!$B$4),"Accepted with evidence","Missing owner, evidence or review"),D10)</x:f>
        <x:v>Not Requested</x:v>
      </x:c>
      <x:c r="L10" s="49" t="str">
        <x:v>CMVP; CAVP</x:v>
      </x:c>
    </x:row>
    <x:row r="11" ht="88" customHeight="1">
      <x:c r="A11" s="49" t="str">
        <x:v>Protocol maturity</x:v>
      </x:c>
      <x:c r="B11" s="49" t="str">
        <x:v>Which final or experimental protocol profile is used, and do both endpoints interoperate?</x:v>
      </x:c>
      <x:c r="C11" s="49" t="str">
        <x:v>Profile identifier/status and tested peer/version matrix.</x:v>
      </x:c>
      <x:c r="D11" s="49" t="str">
        <x:v>Not Requested</x:v>
      </x:c>
      <x:c r="E11" s="49" t="str">
        <x:v>P1</x:v>
      </x:c>
      <x:c r="F11" s="49"/>
      <x:c r="G11" s="49"/>
      <x:c r="H11" s="49"/>
      <x:c r="I11" s="49"/>
      <x:c r="J11" s="51"/>
      <x:c r="K11" s="49" t="str">
        <x:f>IF(D11="Accepted",IF(AND(F11&lt;&gt;"",H11&lt;&gt;"",I11&lt;&gt;"",ISNUMBER(J11),J11&gt;0,J11&lt;=Start_Here!$B$4),"Accepted with evidence","Missing owner, evidence or review"),D11)</x:f>
        <x:v>Not Requested</x:v>
      </x:c>
      <x:c r="L11" s="49" t="str">
        <x:v>SP180038C draft; CSWP39</x:v>
      </x:c>
    </x:row>
    <x:row r="12" ht="88" customHeight="1">
      <x:c r="A12" s="49" t="str">
        <x:v>Hybrid and fallback</x:v>
      </x:c>
      <x:c r="B12" s="49" t="str">
        <x:v>What combiner, negotiation, authentication and fallback rules apply? Can downgrade be detected and prevented?</x:v>
      </x:c>
      <x:c r="C12" s="49" t="str">
        <x:v>Design review, configuration and negative-test evidence.</x:v>
      </x:c>
      <x:c r="D12" s="49" t="str">
        <x:v>Not Requested</x:v>
      </x:c>
      <x:c r="E12" s="49" t="str">
        <x:v>P1</x:v>
      </x:c>
      <x:c r="F12" s="49"/>
      <x:c r="G12" s="49"/>
      <x:c r="H12" s="49"/>
      <x:c r="I12" s="49"/>
      <x:c r="J12" s="51"/>
      <x:c r="K12" s="49" t="str">
        <x:f>IF(D12="Accepted",IF(AND(F12&lt;&gt;"",H12&lt;&gt;"",I12&lt;&gt;"",ISNUMBER(J12),J12&gt;0,J12&lt;=Start_Here!$B$4),"Accepted with evidence","Missing owner, evidence or review"),D12)</x:f>
        <x:v>Not Requested</x:v>
      </x:c>
      <x:c r="L12" s="49" t="str">
        <x:v>SP800227; CSWP39</x:v>
      </x:c>
    </x:row>
    <x:row r="13" ht="88" customHeight="1">
      <x:c r="A13" s="49" t="str">
        <x:v>KEM assurance</x:v>
      </x:c>
      <x:c r="B13" s="49" t="str">
        <x:v>How are randomness, key lifecycle, decapsulation errors and side-channel/fault protections handled?</x:v>
      </x:c>
      <x:c r="C13" s="49" t="str">
        <x:v>Implementation assurance and SP 800-227 control evidence.</x:v>
      </x:c>
      <x:c r="D13" s="49" t="str">
        <x:v>Not Requested</x:v>
      </x:c>
      <x:c r="E13" s="49" t="str">
        <x:v>P1</x:v>
      </x:c>
      <x:c r="F13" s="49"/>
      <x:c r="G13" s="49"/>
      <x:c r="H13" s="49"/>
      <x:c r="I13" s="49"/>
      <x:c r="J13" s="51"/>
      <x:c r="K13" s="49" t="str">
        <x:f>IF(D13="Accepted",IF(AND(F13&lt;&gt;"",H13&lt;&gt;"",I13&lt;&gt;"",ISNUMBER(J13),J13&gt;0,J13&lt;=Start_Here!$B$4),"Accepted with evidence","Missing owner, evidence or review"),D13)</x:f>
        <x:v>Not Requested</x:v>
      </x:c>
      <x:c r="L13" s="49" t="str">
        <x:v>SP800227</x:v>
      </x:c>
    </x:row>
    <x:row r="14" ht="88" customHeight="1">
      <x:c r="A14" s="49" t="str">
        <x:v>Performance</x:v>
      </x:c>
      <x:c r="B14" s="49" t="str">
        <x:v>What are latency, throughput, CPU/memory, packet/chain sizes and denial-of-service limits?</x:v>
      </x:c>
      <x:c r="C14" s="49" t="str">
        <x:v>Reproducible baseline and PQC load-test results.</x:v>
      </x:c>
      <x:c r="D14" s="49" t="str">
        <x:v>Not Requested</x:v>
      </x:c>
      <x:c r="E14" s="49" t="str">
        <x:v>P1</x:v>
      </x:c>
      <x:c r="F14" s="49"/>
      <x:c r="G14" s="49"/>
      <x:c r="H14" s="49"/>
      <x:c r="I14" s="49"/>
      <x:c r="J14" s="51"/>
      <x:c r="K14" s="49" t="str">
        <x:f>IF(D14="Accepted",IF(AND(F14&lt;&gt;"",H14&lt;&gt;"",I14&lt;&gt;"",ISNUMBER(J14),J14&gt;0,J14&lt;=Start_Here!$B$4),"Accepted with evidence","Missing owner, evidence or review"),D14)</x:f>
        <x:v>Not Requested</x:v>
      </x:c>
      <x:c r="L14" s="49" t="str">
        <x:v>SP180038C draft</x:v>
      </x:c>
    </x:row>
    <x:row r="15" ht="88" customHeight="1">
      <x:c r="A15" s="49" t="str">
        <x:v>Lifecycle</x:v>
      </x:c>
      <x:c r="B15" s="49" t="str">
        <x:v>What are signed commitments for release, support end, algorithm retirement and replacement assistance?</x:v>
      </x:c>
      <x:c r="C15" s="49" t="str">
        <x:v>Contract/release commitments and upgrade path.</x:v>
      </x:c>
      <x:c r="D15" s="49" t="str">
        <x:v>Not Requested</x:v>
      </x:c>
      <x:c r="E15" s="49" t="str">
        <x:v>P1</x:v>
      </x:c>
      <x:c r="F15" s="49"/>
      <x:c r="G15" s="49"/>
      <x:c r="H15" s="49"/>
      <x:c r="I15" s="49"/>
      <x:c r="J15" s="51"/>
      <x:c r="K15" s="49" t="str">
        <x:f>IF(D15="Accepted",IF(AND(F15&lt;&gt;"",H15&lt;&gt;"",I15&lt;&gt;"",ISNUMBER(J15),J15&gt;0,J15&lt;=Start_Here!$B$4),"Accepted with evidence","Missing owner, evidence or review"),D15)</x:f>
        <x:v>Not Requested</x:v>
      </x:c>
      <x:c r="L15" s="49" t="str">
        <x:v>SP800161; CSWP39</x:v>
      </x:c>
    </x:row>
    <x:row r="16" ht="88" customHeight="1">
      <x:c r="A16" s="49" t="str">
        <x:v>Recovery</x:v>
      </x:c>
      <x:c r="B16" s="49" t="str">
        <x:v>Can backup restore, key recovery, rewrapping and rollback retain authentication and approved protection?</x:v>
      </x:c>
      <x:c r="C16" s="49" t="str">
        <x:v>Restore exercise and documented rollback boundaries.</x:v>
      </x:c>
      <x:c r="D16" s="49" t="str">
        <x:v>Not Requested</x:v>
      </x:c>
      <x:c r="E16" s="49" t="str">
        <x:v>P1</x:v>
      </x:c>
      <x:c r="F16" s="49"/>
      <x:c r="G16" s="49"/>
      <x:c r="H16" s="49"/>
      <x:c r="I16" s="49"/>
      <x:c r="J16" s="51"/>
      <x:c r="K16" s="49" t="str">
        <x:f>IF(D16="Accepted",IF(AND(F16&lt;&gt;"",H16&lt;&gt;"",I16&lt;&gt;"",ISNUMBER(J16),J16&gt;0,J16&lt;=Start_Here!$B$4),"Accepted with evidence","Missing owner, evidence or review"),D16)</x:f>
        <x:v>Not Requested</x:v>
      </x:c>
      <x:c r="L16" s="49" t="str">
        <x:v>SP80057; CSWP39</x:v>
      </x:c>
    </x:row>
    <x:row r="17" ht="88" customHeight="1">
      <x:c r="A17" s="49" t="str">
        <x:v>Observability</x:v>
      </x:c>
      <x:c r="B17" s="49" t="str">
        <x:v>Can the service export negotiated suites, unsupported-peer failures and cryptographic inventory deltas?</x:v>
      </x:c>
      <x:c r="C17" s="49" t="str">
        <x:v>Sample logs, inventory API, alert integration and retention.</x:v>
      </x:c>
      <x:c r="D17" s="49" t="str">
        <x:v>Not Requested</x:v>
      </x:c>
      <x:c r="E17" s="49" t="str">
        <x:v>P2</x:v>
      </x:c>
      <x:c r="F17" s="49"/>
      <x:c r="G17" s="49"/>
      <x:c r="H17" s="49"/>
      <x:c r="I17" s="49"/>
      <x:c r="J17" s="51"/>
      <x:c r="K17" s="49" t="str">
        <x:f>IF(D17="Accepted",IF(AND(F17&lt;&gt;"",H17&lt;&gt;"",I17&lt;&gt;"",ISNUMBER(J17),J17&gt;0,J17&lt;=Start_Here!$B$4),"Accepted with evidence","Missing owner, evidence or review"),D17)</x:f>
        <x:v>Not Requested</x:v>
      </x:c>
      <x:c r="L17" s="49" t="str">
        <x:v>CSWP39</x:v>
      </x:c>
    </x:row>
    <x:row r="18" ht="88" customHeight="1">
      <x:c r="A18" s="49" t="str">
        <x:v>Future agility</x:v>
      </x:c>
      <x:c r="B18" s="49" t="str">
        <x:v>Can another algorithm or parameter set be introduced without full application replacement?</x:v>
      </x:c>
      <x:c r="C18" s="49" t="str">
        <x:v>Provider abstraction, update process, kill switch and agility exercise.</x:v>
      </x:c>
      <x:c r="D18" s="49" t="str">
        <x:v>Not Requested</x:v>
      </x:c>
      <x:c r="E18" s="49" t="str">
        <x:v>P2</x:v>
      </x:c>
      <x:c r="F18" s="49"/>
      <x:c r="G18" s="49"/>
      <x:c r="H18" s="49"/>
      <x:c r="I18" s="49"/>
      <x:c r="J18" s="51"/>
      <x:c r="K18" s="49" t="str">
        <x:f>IF(D18="Accepted",IF(AND(F18&lt;&gt;"",H18&lt;&gt;"",I18&lt;&gt;"",ISNUMBER(J18),J18&gt;0,J18&lt;=Start_Here!$B$4),"Accepted with evidence","Missing owner, evidence or review"),D18)</x:f>
        <x:v>Not Requested</x:v>
      </x:c>
      <x:c r="L18" s="49" t="str">
        <x:v>CSWP39</x:v>
      </x:c>
    </x:row>
    <x:row r="19" ht="88" customHeight="1">
      <x:c r="A19" s="49" t="str">
        <x:v>Pending standards</x:v>
      </x:c>
      <x:c r="B19" s="49" t="str">
        <x:v>How are HQC and FN-DSA monitored, and how are experimental features isolated from production claims?</x:v>
      </x:c>
      <x:c r="C19" s="49" t="str">
        <x:v>Status register and policy separating final standards from experiments.</x:v>
      </x:c>
      <x:c r="D19" s="49" t="str">
        <x:v>Not Requested</x:v>
      </x:c>
      <x:c r="E19" s="49" t="str">
        <x:v>P2</x:v>
      </x:c>
      <x:c r="F19" s="49"/>
      <x:c r="G19" s="49"/>
      <x:c r="H19" s="49"/>
      <x:c r="I19" s="49"/>
      <x:c r="J19" s="51"/>
      <x:c r="K19" s="49" t="str">
        <x:f>IF(D19="Accepted",IF(AND(F19&lt;&gt;"",H19&lt;&gt;"",I19&lt;&gt;"",ISNUMBER(J19),J19&gt;0,J19&lt;=Start_Here!$B$4),"Accepted with evidence","Missing owner, evidence or review"),D19)</x:f>
        <x:v>Not Requested</x:v>
      </x:c>
      <x:c r="L19" s="49" t="str">
        <x:v>NIST status</x:v>
      </x:c>
    </x:row>
  </x:sheetData>
  <x:dataValidations count="4">
    <x:dataValidation type="list" sqref="D2:D8">
      <x:formula1>"Not Requested,Requested,Received,Blocked,Accepted"</x:formula1>
    </x:dataValidation>
    <x:dataValidation type="list" sqref="E2:E8">
      <x:formula1>"P1,P2,P3"</x:formula1>
    </x:dataValidation>
    <x:dataValidation type="list" sqref="D2:D19">
      <x:formula1>"Not Requested,Requested,Received,Blocked,Accepted"</x:formula1>
    </x:dataValidation>
    <x:dataValidation type="list" sqref="E2:E19">
      <x:formula1>"P1,P2,P3"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4" hidden="0" customWidth="1"/>
    <x:col min="2" max="2" width="65" hidden="0" customWidth="1"/>
    <x:col min="3" max="3" width="75" hidden="0" customWidth="1"/>
    <x:col min="4" max="4" width="30" hidden="0" customWidth="1"/>
    <x:col min="5" max="5" width="24" hidden="0" customWidth="1"/>
    <x:col min="6" max="6" width="24" hidden="0" customWidth="1"/>
  </x:cols>
  <x:sheetData>
    <x:row r="1" ht="40" hidden="0" customHeight="1">
      <x:c r="A1" s="28" t="str">
        <x:v>Source and Standards Map</x:v>
      </x:c>
      <x:c r="B1" s="29"/>
      <x:c r="C1" s="29"/>
      <x:c r="D1" s="29"/>
      <x:c r="E1" s="29"/>
      <x:c r="F1" s="29"/>
      <x:c r="G1" s="29"/>
      <x:c r="H1" s="29"/>
    </x:row>
    <x:row r="2" ht="44" hidden="0" customHeight="1">
      <x:c r="A2" s="13" t="str">
        <x:v>Public sources used to align this artifact. URLs are provided as plain text for auditability.</x:v>
      </x:c>
      <x:c r="B2" s="29"/>
      <x:c r="C2" s="29"/>
      <x:c r="D2" s="29"/>
      <x:c r="E2" s="29"/>
      <x:c r="F2" s="29"/>
      <x:c r="G2" s="29"/>
      <x:c r="H2" s="29"/>
    </x:row>
    <x:row r="3" ht="23" hidden="0" customHeight="1">
      <x:c r="A3" s="22" t="str">
        <x:v>Version</x:v>
      </x:c>
      <x:c r="B3" s="13" t="str">
        <x:v>v2.0</x:v>
      </x:c>
      <x:c r="C3" s="29"/>
      <x:c r="D3" s="29"/>
      <x:c r="E3" s="29"/>
      <x:c r="F3" s="29"/>
      <x:c r="G3" s="29"/>
      <x:c r="H3" s="29"/>
    </x:row>
    <x:row r="4" ht="23" hidden="0" customHeight="1">
      <x:c r="A4" s="22" t="str">
        <x:v>Updated</x:v>
      </x:c>
      <x:c r="B4" s="39" t="n">
        <x:v>46294</x:v>
      </x:c>
      <x:c r="C4" s="29"/>
      <x:c r="D4" s="29"/>
      <x:c r="E4" s="29"/>
      <x:c r="F4" s="29"/>
      <x:c r="G4" s="29"/>
      <x:c r="H4" s="29"/>
    </x:row>
    <x:row r="5" ht="23" hidden="0" customHeight="1">
      <x:c r="A5" s="22" t="str">
        <x:v>Author / Maintainer</x:v>
      </x:c>
      <x:c r="B5" s="13" t="str">
        <x:v>Ankit Gupta</x:v>
      </x:c>
      <x:c r="C5" s="29"/>
      <x:c r="D5" s="29"/>
      <x:c r="E5" s="29"/>
      <x:c r="F5" s="29"/>
      <x:c r="G5" s="29"/>
      <x:c r="H5" s="29"/>
    </x:row>
    <x:row r="7" ht="36" customHeight="1">
      <x:c r="A7" s="44" t="str">
        <x:v>Source</x:v>
      </x:c>
      <x:c r="B7" s="44" t="str">
        <x:v>Artifact Alignment</x:v>
      </x:c>
      <x:c r="C7" s="44" t="str">
        <x:v>Public URL</x:v>
      </x:c>
      <x:c r="D7" s="44" t="str">
        <x:v>Publication Status</x:v>
      </x:c>
      <x:c r="E7" s="44" t="str">
        <x:v>Publication / Update Date</x:v>
      </x:c>
      <x:c r="F7" s="44" t="str">
        <x:v>Checked On</x:v>
      </x:c>
    </x:row>
    <x:row r="8" ht="76" customHeight="1">
      <x:c r="A8" s="48" t="str">
        <x:v>NIST FIPS 203 (FIPS203)</x:v>
      </x:c>
      <x:c r="B8" s="48" t="str">
        <x:v>ML-KEM shared-secret establishment; not a signature or complete authenticated protocol.</x:v>
      </x:c>
      <x:c r="C8" s="48" t="str">
        <x:v>https://csrc.nist.gov/pubs/fips/203/final</x:v>
      </x:c>
      <x:c r="D8" s="49" t="str">
        <x:v>Final; consult current errata</x:v>
      </x:c>
      <x:c r="E8" s="51" t="n">
        <x:v>45517</x:v>
      </x:c>
      <x:c r="F8" s="51" t="n">
        <x:v>46294</x:v>
      </x:c>
    </x:row>
    <x:row r="9" ht="76" customHeight="1">
      <x:c r="A9" s="48" t="str">
        <x:v>NIST FIPS 204 (FIPS204)</x:v>
      </x:c>
      <x:c r="B9" s="48" t="str">
        <x:v>ML-DSA signatures and verifier/PKI migration.</x:v>
      </x:c>
      <x:c r="C9" s="48" t="str">
        <x:v>https://csrc.nist.gov/pubs/fips/204/final</x:v>
      </x:c>
      <x:c r="D9" s="49" t="str">
        <x:v>Final; consult current errata</x:v>
      </x:c>
      <x:c r="E9" s="51" t="n">
        <x:v>45517</x:v>
      </x:c>
      <x:c r="F9" s="51" t="n">
        <x:v>46294</x:v>
      </x:c>
    </x:row>
    <x:row r="10" ht="76" customHeight="1">
      <x:c r="A10" s="48" t="str">
        <x:v>NIST FIPS 205 (FIPS205)</x:v>
      </x:c>
      <x:c r="B10" s="48" t="str">
        <x:v>SLH-DSA signatures; assess size/performance tradeoffs.</x:v>
      </x:c>
      <x:c r="C10" s="48" t="str">
        <x:v>https://csrc.nist.gov/pubs/fips/205/final</x:v>
      </x:c>
      <x:c r="D10" s="49" t="str">
        <x:v>Final; consult current errata</x:v>
      </x:c>
      <x:c r="E10" s="51" t="n">
        <x:v>45517</x:v>
      </x:c>
      <x:c r="F10" s="51" t="n">
        <x:v>46294</x:v>
      </x:c>
    </x:row>
    <x:row r="11" ht="76" customHeight="1">
      <x:c r="A11" s="48" t="str">
        <x:v>NCCoE Migration to PQC</x:v>
      </x:c>
      <x:c r="B11" s="48" t="str">
        <x:v>Cryptographic discovery and interoperability project context.</x:v>
      </x:c>
      <x:c r="C11" s="48" t="str">
        <x:v>https://www.nccoe.nist.gov/applied-cryptography/migration-to-pqc</x:v>
      </x:c>
      <x:c r="D11" s="49" t="str">
        <x:v>Project page</x:v>
      </x:c>
      <x:c r="E11" s="51" t="str">
        <x:v>Living project page</x:v>
      </x:c>
      <x:c r="F11" s="51" t="n">
        <x:v>46294</x:v>
      </x:c>
    </x:row>
    <x:row r="12" ht="76" customHeight="1">
      <x:c r="A12" s="48" t="str">
        <x:v>NIST CSWP 39 Update 1 (CSWP39)</x:v>
      </x:c>
      <x:c r="B12" s="48" t="str">
        <x:v>Final crypto-agility strategy, governance, abstraction, interoperability and lifecycle.</x:v>
      </x:c>
      <x:c r="C12" s="48" t="str">
        <x:v>https://csrc.nist.gov/pubs/cswp/39/upd1/considerations-for-achieving-crypto-agility/final</x:v>
      </x:c>
      <x:c r="D12" s="49" t="str">
        <x:v>Final 2025-12-19; Update 1</x:v>
      </x:c>
      <x:c r="E12" s="51" t="n">
        <x:v>46202</x:v>
      </x:c>
      <x:c r="F12" s="51" t="n">
        <x:v>46294</x:v>
      </x:c>
    </x:row>
    <x:row r="13" ht="76" customHeight="1">
      <x:c r="A13" s="48" t="str">
        <x:v>NIST SP 800-227 (SP800227)</x:v>
      </x:c>
      <x:c r="B13" s="48" t="str">
        <x:v>KEM use, key handling, implementation and secure protocol integration.</x:v>
      </x:c>
      <x:c r="C13" s="48" t="str">
        <x:v>https://csrc.nist.gov/pubs/sp/800/227/final</x:v>
      </x:c>
      <x:c r="D13" s="49" t="str">
        <x:v>Final</x:v>
      </x:c>
      <x:c r="E13" s="51" t="n">
        <x:v>45918</x:v>
      </x:c>
      <x:c r="F13" s="51" t="n">
        <x:v>46294</x:v>
      </x:c>
    </x:row>
    <x:row r="14" ht="76" customHeight="1">
      <x:c r="A14" s="48" t="str">
        <x:v>NIST IR 8547 (IR8547 draft)</x:v>
      </x:c>
      <x:c r="B14" s="48" t="str">
        <x:v>Proposes deprecation after 2030 for 112-bit RSA/ECDSA/DH/MQV uses. ≥128-bit rows disallow after 2035 without a 2030 deprecation entry.</x:v>
      </x:c>
      <x:c r="C14" s="48" t="str">
        <x:v>https://csrc.nist.gov/pubs/ir/8547/ipd</x:v>
      </x:c>
      <x:c r="D14" s="49" t="str">
        <x:v>Initial Public Draft</x:v>
      </x:c>
      <x:c r="E14" s="51" t="n">
        <x:v>45608</x:v>
      </x:c>
      <x:c r="F14" s="51" t="n">
        <x:v>46294</x:v>
      </x:c>
    </x:row>
    <x:row r="15" ht="76" customHeight="1">
      <x:c r="A15" s="48" t="str">
        <x:v>NIST SP 1800-38B (SP180038B draft)</x:v>
      </x:c>
      <x:c r="B15" s="48" t="str">
        <x:v>Discovery/inventory practices and evidence gaps.</x:v>
      </x:c>
      <x:c r="C15" s="48" t="str">
        <x:v>https://csrc.nist.gov/pubs/sp/1800/38/iprd-(1)</x:v>
      </x:c>
      <x:c r="D15" s="49" t="str">
        <x:v>Initial preliminary draft</x:v>
      </x:c>
      <x:c r="E15" s="51" t="n">
        <x:v>45279</x:v>
      </x:c>
      <x:c r="F15" s="51" t="n">
        <x:v>46294</x:v>
      </x:c>
    </x:row>
    <x:row r="16" ht="76" customHeight="1">
      <x:c r="A16" s="48" t="str">
        <x:v>NIST SP 1800-38C (SP180038C draft)</x:v>
      </x:c>
      <x:c r="B16" s="48" t="str">
        <x:v>Interoperability and performance testing approach.</x:v>
      </x:c>
      <x:c r="C16" s="48" t="str">
        <x:v>https://csrc.nist.gov/pubs/sp/1800/38/iprd-(1)</x:v>
      </x:c>
      <x:c r="D16" s="49" t="str">
        <x:v>Initial preliminary draft</x:v>
      </x:c>
      <x:c r="E16" s="51" t="n">
        <x:v>45279</x:v>
      </x:c>
      <x:c r="F16" s="51" t="n">
        <x:v>46294</x:v>
      </x:c>
    </x:row>
    <x:row r="17" ht="76" customHeight="1">
      <x:c r="A17" s="48" t="str">
        <x:v>NIST SP 800-57 Part 1 Rev. 5 (SP80057)</x:v>
      </x:c>
      <x:c r="B17" s="48" t="str">
        <x:v>Key-management lifecycle, cryptoperiod, recovery and protection requirements.</x:v>
      </x:c>
      <x:c r="C17" s="48" t="str">
        <x:v>https://csrc.nist.gov/pubs/sp/800/57/pt1/r5/final</x:v>
      </x:c>
      <x:c r="D17" s="49" t="str">
        <x:v>Final</x:v>
      </x:c>
      <x:c r="E17" s="51" t="n">
        <x:v>43955</x:v>
      </x:c>
      <x:c r="F17" s="51" t="n">
        <x:v>46294</x:v>
      </x:c>
    </x:row>
    <x:row r="18" ht="76" customHeight="1">
      <x:c r="A18" s="48" t="str">
        <x:v>NIST SP 800-82 Rev. 3 (SP80082)</x:v>
      </x:c>
      <x:c r="B18" s="48" t="str">
        <x:v>Safety, reliability and operational constraints for OT changes.</x:v>
      </x:c>
      <x:c r="C18" s="48" t="str">
        <x:v>https://csrc.nist.gov/pubs/sp/800/82/r3/final</x:v>
      </x:c>
      <x:c r="D18" s="49" t="str">
        <x:v>Final</x:v>
      </x:c>
      <x:c r="E18" s="51" t="n">
        <x:v>45197</x:v>
      </x:c>
      <x:c r="F18" s="51" t="n">
        <x:v>46294</x:v>
      </x:c>
    </x:row>
    <x:row r="19" ht="76" customHeight="1">
      <x:c r="A19" s="49" t="str">
        <x:v>NIST SP 800-161 Rev. 1 Update 1 (SP800161)</x:v>
      </x:c>
      <x:c r="B19" s="49" t="str">
        <x:v>Supplier lifecycle, procurement and supply-chain risk.</x:v>
      </x:c>
      <x:c r="C19" s="49" t="str">
        <x:v>https://csrc.nist.gov/pubs/sp/800/161/r1/upd1/final</x:v>
      </x:c>
      <x:c r="D19" s="49" t="str">
        <x:v>Final Update 1</x:v>
      </x:c>
      <x:c r="E19" s="51" t="n">
        <x:v>45597</x:v>
      </x:c>
      <x:c r="F19" s="51" t="n">
        <x:v>46294</x:v>
      </x:c>
    </x:row>
    <x:row r="20" ht="76" customHeight="1">
      <x:c r="A20" s="49" t="str">
        <x:v>NIST Cybersecurity Framework 2.0 (CSF2)</x:v>
      </x:c>
      <x:c r="B20" s="49" t="str">
        <x:v>Govern, Identify, Protect, Detect, Respond and Recover ownership.</x:v>
      </x:c>
      <x:c r="C20" s="49" t="str">
        <x:v>https://www.nist.gov/cyberframework</x:v>
      </x:c>
      <x:c r="D20" s="49" t="str">
        <x:v>Final</x:v>
      </x:c>
      <x:c r="E20" s="51" t="n">
        <x:v>45348</x:v>
      </x:c>
      <x:c r="F20" s="51" t="n">
        <x:v>46294</x:v>
      </x:c>
    </x:row>
    <x:row r="21" ht="76" customHeight="1">
      <x:c r="A21" s="49" t="str">
        <x:v>NIST PQC project (NIST status)</x:v>
      </x:c>
      <x:c r="B21" s="49" t="str">
        <x:v>Monitor HQC, FN-DSA and additional signature work. Selection is not final standardization.</x:v>
      </x:c>
      <x:c r="C21" s="49" t="str">
        <x:v>https://csrc.nist.gov/projects/post-quantum-cryptography</x:v>
      </x:c>
      <x:c r="D21" s="49" t="str">
        <x:v>Living project. HQC/FN-DSA pending</x:v>
      </x:c>
      <x:c r="E21" s="51" t="str">
        <x:v>Status checked 2026-09-29</x:v>
      </x:c>
      <x:c r="F21" s="51" t="n">
        <x:v>46294</x:v>
      </x:c>
    </x:row>
    <x:row r="22" ht="76" customHeight="1">
      <x:c r="A22" s="49" t="str">
        <x:v>NIST CMVP FAQ (CMVP)</x:v>
      </x:c>
      <x:c r="B22" s="49" t="str">
        <x:v>FIPS 140-2 active eligibility ended after 2026-09-21; only 140-3 stays active from 2026-09-22. Historical is not revoked. Check actual certificate/applicability.</x:v>
      </x:c>
      <x:c r="C22" s="49" t="str">
        <x:v>https://csrc.nist.gov/Projects/cryptographic-module-validation-program/faqs</x:v>
      </x:c>
      <x:c r="D22" s="49" t="str">
        <x:v>Official FAQ</x:v>
      </x:c>
      <x:c r="E22" s="51" t="str">
        <x:v>Checked 2026-09-29</x:v>
      </x:c>
      <x:c r="F22" s="51" t="n">
        <x:v>46294</x:v>
      </x:c>
    </x:row>
    <x:row r="23" ht="76" customHeight="1">
      <x:c r="A23" s="49" t="str">
        <x:v>Local methodology</x:v>
      </x:c>
      <x:c r="B23" s="49" t="str">
        <x:v>P1/P2/P3, weights, gates, threat scenarios and calendar milestones are SecureAzCloud operational recommendations informed by the sources.</x:v>
      </x:c>
      <x:c r="C23" s="49" t="str">
        <x:v>https://github.com/CyberAutomationX/Post-Quantum-Migration-Hub</x:v>
      </x:c>
      <x:c r="D23" s="49" t="str">
        <x:v>Local guidance; no NIST certification</x:v>
      </x:c>
      <x:c r="E23" s="51" t="n">
        <x:v>46294</x:v>
      </x:c>
      <x:c r="F23" s="51" t="n">
        <x:v>46294</x:v>
      </x:c>
    </x:row>
    <x:row r="24" ht="76" customHeight="1">
      <x:c r="A24" s="49" t="str">
        <x:v>NIST CAVP (CAVP)</x:v>
      </x:c>
      <x:c r="B24" s="49" t="str">
        <x:v>Algorithm testing/validation is not module validation or proof of protocol/deployment correctness.</x:v>
      </x:c>
      <x:c r="C24" s="49" t="str">
        <x:v>https://csrc.nist.gov/projects/cryptographic-algorithm-validation-program</x:v>
      </x:c>
      <x:c r="D24" s="49" t="str">
        <x:v>Official validation program</x:v>
      </x:c>
      <x:c r="E24" s="51" t="n">
        <x:v>46287</x:v>
      </x:c>
      <x:c r="F24" s="51" t="n">
        <x:v>46294</x:v>
      </x:c>
    </x:row>
    <x:row r="25" ht="76" customHeight="1">
      <x:c r="A25" s="49" t="str">
        <x:v>NIST IR 8587 (IR8587)</x:v>
      </x:c>
      <x:c r="B25" s="49" t="str">
        <x:v>Signed-token and assertion ecosystems. Section 7.7 PQC migration and verifier interoperability.</x:v>
      </x:c>
      <x:c r="C25" s="49" t="str">
        <x:v>https://csrc.nist.gov/pubs/ir/8587/final</x:v>
      </x:c>
      <x:c r="D25" s="49" t="str">
        <x:v>Final</x:v>
      </x:c>
      <x:c r="E25" s="51" t="n">
        <x:v>46280</x:v>
      </x:c>
      <x:c r="F25" s="51" t="n">
        <x:v>46294</x:v>
      </x:c>
    </x:row>
    <x:row r="26" ht="76" customHeight="1">
      <x:c r="A26" s="49" t="str">
        <x:v>NIST SP 800-228 Update 1 (SP800228)</x:v>
      </x:c>
      <x:c r="B26" s="49" t="str">
        <x:v>API lifecycle risks and controls; updated risk/control appendices.</x:v>
      </x:c>
      <x:c r="C26" s="49" t="str">
        <x:v>https://csrc.nist.gov/pubs/sp/800/228/upd1/final</x:v>
      </x:c>
      <x:c r="D26" s="49" t="str">
        <x:v>Final; original 2025-06-27</x:v>
      </x:c>
      <x:c r="E26" s="51" t="n">
        <x:v>46094</x:v>
      </x:c>
      <x:c r="F26" s="51" t="n">
        <x:v>46294</x:v>
      </x:c>
    </x:row>
    <x:row r="27" ht="76" customHeight="1">
      <x:c r="A27" s="49" t="str">
        <x:v>NIST SP 800-57 Part 1 Rev. 6 (Draft watch)</x:v>
      </x:c>
      <x:c r="B27" s="49" t="str">
        <x:v>PQC-aware key management and storage proposals. Rev. 5 remains final.</x:v>
      </x:c>
      <x:c r="C27" s="49" t="str">
        <x:v>https://csrc.nist.gov/pubs/sp/800/57/pt1/r6/ipd</x:v>
      </x:c>
      <x:c r="D27" s="49" t="str">
        <x:v>Initial Public Draft</x:v>
      </x:c>
      <x:c r="E27" s="51" t="n">
        <x:v>45996</x:v>
      </x:c>
      <x:c r="F27" s="51" t="n">
        <x:v>46294</x:v>
      </x:c>
    </x:row>
    <x:row r="28" ht="76" customHeight="1">
      <x:c r="A28" s="49" t="str">
        <x:v>NIST SP 800-131A Rev. 2</x:v>
      </x:c>
      <x:c r="B28" s="49" t="str">
        <x:v>Current final transition baseline; apply relevant policies and system obligations.</x:v>
      </x:c>
      <x:c r="C28" s="49" t="str">
        <x:v>https://csrc.nist.gov/pubs/sp/800/131/a/r2/final</x:v>
      </x:c>
      <x:c r="D28" s="49" t="str">
        <x:v>Final</x:v>
      </x:c>
      <x:c r="E28" s="51" t="n">
        <x:v>43545</x:v>
      </x:c>
      <x:c r="F28" s="51" t="n">
        <x:v>46294</x:v>
      </x:c>
    </x:row>
    <x:row r="29" ht="76" customHeight="1">
      <x:c r="A29" s="49" t="str">
        <x:v>NIST SP 800-131A Rev. 3 (Draft watch)</x:v>
      </x:c>
      <x:c r="B29" s="49" t="str">
        <x:v>Proposed algorithm/key-strength transitions. Rev. 2 remains final.</x:v>
      </x:c>
      <x:c r="C29" s="49" t="str">
        <x:v>https://csrc.nist.gov/pubs/sp/800/131/a/r3/ipd</x:v>
      </x:c>
      <x:c r="D29" s="49" t="str">
        <x:v>Initial Public Draft</x:v>
      </x:c>
      <x:c r="E29" s="51" t="n">
        <x:v>45586</x:v>
      </x:c>
      <x:c r="F29" s="51" t="n">
        <x:v>46294</x:v>
      </x:c>
    </x:row>
    <x:row r="30" ht="76" customHeight="1">
      <x:c r="A30" s="49" t="str">
        <x:v>NIST SP 800-133 Rev. 3 (Draft watch)</x:v>
      </x:c>
      <x:c r="B30" s="49" t="str">
        <x:v>Proposed PQC key generation, seed expansion, KEM and HSM handling.</x:v>
      </x:c>
      <x:c r="C30" s="49" t="str">
        <x:v>https://csrc.nist.gov/pubs/sp/800/133/r3/ipd</x:v>
      </x:c>
      <x:c r="D30" s="49" t="str">
        <x:v>Initial Public Draft</x:v>
      </x:c>
      <x:c r="E30" s="51" t="n">
        <x:v>46129</x:v>
      </x:c>
      <x:c r="F30" s="51" t="n">
        <x:v>46294</x:v>
      </x:c>
    </x:row>
    <x:row r="31" ht="76" customHeight="1">
      <x:c r="A31" s="49" t="str">
        <x:v>NIST SP 800-230 (Draft watch)</x:v>
      </x:c>
      <x:c r="B31" s="49" t="str">
        <x:v>Proposed limited-use SLH-DSA parameter sets. Strict per-key limits; not final general-purpose options.</x:v>
      </x:c>
      <x:c r="C31" s="49" t="str">
        <x:v>https://csrc.nist.gov/pubs/sp/800/230/ipd</x:v>
      </x:c>
      <x:c r="D31" s="49" t="str">
        <x:v>Initial Public Draft</x:v>
      </x:c>
      <x:c r="E31" s="51" t="n">
        <x:v>46125</x:v>
      </x:c>
      <x:c r="F31" s="51" t="n">
        <x:v>46294</x:v>
      </x:c>
    </x:row>
    <x:row r="32" ht="76" customHeight="1">
      <x:c r="A32" s="49" t="str">
        <x:v>NIST SP 800-82 Rev. 4 (Draft watch)</x:v>
      </x:c>
      <x:c r="B32" s="49" t="str">
        <x:v>OT/IIoT/cloud, asset management, monitoring and system-management proposals. Rev. 3 remains final.</x:v>
      </x:c>
      <x:c r="C32" s="49" t="str">
        <x:v>https://csrc.nist.gov/pubs/sp/800/82/r4/ipd</x:v>
      </x:c>
      <x:c r="D32" s="49" t="str">
        <x:v>Initial Public Draft</x:v>
      </x:c>
      <x:c r="E32" s="51" t="n">
        <x:v>46286</x:v>
      </x:c>
      <x:c r="F32" s="51" t="n">
        <x:v>46294</x:v>
      </x:c>
    </x:row>
    <x:row r="33" ht="76" customHeight="1">
      <x:c r="A33" s="49" t="str">
        <x:v>NIST SP 1339</x:v>
      </x:c>
      <x:c r="B33" s="49" t="str">
        <x:v>Backup and restore evidence integrated with OT change and recovery.</x:v>
      </x:c>
      <x:c r="C33" s="49" t="str">
        <x:v>https://csrc.nist.gov/pubs/sp/1339/final</x:v>
      </x:c>
      <x:c r="D33" s="49" t="str">
        <x:v>Final</x:v>
      </x:c>
      <x:c r="E33" s="51" t="n">
        <x:v>46190</x:v>
      </x:c>
      <x:c r="F33" s="51" t="n">
        <x:v>46294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48" hidden="0" customWidth="1"/>
    <x:col min="4" max="4" width="48" hidden="0" customWidth="1"/>
    <x:col min="5" max="5" width="48" hidden="0" customWidth="1"/>
    <x:col min="6" max="6" width="4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38" customHeight="1">
      <x:c r="A1" s="44" t="str">
        <x:v>Threat ID</x:v>
      </x:c>
      <x:c r="B1" s="44" t="str">
        <x:v>Scenario</x:v>
      </x:c>
      <x:c r="C1" s="44" t="str">
        <x:v>Risk to assess</x:v>
      </x:c>
      <x:c r="D1" s="44" t="str">
        <x:v>Local recommended mitigation</x:v>
      </x:c>
      <x:c r="E1" s="44" t="str">
        <x:v>Expected evidence</x:v>
      </x:c>
      <x:c r="F1" s="44" t="str">
        <x:v>Source references</x:v>
      </x:c>
      <x:c r="G1" s="44" t="str">
        <x:v>Applicable Asset IDs</x:v>
      </x:c>
      <x:c r="H1" s="44" t="str">
        <x:v>Owner</x:v>
      </x:c>
      <x:c r="I1" s="44" t="str">
        <x:v>Status</x:v>
      </x:c>
      <x:c r="J1" s="44" t="str">
        <x:v>Evidence / Decision Link</x:v>
      </x:c>
    </x:row>
    <x:row r="2" ht="98" customHeight="1">
      <x:c r="A2" s="49" t="str">
        <x:v>T01</x:v>
      </x:c>
      <x:c r="B2" s="49" t="str">
        <x:v>Harvest now, decrypt later</x:v>
      </x:c>
      <x:c r="C2" s="49" t="str">
        <x:v>Captured vulnerable key-establishment traffic or wrapped keys may expose long-lived secrets later.</x:v>
      </x:c>
      <x:c r="D2" s="49" t="str">
        <x:v>Prioritize lifetime and collection exposure; migrate key-establishment/key-wrapping dependencies.</x:v>
      </x:c>
      <x:c r="E2" s="49" t="str">
        <x:v>Inventory lifetime, data path and negotiated-suite evidence.</x:v>
      </x:c>
      <x:c r="F2" s="49" t="str">
        <x:v>IR8547 draft; SP800227</x:v>
      </x:c>
      <x:c r="G2" s="49"/>
      <x:c r="H2" s="49"/>
      <x:c r="I2" s="49" t="str">
        <x:v>Not Assessed</x:v>
      </x:c>
      <x:c r="J2" s="49"/>
    </x:row>
    <x:row r="3" ht="98" customHeight="1">
      <x:c r="A3" s="49" t="str">
        <x:v>T02</x:v>
      </x:c>
      <x:c r="B3" s="49" t="str">
        <x:v>Future signature forgery</x:v>
      </x:c>
      <x:c r="C3" s="49" t="str">
        <x:v>Quantum-vulnerable public keys may permit impersonation or forged software/firmware signatures.</x:v>
      </x:c>
      <x:c r="D3" s="49" t="str">
        <x:v>Migrate signing and all verifiers; retain archive and device lifetime requirements.</x:v>
      </x:c>
      <x:c r="E3" s="49" t="str">
        <x:v>Signer, trust-store and verifier dependency tests.</x:v>
      </x:c>
      <x:c r="F3" s="49" t="str">
        <x:v>FIPS204; FIPS205; IR8547 draft</x:v>
      </x:c>
      <x:c r="G3" s="49"/>
      <x:c r="H3" s="49"/>
      <x:c r="I3" s="49" t="str">
        <x:v>Not Assessed</x:v>
      </x:c>
      <x:c r="J3" s="49"/>
    </x:row>
    <x:row r="4" ht="98" customHeight="1">
      <x:c r="A4" s="49" t="str">
        <x:v>T03</x:v>
      </x:c>
      <x:c r="B4" s="49" t="str">
        <x:v>Downgrade and algorithm confusion</x:v>
      </x:c>
      <x:c r="C4" s="49" t="str">
        <x:v>Fallback, unsupported peers or mixed algorithms can bypass intended protection.</x:v>
      </x:c>
      <x:c r="D4" s="49" t="str">
        <x:v>Use reviewed protocol profiles; bind negotiation and authentication; test reject/fallback behavior.</x:v>
      </x:c>
      <x:c r="E4" s="49" t="str">
        <x:v>Negative tests and negotiated-suite alerts.</x:v>
      </x:c>
      <x:c r="F4" s="49" t="str">
        <x:v>CSWP39; SP800227</x:v>
      </x:c>
      <x:c r="G4" s="49"/>
      <x:c r="H4" s="49"/>
      <x:c r="I4" s="49" t="str">
        <x:v>Not Assessed</x:v>
      </x:c>
      <x:c r="J4" s="49"/>
    </x:row>
    <x:row r="5" ht="98" customHeight="1">
      <x:c r="A5" s="49" t="str">
        <x:v>T04</x:v>
      </x:c>
      <x:c r="B5" s="49" t="str">
        <x:v>Availability and size limits</x:v>
      </x:c>
      <x:c r="C5" s="49" t="str">
        <x:v>Larger keys, signatures and messages may trigger fragmentation, timeouts, load or denial-of-service issues.</x:v>
      </x:c>
      <x:c r="D5" s="49" t="str">
        <x:v>Benchmark real paths and constrained peers; set resource and failover limits.</x:v>
      </x:c>
      <x:c r="E5" s="49" t="str">
        <x:v>MTU, memory, latency and load results with acceptance thresholds.</x:v>
      </x:c>
      <x:c r="F5" s="49" t="str">
        <x:v>SP180038C draft; CSWP39</x:v>
      </x:c>
      <x:c r="G5" s="49"/>
      <x:c r="H5" s="49"/>
      <x:c r="I5" s="49" t="str">
        <x:v>Not Assessed</x:v>
      </x:c>
      <x:c r="J5" s="49"/>
    </x:row>
    <x:row r="6" ht="98" customHeight="1">
      <x:c r="A6" s="49" t="str">
        <x:v>T05</x:v>
      </x:c>
      <x:c r="B6" s="49" t="str">
        <x:v>Unmigrated trust dependency</x:v>
      </x:c>
      <x:c r="C6" s="49" t="str">
        <x:v>A migrated transport can leave classical CA, token, code-signing or verifier paths exposed.</x:v>
      </x:c>
      <x:c r="D6" s="49" t="str">
        <x:v>Map dependencies end to end and assess confidentiality versus authentication separately.</x:v>
      </x:c>
      <x:c r="E6" s="49" t="str">
        <x:v>CA/JWKS/relying-party inventory and verification evidence.</x:v>
      </x:c>
      <x:c r="F6" s="49" t="str">
        <x:v>CSWP39</x:v>
      </x:c>
      <x:c r="G6" s="49"/>
      <x:c r="H6" s="49"/>
      <x:c r="I6" s="49" t="str">
        <x:v>Not Assessed</x:v>
      </x:c>
      <x:c r="J6" s="49"/>
    </x:row>
    <x:row r="7" ht="98" customHeight="1">
      <x:c r="A7" s="49" t="str">
        <x:v>T06</x:v>
      </x:c>
      <x:c r="B7" s="49" t="str">
        <x:v>Unsupported or locked-in product</x:v>
      </x:c>
      <x:c r="C7" s="49" t="str">
        <x:v>Firmware, hardware or supplier lifecycle may prevent timely cryptographic replacement.</x:v>
      </x:c>
      <x:c r="D7" s="49" t="str">
        <x:v>Track support end, release commitments and replacement lead time; govern exceptions.</x:v>
      </x:c>
      <x:c r="E7" s="49" t="str">
        <x:v>Vendor commitments, lifecycle dates and approved replacement plan.</x:v>
      </x:c>
      <x:c r="F7" s="49" t="str">
        <x:v>SP800161; CSWP39</x:v>
      </x:c>
      <x:c r="G7" s="49"/>
      <x:c r="H7" s="49"/>
      <x:c r="I7" s="49" t="str">
        <x:v>Not Assessed</x:v>
      </x:c>
      <x:c r="J7" s="49"/>
    </x:row>
    <x:row r="8" ht="98" customHeight="1">
      <x:c r="A8" s="49" t="str">
        <x:v>T07</x:v>
      </x:c>
      <x:c r="B8" s="49" t="str">
        <x:v>Implementation leakage or failure</x:v>
      </x:c>
      <x:c r="C8" s="49" t="str">
        <x:v>Weak randomness, secret handling, side channels, faults or error oracles can defeat sound algorithms.</x:v>
      </x:c>
      <x:c r="D8" s="49" t="str">
        <x:v>Use maintained implementations; review KEM failure handling and assurance evidence.</x:v>
      </x:c>
      <x:c r="E8" s="49" t="str">
        <x:v>Supplier assurance, test evidence, relevant module/algorithm validation.</x:v>
      </x:c>
      <x:c r="F8" s="49" t="str">
        <x:v>SP800227; FIPS203</x:v>
      </x:c>
      <x:c r="G8" s="49"/>
      <x:c r="H8" s="49"/>
      <x:c r="I8" s="49" t="str">
        <x:v>Not Assessed</x:v>
      </x:c>
      <x:c r="J8" s="49"/>
    </x:row>
    <x:row r="9" ht="98" customHeight="1">
      <x:c r="A9" s="49" t="str">
        <x:v>T08</x:v>
      </x:c>
      <x:c r="B9" s="49" t="str">
        <x:v>Symmetric-key dependency exposure</x:v>
      </x:c>
      <x:c r="C9" s="49" t="str">
        <x:v>Strong data encryption can still rely on vulnerable public-key transport, wrapping or management paths.</x:v>
      </x:c>
      <x:c r="D9" s="49" t="str">
        <x:v>Separate data cipher from key-establishment, authentication and KMS dependencies.</x:v>
      </x:c>
      <x:c r="E9" s="49" t="str">
        <x:v>Key lifecycle and dependency map, recovery and rewrap evidence.</x:v>
      </x:c>
      <x:c r="F9" s="49" t="str">
        <x:v>SP80057; SP800227</x:v>
      </x:c>
      <x:c r="G9" s="49"/>
      <x:c r="H9" s="49"/>
      <x:c r="I9" s="49" t="str">
        <x:v>Not Assessed</x:v>
      </x:c>
      <x:c r="J9" s="49"/>
    </x:row>
    <x:row r="10" ht="98" customHeight="1">
      <x:c r="A10" s="49" t="str">
        <x:v>T09</x:v>
      </x:c>
      <x:c r="B10" s="49" t="str">
        <x:v>Recovery or archival failure</x:v>
      </x:c>
      <x:c r="C10" s="49" t="str">
        <x:v>Restores, retained signatures or old clients may fail after key, trust or algorithm change.</x:v>
      </x:c>
      <x:c r="D10" s="49" t="str">
        <x:v>Exercise restores, key recovery, archival verification and bounded rollback.</x:v>
      </x:c>
      <x:c r="E10" s="49" t="str">
        <x:v>Dated recovery drills and retained verification policy.</x:v>
      </x:c>
      <x:c r="F10" s="49" t="str">
        <x:v>SP80057; CSWP39</x:v>
      </x:c>
      <x:c r="G10" s="49"/>
      <x:c r="H10" s="49"/>
      <x:c r="I10" s="49" t="str">
        <x:v>Not Assessed</x:v>
      </x:c>
      <x:c r="J10" s="49"/>
    </x:row>
    <x:row r="11" ht="98" customHeight="1">
      <x:c r="A11" s="49" t="str">
        <x:v>T10</x:v>
      </x:c>
      <x:c r="B11" s="49" t="str">
        <x:v>Inventory gaps and crypto drift</x:v>
      </x:c>
      <x:c r="C11" s="49" t="str">
        <x:v>Ephemeral workloads, copied libraries or hidden dependencies may reintroduce vulnerable cryptography.</x:v>
      </x:c>
      <x:c r="D11" s="49" t="str">
        <x:v>Combine discovery methods; reconcile scope; integrate refresh into release and procurement processes.</x:v>
      </x:c>
      <x:c r="E11" s="49" t="str">
        <x:v>Coverage denominator, unknowns, version history and release gate results.</x:v>
      </x:c>
      <x:c r="F11" s="49" t="str">
        <x:v>SP180038B draft; CSWP39</x:v>
      </x:c>
      <x:c r="G11" s="49"/>
      <x:c r="H11" s="49"/>
      <x:c r="I11" s="49" t="str">
        <x:v>Not Assessed</x:v>
      </x:c>
      <x:c r="J11" s="49"/>
    </x:row>
    <x:row r="12" ht="98" customHeight="1">
      <x:c r="A12" s="49" t="str">
        <x:v>T11</x:v>
      </x:c>
      <x:c r="B12" s="49" t="str">
        <x:v>Premature standards or assurance claim</x:v>
      </x:c>
      <x:c r="C12" s="49" t="str">
        <x:v>Selected candidates, draft profiles or vendor claims can be mistaken for finalized or validated deployment.</x:v>
      </x:c>
      <x:c r="D12" s="49" t="str">
        <x:v>Maintain final/draft/pending states and version-specific validation evidence.</x:v>
      </x:c>
      <x:c r="E12" s="49" t="str">
        <x:v>Standards review, release matrix and CMVP certificate where required.</x:v>
      </x:c>
      <x:c r="F12" s="49" t="str">
        <x:v>NIST status; CMVP</x:v>
      </x:c>
      <x:c r="G12" s="49"/>
      <x:c r="H12" s="49"/>
      <x:c r="I12" s="49" t="str">
        <x:v>Not Assessed</x:v>
      </x:c>
      <x:c r="J12" s="49"/>
    </x:row>
    <x:row r="13" ht="98" customHeight="1">
      <x:c r="A13" s="49" t="str">
        <x:v>T12</x:v>
      </x:c>
      <x:c r="B13" s="49" t="str">
        <x:v>Unsafe operational change</x:v>
      </x:c>
      <x:c r="C13" s="49" t="str">
        <x:v>Aggressive scanning or untested crypto changes may disrupt safety-critical or constrained systems.</x:v>
      </x:c>
      <x:c r="D13" s="49" t="str">
        <x:v>Use passive discovery where required; coordinate asset owner and maintenance windows; lab-test first.</x:v>
      </x:c>
      <x:c r="E13" s="49" t="str">
        <x:v>Safety review, nonproduction test and approved recovery plan.</x:v>
      </x:c>
      <x:c r="F13" s="49" t="str">
        <x:v>SP80082; CSWP39</x:v>
      </x:c>
      <x:c r="G13" s="49"/>
      <x:c r="H13" s="49"/>
      <x:c r="I13" s="49" t="str">
        <x:v>Not Assessed</x:v>
      </x:c>
      <x:c r="J13" s="49"/>
    </x:row>
  </x:sheetData>
  <x:dataValidations count="1">
    <x:dataValidation type="list" sqref="I2:I13">
      <x:formula1>"Not Assessed,Applicable,Not Applicable,Mitigated,Accepted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8c31cf554e463d"/>
  </x:tableParts>
</x:worksheet>
</file>

<file path=docProps/core.xml><?xml version="1.0" encoding="utf-8"?>
<cp:coreProperties xmlns:cp="http://schemas.openxmlformats.org/package/2006/metadata/core-properties" xmlns:dc="http://purl.org/dc/elements/1.1/">
  <dc:creator>Ankit Gupta</dc:creator>
  <cp:lastModifiedBy>Ankit Gupta</cp:lastModifiedBy>
</cp:coreProperties>
</file>